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slicerCaches/slicerCache4.xml" ContentType="application/vnd.ms-excel.slicerCache+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comments1.xml" ContentType="application/vnd.openxmlformats-officedocument.spreadsheetml.comments+xml"/>
  <Override PartName="/xl/threadedComments/threadedComment1.xml" ContentType="application/vnd.ms-excel.threadedcomments+xml"/>
  <Override PartName="/xl/drawings/drawing1.xml" ContentType="application/vnd.openxmlformats-officedocument.drawing+xml"/>
  <Override PartName="/xl/tables/table6.xml" ContentType="application/vnd.openxmlformats-officedocument.spreadsheetml.table+xml"/>
  <Override PartName="/xl/queryTables/queryTable1.xml" ContentType="application/vnd.openxmlformats-officedocument.spreadsheetml.queryTable+xml"/>
  <Override PartName="/xl/slicers/slicer1.xml" ContentType="application/vnd.ms-excel.slicer+xml"/>
  <Override PartName="/xl/comments2.xml" ContentType="application/vnd.openxmlformats-officedocument.spreadsheetml.comments+xml"/>
  <Override PartName="/xl/threadedComments/threadedComment2.xml" ContentType="application/vnd.ms-excel.threadedcomments+xml"/>
  <Override PartName="/xl/namedSheetViews/namedSheetView1.xml" ContentType="application/vnd.ms-excel.namedsheetviews+xml"/>
  <Override PartName="/xl/tables/table7.xml" ContentType="application/vnd.openxmlformats-officedocument.spreadsheetml.table+xml"/>
  <Override PartName="/xl/comments3.xml" ContentType="application/vnd.openxmlformats-officedocument.spreadsheetml.comments+xml"/>
  <Override PartName="/xl/threadedComments/threadedComment3.xml" ContentType="application/vnd.ms-excel.threadedcomments+xml"/>
  <Override PartName="/xl/namedSheetViews/namedSheetView2.xml" ContentType="application/vnd.ms-excel.namedsheetviews+xml"/>
  <Override PartName="/xl/persons/person.xml" ContentType="application/vnd.ms-excel.person+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customXml/itemProps5.xml" ContentType="application/vnd.openxmlformats-officedocument.customXmlProperties+xml"/>
  <Override PartName="/customXml/itemProps6.xml" ContentType="application/vnd.openxmlformats-officedocument.customXmlProperties+xml"/>
  <Override PartName="/customXml/itemProps7.xml" ContentType="application/vnd.openxmlformats-officedocument.customXml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424"/>
  <workbookPr codeName="ThisWorkbook" hidePivotFieldList="1" defaultThemeVersion="166925"/>
  <mc:AlternateContent xmlns:mc="http://schemas.openxmlformats.org/markup-compatibility/2006">
    <mc:Choice Requires="x15">
      <x15ac:absPath xmlns:x15ac="http://schemas.microsoft.com/office/spreadsheetml/2010/11/ac" url="https://ryman.sharepoint.com/sites/QualityAssuranceTeam/Team Documents/Checklists/"/>
    </mc:Choice>
  </mc:AlternateContent>
  <xr:revisionPtr revIDLastSave="0" documentId="8_{0CBEA903-1D85-4A37-AA73-C51E154ACA23}" xr6:coauthVersionLast="47" xr6:coauthVersionMax="47" xr10:uidLastSave="{00000000-0000-0000-0000-000000000000}"/>
  <bookViews>
    <workbookView xWindow="-7065" yWindow="-16320" windowWidth="29040" windowHeight="15990" firstSheet="1" activeTab="1" xr2:uid="{828E9C50-7471-4843-832A-6E34B822D3D5}"/>
  </bookViews>
  <sheets>
    <sheet name="Ref" sheetId="8" r:id="rId1"/>
    <sheet name="Checklists" sheetId="10" r:id="rId2"/>
    <sheet name="Changelog" sheetId="6" state="hidden" r:id="rId3"/>
  </sheets>
  <definedNames>
    <definedName name="ExternalData_1" localSheetId="1" hidden="1">'Checklists'!$B$2:$M$4019</definedName>
    <definedName name="pivotChanges">#REF!,#REF!</definedName>
    <definedName name="sitelist">Ref!$P$1:$P$15</definedName>
    <definedName name="Slicer_Checklist1">#N/A</definedName>
    <definedName name="Slicer_Discipline1">#N/A</definedName>
    <definedName name="Slicer_Site">#N/A</definedName>
    <definedName name="Slicer_User1">#N/A</definedName>
  </definedNames>
  <calcPr calcId="191028"/>
  <extLst>
    <ext xmlns:x14="http://schemas.microsoft.com/office/spreadsheetml/2009/9/main" uri="{79F54976-1DA5-4618-B147-4CDE4B953A38}">
      <x14:workbookPr/>
    </ext>
    <ext xmlns:x15="http://schemas.microsoft.com/office/spreadsheetml/2010/11/main" uri="{46BE6895-7355-4a93-B00E-2C351335B9C9}">
      <x15:slicerCaches xmlns:x14="http://schemas.microsoft.com/office/spreadsheetml/2009/9/main">
        <x14:slicerCache r:id="rId4"/>
        <x14:slicerCache r:id="rId5"/>
        <x14:slicerCache r:id="rId6"/>
        <x14:slicerCache r:id="rId7"/>
      </x15:slicerCaches>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B2588" i="6" l="1"/>
  <c r="B2589" i="6" s="1"/>
  <c r="B2590" i="6" s="1"/>
  <c r="B2591" i="6" s="1"/>
  <c r="B2592" i="6" s="1"/>
  <c r="B2593" i="6" s="1"/>
  <c r="B2594" i="6" s="1"/>
  <c r="B2595" i="6" s="1"/>
  <c r="B2596" i="6" s="1"/>
  <c r="B2597" i="6" s="1"/>
  <c r="B2598" i="6" s="1"/>
  <c r="B2599" i="6" s="1"/>
  <c r="B2600" i="6" s="1"/>
  <c r="B2601" i="6" s="1"/>
  <c r="B2602" i="6"/>
  <c r="B2603" i="6" s="1"/>
  <c r="B2604" i="6" s="1"/>
  <c r="B2605" i="6" s="1"/>
  <c r="B2606" i="6" s="1"/>
  <c r="B2607" i="6" s="1"/>
  <c r="B2608" i="6" s="1"/>
  <c r="B2609" i="6" s="1"/>
  <c r="B2610" i="6" s="1"/>
  <c r="B2611" i="6" s="1"/>
  <c r="B2612" i="6" s="1"/>
  <c r="B2613" i="6" s="1"/>
  <c r="B2614" i="6" s="1"/>
  <c r="B2615" i="6" s="1"/>
  <c r="B2616" i="6" s="1"/>
  <c r="B2617" i="6" s="1"/>
  <c r="B2618" i="6" s="1"/>
  <c r="B2619" i="6" s="1"/>
  <c r="B2620" i="6" s="1"/>
  <c r="B2621" i="6"/>
  <c r="B2622" i="6" s="1"/>
  <c r="B2623" i="6" s="1"/>
  <c r="B2624" i="6" s="1"/>
  <c r="B2625" i="6" s="1"/>
  <c r="B2626" i="6" s="1"/>
  <c r="B2627" i="6" s="1"/>
  <c r="B2628" i="6" s="1"/>
  <c r="B2629" i="6" s="1"/>
  <c r="B2630" i="6" s="1"/>
  <c r="B2631" i="6" s="1"/>
  <c r="B2632" i="6" s="1"/>
  <c r="B2633" i="6" s="1"/>
  <c r="B2634" i="6" s="1"/>
  <c r="B2635" i="6" s="1"/>
  <c r="B2636" i="6" s="1"/>
  <c r="B2637" i="6" s="1"/>
  <c r="B2638" i="6" s="1"/>
  <c r="B2639" i="6" s="1"/>
  <c r="B2640" i="6" s="1"/>
  <c r="B2641" i="6" s="1"/>
  <c r="B2642" i="6" s="1"/>
  <c r="B2643" i="6" s="1"/>
  <c r="B2644" i="6" s="1"/>
  <c r="B2645" i="6" s="1"/>
  <c r="B2646" i="6" s="1"/>
  <c r="B2647" i="6" s="1"/>
  <c r="B2648" i="6" s="1"/>
  <c r="B2649" i="6" s="1"/>
  <c r="B2650" i="6" s="1"/>
  <c r="B2651" i="6" s="1"/>
  <c r="B2652" i="6" s="1"/>
  <c r="B2653" i="6" s="1"/>
  <c r="B2654" i="6" s="1"/>
  <c r="B2655" i="6" s="1"/>
  <c r="B2656" i="6" s="1"/>
  <c r="B2657" i="6" s="1"/>
  <c r="B2658" i="6" s="1"/>
  <c r="B2659" i="6" s="1"/>
  <c r="B2660" i="6" s="1"/>
  <c r="B2661" i="6" s="1"/>
  <c r="B2662" i="6" s="1"/>
  <c r="B2663" i="6" s="1"/>
  <c r="B2664" i="6" s="1"/>
  <c r="B2665" i="6" s="1"/>
  <c r="B2666" i="6" s="1"/>
  <c r="B2667" i="6" s="1"/>
  <c r="B2668" i="6" s="1"/>
  <c r="B2669" i="6" s="1"/>
  <c r="B2670" i="6" s="1"/>
  <c r="B2671" i="6" s="1"/>
  <c r="B2672" i="6" s="1"/>
  <c r="B2673" i="6" s="1"/>
  <c r="B2674" i="6" s="1"/>
  <c r="B2675" i="6" s="1"/>
  <c r="B2676" i="6" s="1"/>
  <c r="B2677" i="6" s="1"/>
  <c r="B2678" i="6" s="1"/>
  <c r="B2679" i="6" s="1"/>
  <c r="B2680" i="6" s="1"/>
  <c r="B2681" i="6" s="1"/>
  <c r="B2682" i="6" s="1"/>
  <c r="B2683" i="6"/>
  <c r="B2684" i="6" s="1"/>
  <c r="B2685" i="6" s="1"/>
  <c r="B2686" i="6" s="1"/>
  <c r="B2687" i="6" s="1"/>
  <c r="B2688" i="6" s="1"/>
  <c r="B2689" i="6" s="1"/>
  <c r="B2690" i="6" s="1"/>
  <c r="B2691" i="6" s="1"/>
  <c r="B2692" i="6" s="1"/>
  <c r="B2693" i="6" s="1"/>
  <c r="B2694" i="6" s="1"/>
  <c r="B2695" i="6" s="1"/>
  <c r="B2696" i="6"/>
  <c r="B2697" i="6" s="1"/>
  <c r="B2698" i="6" s="1"/>
  <c r="B2699" i="6" s="1"/>
  <c r="B2700" i="6" s="1"/>
  <c r="B2701" i="6" s="1"/>
  <c r="B2702" i="6" s="1"/>
  <c r="B2703" i="6" s="1"/>
  <c r="B2704" i="6"/>
  <c r="B2705" i="6" s="1"/>
  <c r="B2706" i="6" s="1"/>
  <c r="B2707" i="6" s="1"/>
  <c r="B2708" i="6" s="1"/>
  <c r="B2709" i="6" s="1"/>
  <c r="B2710" i="6" s="1"/>
  <c r="B2711" i="6" s="1"/>
  <c r="B2712" i="6"/>
  <c r="B2713" i="6" s="1"/>
  <c r="B2714" i="6" s="1"/>
  <c r="B2715" i="6" s="1"/>
  <c r="B2716" i="6" s="1"/>
  <c r="B2717" i="6" s="1"/>
  <c r="B2718" i="6" s="1"/>
  <c r="B2719" i="6" s="1"/>
  <c r="B4" i="6" l="1"/>
  <c r="B5" i="6" s="1"/>
  <c r="B6" i="6"/>
  <c r="B7" i="6" s="1"/>
  <c r="B8" i="6" s="1"/>
  <c r="B9" i="6" s="1"/>
  <c r="B10" i="6" s="1"/>
  <c r="B11" i="6" s="1"/>
  <c r="B12" i="6" s="1"/>
  <c r="B13" i="6" s="1"/>
  <c r="B14" i="6" s="1"/>
  <c r="B15" i="6" s="1"/>
  <c r="B16" i="6" s="1"/>
  <c r="B17" i="6"/>
  <c r="B18" i="6" s="1"/>
  <c r="B19" i="6" s="1"/>
  <c r="B20" i="6" s="1"/>
  <c r="B21" i="6" s="1"/>
  <c r="B22" i="6" s="1"/>
  <c r="B23" i="6" s="1"/>
  <c r="B24" i="6" s="1"/>
  <c r="B25" i="6" s="1"/>
  <c r="B26" i="6" s="1"/>
  <c r="B27" i="6" s="1"/>
  <c r="B28" i="6" s="1"/>
  <c r="B29" i="6" s="1"/>
  <c r="B30" i="6"/>
  <c r="B31" i="6" s="1"/>
  <c r="B32" i="6" s="1"/>
  <c r="B33" i="6" s="1"/>
  <c r="B34" i="6" s="1"/>
  <c r="B35" i="6" s="1"/>
  <c r="B36" i="6" s="1"/>
  <c r="B37" i="6" s="1"/>
  <c r="B38" i="6" s="1"/>
  <c r="B39" i="6"/>
  <c r="B40" i="6" s="1"/>
  <c r="B41" i="6" s="1"/>
  <c r="B42" i="6" s="1"/>
  <c r="B43" i="6" s="1"/>
  <c r="B44" i="6" s="1"/>
  <c r="B45" i="6" s="1"/>
  <c r="B46" i="6" s="1"/>
  <c r="B47" i="6" s="1"/>
  <c r="B48" i="6" s="1"/>
  <c r="B49" i="6" s="1"/>
  <c r="B50" i="6" s="1"/>
  <c r="B51" i="6"/>
  <c r="B52" i="6" s="1"/>
  <c r="B53" i="6" s="1"/>
  <c r="B54" i="6" s="1"/>
  <c r="B55" i="6" s="1"/>
  <c r="B56" i="6" s="1"/>
  <c r="B57" i="6" s="1"/>
  <c r="B58" i="6" s="1"/>
  <c r="B59" i="6" s="1"/>
  <c r="B60" i="6" s="1"/>
  <c r="B61" i="6" s="1"/>
  <c r="B62" i="6" s="1"/>
  <c r="B63" i="6" s="1"/>
  <c r="B64" i="6" s="1"/>
  <c r="B65" i="6" s="1"/>
  <c r="B66" i="6" s="1"/>
  <c r="B67" i="6" s="1"/>
  <c r="B68" i="6" s="1"/>
  <c r="B69" i="6" s="1"/>
  <c r="B70" i="6" s="1"/>
  <c r="B71" i="6" s="1"/>
  <c r="B72" i="6" s="1"/>
  <c r="B73" i="6" s="1"/>
  <c r="B74" i="6" s="1"/>
  <c r="B75" i="6" s="1"/>
  <c r="B76" i="6" s="1"/>
  <c r="B77" i="6" s="1"/>
  <c r="B78" i="6" s="1"/>
  <c r="B79" i="6" s="1"/>
  <c r="B80" i="6" s="1"/>
  <c r="B81" i="6" s="1"/>
  <c r="B82" i="6" s="1"/>
  <c r="B83" i="6" s="1"/>
  <c r="B84" i="6" s="1"/>
  <c r="B85" i="6" s="1"/>
  <c r="B86" i="6" s="1"/>
  <c r="B87" i="6" s="1"/>
  <c r="B88" i="6" s="1"/>
  <c r="B89" i="6" s="1"/>
  <c r="B90" i="6" s="1"/>
  <c r="B91" i="6" s="1"/>
  <c r="B92" i="6" s="1"/>
  <c r="B93" i="6" s="1"/>
  <c r="B94" i="6" s="1"/>
  <c r="B95" i="6" s="1"/>
  <c r="B96" i="6" s="1"/>
  <c r="B97" i="6" s="1"/>
  <c r="B98" i="6"/>
  <c r="B99" i="6" s="1"/>
  <c r="B100" i="6" s="1"/>
  <c r="B101" i="6" s="1"/>
  <c r="B102" i="6"/>
  <c r="B103" i="6"/>
  <c r="B104" i="6"/>
  <c r="B105" i="6" s="1"/>
  <c r="B106" i="6" s="1"/>
  <c r="B107" i="6" s="1"/>
  <c r="B108" i="6" s="1"/>
  <c r="B109" i="6" s="1"/>
  <c r="B110" i="6" s="1"/>
  <c r="B111" i="6" s="1"/>
  <c r="B112" i="6"/>
  <c r="B113" i="6" s="1"/>
  <c r="B114" i="6" s="1"/>
  <c r="B115" i="6" s="1"/>
  <c r="B116" i="6" s="1"/>
  <c r="B117" i="6" s="1"/>
  <c r="B118" i="6" s="1"/>
  <c r="B119" i="6" s="1"/>
  <c r="B120" i="6" s="1"/>
  <c r="B121" i="6" s="1"/>
  <c r="B122" i="6" s="1"/>
  <c r="B123" i="6" s="1"/>
  <c r="B124" i="6"/>
  <c r="B125" i="6" s="1"/>
  <c r="B126" i="6" s="1"/>
  <c r="B127" i="6" s="1"/>
  <c r="B128" i="6" s="1"/>
  <c r="B129" i="6" s="1"/>
  <c r="B130" i="6" s="1"/>
  <c r="B131" i="6" s="1"/>
  <c r="B132" i="6"/>
  <c r="B133" i="6" s="1"/>
  <c r="B134" i="6" s="1"/>
  <c r="B135" i="6" s="1"/>
  <c r="B136" i="6" s="1"/>
  <c r="B137" i="6" s="1"/>
  <c r="B138" i="6" s="1"/>
  <c r="B139" i="6" s="1"/>
  <c r="B140" i="6" s="1"/>
  <c r="B141" i="6" s="1"/>
  <c r="B142" i="6"/>
  <c r="B143" i="6" s="1"/>
  <c r="B144" i="6" s="1"/>
  <c r="B145" i="6" s="1"/>
  <c r="B146" i="6" s="1"/>
  <c r="B147" i="6" s="1"/>
  <c r="B148" i="6" s="1"/>
  <c r="B149" i="6" s="1"/>
  <c r="B150" i="6" s="1"/>
  <c r="B151" i="6" s="1"/>
  <c r="B152" i="6" s="1"/>
  <c r="B153" i="6" s="1"/>
  <c r="B154" i="6" s="1"/>
  <c r="B155" i="6" s="1"/>
  <c r="B156" i="6" s="1"/>
  <c r="B157" i="6" s="1"/>
  <c r="B158" i="6" s="1"/>
  <c r="B159" i="6" s="1"/>
  <c r="B160" i="6" s="1"/>
  <c r="B161" i="6" s="1"/>
  <c r="B162" i="6" s="1"/>
  <c r="B163" i="6" s="1"/>
  <c r="B164" i="6" s="1"/>
  <c r="B165" i="6" s="1"/>
  <c r="B166" i="6" s="1"/>
  <c r="B167" i="6" s="1"/>
  <c r="B168" i="6" s="1"/>
  <c r="B169" i="6" s="1"/>
  <c r="B170" i="6" s="1"/>
  <c r="B171" i="6" s="1"/>
  <c r="B172" i="6" s="1"/>
  <c r="B173" i="6" s="1"/>
  <c r="B174" i="6" s="1"/>
  <c r="B175" i="6" s="1"/>
  <c r="B176" i="6"/>
  <c r="B177" i="6" s="1"/>
  <c r="B178" i="6" s="1"/>
  <c r="B179" i="6" s="1"/>
  <c r="B180" i="6" s="1"/>
  <c r="B181" i="6" s="1"/>
  <c r="B182" i="6" s="1"/>
  <c r="B183" i="6" s="1"/>
  <c r="B184" i="6" s="1"/>
  <c r="B185" i="6" s="1"/>
  <c r="B186" i="6" s="1"/>
  <c r="B187" i="6" s="1"/>
  <c r="B188" i="6"/>
  <c r="B189" i="6" s="1"/>
  <c r="B190" i="6" s="1"/>
  <c r="B191" i="6" s="1"/>
  <c r="B192" i="6" s="1"/>
  <c r="B193" i="6" s="1"/>
  <c r="B194" i="6" s="1"/>
  <c r="B195" i="6" s="1"/>
  <c r="B196" i="6" s="1"/>
  <c r="B197" i="6" s="1"/>
  <c r="B198" i="6" s="1"/>
  <c r="B199" i="6" s="1"/>
  <c r="B200" i="6" s="1"/>
  <c r="B201" i="6" s="1"/>
  <c r="B202" i="6" s="1"/>
  <c r="B203" i="6" s="1"/>
  <c r="B204" i="6" s="1"/>
  <c r="B205" i="6" s="1"/>
  <c r="B206" i="6" s="1"/>
  <c r="B207" i="6" s="1"/>
  <c r="B208" i="6" s="1"/>
  <c r="B209" i="6" s="1"/>
  <c r="B210" i="6" s="1"/>
  <c r="B211" i="6"/>
  <c r="B212" i="6" s="1"/>
  <c r="B213" i="6" s="1"/>
  <c r="B214" i="6" s="1"/>
  <c r="B215" i="6" s="1"/>
  <c r="B216" i="6" s="1"/>
  <c r="B217" i="6" s="1"/>
  <c r="B218" i="6" s="1"/>
  <c r="B219" i="6" s="1"/>
  <c r="B220" i="6" s="1"/>
  <c r="B221" i="6" s="1"/>
  <c r="B222" i="6" s="1"/>
  <c r="B223" i="6" s="1"/>
  <c r="B224" i="6"/>
  <c r="B225" i="6" s="1"/>
  <c r="B226" i="6" s="1"/>
  <c r="B227" i="6" s="1"/>
  <c r="B228" i="6" s="1"/>
  <c r="B229" i="6" s="1"/>
  <c r="B230" i="6" s="1"/>
  <c r="B231" i="6" s="1"/>
  <c r="B232" i="6" s="1"/>
  <c r="B233" i="6" s="1"/>
  <c r="B234" i="6" s="1"/>
  <c r="B235" i="6" s="1"/>
  <c r="B236" i="6" s="1"/>
  <c r="B237" i="6" s="1"/>
  <c r="B238" i="6" s="1"/>
  <c r="B239" i="6" s="1"/>
  <c r="B240" i="6" s="1"/>
  <c r="B241" i="6" s="1"/>
  <c r="B242" i="6" s="1"/>
  <c r="B243" i="6" s="1"/>
  <c r="B244" i="6" s="1"/>
  <c r="B245" i="6" s="1"/>
  <c r="B246" i="6" s="1"/>
  <c r="B247" i="6" s="1"/>
  <c r="B248" i="6" s="1"/>
  <c r="B249" i="6" s="1"/>
  <c r="B250" i="6" s="1"/>
  <c r="B251" i="6" s="1"/>
  <c r="B252" i="6" s="1"/>
  <c r="B253" i="6" s="1"/>
  <c r="B254" i="6" s="1"/>
  <c r="B255" i="6" s="1"/>
  <c r="B256" i="6" s="1"/>
  <c r="B257" i="6" s="1"/>
  <c r="B258" i="6" s="1"/>
  <c r="B259" i="6" s="1"/>
  <c r="B260" i="6"/>
  <c r="B261" i="6" s="1"/>
  <c r="B262" i="6" s="1"/>
  <c r="B263" i="6" s="1"/>
  <c r="B264" i="6" s="1"/>
  <c r="B265" i="6" s="1"/>
  <c r="B266" i="6" s="1"/>
  <c r="B267" i="6" s="1"/>
  <c r="B268" i="6" s="1"/>
  <c r="B269" i="6" s="1"/>
  <c r="B270" i="6" s="1"/>
  <c r="B271" i="6" s="1"/>
  <c r="B272" i="6" s="1"/>
  <c r="B273" i="6" s="1"/>
  <c r="B274" i="6" s="1"/>
  <c r="B275" i="6" s="1"/>
  <c r="B276" i="6" s="1"/>
  <c r="B277" i="6" s="1"/>
  <c r="B278" i="6" s="1"/>
  <c r="B279" i="6" s="1"/>
  <c r="B280" i="6" s="1"/>
  <c r="B281" i="6" s="1"/>
  <c r="B282" i="6" s="1"/>
  <c r="B283" i="6" s="1"/>
  <c r="B284" i="6" s="1"/>
  <c r="B285" i="6" s="1"/>
  <c r="B286" i="6" s="1"/>
  <c r="B287" i="6" s="1"/>
  <c r="B288" i="6" s="1"/>
  <c r="B289" i="6" s="1"/>
  <c r="B290" i="6" s="1"/>
  <c r="B291" i="6" s="1"/>
  <c r="B292" i="6" s="1"/>
  <c r="B293" i="6" s="1"/>
  <c r="B294" i="6" s="1"/>
  <c r="B295" i="6" s="1"/>
  <c r="B296" i="6" s="1"/>
  <c r="B297" i="6" s="1"/>
  <c r="B298" i="6" s="1"/>
  <c r="B299" i="6" s="1"/>
  <c r="B300" i="6" s="1"/>
  <c r="B301" i="6" s="1"/>
  <c r="B302" i="6" s="1"/>
  <c r="B303" i="6" s="1"/>
  <c r="B304" i="6" s="1"/>
  <c r="B305" i="6" s="1"/>
  <c r="B306" i="6" s="1"/>
  <c r="B307" i="6" s="1"/>
  <c r="B308" i="6" s="1"/>
  <c r="B309" i="6" s="1"/>
  <c r="B310" i="6"/>
  <c r="B311" i="6" s="1"/>
  <c r="B312" i="6" s="1"/>
  <c r="B313" i="6" s="1"/>
  <c r="B314" i="6" s="1"/>
  <c r="B315" i="6" s="1"/>
  <c r="B316" i="6" s="1"/>
  <c r="B317" i="6"/>
  <c r="B318" i="6" s="1"/>
  <c r="B319" i="6" s="1"/>
  <c r="B320" i="6" s="1"/>
  <c r="B321" i="6" s="1"/>
  <c r="B322" i="6" s="1"/>
  <c r="B323" i="6" s="1"/>
  <c r="B324" i="6" s="1"/>
  <c r="B325" i="6" s="1"/>
  <c r="B326" i="6" s="1"/>
  <c r="B327" i="6" s="1"/>
  <c r="B328" i="6" s="1"/>
  <c r="B329" i="6" s="1"/>
  <c r="B330" i="6"/>
  <c r="B331" i="6" s="1"/>
  <c r="B332" i="6" s="1"/>
  <c r="B333" i="6" s="1"/>
  <c r="B334" i="6" s="1"/>
  <c r="B335" i="6"/>
  <c r="B336" i="6" s="1"/>
  <c r="B337" i="6" s="1"/>
  <c r="B338" i="6" s="1"/>
  <c r="B339" i="6" s="1"/>
  <c r="B340" i="6"/>
  <c r="B341" i="6" s="1"/>
  <c r="B342" i="6" s="1"/>
  <c r="B343" i="6" s="1"/>
  <c r="B344" i="6" s="1"/>
  <c r="B345" i="6" s="1"/>
  <c r="B346" i="6" s="1"/>
  <c r="B347" i="6"/>
  <c r="B348" i="6" s="1"/>
  <c r="B349" i="6" s="1"/>
  <c r="B350" i="6" s="1"/>
  <c r="B351" i="6" s="1"/>
  <c r="B352" i="6" s="1"/>
  <c r="B353" i="6" s="1"/>
  <c r="B354" i="6"/>
  <c r="B355" i="6" s="1"/>
  <c r="B356" i="6" s="1"/>
  <c r="B357" i="6" s="1"/>
  <c r="B358" i="6" s="1"/>
  <c r="B359" i="6"/>
  <c r="B360" i="6" s="1"/>
  <c r="B361" i="6" s="1"/>
  <c r="B362" i="6" s="1"/>
  <c r="B363" i="6" s="1"/>
  <c r="B364" i="6"/>
  <c r="B365" i="6" s="1"/>
  <c r="B366" i="6" s="1"/>
  <c r="B367" i="6" s="1"/>
  <c r="B368" i="6" s="1"/>
  <c r="B369" i="6" s="1"/>
  <c r="B370" i="6" s="1"/>
  <c r="B371" i="6" s="1"/>
  <c r="B372" i="6"/>
  <c r="B373" i="6" s="1"/>
  <c r="B374" i="6" s="1"/>
  <c r="B375" i="6" s="1"/>
  <c r="B376" i="6" s="1"/>
  <c r="B377" i="6" s="1"/>
  <c r="B378" i="6" s="1"/>
  <c r="B379" i="6" s="1"/>
  <c r="B380" i="6" s="1"/>
  <c r="B381" i="6" s="1"/>
  <c r="B382" i="6" s="1"/>
  <c r="B383" i="6" s="1"/>
  <c r="B384" i="6" s="1"/>
  <c r="B385" i="6"/>
  <c r="B386" i="6" s="1"/>
  <c r="B387" i="6" s="1"/>
  <c r="B388" i="6" s="1"/>
  <c r="B389" i="6" s="1"/>
  <c r="B390" i="6" s="1"/>
  <c r="B391" i="6" s="1"/>
  <c r="B392" i="6" s="1"/>
  <c r="B393" i="6" s="1"/>
  <c r="B394" i="6" s="1"/>
  <c r="B395" i="6" s="1"/>
  <c r="B396" i="6" s="1"/>
  <c r="B397" i="6" s="1"/>
  <c r="B398" i="6" s="1"/>
  <c r="B399" i="6" s="1"/>
  <c r="B400" i="6" s="1"/>
  <c r="B401" i="6" s="1"/>
  <c r="B402" i="6" s="1"/>
  <c r="B403" i="6" s="1"/>
  <c r="B404" i="6" s="1"/>
  <c r="B405" i="6"/>
  <c r="B406" i="6" s="1"/>
  <c r="B407" i="6" s="1"/>
  <c r="B408" i="6" s="1"/>
  <c r="B409" i="6" s="1"/>
  <c r="B410" i="6" s="1"/>
  <c r="B411" i="6" s="1"/>
  <c r="B412" i="6" s="1"/>
  <c r="B413" i="6" s="1"/>
  <c r="B414" i="6" s="1"/>
  <c r="B415" i="6" s="1"/>
  <c r="B416" i="6" s="1"/>
  <c r="B417" i="6" s="1"/>
  <c r="B418" i="6" s="1"/>
  <c r="B419" i="6"/>
  <c r="B420" i="6" s="1"/>
  <c r="B421" i="6" s="1"/>
  <c r="B422" i="6" s="1"/>
  <c r="B423" i="6" s="1"/>
  <c r="B424" i="6" s="1"/>
  <c r="B425" i="6"/>
  <c r="B426" i="6" s="1"/>
  <c r="B427" i="6" s="1"/>
  <c r="B428" i="6" s="1"/>
  <c r="B429" i="6" s="1"/>
  <c r="B430" i="6" s="1"/>
  <c r="B431" i="6" s="1"/>
  <c r="B432" i="6"/>
  <c r="B433" i="6" s="1"/>
  <c r="B434" i="6" s="1"/>
  <c r="B435" i="6" s="1"/>
  <c r="B436" i="6" s="1"/>
  <c r="B437" i="6" s="1"/>
  <c r="B438" i="6" s="1"/>
  <c r="B439" i="6" s="1"/>
  <c r="B440" i="6" s="1"/>
  <c r="B441" i="6" s="1"/>
  <c r="B442" i="6" s="1"/>
  <c r="B443" i="6" s="1"/>
  <c r="B444" i="6" s="1"/>
  <c r="B445" i="6" s="1"/>
  <c r="B446" i="6" s="1"/>
  <c r="B447" i="6" s="1"/>
  <c r="B448" i="6"/>
  <c r="B449" i="6" s="1"/>
  <c r="B450" i="6"/>
  <c r="B451" i="6" s="1"/>
  <c r="B452" i="6" s="1"/>
  <c r="B453" i="6" s="1"/>
  <c r="B454" i="6" s="1"/>
  <c r="B455" i="6" s="1"/>
  <c r="B456" i="6"/>
  <c r="B457" i="6" s="1"/>
  <c r="B458" i="6" s="1"/>
  <c r="B459" i="6" s="1"/>
  <c r="B460" i="6" s="1"/>
  <c r="B461" i="6" s="1"/>
  <c r="B462" i="6" s="1"/>
  <c r="B463" i="6" s="1"/>
  <c r="B464" i="6" s="1"/>
  <c r="B465" i="6" s="1"/>
  <c r="B466" i="6" s="1"/>
  <c r="B467" i="6" s="1"/>
  <c r="B468" i="6" s="1"/>
  <c r="B469" i="6" s="1"/>
  <c r="B470" i="6" s="1"/>
  <c r="B471" i="6" s="1"/>
  <c r="B472" i="6"/>
  <c r="B473" i="6" s="1"/>
  <c r="B474" i="6" s="1"/>
  <c r="B475" i="6" s="1"/>
  <c r="B476" i="6" s="1"/>
  <c r="B477" i="6"/>
  <c r="B478" i="6" s="1"/>
  <c r="B479" i="6" s="1"/>
  <c r="B480" i="6" s="1"/>
  <c r="B481" i="6" s="1"/>
  <c r="B482" i="6"/>
  <c r="B483" i="6" s="1"/>
  <c r="B484" i="6" s="1"/>
  <c r="B485" i="6" s="1"/>
  <c r="B486" i="6" s="1"/>
  <c r="B487" i="6"/>
  <c r="B488" i="6" s="1"/>
  <c r="B489" i="6" s="1"/>
  <c r="B490" i="6" s="1"/>
  <c r="B491" i="6" s="1"/>
  <c r="B492" i="6"/>
  <c r="B493" i="6" s="1"/>
  <c r="B494" i="6" s="1"/>
  <c r="B495" i="6" s="1"/>
  <c r="B496" i="6" s="1"/>
  <c r="B497" i="6"/>
  <c r="B498" i="6" s="1"/>
  <c r="B499" i="6" s="1"/>
  <c r="B500" i="6" s="1"/>
  <c r="B501" i="6" s="1"/>
  <c r="B502" i="6"/>
  <c r="B503" i="6" s="1"/>
  <c r="B504" i="6" s="1"/>
  <c r="B505" i="6" s="1"/>
  <c r="B506" i="6" s="1"/>
  <c r="B507" i="6"/>
  <c r="B508" i="6" s="1"/>
  <c r="B509" i="6" s="1"/>
  <c r="B510" i="6" s="1"/>
  <c r="B511" i="6" s="1"/>
  <c r="B512" i="6" s="1"/>
  <c r="B513" i="6"/>
  <c r="B514" i="6" s="1"/>
  <c r="B515" i="6" s="1"/>
  <c r="B516" i="6" s="1"/>
  <c r="B517" i="6" s="1"/>
  <c r="B518" i="6" s="1"/>
  <c r="B519" i="6"/>
  <c r="B520" i="6" s="1"/>
  <c r="B521" i="6" s="1"/>
  <c r="B522" i="6" s="1"/>
  <c r="B523" i="6" s="1"/>
  <c r="B524" i="6" s="1"/>
  <c r="B525" i="6" s="1"/>
  <c r="B526" i="6" s="1"/>
  <c r="B527" i="6" s="1"/>
  <c r="B528" i="6" s="1"/>
  <c r="B529" i="6" s="1"/>
  <c r="B530" i="6" s="1"/>
  <c r="B531" i="6" s="1"/>
  <c r="B532" i="6" s="1"/>
  <c r="B533" i="6" s="1"/>
  <c r="B534" i="6" s="1"/>
  <c r="B535" i="6" s="1"/>
  <c r="B536" i="6"/>
  <c r="B537" i="6" s="1"/>
  <c r="B538" i="6" s="1"/>
  <c r="B539" i="6" s="1"/>
  <c r="B540" i="6" s="1"/>
  <c r="B541" i="6" s="1"/>
  <c r="B542" i="6" s="1"/>
  <c r="B543" i="6" s="1"/>
  <c r="B544" i="6"/>
  <c r="B545" i="6" s="1"/>
  <c r="B546" i="6" s="1"/>
  <c r="B547" i="6" s="1"/>
  <c r="B548" i="6" s="1"/>
  <c r="B549" i="6" s="1"/>
  <c r="B550" i="6" s="1"/>
  <c r="B551" i="6" s="1"/>
  <c r="B552" i="6" s="1"/>
  <c r="B553" i="6" s="1"/>
  <c r="B554" i="6" s="1"/>
  <c r="B555" i="6" s="1"/>
  <c r="B556" i="6" s="1"/>
  <c r="B557" i="6" s="1"/>
  <c r="B558" i="6" s="1"/>
  <c r="B559" i="6" s="1"/>
  <c r="B560" i="6" s="1"/>
  <c r="B561" i="6" s="1"/>
  <c r="B562" i="6" s="1"/>
  <c r="B563" i="6" s="1"/>
  <c r="B564" i="6" s="1"/>
  <c r="B565" i="6" s="1"/>
  <c r="B566" i="6"/>
  <c r="B567" i="6" s="1"/>
  <c r="B568" i="6" s="1"/>
  <c r="B569" i="6" s="1"/>
  <c r="B570" i="6" s="1"/>
  <c r="B571" i="6"/>
  <c r="B572" i="6" s="1"/>
  <c r="B573" i="6" s="1"/>
  <c r="B574" i="6" s="1"/>
  <c r="B575" i="6" s="1"/>
  <c r="B576" i="6"/>
  <c r="B577" i="6" s="1"/>
  <c r="B578" i="6" s="1"/>
  <c r="B579" i="6" s="1"/>
  <c r="B580" i="6" s="1"/>
  <c r="B581" i="6"/>
  <c r="B582" i="6" s="1"/>
  <c r="B583" i="6" s="1"/>
  <c r="B584" i="6" s="1"/>
  <c r="B585" i="6" s="1"/>
  <c r="B586" i="6"/>
  <c r="B587" i="6" s="1"/>
  <c r="B588" i="6" s="1"/>
  <c r="B589" i="6" s="1"/>
  <c r="B590" i="6" s="1"/>
  <c r="B591" i="6"/>
  <c r="B592" i="6" s="1"/>
  <c r="B593" i="6" s="1"/>
  <c r="B594" i="6" s="1"/>
  <c r="B595" i="6" s="1"/>
  <c r="B596" i="6"/>
  <c r="B597" i="6" s="1"/>
  <c r="B598" i="6" s="1"/>
  <c r="B599" i="6" s="1"/>
  <c r="B600" i="6" s="1"/>
  <c r="B601" i="6"/>
  <c r="B602" i="6" s="1"/>
  <c r="B603" i="6" s="1"/>
  <c r="B604" i="6" s="1"/>
  <c r="B605" i="6" s="1"/>
  <c r="B606" i="6"/>
  <c r="B607" i="6" s="1"/>
  <c r="B608" i="6" s="1"/>
  <c r="B609" i="6" s="1"/>
  <c r="B610" i="6" s="1"/>
  <c r="B611" i="6" s="1"/>
  <c r="B612" i="6" s="1"/>
  <c r="B613" i="6" s="1"/>
  <c r="B614" i="6" s="1"/>
  <c r="B615" i="6" s="1"/>
  <c r="B616" i="6" s="1"/>
  <c r="B617" i="6" s="1"/>
  <c r="B618" i="6" s="1"/>
  <c r="B619" i="6" s="1"/>
  <c r="B620" i="6" s="1"/>
  <c r="B621" i="6" s="1"/>
  <c r="B622" i="6" s="1"/>
  <c r="B623" i="6" s="1"/>
  <c r="B624" i="6" s="1"/>
  <c r="B625" i="6"/>
  <c r="B626" i="6" s="1"/>
  <c r="B627" i="6" s="1"/>
  <c r="B628" i="6" s="1"/>
  <c r="B629" i="6" s="1"/>
  <c r="B630" i="6" s="1"/>
  <c r="B631" i="6" s="1"/>
  <c r="B632" i="6" s="1"/>
  <c r="B633" i="6" s="1"/>
  <c r="B634" i="6"/>
  <c r="B635" i="6" s="1"/>
  <c r="B636" i="6" s="1"/>
  <c r="B637" i="6" s="1"/>
  <c r="B638" i="6"/>
  <c r="B639" i="6" s="1"/>
  <c r="B640" i="6" s="1"/>
  <c r="B641" i="6" s="1"/>
  <c r="B642" i="6" s="1"/>
  <c r="B643" i="6" s="1"/>
  <c r="B644" i="6" s="1"/>
  <c r="B645" i="6"/>
  <c r="B646" i="6" s="1"/>
  <c r="B647" i="6" s="1"/>
  <c r="B648" i="6" s="1"/>
  <c r="B649" i="6"/>
  <c r="B650" i="6" s="1"/>
  <c r="B651" i="6" s="1"/>
  <c r="B652" i="6" s="1"/>
  <c r="B653" i="6" s="1"/>
  <c r="B654" i="6" s="1"/>
  <c r="B655" i="6"/>
  <c r="B656" i="6" s="1"/>
  <c r="B657" i="6" s="1"/>
  <c r="B658" i="6" s="1"/>
  <c r="B659" i="6" s="1"/>
  <c r="B660" i="6" s="1"/>
  <c r="B661" i="6" s="1"/>
  <c r="B662" i="6" s="1"/>
  <c r="B663" i="6" s="1"/>
  <c r="B664" i="6" s="1"/>
  <c r="B665" i="6" s="1"/>
  <c r="B666" i="6" s="1"/>
  <c r="B667" i="6" s="1"/>
  <c r="B668" i="6" s="1"/>
  <c r="B669" i="6" s="1"/>
  <c r="B670" i="6" s="1"/>
  <c r="B671" i="6" s="1"/>
  <c r="B672" i="6" s="1"/>
  <c r="B673" i="6"/>
  <c r="B674" i="6" s="1"/>
  <c r="B675" i="6" s="1"/>
  <c r="B676" i="6" s="1"/>
  <c r="B677" i="6" s="1"/>
  <c r="B678" i="6" s="1"/>
  <c r="B679" i="6" s="1"/>
  <c r="B680" i="6" s="1"/>
  <c r="B681" i="6" s="1"/>
  <c r="B682" i="6" s="1"/>
  <c r="B683" i="6" s="1"/>
  <c r="B684" i="6" s="1"/>
  <c r="B685" i="6" s="1"/>
  <c r="B686" i="6" s="1"/>
  <c r="B687" i="6" s="1"/>
  <c r="B688" i="6"/>
  <c r="B689" i="6" s="1"/>
  <c r="B690" i="6" s="1"/>
  <c r="B691" i="6"/>
  <c r="B692" i="6" s="1"/>
  <c r="B693" i="6" s="1"/>
  <c r="B694" i="6" s="1"/>
  <c r="B695" i="6" s="1"/>
  <c r="B696" i="6" s="1"/>
  <c r="B697" i="6" s="1"/>
  <c r="B698" i="6" s="1"/>
  <c r="B699" i="6" s="1"/>
  <c r="B700" i="6" s="1"/>
  <c r="B701" i="6" s="1"/>
  <c r="B702" i="6" s="1"/>
  <c r="B703" i="6" s="1"/>
  <c r="B704" i="6" s="1"/>
  <c r="B705" i="6" s="1"/>
  <c r="B706" i="6" s="1"/>
  <c r="B707" i="6" s="1"/>
  <c r="B708" i="6" s="1"/>
  <c r="B709" i="6" s="1"/>
  <c r="B710" i="6" s="1"/>
  <c r="B711" i="6" s="1"/>
  <c r="B712" i="6" s="1"/>
  <c r="B713" i="6" s="1"/>
  <c r="B714" i="6" s="1"/>
  <c r="B715" i="6" s="1"/>
  <c r="B716" i="6" s="1"/>
  <c r="B717" i="6" s="1"/>
  <c r="B718" i="6" s="1"/>
  <c r="B719" i="6" s="1"/>
  <c r="B720" i="6" s="1"/>
  <c r="B721" i="6" s="1"/>
  <c r="B722" i="6" s="1"/>
  <c r="B723" i="6" s="1"/>
  <c r="B724" i="6" s="1"/>
  <c r="B725" i="6" s="1"/>
  <c r="B726" i="6" s="1"/>
  <c r="B727" i="6" s="1"/>
  <c r="B728" i="6" s="1"/>
  <c r="B729" i="6"/>
  <c r="B730" i="6" s="1"/>
  <c r="B731" i="6" s="1"/>
  <c r="B732" i="6" s="1"/>
  <c r="B733" i="6" s="1"/>
  <c r="B734" i="6" s="1"/>
  <c r="B735" i="6"/>
  <c r="B736" i="6" s="1"/>
  <c r="B737" i="6" s="1"/>
  <c r="B738" i="6" s="1"/>
  <c r="B739" i="6" s="1"/>
  <c r="B740" i="6" s="1"/>
  <c r="B741" i="6" s="1"/>
  <c r="B742" i="6"/>
  <c r="B743" i="6" s="1"/>
  <c r="B744" i="6" s="1"/>
  <c r="B745" i="6" s="1"/>
  <c r="B746" i="6" s="1"/>
  <c r="B747" i="6" s="1"/>
  <c r="B748" i="6" s="1"/>
  <c r="B749" i="6"/>
  <c r="B750" i="6" s="1"/>
  <c r="B751" i="6" s="1"/>
  <c r="B752" i="6" s="1"/>
  <c r="B753" i="6" s="1"/>
  <c r="B754" i="6" s="1"/>
  <c r="B755" i="6" s="1"/>
  <c r="B756" i="6" s="1"/>
  <c r="B757" i="6" s="1"/>
  <c r="B758" i="6" s="1"/>
  <c r="B759" i="6" s="1"/>
  <c r="B760" i="6"/>
  <c r="B761" i="6" s="1"/>
  <c r="B762" i="6" s="1"/>
  <c r="B763" i="6" s="1"/>
  <c r="B764" i="6" s="1"/>
  <c r="B765" i="6" s="1"/>
  <c r="B766" i="6" s="1"/>
  <c r="B767" i="6" s="1"/>
  <c r="B768" i="6" s="1"/>
  <c r="B769" i="6" s="1"/>
  <c r="B770" i="6" s="1"/>
  <c r="B771" i="6" s="1"/>
  <c r="B772" i="6" s="1"/>
  <c r="B773" i="6" s="1"/>
  <c r="B774" i="6" s="1"/>
  <c r="B775" i="6" s="1"/>
  <c r="B776" i="6" s="1"/>
  <c r="B777" i="6" s="1"/>
  <c r="B778" i="6"/>
  <c r="B779" i="6" s="1"/>
  <c r="B780" i="6" s="1"/>
  <c r="B781" i="6" s="1"/>
  <c r="B782" i="6" s="1"/>
  <c r="B783" i="6" s="1"/>
  <c r="B784" i="6" s="1"/>
  <c r="B785" i="6" s="1"/>
  <c r="B786" i="6" s="1"/>
  <c r="B787" i="6" s="1"/>
  <c r="B788" i="6" s="1"/>
  <c r="B789" i="6" s="1"/>
  <c r="B790" i="6" s="1"/>
  <c r="B791" i="6" s="1"/>
  <c r="B792" i="6" s="1"/>
  <c r="B793" i="6" s="1"/>
  <c r="B794" i="6" s="1"/>
  <c r="B795" i="6"/>
  <c r="B796" i="6" s="1"/>
  <c r="B797" i="6" s="1"/>
  <c r="B798" i="6" s="1"/>
  <c r="B799" i="6" s="1"/>
  <c r="B800" i="6" s="1"/>
  <c r="B801" i="6" s="1"/>
  <c r="B802" i="6" s="1"/>
  <c r="B803" i="6" s="1"/>
  <c r="B804" i="6" s="1"/>
  <c r="B805" i="6" s="1"/>
  <c r="B806" i="6" s="1"/>
  <c r="B807" i="6" s="1"/>
  <c r="B808" i="6" s="1"/>
  <c r="B809" i="6" s="1"/>
  <c r="B810" i="6" s="1"/>
  <c r="B811" i="6" s="1"/>
  <c r="B812" i="6" s="1"/>
  <c r="B813" i="6" s="1"/>
  <c r="B814" i="6" s="1"/>
  <c r="B815" i="6" s="1"/>
  <c r="B816" i="6" s="1"/>
  <c r="B817" i="6" s="1"/>
  <c r="B818" i="6"/>
  <c r="B819" i="6" s="1"/>
  <c r="B820" i="6" s="1"/>
  <c r="B821" i="6" s="1"/>
  <c r="B822" i="6" s="1"/>
  <c r="B823" i="6" s="1"/>
  <c r="B824" i="6" s="1"/>
  <c r="B825" i="6" s="1"/>
  <c r="B826" i="6" s="1"/>
  <c r="B827" i="6" s="1"/>
  <c r="B828" i="6" s="1"/>
  <c r="B829" i="6" s="1"/>
  <c r="B830" i="6" s="1"/>
  <c r="B831" i="6" s="1"/>
  <c r="B832" i="6" s="1"/>
  <c r="B833" i="6" s="1"/>
  <c r="B834" i="6" s="1"/>
  <c r="B835" i="6" s="1"/>
  <c r="B836" i="6" s="1"/>
  <c r="B837" i="6"/>
  <c r="B838" i="6" s="1"/>
  <c r="B839" i="6" s="1"/>
  <c r="B840" i="6" s="1"/>
  <c r="B841" i="6"/>
  <c r="B842" i="6" s="1"/>
  <c r="B843" i="6" s="1"/>
  <c r="B844" i="6" s="1"/>
  <c r="B845" i="6" s="1"/>
  <c r="B846" i="6" s="1"/>
  <c r="B847" i="6" s="1"/>
  <c r="B848" i="6" s="1"/>
  <c r="B849" i="6" s="1"/>
  <c r="B850" i="6" s="1"/>
  <c r="B851" i="6" s="1"/>
  <c r="B852" i="6" s="1"/>
  <c r="B853" i="6" s="1"/>
  <c r="B854" i="6"/>
  <c r="B855" i="6" s="1"/>
  <c r="B856" i="6" s="1"/>
  <c r="B857" i="6" s="1"/>
  <c r="B858" i="6" s="1"/>
  <c r="B859" i="6" s="1"/>
  <c r="B860" i="6" s="1"/>
  <c r="B861" i="6" s="1"/>
  <c r="B862" i="6" s="1"/>
  <c r="B863" i="6"/>
  <c r="B864" i="6" s="1"/>
  <c r="B865" i="6" s="1"/>
  <c r="B866" i="6" s="1"/>
  <c r="B867" i="6" s="1"/>
  <c r="B868" i="6" s="1"/>
  <c r="B869" i="6" s="1"/>
  <c r="B870" i="6" s="1"/>
  <c r="B871" i="6" s="1"/>
  <c r="B872" i="6" s="1"/>
  <c r="B873" i="6" s="1"/>
  <c r="B874" i="6" s="1"/>
  <c r="B875" i="6" s="1"/>
  <c r="B876" i="6" s="1"/>
  <c r="B877" i="6" s="1"/>
  <c r="B878" i="6" s="1"/>
  <c r="B879" i="6" s="1"/>
  <c r="B880" i="6" s="1"/>
  <c r="B881" i="6" s="1"/>
  <c r="B882" i="6"/>
  <c r="B883" i="6" s="1"/>
  <c r="B884" i="6" s="1"/>
  <c r="B885" i="6"/>
  <c r="B886" i="6" s="1"/>
  <c r="B887" i="6" s="1"/>
  <c r="B888" i="6" s="1"/>
  <c r="B889" i="6" s="1"/>
  <c r="B890" i="6" s="1"/>
  <c r="B891" i="6"/>
  <c r="B892" i="6" s="1"/>
  <c r="B893" i="6" s="1"/>
  <c r="B894" i="6" s="1"/>
  <c r="B895" i="6" s="1"/>
  <c r="B896" i="6" s="1"/>
  <c r="B897" i="6" s="1"/>
  <c r="B898" i="6" s="1"/>
  <c r="B899" i="6" s="1"/>
  <c r="B900" i="6" s="1"/>
  <c r="B901" i="6" s="1"/>
  <c r="B902" i="6" s="1"/>
  <c r="B903" i="6" s="1"/>
  <c r="B904" i="6" s="1"/>
  <c r="B905" i="6" s="1"/>
  <c r="B906" i="6" s="1"/>
  <c r="B907" i="6"/>
  <c r="B908" i="6" s="1"/>
  <c r="B909" i="6" s="1"/>
  <c r="B910" i="6" s="1"/>
  <c r="B911" i="6" s="1"/>
  <c r="B912" i="6" s="1"/>
  <c r="B913" i="6" s="1"/>
  <c r="B914" i="6" s="1"/>
  <c r="B915" i="6" s="1"/>
  <c r="B916" i="6" s="1"/>
  <c r="B917" i="6" s="1"/>
  <c r="B918" i="6" s="1"/>
  <c r="B919" i="6" s="1"/>
  <c r="B920" i="6" s="1"/>
  <c r="B921" i="6" s="1"/>
  <c r="B922" i="6" s="1"/>
  <c r="B923" i="6" s="1"/>
  <c r="B924" i="6" s="1"/>
  <c r="B925" i="6" s="1"/>
  <c r="B926" i="6" s="1"/>
  <c r="B927" i="6" s="1"/>
  <c r="B928" i="6" s="1"/>
  <c r="B929" i="6" s="1"/>
  <c r="B930" i="6" s="1"/>
  <c r="B931" i="6" s="1"/>
  <c r="B932" i="6" s="1"/>
  <c r="B933" i="6" s="1"/>
  <c r="B934" i="6" s="1"/>
  <c r="B935" i="6" s="1"/>
  <c r="B936" i="6" s="1"/>
  <c r="B937" i="6" s="1"/>
  <c r="B938" i="6" s="1"/>
  <c r="B939" i="6" s="1"/>
  <c r="B940" i="6" s="1"/>
  <c r="B941" i="6" s="1"/>
  <c r="B942" i="6" s="1"/>
  <c r="B943" i="6" s="1"/>
  <c r="B944" i="6" s="1"/>
  <c r="B945" i="6" s="1"/>
  <c r="B946" i="6" s="1"/>
  <c r="B947" i="6" s="1"/>
  <c r="B948" i="6" s="1"/>
  <c r="B949" i="6" s="1"/>
  <c r="B950" i="6" s="1"/>
  <c r="B951" i="6" s="1"/>
  <c r="B952" i="6" s="1"/>
  <c r="B953" i="6" s="1"/>
  <c r="B954" i="6" s="1"/>
  <c r="B955" i="6" s="1"/>
  <c r="B956" i="6" s="1"/>
  <c r="B957" i="6" s="1"/>
  <c r="B958" i="6" s="1"/>
  <c r="B959" i="6"/>
  <c r="B960" i="6" s="1"/>
  <c r="B961" i="6" s="1"/>
  <c r="B962" i="6" s="1"/>
  <c r="B963" i="6" s="1"/>
  <c r="B964" i="6" s="1"/>
  <c r="B965" i="6" s="1"/>
  <c r="B966" i="6" s="1"/>
  <c r="B967" i="6" s="1"/>
  <c r="B968" i="6" s="1"/>
  <c r="B969" i="6"/>
  <c r="B970" i="6" s="1"/>
  <c r="B971" i="6" s="1"/>
  <c r="B972" i="6" s="1"/>
  <c r="B973" i="6" s="1"/>
  <c r="B974" i="6" s="1"/>
  <c r="B975" i="6" s="1"/>
  <c r="B976" i="6" s="1"/>
  <c r="B977" i="6" s="1"/>
  <c r="B978" i="6" s="1"/>
  <c r="B979" i="6" s="1"/>
  <c r="B980" i="6" s="1"/>
  <c r="B981" i="6" s="1"/>
  <c r="B982" i="6" s="1"/>
  <c r="B983" i="6" s="1"/>
  <c r="B984" i="6" s="1"/>
  <c r="B985" i="6" s="1"/>
  <c r="B986" i="6" s="1"/>
  <c r="B987" i="6" s="1"/>
  <c r="B988" i="6" s="1"/>
  <c r="B989" i="6" s="1"/>
  <c r="B990" i="6" s="1"/>
  <c r="B991" i="6" s="1"/>
  <c r="B992" i="6" s="1"/>
  <c r="B993" i="6" s="1"/>
  <c r="B994" i="6" s="1"/>
  <c r="B995" i="6" s="1"/>
  <c r="B996" i="6" s="1"/>
  <c r="B997" i="6" s="1"/>
  <c r="B998" i="6" s="1"/>
  <c r="B999" i="6"/>
  <c r="B1000" i="6" s="1"/>
  <c r="B1001" i="6" s="1"/>
  <c r="B1002" i="6" s="1"/>
  <c r="B1003" i="6" s="1"/>
  <c r="B1004" i="6" s="1"/>
  <c r="B1005" i="6" s="1"/>
  <c r="B1006" i="6" s="1"/>
  <c r="B1007" i="6" s="1"/>
  <c r="B1008" i="6" s="1"/>
  <c r="B1009" i="6" s="1"/>
  <c r="B1010" i="6" s="1"/>
  <c r="B1011" i="6" s="1"/>
  <c r="B1012" i="6" s="1"/>
  <c r="B1013" i="6" s="1"/>
  <c r="B1014" i="6" s="1"/>
  <c r="B1015" i="6" s="1"/>
  <c r="B1016" i="6" s="1"/>
  <c r="B1017" i="6" s="1"/>
  <c r="B1018" i="6" s="1"/>
  <c r="B1019" i="6" s="1"/>
  <c r="B1020" i="6" s="1"/>
  <c r="B1021" i="6" s="1"/>
  <c r="B1022" i="6" s="1"/>
  <c r="B1023" i="6" s="1"/>
  <c r="B1024" i="6"/>
  <c r="B1025" i="6" s="1"/>
  <c r="B1026" i="6" s="1"/>
  <c r="B1027" i="6" s="1"/>
  <c r="B1028" i="6" s="1"/>
  <c r="B1029" i="6" s="1"/>
  <c r="B1030" i="6" s="1"/>
  <c r="B1031" i="6" s="1"/>
  <c r="B1032" i="6" s="1"/>
  <c r="B1033" i="6" s="1"/>
  <c r="B1034" i="6" s="1"/>
  <c r="B1035" i="6" s="1"/>
  <c r="B1036" i="6" s="1"/>
  <c r="B1037" i="6" s="1"/>
  <c r="B1038" i="6" s="1"/>
  <c r="B1039" i="6" s="1"/>
  <c r="B1040" i="6" s="1"/>
  <c r="B1041" i="6" s="1"/>
  <c r="B1042" i="6" s="1"/>
  <c r="B1043" i="6" s="1"/>
  <c r="B1044" i="6" s="1"/>
  <c r="B1045" i="6" s="1"/>
  <c r="B1046" i="6" s="1"/>
  <c r="B1047" i="6" s="1"/>
  <c r="B1048" i="6" s="1"/>
  <c r="B1049" i="6" s="1"/>
  <c r="B1050" i="6" s="1"/>
  <c r="B1051" i="6" s="1"/>
  <c r="B1052" i="6" s="1"/>
  <c r="B1053" i="6" s="1"/>
  <c r="B1054" i="6"/>
  <c r="B1055" i="6" s="1"/>
  <c r="B1056" i="6" s="1"/>
  <c r="B1057" i="6"/>
  <c r="B1058" i="6" s="1"/>
  <c r="B1059" i="6" s="1"/>
  <c r="B1060" i="6" s="1"/>
  <c r="B1061" i="6" s="1"/>
  <c r="B1062" i="6" s="1"/>
  <c r="B1063" i="6" s="1"/>
  <c r="B1064" i="6" s="1"/>
  <c r="B1065" i="6" s="1"/>
  <c r="B1066" i="6" s="1"/>
  <c r="B1067" i="6" s="1"/>
  <c r="B1068" i="6" s="1"/>
  <c r="B1069" i="6" s="1"/>
  <c r="B1070" i="6" s="1"/>
  <c r="B1071" i="6" s="1"/>
  <c r="B1072" i="6" s="1"/>
  <c r="B1073" i="6" s="1"/>
  <c r="B1074" i="6" s="1"/>
  <c r="B1075" i="6" s="1"/>
  <c r="B1076" i="6" s="1"/>
  <c r="B1077" i="6" s="1"/>
  <c r="B1078" i="6" s="1"/>
  <c r="B1079" i="6" s="1"/>
  <c r="B1080" i="6" s="1"/>
  <c r="B1081" i="6" s="1"/>
  <c r="B1082" i="6"/>
  <c r="B1083" i="6" s="1"/>
  <c r="B1084" i="6" s="1"/>
  <c r="B1085" i="6" s="1"/>
  <c r="B1086" i="6" s="1"/>
  <c r="B1087" i="6" s="1"/>
  <c r="B1088" i="6" s="1"/>
  <c r="B1089" i="6" s="1"/>
  <c r="B1090" i="6" s="1"/>
  <c r="B1091" i="6" s="1"/>
  <c r="B1092" i="6" s="1"/>
  <c r="B1093" i="6" s="1"/>
  <c r="B1094" i="6" s="1"/>
  <c r="B1095" i="6" s="1"/>
  <c r="B1096" i="6"/>
  <c r="B1097" i="6" s="1"/>
  <c r="B1098" i="6" s="1"/>
  <c r="B1099" i="6" s="1"/>
  <c r="B1100" i="6" s="1"/>
  <c r="B1101" i="6" s="1"/>
  <c r="B1102" i="6" s="1"/>
  <c r="B1103" i="6" s="1"/>
  <c r="B1104" i="6" s="1"/>
  <c r="B1105" i="6" s="1"/>
  <c r="B1106" i="6" s="1"/>
  <c r="B1107" i="6" s="1"/>
  <c r="B1108" i="6" s="1"/>
  <c r="B1109" i="6" s="1"/>
  <c r="B1110" i="6" s="1"/>
  <c r="B1111" i="6" s="1"/>
  <c r="B1112" i="6" s="1"/>
  <c r="B1113" i="6" s="1"/>
  <c r="B1114" i="6" s="1"/>
  <c r="B1115" i="6" s="1"/>
  <c r="B1116" i="6"/>
  <c r="B1117" i="6" s="1"/>
  <c r="B1118" i="6" s="1"/>
  <c r="B1119" i="6" s="1"/>
  <c r="B1120" i="6" s="1"/>
  <c r="B1121" i="6" s="1"/>
  <c r="B1122" i="6" s="1"/>
  <c r="B1123" i="6" s="1"/>
  <c r="B1124" i="6" s="1"/>
  <c r="B1125" i="6" s="1"/>
  <c r="B1126" i="6" s="1"/>
  <c r="B1127" i="6" s="1"/>
  <c r="B1128" i="6" s="1"/>
  <c r="B1129" i="6" s="1"/>
  <c r="B1130" i="6" s="1"/>
  <c r="B1131" i="6"/>
  <c r="B1132" i="6" s="1"/>
  <c r="B1133" i="6" s="1"/>
  <c r="B1134" i="6" s="1"/>
  <c r="B1135" i="6" s="1"/>
  <c r="B1136" i="6" s="1"/>
  <c r="B1137" i="6" s="1"/>
  <c r="B1138" i="6" s="1"/>
  <c r="B1139" i="6" s="1"/>
  <c r="B1140" i="6" s="1"/>
  <c r="B1141" i="6" s="1"/>
  <c r="B1142" i="6" s="1"/>
  <c r="B1143" i="6" s="1"/>
  <c r="B1144" i="6" s="1"/>
  <c r="B1145" i="6" s="1"/>
  <c r="B1146" i="6" s="1"/>
  <c r="B1147" i="6" s="1"/>
  <c r="B1148" i="6" s="1"/>
  <c r="B1149" i="6" s="1"/>
  <c r="B1150" i="6"/>
  <c r="B1151" i="6" s="1"/>
  <c r="B1152" i="6" s="1"/>
  <c r="B1153" i="6" s="1"/>
  <c r="B1154" i="6" s="1"/>
  <c r="B1155" i="6"/>
  <c r="B1156" i="6" s="1"/>
  <c r="B1157" i="6" s="1"/>
  <c r="B1158" i="6" s="1"/>
  <c r="B1159" i="6" s="1"/>
  <c r="B1160" i="6" s="1"/>
  <c r="B1161" i="6" s="1"/>
  <c r="B1162" i="6" s="1"/>
  <c r="B1163" i="6" s="1"/>
  <c r="B1164" i="6" s="1"/>
  <c r="B1165" i="6" s="1"/>
  <c r="B1166" i="6" s="1"/>
  <c r="B1167" i="6" s="1"/>
  <c r="B1168" i="6"/>
  <c r="B1169" i="6" s="1"/>
  <c r="B1170" i="6" s="1"/>
  <c r="B1171" i="6" s="1"/>
  <c r="B1172" i="6" s="1"/>
  <c r="B1173" i="6" s="1"/>
  <c r="B1174" i="6" s="1"/>
  <c r="B1175" i="6" s="1"/>
  <c r="B1176" i="6" s="1"/>
  <c r="B1177" i="6" s="1"/>
  <c r="B1178" i="6" s="1"/>
  <c r="B1179" i="6" s="1"/>
  <c r="B1180" i="6"/>
  <c r="B1181" i="6" s="1"/>
  <c r="B1182" i="6" s="1"/>
  <c r="B1183" i="6" s="1"/>
  <c r="B1184" i="6" s="1"/>
  <c r="B1185" i="6" s="1"/>
  <c r="B1186" i="6" s="1"/>
  <c r="B1187" i="6" s="1"/>
  <c r="B1188" i="6" s="1"/>
  <c r="B1189" i="6" s="1"/>
  <c r="B1190" i="6" s="1"/>
  <c r="B1191" i="6" s="1"/>
  <c r="B1192" i="6" s="1"/>
  <c r="B1193" i="6" s="1"/>
  <c r="B1194" i="6" s="1"/>
  <c r="B1195" i="6" s="1"/>
  <c r="B1196" i="6" s="1"/>
  <c r="B1197" i="6"/>
  <c r="B1198" i="6" s="1"/>
  <c r="B1199" i="6" s="1"/>
  <c r="B1200" i="6" s="1"/>
  <c r="B1201" i="6" s="1"/>
  <c r="B1202" i="6"/>
  <c r="B1203" i="6" s="1"/>
  <c r="B1204" i="6" s="1"/>
  <c r="B1205" i="6" s="1"/>
  <c r="B1206" i="6" s="1"/>
  <c r="B1207" i="6" s="1"/>
  <c r="B1208" i="6" s="1"/>
  <c r="B1209" i="6" s="1"/>
  <c r="B1210" i="6" s="1"/>
  <c r="B1211" i="6"/>
  <c r="B1212" i="6" s="1"/>
  <c r="B1213" i="6" s="1"/>
  <c r="B1214" i="6" s="1"/>
  <c r="B1215" i="6" s="1"/>
  <c r="B1216" i="6" s="1"/>
  <c r="B1217" i="6" s="1"/>
  <c r="B1218" i="6"/>
  <c r="B1219" i="6" s="1"/>
  <c r="B1220" i="6" s="1"/>
  <c r="B1221" i="6" s="1"/>
  <c r="B1222" i="6" s="1"/>
  <c r="B1223" i="6" s="1"/>
  <c r="B1224" i="6" s="1"/>
  <c r="B1225" i="6" s="1"/>
  <c r="B1226" i="6" s="1"/>
  <c r="B1227" i="6" s="1"/>
  <c r="B1228" i="6" s="1"/>
  <c r="B1229" i="6"/>
  <c r="B1230" i="6" s="1"/>
  <c r="B1231" i="6" s="1"/>
  <c r="B1232" i="6" s="1"/>
  <c r="B1233" i="6" s="1"/>
  <c r="B1234" i="6"/>
  <c r="B1235" i="6" s="1"/>
  <c r="B1236" i="6" s="1"/>
  <c r="B1237" i="6" s="1"/>
  <c r="B1238" i="6" s="1"/>
  <c r="B1239" i="6" s="1"/>
  <c r="B1240" i="6" s="1"/>
  <c r="B1241" i="6" s="1"/>
  <c r="B1242" i="6"/>
  <c r="B1243" i="6" s="1"/>
  <c r="B1244" i="6" s="1"/>
  <c r="B1245" i="6" s="1"/>
  <c r="B1246" i="6" s="1"/>
  <c r="B1247" i="6" s="1"/>
  <c r="B1248" i="6" s="1"/>
  <c r="B1249" i="6" s="1"/>
  <c r="B1250" i="6" s="1"/>
  <c r="B1251" i="6" s="1"/>
  <c r="B1252" i="6" s="1"/>
  <c r="B1253" i="6" s="1"/>
  <c r="B1254" i="6" s="1"/>
  <c r="B1255" i="6" s="1"/>
  <c r="B1256" i="6" s="1"/>
  <c r="B1257" i="6" s="1"/>
  <c r="B1258" i="6" s="1"/>
  <c r="B1259" i="6" s="1"/>
  <c r="B1260" i="6"/>
  <c r="B1261" i="6" s="1"/>
  <c r="B1262" i="6" s="1"/>
  <c r="B1263" i="6" s="1"/>
  <c r="B1264" i="6" s="1"/>
  <c r="B1265" i="6" s="1"/>
  <c r="B1266" i="6" s="1"/>
  <c r="B1267" i="6" s="1"/>
  <c r="B1268" i="6" s="1"/>
  <c r="B1269" i="6" s="1"/>
  <c r="B1270" i="6" s="1"/>
  <c r="B1271" i="6"/>
  <c r="B1272" i="6" s="1"/>
  <c r="B1273" i="6" s="1"/>
  <c r="B1274" i="6" s="1"/>
  <c r="B1275" i="6" s="1"/>
  <c r="B1276" i="6" s="1"/>
  <c r="B1277" i="6" s="1"/>
  <c r="B1278" i="6" s="1"/>
  <c r="B1279" i="6" s="1"/>
  <c r="B1280" i="6" s="1"/>
  <c r="B1281" i="6" s="1"/>
  <c r="B1282" i="6" s="1"/>
  <c r="B1283" i="6"/>
  <c r="B1284" i="6" s="1"/>
  <c r="B1285" i="6" s="1"/>
  <c r="B1286" i="6" s="1"/>
  <c r="B1287" i="6" s="1"/>
  <c r="B1288" i="6" s="1"/>
  <c r="B1289" i="6" s="1"/>
  <c r="B1290" i="6" s="1"/>
  <c r="B1291" i="6" s="1"/>
  <c r="B1292" i="6"/>
  <c r="B1293" i="6" s="1"/>
  <c r="B1294" i="6" s="1"/>
  <c r="B1295" i="6" s="1"/>
  <c r="B1296" i="6" s="1"/>
  <c r="B1297" i="6" s="1"/>
  <c r="B1298" i="6" s="1"/>
  <c r="B1299" i="6"/>
  <c r="B1300" i="6" s="1"/>
  <c r="B1301" i="6" s="1"/>
  <c r="B1302" i="6" s="1"/>
  <c r="B1303" i="6" s="1"/>
  <c r="B1304" i="6" s="1"/>
  <c r="B1305" i="6"/>
  <c r="B1306" i="6" s="1"/>
  <c r="B1307" i="6" s="1"/>
  <c r="B1308" i="6" s="1"/>
  <c r="B1309" i="6" s="1"/>
  <c r="B1310" i="6" s="1"/>
  <c r="B1311" i="6" s="1"/>
  <c r="B1312" i="6" s="1"/>
  <c r="B1313" i="6" s="1"/>
  <c r="B1314" i="6" s="1"/>
  <c r="B1315" i="6"/>
  <c r="B1316" i="6" s="1"/>
  <c r="B1317" i="6" s="1"/>
  <c r="B1318" i="6" s="1"/>
  <c r="B1319" i="6" s="1"/>
  <c r="B1320" i="6" s="1"/>
  <c r="B1321" i="6" s="1"/>
  <c r="B1322" i="6" s="1"/>
  <c r="B1323" i="6" s="1"/>
  <c r="B1324" i="6" s="1"/>
  <c r="B1325" i="6"/>
  <c r="B1326" i="6" s="1"/>
  <c r="B1327" i="6" s="1"/>
  <c r="B1328" i="6" s="1"/>
  <c r="B1329" i="6" s="1"/>
  <c r="B1330" i="6" s="1"/>
  <c r="B1331" i="6" s="1"/>
  <c r="B1332" i="6" s="1"/>
  <c r="B1333" i="6" s="1"/>
  <c r="B1334" i="6" s="1"/>
  <c r="B1335" i="6" s="1"/>
  <c r="B1336" i="6" s="1"/>
  <c r="B1337" i="6"/>
  <c r="B1338" i="6" s="1"/>
  <c r="B1339" i="6" s="1"/>
  <c r="B1340" i="6" s="1"/>
  <c r="B1341" i="6" s="1"/>
  <c r="B1342" i="6" s="1"/>
  <c r="B1343" i="6" s="1"/>
  <c r="B1344" i="6" s="1"/>
  <c r="B1345" i="6" s="1"/>
  <c r="B1346" i="6" s="1"/>
  <c r="B1347" i="6" s="1"/>
  <c r="B1348" i="6" s="1"/>
  <c r="B1349" i="6" s="1"/>
  <c r="B1350" i="6" s="1"/>
  <c r="B1351" i="6" s="1"/>
  <c r="B1352" i="6" s="1"/>
  <c r="B1353" i="6" s="1"/>
  <c r="B1354" i="6" s="1"/>
  <c r="B1355" i="6"/>
  <c r="B1356" i="6" s="1"/>
  <c r="B1357" i="6" s="1"/>
  <c r="B1358" i="6"/>
  <c r="B1359" i="6" s="1"/>
  <c r="B1360" i="6" s="1"/>
  <c r="B1361" i="6" s="1"/>
  <c r="B1362" i="6" s="1"/>
  <c r="B1363" i="6"/>
  <c r="B1364" i="6" s="1"/>
  <c r="B1365" i="6" s="1"/>
  <c r="B1366" i="6" s="1"/>
  <c r="B1367" i="6" s="1"/>
  <c r="B1368" i="6" s="1"/>
  <c r="B1369" i="6" s="1"/>
  <c r="B1370" i="6" s="1"/>
  <c r="B1371" i="6" s="1"/>
  <c r="B1372" i="6" s="1"/>
  <c r="B1373" i="6" s="1"/>
  <c r="B1374" i="6" s="1"/>
  <c r="B1375" i="6" s="1"/>
  <c r="B1376" i="6" s="1"/>
  <c r="B1377" i="6"/>
  <c r="B1378" i="6" s="1"/>
  <c r="B1379" i="6" s="1"/>
  <c r="B1380" i="6" s="1"/>
  <c r="B1381" i="6" s="1"/>
  <c r="B1382" i="6" s="1"/>
  <c r="B1383" i="6" s="1"/>
  <c r="B1384" i="6" s="1"/>
  <c r="B1385" i="6" s="1"/>
  <c r="B1386" i="6" s="1"/>
  <c r="B1387" i="6" s="1"/>
  <c r="B1388" i="6" s="1"/>
  <c r="B1389" i="6" s="1"/>
  <c r="B1390" i="6" s="1"/>
  <c r="B1391" i="6" s="1"/>
  <c r="B1392" i="6" s="1"/>
  <c r="B1393" i="6" s="1"/>
  <c r="B1394" i="6" s="1"/>
  <c r="B1395" i="6" s="1"/>
  <c r="B1396" i="6" s="1"/>
  <c r="B1397" i="6" s="1"/>
  <c r="B1398" i="6" s="1"/>
  <c r="B1399" i="6" s="1"/>
  <c r="B1400" i="6" s="1"/>
  <c r="B1401" i="6" s="1"/>
  <c r="B1402" i="6" s="1"/>
  <c r="B1403" i="6" s="1"/>
  <c r="B1404" i="6" s="1"/>
  <c r="B1405" i="6" s="1"/>
  <c r="B1406" i="6" s="1"/>
  <c r="B1407" i="6" s="1"/>
  <c r="B1408" i="6" s="1"/>
  <c r="B1409" i="6" s="1"/>
  <c r="B1410" i="6" s="1"/>
  <c r="B1411" i="6" s="1"/>
  <c r="B1412" i="6" s="1"/>
  <c r="B1413" i="6" s="1"/>
  <c r="B1414" i="6" s="1"/>
  <c r="B1415" i="6" s="1"/>
  <c r="B1416" i="6" s="1"/>
  <c r="B1417" i="6" s="1"/>
  <c r="B1418" i="6" s="1"/>
  <c r="B1419" i="6" s="1"/>
  <c r="B1420" i="6" s="1"/>
  <c r="B1421" i="6" s="1"/>
  <c r="B1422" i="6" s="1"/>
  <c r="B1423" i="6" s="1"/>
  <c r="B1424" i="6" s="1"/>
  <c r="B1425" i="6" s="1"/>
  <c r="B1426" i="6" s="1"/>
  <c r="B1427" i="6"/>
  <c r="B1428" i="6" s="1"/>
  <c r="B1429" i="6" s="1"/>
  <c r="B1430" i="6" s="1"/>
  <c r="B1431" i="6" s="1"/>
  <c r="B1432" i="6" s="1"/>
  <c r="B1433" i="6" s="1"/>
  <c r="B1434" i="6" s="1"/>
  <c r="B1435" i="6"/>
  <c r="B1436" i="6" s="1"/>
  <c r="B1437" i="6" s="1"/>
  <c r="B1438" i="6" s="1"/>
  <c r="B1439" i="6" s="1"/>
  <c r="B1440" i="6" s="1"/>
  <c r="B1441" i="6" s="1"/>
  <c r="B1442" i="6" s="1"/>
  <c r="B1443" i="6"/>
  <c r="B1444" i="6" s="1"/>
  <c r="B1445" i="6" s="1"/>
  <c r="B1446" i="6" s="1"/>
  <c r="B1447" i="6" s="1"/>
  <c r="B1448" i="6" s="1"/>
  <c r="B1449" i="6" s="1"/>
  <c r="B1450" i="6"/>
  <c r="B1451" i="6" s="1"/>
  <c r="B1452" i="6" s="1"/>
  <c r="B1453" i="6" s="1"/>
  <c r="B1454" i="6" s="1"/>
  <c r="B1455" i="6" s="1"/>
  <c r="B1456" i="6" s="1"/>
  <c r="B1457" i="6" s="1"/>
  <c r="B1458" i="6" s="1"/>
  <c r="B1459" i="6" s="1"/>
  <c r="B1460" i="6" s="1"/>
  <c r="B1461" i="6" s="1"/>
  <c r="B1462" i="6"/>
  <c r="B1463" i="6" s="1"/>
  <c r="B1464" i="6" s="1"/>
  <c r="B1465" i="6" s="1"/>
  <c r="B1466" i="6" s="1"/>
  <c r="B1467" i="6" s="1"/>
  <c r="B1468" i="6" s="1"/>
  <c r="B1469" i="6" s="1"/>
  <c r="B1470" i="6"/>
  <c r="B1471" i="6" s="1"/>
  <c r="B1472" i="6" s="1"/>
  <c r="B1473" i="6" s="1"/>
  <c r="B1474" i="6" s="1"/>
  <c r="B1475" i="6" s="1"/>
  <c r="B1476" i="6"/>
  <c r="B1477" i="6" s="1"/>
  <c r="B1478" i="6" s="1"/>
  <c r="B1479" i="6" s="1"/>
  <c r="B1480" i="6" s="1"/>
  <c r="B1481" i="6" s="1"/>
  <c r="B1482" i="6" s="1"/>
  <c r="B1483" i="6" s="1"/>
  <c r="B1484" i="6"/>
  <c r="B1485" i="6" s="1"/>
  <c r="B1486" i="6" s="1"/>
  <c r="B1487" i="6" s="1"/>
  <c r="B1488" i="6" s="1"/>
  <c r="B1489" i="6" s="1"/>
  <c r="B1490" i="6"/>
  <c r="B1491" i="6" s="1"/>
  <c r="B1492" i="6" s="1"/>
  <c r="B1493" i="6" s="1"/>
  <c r="B1494" i="6" s="1"/>
  <c r="B1495" i="6" s="1"/>
  <c r="B1496" i="6" s="1"/>
  <c r="B1497" i="6"/>
  <c r="B1498" i="6" s="1"/>
  <c r="B1499" i="6" s="1"/>
  <c r="B1500" i="6" s="1"/>
  <c r="B1501" i="6" s="1"/>
  <c r="B1502" i="6" s="1"/>
  <c r="B1503" i="6"/>
  <c r="B1504" i="6" s="1"/>
  <c r="B1505" i="6" s="1"/>
  <c r="B1506" i="6" s="1"/>
  <c r="B1507" i="6" s="1"/>
  <c r="B1508" i="6" s="1"/>
  <c r="B1509" i="6" s="1"/>
  <c r="B1510" i="6" s="1"/>
  <c r="B1511" i="6" s="1"/>
  <c r="B1512" i="6" s="1"/>
  <c r="B1513" i="6"/>
  <c r="B1514" i="6" s="1"/>
  <c r="B1515" i="6" s="1"/>
  <c r="B1516" i="6" s="1"/>
  <c r="B1517" i="6" s="1"/>
  <c r="B1518" i="6" s="1"/>
  <c r="B1519" i="6" s="1"/>
  <c r="B1520" i="6" s="1"/>
  <c r="B1521" i="6" s="1"/>
  <c r="B1522" i="6" s="1"/>
  <c r="B1523" i="6" s="1"/>
  <c r="B1524" i="6" s="1"/>
  <c r="B1525" i="6" s="1"/>
  <c r="B1526" i="6" s="1"/>
  <c r="B1527" i="6" s="1"/>
  <c r="B1528" i="6" s="1"/>
  <c r="B1529" i="6" s="1"/>
  <c r="B1530" i="6" s="1"/>
  <c r="B1531" i="6" s="1"/>
  <c r="B1532" i="6" s="1"/>
  <c r="B1533" i="6" s="1"/>
  <c r="B1534" i="6" s="1"/>
  <c r="B1535" i="6" s="1"/>
  <c r="B1536" i="6" s="1"/>
  <c r="B1537" i="6" s="1"/>
  <c r="B1538" i="6" s="1"/>
  <c r="B1539" i="6" s="1"/>
  <c r="B1540" i="6" s="1"/>
  <c r="B1541" i="6" s="1"/>
  <c r="B1542" i="6" s="1"/>
  <c r="B1543" i="6" s="1"/>
  <c r="B1544" i="6" s="1"/>
  <c r="B1545" i="6" s="1"/>
  <c r="B1546" i="6" s="1"/>
  <c r="B1547" i="6" s="1"/>
  <c r="B1548" i="6" s="1"/>
  <c r="B1549" i="6" s="1"/>
  <c r="B1550" i="6" s="1"/>
  <c r="B1551" i="6" s="1"/>
  <c r="B1552" i="6" s="1"/>
  <c r="B1553" i="6" s="1"/>
  <c r="B1554" i="6" s="1"/>
  <c r="B1555" i="6" s="1"/>
  <c r="B1556" i="6" s="1"/>
  <c r="B1557" i="6" s="1"/>
  <c r="B1558" i="6" s="1"/>
  <c r="B1559" i="6" s="1"/>
  <c r="B1560" i="6" s="1"/>
  <c r="B1561" i="6" s="1"/>
  <c r="B1562" i="6" s="1"/>
  <c r="B1563" i="6"/>
  <c r="B1564" i="6" s="1"/>
  <c r="B1565" i="6" s="1"/>
  <c r="B1566" i="6" s="1"/>
  <c r="B1567" i="6" s="1"/>
  <c r="B1568" i="6" s="1"/>
  <c r="B1569" i="6" s="1"/>
  <c r="B1570" i="6"/>
  <c r="B1571" i="6" s="1"/>
  <c r="B1572" i="6" s="1"/>
  <c r="B1573" i="6" s="1"/>
  <c r="B1574" i="6" s="1"/>
  <c r="B1575" i="6" s="1"/>
  <c r="B1576" i="6" s="1"/>
  <c r="B1577" i="6" s="1"/>
  <c r="B1578" i="6" s="1"/>
  <c r="B1579" i="6" s="1"/>
  <c r="B1580" i="6" s="1"/>
  <c r="B1581" i="6"/>
  <c r="B1582" i="6" s="1"/>
  <c r="B1583" i="6" s="1"/>
  <c r="B1584" i="6" s="1"/>
  <c r="B1585" i="6" s="1"/>
  <c r="B1586" i="6" s="1"/>
  <c r="B1587" i="6"/>
  <c r="B1588" i="6" s="1"/>
  <c r="B1589" i="6" s="1"/>
  <c r="B1590" i="6" s="1"/>
  <c r="B1591" i="6"/>
  <c r="B1592" i="6" s="1"/>
  <c r="B1593" i="6" s="1"/>
  <c r="B1594" i="6" s="1"/>
  <c r="B1595" i="6" s="1"/>
  <c r="B1596" i="6"/>
  <c r="B1597" i="6" s="1"/>
  <c r="B1598" i="6" s="1"/>
  <c r="B1599" i="6" s="1"/>
  <c r="B1600" i="6"/>
  <c r="B1601" i="6" s="1"/>
  <c r="B1602" i="6" s="1"/>
  <c r="B1603" i="6" s="1"/>
  <c r="B1604" i="6" s="1"/>
  <c r="B1605" i="6" s="1"/>
  <c r="B1606" i="6"/>
  <c r="B1607" i="6" s="1"/>
  <c r="B1608" i="6" s="1"/>
  <c r="B1609" i="6" s="1"/>
  <c r="B1610" i="6" s="1"/>
  <c r="B1611" i="6" s="1"/>
  <c r="B1612" i="6" s="1"/>
  <c r="B1613" i="6"/>
  <c r="B1614" i="6" s="1"/>
  <c r="B1615" i="6" s="1"/>
  <c r="B1616" i="6" s="1"/>
  <c r="B1617" i="6"/>
  <c r="B1618" i="6" s="1"/>
  <c r="B1619" i="6" s="1"/>
  <c r="B1620" i="6" s="1"/>
  <c r="B1621" i="6" s="1"/>
  <c r="B1622" i="6" s="1"/>
  <c r="B1623" i="6" s="1"/>
  <c r="B1624" i="6" s="1"/>
  <c r="B1625" i="6" s="1"/>
  <c r="B1626" i="6" s="1"/>
  <c r="B1627" i="6"/>
  <c r="B1628" i="6" s="1"/>
  <c r="B1629" i="6" s="1"/>
  <c r="B1630" i="6" s="1"/>
  <c r="B1631" i="6" s="1"/>
  <c r="B1632" i="6" s="1"/>
  <c r="B1633" i="6" s="1"/>
  <c r="B1634" i="6" s="1"/>
  <c r="B1635" i="6" s="1"/>
  <c r="B1636" i="6" s="1"/>
  <c r="B1637" i="6" s="1"/>
  <c r="B1638" i="6" s="1"/>
  <c r="B1639" i="6"/>
  <c r="B1640" i="6" s="1"/>
  <c r="B1641" i="6" s="1"/>
  <c r="B1642" i="6" s="1"/>
  <c r="B1643" i="6" s="1"/>
  <c r="B1644" i="6" s="1"/>
  <c r="B1645" i="6" s="1"/>
  <c r="B1646" i="6" s="1"/>
  <c r="B1647" i="6" s="1"/>
  <c r="B1648" i="6" s="1"/>
  <c r="B1649" i="6" s="1"/>
  <c r="B1650" i="6" s="1"/>
  <c r="B1651" i="6"/>
  <c r="B1652" i="6" s="1"/>
  <c r="B1653" i="6" s="1"/>
  <c r="B1654" i="6" s="1"/>
  <c r="B1655" i="6" s="1"/>
  <c r="B1656" i="6" s="1"/>
  <c r="B1657" i="6" s="1"/>
  <c r="B1658" i="6" s="1"/>
  <c r="B1659" i="6" s="1"/>
  <c r="B1660" i="6" s="1"/>
  <c r="B1661" i="6"/>
  <c r="B1662" i="6" s="1"/>
  <c r="B1663" i="6" s="1"/>
  <c r="B1664" i="6" s="1"/>
  <c r="B1665" i="6" s="1"/>
  <c r="B1666" i="6" s="1"/>
  <c r="B1667" i="6" s="1"/>
  <c r="B1668" i="6" s="1"/>
  <c r="B1669" i="6" s="1"/>
  <c r="B1670" i="6" s="1"/>
  <c r="B1671" i="6" s="1"/>
  <c r="B1672" i="6" s="1"/>
  <c r="B1673" i="6" s="1"/>
  <c r="B1674" i="6" s="1"/>
  <c r="B1675" i="6" s="1"/>
  <c r="B1676" i="6" s="1"/>
  <c r="B1677" i="6" s="1"/>
  <c r="B1678" i="6" s="1"/>
  <c r="B1679" i="6" s="1"/>
  <c r="B1680" i="6" s="1"/>
  <c r="B1681" i="6" s="1"/>
  <c r="B1682" i="6" s="1"/>
  <c r="B1683" i="6"/>
  <c r="B1684" i="6" s="1"/>
  <c r="B1685" i="6" s="1"/>
  <c r="B1686" i="6" s="1"/>
  <c r="B1687" i="6" s="1"/>
  <c r="B1688" i="6" s="1"/>
  <c r="B1689" i="6" s="1"/>
  <c r="B1690" i="6" s="1"/>
  <c r="B1691" i="6" s="1"/>
  <c r="B1692" i="6" s="1"/>
  <c r="B1693" i="6" s="1"/>
  <c r="B1694" i="6" s="1"/>
  <c r="B1695" i="6" s="1"/>
  <c r="B1696" i="6" s="1"/>
  <c r="B1697" i="6" s="1"/>
  <c r="B1698" i="6" s="1"/>
  <c r="B1699" i="6" s="1"/>
  <c r="B1700" i="6" s="1"/>
  <c r="B1701" i="6" s="1"/>
  <c r="B1702" i="6" s="1"/>
  <c r="B1703" i="6" s="1"/>
  <c r="B1704" i="6" s="1"/>
  <c r="B1705" i="6"/>
  <c r="B1706" i="6" s="1"/>
  <c r="B1707" i="6" s="1"/>
  <c r="B1708" i="6" s="1"/>
  <c r="B1709" i="6" s="1"/>
  <c r="B1710" i="6" s="1"/>
  <c r="B1711" i="6"/>
  <c r="B1712" i="6" s="1"/>
  <c r="B1713" i="6" s="1"/>
  <c r="B1714" i="6" s="1"/>
  <c r="B1715" i="6" s="1"/>
  <c r="B1716" i="6" s="1"/>
  <c r="B1717" i="6"/>
  <c r="B1718" i="6" s="1"/>
  <c r="B1719" i="6" s="1"/>
  <c r="B1720" i="6" s="1"/>
  <c r="B1721" i="6" s="1"/>
  <c r="B1722" i="6" s="1"/>
  <c r="B1723" i="6" s="1"/>
  <c r="B1724" i="6" s="1"/>
  <c r="B1725" i="6" s="1"/>
  <c r="B1726" i="6" s="1"/>
  <c r="B1727" i="6" s="1"/>
  <c r="B1728" i="6" s="1"/>
  <c r="B1729" i="6"/>
  <c r="B1730" i="6" s="1"/>
  <c r="B1731" i="6" s="1"/>
  <c r="B1732" i="6" s="1"/>
  <c r="B1733" i="6" s="1"/>
  <c r="B1734" i="6" s="1"/>
  <c r="B1735" i="6"/>
  <c r="B1736" i="6" s="1"/>
  <c r="B1737" i="6" s="1"/>
  <c r="B1738" i="6" s="1"/>
  <c r="B1739" i="6" s="1"/>
  <c r="B1740" i="6"/>
  <c r="B1741" i="6" s="1"/>
  <c r="B1742" i="6" s="1"/>
  <c r="B1743" i="6" s="1"/>
  <c r="B1744" i="6" s="1"/>
  <c r="B1745" i="6" s="1"/>
  <c r="B1746" i="6" s="1"/>
  <c r="B1747" i="6"/>
  <c r="B1748" i="6" s="1"/>
  <c r="B1749" i="6" s="1"/>
  <c r="B1750" i="6" s="1"/>
  <c r="B1751" i="6" s="1"/>
  <c r="B1752" i="6" s="1"/>
  <c r="B1753" i="6" s="1"/>
  <c r="B1754" i="6" s="1"/>
  <c r="B1755" i="6" s="1"/>
  <c r="B1756" i="6" s="1"/>
  <c r="B1757" i="6" s="1"/>
  <c r="B1758" i="6" s="1"/>
  <c r="B1759" i="6" s="1"/>
  <c r="B1760" i="6" s="1"/>
  <c r="B1761" i="6" s="1"/>
  <c r="B1762" i="6" s="1"/>
  <c r="B1763" i="6" s="1"/>
  <c r="B1764" i="6" s="1"/>
  <c r="B1765" i="6" s="1"/>
  <c r="B1766" i="6" s="1"/>
  <c r="B1767" i="6" s="1"/>
  <c r="B1768" i="6" s="1"/>
  <c r="B1769" i="6" s="1"/>
  <c r="B1770" i="6" s="1"/>
  <c r="B1771" i="6" s="1"/>
  <c r="B1772" i="6" s="1"/>
  <c r="B1773" i="6" s="1"/>
  <c r="B1774" i="6" s="1"/>
  <c r="B1775" i="6" s="1"/>
  <c r="B1776" i="6" s="1"/>
  <c r="B1777" i="6" s="1"/>
  <c r="B1778" i="6"/>
  <c r="B1779" i="6" s="1"/>
  <c r="B1780" i="6" s="1"/>
  <c r="B1781" i="6" s="1"/>
  <c r="B1782" i="6" s="1"/>
  <c r="B1783" i="6"/>
  <c r="B1784" i="6" s="1"/>
  <c r="B1785" i="6" s="1"/>
  <c r="B1786" i="6" s="1"/>
  <c r="B1787" i="6" s="1"/>
  <c r="B1788" i="6"/>
  <c r="B1789" i="6" s="1"/>
  <c r="B1790" i="6" s="1"/>
  <c r="B1791" i="6" s="1"/>
  <c r="B1792" i="6" s="1"/>
  <c r="B1793" i="6" s="1"/>
  <c r="B1794" i="6" s="1"/>
  <c r="B1795" i="6" s="1"/>
  <c r="B1796" i="6" s="1"/>
  <c r="B1797" i="6" s="1"/>
  <c r="B1798" i="6" s="1"/>
  <c r="B1799" i="6" s="1"/>
  <c r="B1800" i="6" s="1"/>
  <c r="B1801" i="6" s="1"/>
  <c r="B1802" i="6" s="1"/>
  <c r="B1803" i="6" s="1"/>
  <c r="B1804" i="6" s="1"/>
  <c r="B1805" i="6" s="1"/>
  <c r="B1806" i="6" s="1"/>
  <c r="B1807" i="6" s="1"/>
  <c r="B1808" i="6" s="1"/>
  <c r="B1809" i="6" s="1"/>
  <c r="B1810" i="6" s="1"/>
  <c r="B1811" i="6" s="1"/>
  <c r="B1812" i="6" s="1"/>
  <c r="B1813" i="6"/>
  <c r="B1814" i="6" s="1"/>
  <c r="B1815" i="6" s="1"/>
  <c r="B1816" i="6" s="1"/>
  <c r="B1817" i="6" s="1"/>
  <c r="B1818" i="6" s="1"/>
  <c r="B1819" i="6" s="1"/>
  <c r="B1820" i="6" s="1"/>
  <c r="B1821" i="6" s="1"/>
  <c r="B1822" i="6" s="1"/>
  <c r="B1823" i="6" s="1"/>
  <c r="B1824" i="6" s="1"/>
  <c r="B1825" i="6" s="1"/>
  <c r="B1826" i="6" s="1"/>
  <c r="B1827" i="6" s="1"/>
  <c r="B1828" i="6" s="1"/>
  <c r="B1829" i="6" s="1"/>
  <c r="B1830" i="6" s="1"/>
  <c r="B1831" i="6"/>
  <c r="B1832" i="6" s="1"/>
  <c r="B1833" i="6" s="1"/>
  <c r="B1834" i="6" s="1"/>
  <c r="B1835" i="6" s="1"/>
  <c r="B1836" i="6" s="1"/>
  <c r="B1837" i="6" s="1"/>
  <c r="B1838" i="6"/>
  <c r="B1839" i="6" s="1"/>
  <c r="B1840" i="6" s="1"/>
  <c r="B1841" i="6" s="1"/>
  <c r="B1842" i="6" s="1"/>
  <c r="B1843" i="6" s="1"/>
  <c r="B1844" i="6"/>
  <c r="B1845" i="6" s="1"/>
  <c r="B1846" i="6" s="1"/>
  <c r="B1847" i="6" s="1"/>
  <c r="B1848" i="6" s="1"/>
  <c r="B1849" i="6" s="1"/>
  <c r="B1850" i="6" s="1"/>
  <c r="B1851" i="6" s="1"/>
  <c r="B1852" i="6" s="1"/>
  <c r="B1853" i="6" s="1"/>
  <c r="B1854" i="6" s="1"/>
  <c r="B1855" i="6" s="1"/>
  <c r="B1856" i="6" s="1"/>
  <c r="B1857" i="6" s="1"/>
  <c r="B1858" i="6" s="1"/>
  <c r="B1859" i="6" s="1"/>
  <c r="B1860" i="6" s="1"/>
  <c r="B1861" i="6" s="1"/>
  <c r="B1862" i="6" s="1"/>
  <c r="B1863" i="6" s="1"/>
  <c r="B1864" i="6" s="1"/>
  <c r="B1865" i="6" s="1"/>
  <c r="B1866" i="6" s="1"/>
  <c r="B1867" i="6" s="1"/>
  <c r="B1868" i="6" s="1"/>
  <c r="B1869" i="6" s="1"/>
  <c r="B1870" i="6" s="1"/>
  <c r="B1871" i="6" s="1"/>
  <c r="B1872" i="6" s="1"/>
  <c r="B1873" i="6" s="1"/>
  <c r="B1874" i="6" s="1"/>
  <c r="B1875" i="6" s="1"/>
  <c r="B1876" i="6" s="1"/>
  <c r="B1877" i="6"/>
  <c r="B1878" i="6" s="1"/>
  <c r="B1879" i="6" s="1"/>
  <c r="B1880" i="6" s="1"/>
  <c r="B1881" i="6" s="1"/>
  <c r="B1882" i="6" s="1"/>
  <c r="B1883" i="6"/>
  <c r="B1884" i="6" s="1"/>
  <c r="B1885" i="6"/>
  <c r="B1886" i="6" s="1"/>
  <c r="B1887" i="6" s="1"/>
  <c r="B1888" i="6" s="1"/>
  <c r="B1889" i="6" s="1"/>
  <c r="B1890" i="6" s="1"/>
  <c r="B1891" i="6" s="1"/>
  <c r="B1892" i="6" s="1"/>
  <c r="B1893" i="6" s="1"/>
  <c r="B1894" i="6" s="1"/>
  <c r="B1895" i="6" s="1"/>
  <c r="B1896" i="6" s="1"/>
  <c r="B1897" i="6" s="1"/>
  <c r="B1898" i="6" s="1"/>
  <c r="B1899" i="6" s="1"/>
  <c r="B1900" i="6" s="1"/>
  <c r="B1901" i="6" s="1"/>
  <c r="B1902" i="6"/>
  <c r="B1903" i="6" s="1"/>
  <c r="B1904" i="6" s="1"/>
  <c r="B1905" i="6" s="1"/>
  <c r="B1906" i="6" s="1"/>
  <c r="B1907" i="6" s="1"/>
  <c r="B1908" i="6"/>
  <c r="B1909" i="6" s="1"/>
  <c r="B1910" i="6" s="1"/>
  <c r="B1911" i="6" s="1"/>
  <c r="B1912" i="6" s="1"/>
  <c r="B1913" i="6" s="1"/>
  <c r="B1914" i="6" s="1"/>
  <c r="B1915" i="6" s="1"/>
  <c r="B1916" i="6" s="1"/>
  <c r="B1917" i="6" s="1"/>
  <c r="B1918" i="6" s="1"/>
  <c r="B1919" i="6" s="1"/>
  <c r="B1920" i="6" s="1"/>
  <c r="B1921" i="6" s="1"/>
  <c r="B1922" i="6" s="1"/>
  <c r="B1923" i="6"/>
  <c r="B1924" i="6" s="1"/>
  <c r="B1925" i="6" s="1"/>
  <c r="B1926" i="6" s="1"/>
  <c r="B1927" i="6" s="1"/>
  <c r="B1928" i="6" s="1"/>
  <c r="B1929" i="6" s="1"/>
  <c r="B1930" i="6" s="1"/>
  <c r="B1931" i="6" s="1"/>
  <c r="B1932" i="6" s="1"/>
  <c r="B1933" i="6" s="1"/>
  <c r="B1934" i="6" s="1"/>
  <c r="B1935" i="6" s="1"/>
  <c r="B1936" i="6" s="1"/>
  <c r="B1937" i="6" s="1"/>
  <c r="B1938" i="6" s="1"/>
  <c r="B1939" i="6" s="1"/>
  <c r="B1940" i="6" s="1"/>
  <c r="B1941" i="6" s="1"/>
  <c r="B1942" i="6" s="1"/>
  <c r="B1943" i="6" s="1"/>
  <c r="B1944" i="6" s="1"/>
  <c r="B1945" i="6" s="1"/>
  <c r="B1946" i="6" s="1"/>
  <c r="B1947" i="6" s="1"/>
  <c r="B1948" i="6"/>
  <c r="B1949" i="6" s="1"/>
  <c r="B1950" i="6" s="1"/>
  <c r="B1951" i="6" s="1"/>
  <c r="B1952" i="6" s="1"/>
  <c r="B1953" i="6" s="1"/>
  <c r="B1954" i="6"/>
  <c r="B1955" i="6" s="1"/>
  <c r="B1956" i="6" s="1"/>
  <c r="B1957" i="6" s="1"/>
  <c r="B1958" i="6" s="1"/>
  <c r="B1959" i="6" s="1"/>
  <c r="B1960" i="6" s="1"/>
  <c r="B1961" i="6" s="1"/>
  <c r="B1962" i="6" s="1"/>
  <c r="B1963" i="6" s="1"/>
  <c r="B1964" i="6" s="1"/>
  <c r="B1965" i="6" s="1"/>
  <c r="B1966" i="6" s="1"/>
  <c r="B1967" i="6" s="1"/>
  <c r="B1968" i="6" s="1"/>
  <c r="B1969" i="6" s="1"/>
  <c r="B1970" i="6" s="1"/>
  <c r="B1971" i="6" s="1"/>
  <c r="B1972" i="6" s="1"/>
  <c r="B1973" i="6"/>
  <c r="B1974" i="6" s="1"/>
  <c r="B1975" i="6" s="1"/>
  <c r="B1976" i="6" s="1"/>
  <c r="B1977" i="6" s="1"/>
  <c r="B1978" i="6" s="1"/>
  <c r="B1979" i="6" s="1"/>
  <c r="B1980" i="6" s="1"/>
  <c r="B1981" i="6" s="1"/>
  <c r="B1982" i="6" s="1"/>
  <c r="B1983" i="6" s="1"/>
  <c r="B1984" i="6" s="1"/>
  <c r="B1985" i="6" s="1"/>
  <c r="B1986" i="6" s="1"/>
  <c r="B1987" i="6" s="1"/>
  <c r="B1988" i="6" s="1"/>
  <c r="B1989" i="6" s="1"/>
  <c r="B1990" i="6" s="1"/>
  <c r="B1991" i="6" s="1"/>
  <c r="B1992" i="6" s="1"/>
  <c r="B1993" i="6" s="1"/>
  <c r="B1994" i="6" s="1"/>
  <c r="B1995" i="6" s="1"/>
  <c r="B1996" i="6" s="1"/>
  <c r="B1997" i="6" s="1"/>
  <c r="B1998" i="6" s="1"/>
  <c r="B1999" i="6" s="1"/>
  <c r="B2000" i="6" s="1"/>
  <c r="B2001" i="6"/>
  <c r="B2002" i="6" s="1"/>
  <c r="B2003" i="6" s="1"/>
  <c r="B2004" i="6" s="1"/>
  <c r="B2005" i="6" s="1"/>
  <c r="B2006" i="6" s="1"/>
  <c r="B2007" i="6" s="1"/>
  <c r="B2008" i="6" s="1"/>
  <c r="B2009" i="6" s="1"/>
  <c r="B2010" i="6" s="1"/>
  <c r="B2011" i="6" s="1"/>
  <c r="B2012" i="6" s="1"/>
  <c r="B2013" i="6" s="1"/>
  <c r="B2014" i="6" s="1"/>
  <c r="B2015" i="6" s="1"/>
  <c r="B2016" i="6" s="1"/>
  <c r="B2017" i="6" s="1"/>
  <c r="B2018" i="6" s="1"/>
  <c r="B2019" i="6" s="1"/>
  <c r="B2020" i="6" s="1"/>
  <c r="B2021" i="6" s="1"/>
  <c r="B2022" i="6"/>
  <c r="B2023" i="6" s="1"/>
  <c r="B2024" i="6" s="1"/>
  <c r="B2025" i="6" s="1"/>
  <c r="B2026" i="6" s="1"/>
  <c r="B2027" i="6" s="1"/>
  <c r="B2028" i="6" s="1"/>
  <c r="B2029" i="6" s="1"/>
  <c r="B2030" i="6" s="1"/>
  <c r="B2031" i="6" s="1"/>
  <c r="B2032" i="6" s="1"/>
  <c r="B2033" i="6" s="1"/>
  <c r="B2034" i="6" s="1"/>
  <c r="B2035" i="6" s="1"/>
  <c r="B2036" i="6" s="1"/>
  <c r="B2037" i="6" s="1"/>
  <c r="B2038" i="6" s="1"/>
  <c r="B2039" i="6" s="1"/>
  <c r="B2040" i="6" s="1"/>
  <c r="B2041" i="6" s="1"/>
  <c r="B2042" i="6"/>
  <c r="B2043" i="6" s="1"/>
  <c r="B2044" i="6" s="1"/>
  <c r="B2045" i="6" s="1"/>
  <c r="B2046" i="6" s="1"/>
  <c r="B2047" i="6" s="1"/>
  <c r="B2048" i="6" s="1"/>
  <c r="B2049" i="6" s="1"/>
  <c r="B2050" i="6" s="1"/>
  <c r="B2051" i="6" s="1"/>
  <c r="B2052" i="6" s="1"/>
  <c r="B2053" i="6" s="1"/>
  <c r="B2054" i="6" s="1"/>
  <c r="B2055" i="6" s="1"/>
  <c r="B2056" i="6" s="1"/>
  <c r="B2057" i="6" s="1"/>
  <c r="B2058" i="6" s="1"/>
  <c r="B2059" i="6" s="1"/>
  <c r="B2060" i="6" s="1"/>
  <c r="B2061" i="6"/>
  <c r="B2062" i="6" s="1"/>
  <c r="B2063" i="6" s="1"/>
  <c r="B2064" i="6" s="1"/>
  <c r="B2065" i="6" s="1"/>
  <c r="B2066" i="6" s="1"/>
  <c r="B2067" i="6" s="1"/>
  <c r="B2068" i="6" s="1"/>
  <c r="B2069" i="6" s="1"/>
  <c r="B2070" i="6" s="1"/>
  <c r="B2071" i="6" s="1"/>
  <c r="B2072" i="6" s="1"/>
  <c r="B2073" i="6" s="1"/>
  <c r="B2074" i="6" s="1"/>
  <c r="B2075" i="6" s="1"/>
  <c r="B2076" i="6" s="1"/>
  <c r="B2077" i="6" s="1"/>
  <c r="B2078" i="6" s="1"/>
  <c r="B2079" i="6" s="1"/>
  <c r="B2080" i="6" s="1"/>
  <c r="B2081" i="6" s="1"/>
  <c r="B2082" i="6" s="1"/>
  <c r="B2083" i="6" s="1"/>
  <c r="B2084" i="6" s="1"/>
  <c r="B2085" i="6" s="1"/>
  <c r="B2086" i="6" s="1"/>
  <c r="B2087" i="6" s="1"/>
  <c r="B2088" i="6"/>
  <c r="B2089" i="6" s="1"/>
  <c r="B2090" i="6" s="1"/>
  <c r="B2091" i="6" s="1"/>
  <c r="B2092" i="6" s="1"/>
  <c r="B2093" i="6" s="1"/>
  <c r="B2094" i="6" s="1"/>
  <c r="B2095" i="6" s="1"/>
  <c r="B2096" i="6"/>
  <c r="B2097" i="6" s="1"/>
  <c r="B2098" i="6" s="1"/>
  <c r="B2099" i="6" s="1"/>
  <c r="B2100" i="6" s="1"/>
  <c r="B2101" i="6" s="1"/>
  <c r="B2102" i="6" s="1"/>
  <c r="B2103" i="6" s="1"/>
  <c r="B2104" i="6" s="1"/>
  <c r="B2105" i="6" s="1"/>
  <c r="B2106" i="6" s="1"/>
  <c r="B2107" i="6"/>
  <c r="B2108" i="6" s="1"/>
  <c r="B2109" i="6" s="1"/>
  <c r="B2110" i="6" s="1"/>
  <c r="B2111" i="6" s="1"/>
  <c r="B2112" i="6" s="1"/>
  <c r="B2113" i="6" s="1"/>
  <c r="B2114" i="6" s="1"/>
  <c r="B2115" i="6" s="1"/>
  <c r="B2116" i="6" s="1"/>
  <c r="B2117" i="6" s="1"/>
  <c r="B2118" i="6" s="1"/>
  <c r="B2119" i="6" s="1"/>
  <c r="B2120" i="6" s="1"/>
  <c r="B2121" i="6" s="1"/>
  <c r="B2122" i="6" s="1"/>
  <c r="B2123" i="6" s="1"/>
  <c r="B2124" i="6" s="1"/>
  <c r="B2125" i="6" s="1"/>
  <c r="B2126" i="6" s="1"/>
  <c r="B2127" i="6" s="1"/>
  <c r="B2128" i="6" s="1"/>
  <c r="B2129" i="6" s="1"/>
  <c r="B2130" i="6" s="1"/>
  <c r="B2131" i="6" s="1"/>
  <c r="B2132" i="6" s="1"/>
  <c r="B2133" i="6" s="1"/>
  <c r="B2134" i="6" s="1"/>
  <c r="B2135" i="6" s="1"/>
  <c r="B2136" i="6" s="1"/>
  <c r="B2137" i="6" s="1"/>
  <c r="B2138" i="6" s="1"/>
  <c r="B2139" i="6" s="1"/>
  <c r="B2140" i="6" s="1"/>
  <c r="B2141" i="6" s="1"/>
  <c r="B2142" i="6" s="1"/>
  <c r="B2143" i="6" s="1"/>
  <c r="B2144" i="6" s="1"/>
  <c r="B2145" i="6" s="1"/>
  <c r="B2146" i="6" s="1"/>
  <c r="B2147" i="6" s="1"/>
  <c r="B2148" i="6"/>
  <c r="B2149" i="6" s="1"/>
  <c r="B2150" i="6" s="1"/>
  <c r="B2151" i="6" s="1"/>
  <c r="B2152" i="6" s="1"/>
  <c r="B2153" i="6" s="1"/>
  <c r="B2154" i="6" s="1"/>
  <c r="B2155" i="6" s="1"/>
  <c r="B2156" i="6" s="1"/>
  <c r="B2157" i="6" s="1"/>
  <c r="B2158" i="6" s="1"/>
  <c r="B2159" i="6" s="1"/>
  <c r="B2160" i="6" s="1"/>
  <c r="B2161" i="6"/>
  <c r="B2162" i="6" s="1"/>
  <c r="B2163" i="6" s="1"/>
  <c r="B2164" i="6" s="1"/>
  <c r="B2165" i="6" s="1"/>
  <c r="B2166" i="6" s="1"/>
  <c r="B2167" i="6" s="1"/>
  <c r="B2168" i="6"/>
  <c r="B2169" i="6" s="1"/>
  <c r="B2170" i="6" s="1"/>
  <c r="B2171" i="6" s="1"/>
  <c r="B2172" i="6" s="1"/>
  <c r="B2173" i="6" s="1"/>
  <c r="B2174" i="6" s="1"/>
  <c r="B2175" i="6" s="1"/>
  <c r="B2176" i="6" s="1"/>
  <c r="B2177" i="6" s="1"/>
  <c r="B2178" i="6"/>
  <c r="B2179" i="6" s="1"/>
  <c r="B2180" i="6" s="1"/>
  <c r="B2181" i="6"/>
  <c r="B2182" i="6" s="1"/>
  <c r="B2183" i="6" s="1"/>
  <c r="B2184" i="6" s="1"/>
  <c r="B2185" i="6" s="1"/>
  <c r="B2186" i="6" s="1"/>
  <c r="B2187" i="6" s="1"/>
  <c r="B2188" i="6" s="1"/>
  <c r="B2189" i="6" s="1"/>
  <c r="B2190" i="6" s="1"/>
  <c r="B2191" i="6" s="1"/>
  <c r="B2192" i="6" s="1"/>
  <c r="B2193" i="6" s="1"/>
  <c r="B2194" i="6" s="1"/>
  <c r="B2195" i="6" s="1"/>
  <c r="B2196" i="6" s="1"/>
  <c r="B2197" i="6" s="1"/>
  <c r="B2198" i="6" s="1"/>
  <c r="B2199" i="6" s="1"/>
  <c r="B2200" i="6" s="1"/>
  <c r="B2201" i="6"/>
  <c r="B2202" i="6" s="1"/>
  <c r="B2203" i="6" s="1"/>
  <c r="B2204" i="6" s="1"/>
  <c r="B2205" i="6" s="1"/>
  <c r="B2206" i="6"/>
  <c r="B2207" i="6" s="1"/>
  <c r="B2208" i="6" s="1"/>
  <c r="B2209" i="6" s="1"/>
  <c r="B2210" i="6" s="1"/>
  <c r="B2211" i="6" s="1"/>
  <c r="B2212" i="6" s="1"/>
  <c r="B2213" i="6" s="1"/>
  <c r="B2214" i="6" s="1"/>
  <c r="B2215" i="6" s="1"/>
  <c r="B2216" i="6" s="1"/>
  <c r="B2217" i="6"/>
  <c r="B2218" i="6" s="1"/>
  <c r="B2219" i="6" s="1"/>
  <c r="B2220" i="6" s="1"/>
  <c r="B2221" i="6" s="1"/>
  <c r="B2222" i="6" s="1"/>
  <c r="B2223" i="6" s="1"/>
  <c r="B2224" i="6" s="1"/>
  <c r="B2225" i="6" s="1"/>
  <c r="B2226" i="6" s="1"/>
  <c r="B2227" i="6" s="1"/>
  <c r="B2228" i="6" s="1"/>
  <c r="B2229" i="6"/>
  <c r="B2230" i="6" s="1"/>
  <c r="B2231" i="6" s="1"/>
  <c r="B2232" i="6" s="1"/>
  <c r="B2233" i="6" s="1"/>
  <c r="B2234" i="6" s="1"/>
  <c r="B2235" i="6" s="1"/>
  <c r="B2236" i="6" s="1"/>
  <c r="B2237" i="6" s="1"/>
  <c r="B2238" i="6" s="1"/>
  <c r="B2239" i="6" s="1"/>
  <c r="B2240" i="6" s="1"/>
  <c r="B2241" i="6" s="1"/>
  <c r="B2242" i="6" s="1"/>
  <c r="B2243" i="6" s="1"/>
  <c r="B2244" i="6" s="1"/>
  <c r="B2245" i="6" s="1"/>
  <c r="B2246" i="6" s="1"/>
  <c r="B2247" i="6" s="1"/>
  <c r="B2248" i="6" s="1"/>
  <c r="B2249" i="6" s="1"/>
  <c r="B2250" i="6"/>
  <c r="B2251" i="6" s="1"/>
  <c r="B2252" i="6" s="1"/>
  <c r="B2253" i="6" s="1"/>
  <c r="B2254" i="6" s="1"/>
  <c r="B2255" i="6" s="1"/>
  <c r="B2256" i="6" s="1"/>
  <c r="B2257" i="6" s="1"/>
  <c r="B2258" i="6" s="1"/>
  <c r="B2259" i="6" s="1"/>
  <c r="B2260" i="6" s="1"/>
  <c r="B2261" i="6" s="1"/>
  <c r="B2262" i="6" s="1"/>
  <c r="B2263" i="6" s="1"/>
  <c r="B2264" i="6" s="1"/>
  <c r="B2265" i="6" s="1"/>
  <c r="B2266" i="6" s="1"/>
  <c r="B2267" i="6" s="1"/>
  <c r="B2268" i="6" s="1"/>
  <c r="B2269" i="6" s="1"/>
  <c r="B2270" i="6" s="1"/>
  <c r="B2271" i="6" s="1"/>
  <c r="B2272" i="6" s="1"/>
  <c r="B2273" i="6"/>
  <c r="B2274" i="6" s="1"/>
  <c r="B2275" i="6" s="1"/>
  <c r="B2276" i="6" s="1"/>
  <c r="B2277" i="6" s="1"/>
  <c r="B2278" i="6" s="1"/>
  <c r="B2279" i="6" s="1"/>
  <c r="B2280" i="6" s="1"/>
  <c r="B2281" i="6" s="1"/>
  <c r="B2282" i="6" s="1"/>
  <c r="B2283" i="6" s="1"/>
  <c r="B2284" i="6" s="1"/>
  <c r="B2285" i="6" s="1"/>
  <c r="B2286" i="6" s="1"/>
  <c r="B2287" i="6" s="1"/>
  <c r="B2288" i="6" s="1"/>
  <c r="B2289" i="6" s="1"/>
  <c r="B2290" i="6"/>
  <c r="B2291" i="6" s="1"/>
  <c r="B2292" i="6" s="1"/>
  <c r="B2293" i="6" s="1"/>
  <c r="B2294" i="6" s="1"/>
  <c r="B2295" i="6" s="1"/>
  <c r="B2296" i="6" s="1"/>
  <c r="B2297" i="6" s="1"/>
  <c r="B2298" i="6" s="1"/>
  <c r="B2299" i="6" s="1"/>
  <c r="B2300" i="6" s="1"/>
  <c r="B2301" i="6" s="1"/>
  <c r="B2302" i="6" s="1"/>
  <c r="B2303" i="6" s="1"/>
  <c r="B2304" i="6" s="1"/>
  <c r="B2305" i="6" s="1"/>
  <c r="B2306" i="6" s="1"/>
  <c r="B2307" i="6" s="1"/>
  <c r="B2308" i="6" s="1"/>
  <c r="B2309" i="6" s="1"/>
  <c r="B2310" i="6" s="1"/>
  <c r="B2311" i="6" s="1"/>
  <c r="B2312" i="6" s="1"/>
  <c r="B2313" i="6" s="1"/>
  <c r="B2314" i="6" s="1"/>
  <c r="B2315" i="6" s="1"/>
  <c r="B2316" i="6" s="1"/>
  <c r="B2317" i="6" s="1"/>
  <c r="B2318" i="6"/>
  <c r="B2319" i="6" s="1"/>
  <c r="B2320" i="6" s="1"/>
  <c r="B2321" i="6" s="1"/>
  <c r="B2322" i="6" s="1"/>
  <c r="B2323" i="6" s="1"/>
  <c r="B2324" i="6" s="1"/>
  <c r="B2325" i="6"/>
  <c r="B2326" i="6" s="1"/>
  <c r="B2327" i="6" s="1"/>
  <c r="B2328" i="6" s="1"/>
  <c r="B2329" i="6" s="1"/>
  <c r="B2330" i="6" s="1"/>
  <c r="B2331" i="6" s="1"/>
  <c r="B2332" i="6" s="1"/>
  <c r="B2333" i="6" s="1"/>
  <c r="B2334" i="6" s="1"/>
  <c r="B2335" i="6" s="1"/>
  <c r="B2336" i="6" s="1"/>
  <c r="B2337" i="6" s="1"/>
  <c r="B2338" i="6" s="1"/>
  <c r="B2339" i="6" s="1"/>
  <c r="B2340" i="6" s="1"/>
  <c r="B2341" i="6"/>
  <c r="B2342" i="6" s="1"/>
  <c r="B2343" i="6" s="1"/>
  <c r="B2344" i="6" s="1"/>
  <c r="B2345" i="6" s="1"/>
  <c r="B2346" i="6"/>
  <c r="B2347" i="6" s="1"/>
  <c r="B2348" i="6" s="1"/>
  <c r="B2349" i="6" s="1"/>
  <c r="B2350" i="6" s="1"/>
  <c r="B2351" i="6"/>
  <c r="B2352" i="6" s="1"/>
  <c r="B2353" i="6" s="1"/>
  <c r="B2354" i="6" s="1"/>
  <c r="B2355" i="6" s="1"/>
  <c r="B2356" i="6"/>
  <c r="B2357" i="6" s="1"/>
  <c r="B2358" i="6" s="1"/>
  <c r="B2359" i="6" s="1"/>
  <c r="B2360" i="6" s="1"/>
  <c r="B2361" i="6"/>
  <c r="B2362" i="6" s="1"/>
  <c r="B2363" i="6" s="1"/>
  <c r="B2364" i="6" s="1"/>
  <c r="B2365" i="6" s="1"/>
  <c r="B2366" i="6" s="1"/>
  <c r="B2367" i="6" s="1"/>
  <c r="B2368" i="6" s="1"/>
  <c r="B2369" i="6" s="1"/>
  <c r="B2370" i="6" s="1"/>
  <c r="B2371" i="6" s="1"/>
  <c r="B2372" i="6" s="1"/>
  <c r="B2373" i="6" s="1"/>
  <c r="B2374" i="6" s="1"/>
  <c r="B2375" i="6" s="1"/>
  <c r="B2376" i="6" s="1"/>
  <c r="B2377" i="6" s="1"/>
  <c r="B2378" i="6" s="1"/>
  <c r="B2379" i="6" s="1"/>
  <c r="B2380" i="6" s="1"/>
  <c r="B2381" i="6" s="1"/>
  <c r="B2382" i="6" s="1"/>
  <c r="B2383" i="6" s="1"/>
  <c r="B2384" i="6" s="1"/>
  <c r="B2385" i="6" s="1"/>
  <c r="B2386" i="6" s="1"/>
  <c r="B2387" i="6" s="1"/>
  <c r="B2388" i="6" s="1"/>
  <c r="B2389" i="6" s="1"/>
  <c r="B2390" i="6" s="1"/>
  <c r="B2391" i="6" s="1"/>
  <c r="B2392" i="6" s="1"/>
  <c r="B2393" i="6" s="1"/>
  <c r="B2394" i="6" s="1"/>
  <c r="B2395" i="6" s="1"/>
  <c r="B2396" i="6" s="1"/>
  <c r="B2397" i="6" s="1"/>
  <c r="B2398" i="6" s="1"/>
  <c r="B2399" i="6"/>
  <c r="B2400" i="6" s="1"/>
  <c r="B2401" i="6" s="1"/>
  <c r="B2402" i="6" s="1"/>
  <c r="B2403" i="6" s="1"/>
  <c r="B2404" i="6" s="1"/>
  <c r="B2405" i="6" s="1"/>
  <c r="B2406" i="6" s="1"/>
  <c r="B2407" i="6" s="1"/>
  <c r="B2408" i="6" s="1"/>
  <c r="B2409" i="6" s="1"/>
  <c r="B2410" i="6" s="1"/>
  <c r="B2411" i="6" s="1"/>
  <c r="B2412" i="6" s="1"/>
  <c r="B2413" i="6" s="1"/>
  <c r="B2414" i="6" s="1"/>
  <c r="B2415" i="6" s="1"/>
  <c r="B2416" i="6" s="1"/>
  <c r="B2417" i="6" s="1"/>
  <c r="B2418" i="6" s="1"/>
  <c r="B2419" i="6" s="1"/>
  <c r="B2420" i="6" s="1"/>
  <c r="B2421" i="6" s="1"/>
  <c r="B2422" i="6" s="1"/>
  <c r="B2423" i="6" s="1"/>
  <c r="B2424" i="6"/>
  <c r="B2425" i="6" s="1"/>
  <c r="B2426" i="6" s="1"/>
  <c r="B2427" i="6" s="1"/>
  <c r="B2428" i="6" s="1"/>
  <c r="B2429" i="6" s="1"/>
  <c r="B2430" i="6" s="1"/>
  <c r="B2431" i="6" s="1"/>
  <c r="B2432" i="6" s="1"/>
  <c r="B2433" i="6" s="1"/>
  <c r="B2434" i="6" s="1"/>
  <c r="B2435" i="6"/>
  <c r="B2436" i="6" s="1"/>
  <c r="B2437" i="6" s="1"/>
  <c r="B2438" i="6" s="1"/>
  <c r="B2439" i="6" s="1"/>
  <c r="B2440" i="6"/>
  <c r="B2441" i="6" s="1"/>
  <c r="B2442" i="6" s="1"/>
  <c r="B2443" i="6" s="1"/>
  <c r="B2444" i="6" s="1"/>
  <c r="B2445" i="6"/>
  <c r="B2446" i="6" s="1"/>
  <c r="B2447" i="6" s="1"/>
  <c r="B2448" i="6" s="1"/>
  <c r="B2449" i="6" s="1"/>
  <c r="B2450" i="6" s="1"/>
  <c r="B2451" i="6" s="1"/>
  <c r="B2452" i="6" s="1"/>
  <c r="B2453" i="6" s="1"/>
  <c r="B2454" i="6" s="1"/>
  <c r="B2455" i="6" s="1"/>
  <c r="B2456" i="6" s="1"/>
  <c r="B2457" i="6" s="1"/>
  <c r="B2458" i="6" s="1"/>
  <c r="B2459" i="6" s="1"/>
  <c r="B2460" i="6" s="1"/>
  <c r="B2461" i="6" s="1"/>
  <c r="B2462" i="6" s="1"/>
  <c r="B2463" i="6" s="1"/>
  <c r="B2464" i="6" s="1"/>
  <c r="B2465" i="6" s="1"/>
  <c r="B2466" i="6" s="1"/>
  <c r="B2467" i="6" s="1"/>
  <c r="B2468" i="6" s="1"/>
  <c r="B2469" i="6" s="1"/>
  <c r="B2470" i="6" s="1"/>
  <c r="B2471" i="6" s="1"/>
  <c r="B2472" i="6" s="1"/>
  <c r="B2473" i="6" s="1"/>
  <c r="B2474" i="6" s="1"/>
  <c r="B2475" i="6" s="1"/>
  <c r="B2476" i="6"/>
  <c r="B2477" i="6" s="1"/>
  <c r="B2478" i="6" s="1"/>
  <c r="B2479" i="6" s="1"/>
  <c r="B2480" i="6" s="1"/>
  <c r="B2481" i="6" s="1"/>
  <c r="B2482" i="6" s="1"/>
  <c r="B2483" i="6"/>
  <c r="B2484" i="6" s="1"/>
  <c r="B2485" i="6" s="1"/>
  <c r="B2486" i="6" s="1"/>
  <c r="B2487" i="6" s="1"/>
  <c r="B2488" i="6" s="1"/>
  <c r="B2489" i="6" s="1"/>
  <c r="B2490" i="6" s="1"/>
  <c r="B2491" i="6" s="1"/>
  <c r="B2492" i="6" s="1"/>
  <c r="B2493" i="6" s="1"/>
  <c r="B2494" i="6" s="1"/>
  <c r="B2495" i="6" s="1"/>
  <c r="B2496" i="6" s="1"/>
  <c r="B2497" i="6" s="1"/>
  <c r="B2498" i="6" s="1"/>
  <c r="B2499" i="6" s="1"/>
  <c r="B2500" i="6" s="1"/>
  <c r="B2501" i="6" s="1"/>
  <c r="B2502" i="6" s="1"/>
  <c r="B2503" i="6" s="1"/>
  <c r="B2504" i="6" s="1"/>
  <c r="B2505" i="6" s="1"/>
  <c r="B2506" i="6" s="1"/>
  <c r="B2507" i="6" s="1"/>
  <c r="B2508" i="6" s="1"/>
  <c r="B2509" i="6" s="1"/>
  <c r="B2510" i="6" s="1"/>
  <c r="B2511" i="6"/>
  <c r="B2512" i="6" s="1"/>
  <c r="B2513" i="6" s="1"/>
  <c r="B2514" i="6" s="1"/>
  <c r="B2515" i="6" s="1"/>
  <c r="B2516" i="6" s="1"/>
  <c r="B2517" i="6" s="1"/>
  <c r="B2518" i="6" s="1"/>
  <c r="B2519" i="6" s="1"/>
  <c r="B2520" i="6"/>
  <c r="B2521" i="6" s="1"/>
  <c r="B2522" i="6" s="1"/>
  <c r="B2523" i="6" s="1"/>
  <c r="B2524" i="6" s="1"/>
  <c r="B2525" i="6" s="1"/>
  <c r="B2526" i="6" s="1"/>
  <c r="B2527" i="6" s="1"/>
  <c r="B2528" i="6" s="1"/>
  <c r="B2529" i="6" s="1"/>
  <c r="B2530" i="6" s="1"/>
  <c r="B2531" i="6" s="1"/>
  <c r="B2532" i="6" s="1"/>
  <c r="B2533" i="6" s="1"/>
  <c r="B2534" i="6" s="1"/>
  <c r="B2535" i="6" s="1"/>
  <c r="B2536" i="6" s="1"/>
  <c r="B2537" i="6" s="1"/>
  <c r="B2538" i="6" s="1"/>
  <c r="B2539" i="6" s="1"/>
  <c r="B2540" i="6" s="1"/>
  <c r="B2541" i="6" s="1"/>
  <c r="B2542" i="6" s="1"/>
  <c r="B2543" i="6" s="1"/>
  <c r="B2544" i="6" s="1"/>
  <c r="B2545" i="6"/>
  <c r="B2546" i="6" s="1"/>
  <c r="B2547" i="6" s="1"/>
  <c r="B2548" i="6" s="1"/>
  <c r="B2549" i="6" s="1"/>
  <c r="B2550" i="6" s="1"/>
  <c r="B2551" i="6" s="1"/>
  <c r="B2552" i="6" s="1"/>
  <c r="B2553" i="6"/>
  <c r="B2554" i="6" s="1"/>
  <c r="B2555" i="6" s="1"/>
  <c r="B2556" i="6" s="1"/>
  <c r="B2557" i="6" s="1"/>
  <c r="B2558" i="6" s="1"/>
  <c r="B2559" i="6" s="1"/>
  <c r="B2560" i="6" s="1"/>
  <c r="B2561" i="6" s="1"/>
  <c r="B2562" i="6" s="1"/>
  <c r="B2563" i="6" s="1"/>
  <c r="B2564" i="6"/>
  <c r="B2565" i="6" l="1"/>
  <c r="B2566" i="6" l="1"/>
  <c r="B2567" i="6" s="1"/>
  <c r="B2568" i="6" s="1"/>
  <c r="B2569" i="6" s="1"/>
  <c r="B2570" i="6" s="1"/>
  <c r="B2571" i="6" s="1"/>
  <c r="B2572" i="6" s="1"/>
  <c r="B2573" i="6" s="1"/>
  <c r="B2574" i="6" s="1"/>
  <c r="B2575" i="6" s="1"/>
  <c r="B2576" i="6" s="1"/>
  <c r="B2577" i="6" s="1"/>
  <c r="B2578" i="6" s="1"/>
  <c r="B2579" i="6" s="1"/>
  <c r="B2580" i="6" s="1"/>
  <c r="B2581" i="6" s="1"/>
  <c r="B2582" i="6" s="1"/>
  <c r="B2583" i="6" s="1"/>
  <c r="B2584" i="6" s="1"/>
  <c r="B2585" i="6" s="1"/>
  <c r="B2586" i="6" s="1"/>
  <c r="B2587" i="6" s="1"/>
  <c r="B245" i="8" l="1"/>
  <c r="B246" i="8"/>
  <c r="B247" i="8"/>
  <c r="B248" i="8"/>
  <c r="B249" i="8"/>
  <c r="B250" i="8"/>
  <c r="B251" i="8"/>
  <c r="B252" i="8"/>
  <c r="B253" i="8"/>
  <c r="B254" i="8"/>
  <c r="B255" i="8"/>
  <c r="B256" i="8"/>
  <c r="B257" i="8"/>
  <c r="B258" i="8"/>
  <c r="B259" i="8"/>
  <c r="B260" i="8"/>
  <c r="B261" i="8"/>
  <c r="B262" i="8"/>
  <c r="B263" i="8"/>
  <c r="B264" i="8"/>
  <c r="B265" i="8"/>
  <c r="B266" i="8"/>
  <c r="B267" i="8"/>
  <c r="B268" i="8"/>
  <c r="B269" i="8"/>
  <c r="B270" i="8"/>
  <c r="B271" i="8"/>
  <c r="B272" i="8"/>
  <c r="B273" i="8"/>
  <c r="B274" i="8"/>
  <c r="B275" i="8"/>
  <c r="B276" i="8"/>
  <c r="B277" i="8"/>
  <c r="B278" i="8"/>
  <c r="B279" i="8"/>
  <c r="B280" i="8"/>
  <c r="B281" i="8"/>
  <c r="B282" i="8"/>
  <c r="B283" i="8"/>
  <c r="B284" i="8"/>
  <c r="B285" i="8"/>
  <c r="B286" i="8"/>
  <c r="B287" i="8"/>
  <c r="B288" i="8"/>
  <c r="B289" i="8"/>
  <c r="B290" i="8"/>
  <c r="B291" i="8"/>
  <c r="B292" i="8"/>
  <c r="B293" i="8"/>
  <c r="B294" i="8"/>
  <c r="B295" i="8"/>
  <c r="B296" i="8"/>
  <c r="B297" i="8"/>
  <c r="B298" i="8"/>
  <c r="B299" i="8"/>
  <c r="B300" i="8"/>
  <c r="B301" i="8"/>
  <c r="B302" i="8"/>
  <c r="B303" i="8"/>
  <c r="B304" i="8"/>
  <c r="B305" i="8"/>
  <c r="B306" i="8"/>
  <c r="B307" i="8"/>
  <c r="B308" i="8"/>
  <c r="B309" i="8"/>
  <c r="B310" i="8"/>
  <c r="B311" i="8"/>
  <c r="B312" i="8"/>
  <c r="B313" i="8"/>
  <c r="B314" i="8"/>
  <c r="B315" i="8"/>
  <c r="B316" i="8"/>
  <c r="B317" i="8"/>
  <c r="B318" i="8"/>
  <c r="B319" i="8"/>
  <c r="B320" i="8"/>
  <c r="B321" i="8"/>
  <c r="B322" i="8"/>
  <c r="B323" i="8"/>
  <c r="B324" i="8"/>
  <c r="B325" i="8"/>
  <c r="B326" i="8"/>
  <c r="B327" i="8"/>
  <c r="B328" i="8"/>
  <c r="B329" i="8"/>
  <c r="B330" i="8"/>
  <c r="B331" i="8"/>
  <c r="B332" i="8"/>
  <c r="B333" i="8"/>
  <c r="B334" i="8"/>
  <c r="B335" i="8"/>
  <c r="B336" i="8"/>
  <c r="B337" i="8"/>
  <c r="B338" i="8"/>
  <c r="B339" i="8"/>
  <c r="B340" i="8"/>
  <c r="B341" i="8"/>
  <c r="B342" i="8"/>
  <c r="B343" i="8"/>
  <c r="B344" i="8"/>
  <c r="B345" i="8"/>
  <c r="B346" i="8"/>
  <c r="B347" i="8"/>
  <c r="B348" i="8"/>
  <c r="B349" i="8"/>
  <c r="B350" i="8"/>
  <c r="B351" i="8"/>
  <c r="B352" i="8"/>
  <c r="B353" i="8"/>
  <c r="B354" i="8"/>
  <c r="B355" i="8"/>
  <c r="B356" i="8"/>
  <c r="B357" i="8"/>
  <c r="B358" i="8"/>
  <c r="B359" i="8"/>
  <c r="B360" i="8"/>
  <c r="B361" i="8"/>
  <c r="B362" i="8"/>
  <c r="B363" i="8"/>
  <c r="B364" i="8"/>
  <c r="B365" i="8"/>
  <c r="B366" i="8"/>
  <c r="B367" i="8"/>
  <c r="B368" i="8"/>
  <c r="B369" i="8"/>
  <c r="B370" i="8"/>
  <c r="B371" i="8"/>
  <c r="B372" i="8"/>
  <c r="B373" i="8"/>
  <c r="B374" i="8"/>
  <c r="B375" i="8"/>
  <c r="B376" i="8"/>
  <c r="B377" i="8"/>
  <c r="B378" i="8"/>
  <c r="B379" i="8"/>
  <c r="B380" i="8"/>
  <c r="B381" i="8"/>
  <c r="B382" i="8"/>
  <c r="B383" i="8"/>
  <c r="B384" i="8"/>
  <c r="B385" i="8"/>
  <c r="B386" i="8"/>
  <c r="B387" i="8"/>
  <c r="B388" i="8"/>
  <c r="B389" i="8"/>
  <c r="B390" i="8"/>
  <c r="B391" i="8"/>
  <c r="B392" i="8"/>
  <c r="B393" i="8"/>
  <c r="B394" i="8"/>
  <c r="B395" i="8"/>
  <c r="B396" i="8"/>
  <c r="B397" i="8"/>
  <c r="B398" i="8"/>
  <c r="B399" i="8"/>
  <c r="B400" i="8"/>
  <c r="B401" i="8"/>
  <c r="B402" i="8"/>
  <c r="B403" i="8"/>
  <c r="B404" i="8"/>
  <c r="B405" i="8"/>
  <c r="B406" i="8"/>
  <c r="B407" i="8"/>
  <c r="B408" i="8"/>
  <c r="B409" i="8"/>
  <c r="B410" i="8"/>
  <c r="B411" i="8"/>
  <c r="B412" i="8"/>
  <c r="B413" i="8"/>
  <c r="B414" i="8"/>
  <c r="B415" i="8"/>
  <c r="B416" i="8"/>
  <c r="B417" i="8"/>
  <c r="B418" i="8"/>
  <c r="B419" i="8"/>
  <c r="B420" i="8"/>
  <c r="B421" i="8"/>
  <c r="B422" i="8"/>
  <c r="B423" i="8"/>
  <c r="B424" i="8"/>
  <c r="B425" i="8"/>
  <c r="B426" i="8"/>
  <c r="B427" i="8"/>
  <c r="B428" i="8"/>
  <c r="B429" i="8"/>
  <c r="B430" i="8"/>
  <c r="B431" i="8"/>
  <c r="B432" i="8"/>
  <c r="B433" i="8"/>
  <c r="B434" i="8"/>
  <c r="B435" i="8"/>
  <c r="B436" i="8"/>
  <c r="B437" i="8"/>
  <c r="B438" i="8"/>
  <c r="B439" i="8"/>
  <c r="B440" i="8"/>
  <c r="B441" i="8"/>
  <c r="B442" i="8"/>
  <c r="B443" i="8"/>
  <c r="B444" i="8"/>
  <c r="B445" i="8"/>
  <c r="B446" i="8"/>
  <c r="B447" i="8"/>
  <c r="B448" i="8"/>
  <c r="B449" i="8"/>
  <c r="B450" i="8"/>
  <c r="B451" i="8"/>
  <c r="B452" i="8"/>
  <c r="B453" i="8"/>
  <c r="B454" i="8"/>
  <c r="B455" i="8"/>
  <c r="B456" i="8"/>
  <c r="B457" i="8"/>
  <c r="B458" i="8"/>
  <c r="B459" i="8"/>
  <c r="B460" i="8"/>
  <c r="B461" i="8"/>
  <c r="B462" i="8"/>
  <c r="B463" i="8"/>
  <c r="B464" i="8"/>
  <c r="B465" i="8"/>
  <c r="B466" i="8"/>
  <c r="B467" i="8"/>
  <c r="B468" i="8"/>
  <c r="B469" i="8"/>
  <c r="B470" i="8"/>
  <c r="B471" i="8"/>
  <c r="B472" i="8"/>
  <c r="B473" i="8"/>
  <c r="B474" i="8"/>
  <c r="B475" i="8"/>
  <c r="B476" i="8"/>
  <c r="B477" i="8"/>
  <c r="B478" i="8"/>
  <c r="B479" i="8"/>
  <c r="B480" i="8"/>
  <c r="B481" i="8"/>
  <c r="A2" i="8" l="1" a="1"/>
  <c r="A2" i="8" l="1"/>
  <c r="B2" i="8" l="1"/>
  <c r="B3" i="8" l="1"/>
  <c r="B4" i="8" l="1"/>
  <c r="B5" i="8" l="1"/>
  <c r="B6" i="8" l="1"/>
  <c r="B7" i="8" l="1"/>
  <c r="B8" i="8" l="1"/>
  <c r="B9" i="8" l="1"/>
  <c r="B10" i="8" l="1"/>
  <c r="B11" i="8" l="1"/>
  <c r="B12" i="8" l="1"/>
  <c r="B13" i="8" l="1"/>
  <c r="B14" i="8" l="1"/>
  <c r="B15" i="8" l="1"/>
  <c r="B16" i="8" l="1"/>
  <c r="B17" i="8" l="1"/>
  <c r="B18" i="8" l="1"/>
  <c r="B19" i="8" l="1"/>
  <c r="B20" i="8" l="1"/>
  <c r="B21" i="8" l="1"/>
  <c r="B22" i="8" l="1"/>
  <c r="B23" i="8" l="1"/>
  <c r="B24" i="8" l="1"/>
  <c r="B25" i="8" l="1"/>
  <c r="B26" i="8" l="1"/>
  <c r="B27" i="8" l="1"/>
  <c r="B28" i="8" l="1"/>
  <c r="B29" i="8" l="1"/>
  <c r="B30" i="8" l="1"/>
  <c r="B31" i="8" l="1"/>
  <c r="B32" i="8" l="1"/>
  <c r="B33" i="8" l="1"/>
  <c r="B34" i="8" l="1"/>
  <c r="B35" i="8" l="1"/>
  <c r="B36" i="8" l="1"/>
  <c r="B37" i="8" l="1"/>
  <c r="B38" i="8" l="1"/>
  <c r="B39" i="8" l="1"/>
  <c r="B40" i="8" l="1"/>
  <c r="B41" i="8" l="1"/>
  <c r="B42" i="8" l="1"/>
  <c r="B43" i="8" l="1"/>
  <c r="B44" i="8" l="1"/>
  <c r="B45" i="8" l="1"/>
  <c r="B46" i="8" l="1"/>
  <c r="B47" i="8" l="1"/>
  <c r="B48" i="8" l="1"/>
  <c r="B49" i="8" l="1"/>
  <c r="B50" i="8" l="1"/>
  <c r="B51" i="8" l="1"/>
  <c r="B52" i="8" l="1"/>
  <c r="B53" i="8" l="1"/>
  <c r="B54" i="8" l="1"/>
  <c r="B55" i="8" l="1"/>
  <c r="B56" i="8" l="1"/>
  <c r="B57" i="8" l="1"/>
  <c r="B58" i="8" l="1"/>
  <c r="B59" i="8" l="1"/>
  <c r="B60" i="8" l="1"/>
  <c r="B61" i="8" l="1"/>
  <c r="B62" i="8" l="1"/>
  <c r="B63" i="8" l="1"/>
  <c r="B64" i="8" l="1"/>
  <c r="B65" i="8" l="1"/>
  <c r="B66" i="8" l="1"/>
  <c r="B67" i="8" l="1"/>
  <c r="B68" i="8" l="1"/>
  <c r="B69" i="8" l="1"/>
  <c r="B70" i="8" l="1"/>
  <c r="B71" i="8" l="1"/>
  <c r="B72" i="8" l="1"/>
  <c r="B73" i="8" l="1"/>
  <c r="B74" i="8" l="1"/>
  <c r="B75" i="8" l="1"/>
  <c r="B76" i="8" l="1"/>
  <c r="B77" i="8" l="1"/>
  <c r="B78" i="8" l="1"/>
  <c r="B79" i="8" l="1"/>
  <c r="B80" i="8" l="1"/>
  <c r="B81" i="8" l="1"/>
  <c r="B82" i="8" l="1"/>
  <c r="B83" i="8" l="1"/>
  <c r="B84" i="8" l="1"/>
  <c r="B85" i="8" l="1"/>
  <c r="B86" i="8" l="1"/>
  <c r="B87" i="8" l="1"/>
  <c r="B88" i="8" l="1"/>
  <c r="B89" i="8" l="1"/>
  <c r="B90" i="8" l="1"/>
  <c r="B91" i="8" l="1"/>
  <c r="B92" i="8" l="1"/>
  <c r="B93" i="8" l="1"/>
  <c r="B94" i="8" l="1"/>
  <c r="B95" i="8" l="1"/>
  <c r="B96" i="8" l="1"/>
  <c r="B97" i="8" l="1"/>
  <c r="B98" i="8" l="1"/>
  <c r="B99" i="8" l="1"/>
  <c r="B100" i="8" l="1"/>
  <c r="B101" i="8" l="1"/>
  <c r="B102" i="8" l="1"/>
  <c r="B103" i="8" l="1"/>
  <c r="B104" i="8" l="1"/>
  <c r="B105" i="8" l="1"/>
  <c r="B106" i="8" l="1"/>
  <c r="B107" i="8" l="1"/>
  <c r="B108" i="8" l="1"/>
  <c r="B109" i="8" l="1"/>
  <c r="B110" i="8" l="1"/>
  <c r="B111" i="8" l="1"/>
  <c r="B112" i="8" l="1"/>
  <c r="B113" i="8" l="1"/>
  <c r="B114" i="8" l="1"/>
  <c r="B115" i="8" l="1"/>
  <c r="B116" i="8" l="1"/>
  <c r="B117" i="8" l="1"/>
  <c r="B118" i="8" l="1"/>
  <c r="B119" i="8" l="1"/>
  <c r="B120" i="8" l="1"/>
  <c r="B121" i="8" l="1"/>
  <c r="B122" i="8" l="1"/>
  <c r="B123" i="8" l="1"/>
  <c r="B124" i="8" l="1"/>
  <c r="B125" i="8" l="1"/>
  <c r="B126" i="8" l="1"/>
  <c r="B127" i="8" l="1"/>
  <c r="B128" i="8" l="1"/>
  <c r="B129" i="8" l="1"/>
  <c r="B130" i="8" l="1"/>
  <c r="B131" i="8" l="1"/>
  <c r="B132" i="8" l="1"/>
  <c r="B133" i="8" l="1"/>
  <c r="B134" i="8" l="1"/>
  <c r="B135" i="8" l="1"/>
  <c r="B136" i="8" l="1"/>
  <c r="B137" i="8" l="1"/>
  <c r="B138" i="8" l="1"/>
  <c r="B139" i="8" l="1"/>
  <c r="B140" i="8" l="1"/>
  <c r="B141" i="8" l="1"/>
  <c r="B142" i="8" l="1"/>
  <c r="B143" i="8" l="1"/>
  <c r="B144" i="8" l="1"/>
  <c r="B145" i="8" l="1"/>
  <c r="B146" i="8" l="1"/>
  <c r="B147" i="8" l="1"/>
  <c r="B148" i="8" l="1"/>
  <c r="B149" i="8" l="1"/>
  <c r="B150" i="8" l="1"/>
  <c r="B151" i="8" l="1"/>
  <c r="B152" i="8" l="1"/>
  <c r="B153" i="8" l="1"/>
  <c r="B154" i="8" l="1"/>
  <c r="B155" i="8" l="1"/>
  <c r="B156" i="8" l="1"/>
  <c r="B157" i="8" l="1"/>
  <c r="B158" i="8" l="1"/>
  <c r="B159" i="8" l="1"/>
  <c r="B160" i="8" l="1"/>
  <c r="B161" i="8" l="1"/>
  <c r="B162" i="8" l="1"/>
  <c r="B163" i="8" l="1"/>
  <c r="B164" i="8" l="1"/>
  <c r="B165" i="8" l="1"/>
  <c r="B166" i="8" l="1"/>
  <c r="B167" i="8" l="1"/>
  <c r="B168" i="8" l="1"/>
  <c r="B169" i="8" l="1"/>
  <c r="B170" i="8" l="1"/>
  <c r="B171" i="8" l="1"/>
  <c r="B172" i="8" l="1"/>
  <c r="B173" i="8" l="1"/>
  <c r="B174" i="8" l="1"/>
  <c r="B175" i="8" l="1"/>
  <c r="B176" i="8" l="1"/>
  <c r="B177" i="8" l="1"/>
  <c r="B178" i="8" l="1"/>
  <c r="B179" i="8" l="1"/>
  <c r="B180" i="8" l="1"/>
  <c r="B181" i="8" l="1"/>
  <c r="B182" i="8" l="1"/>
  <c r="B183" i="8" l="1"/>
  <c r="B184" i="8" l="1"/>
  <c r="B185" i="8" l="1"/>
  <c r="B186" i="8" l="1"/>
  <c r="B187" i="8" l="1"/>
  <c r="B188" i="8" l="1"/>
  <c r="B189" i="8" l="1"/>
  <c r="B190" i="8" l="1"/>
  <c r="B191" i="8" l="1"/>
  <c r="B192" i="8" l="1"/>
  <c r="B193" i="8" l="1"/>
  <c r="B194" i="8" l="1"/>
  <c r="B195" i="8" l="1"/>
  <c r="B196" i="8" l="1"/>
  <c r="B197" i="8" l="1"/>
  <c r="B198" i="8" l="1"/>
  <c r="B199" i="8" l="1"/>
  <c r="B200" i="8" l="1"/>
  <c r="B201" i="8" l="1"/>
  <c r="B202" i="8" l="1"/>
  <c r="B203" i="8" l="1"/>
  <c r="B204" i="8" l="1"/>
  <c r="B205" i="8" l="1"/>
  <c r="B206" i="8" l="1"/>
  <c r="B207" i="8" l="1"/>
  <c r="B208" i="8" l="1"/>
  <c r="B209" i="8" l="1"/>
  <c r="B210" i="8" l="1"/>
  <c r="B211" i="8" l="1"/>
  <c r="B212" i="8" l="1"/>
  <c r="B213" i="8" l="1"/>
  <c r="B214" i="8" l="1"/>
  <c r="B215" i="8" l="1"/>
  <c r="B216" i="8" l="1"/>
  <c r="B217" i="8" l="1"/>
  <c r="B218" i="8" l="1"/>
  <c r="B219" i="8" l="1"/>
  <c r="B220" i="8" l="1"/>
  <c r="B221" i="8" l="1"/>
  <c r="B222" i="8" l="1"/>
  <c r="B223" i="8" l="1"/>
  <c r="B224" i="8" l="1"/>
  <c r="B225" i="8" l="1"/>
  <c r="B226" i="8" l="1"/>
  <c r="B227" i="8" l="1"/>
  <c r="B228" i="8" l="1"/>
  <c r="B229" i="8" l="1"/>
  <c r="B230" i="8" l="1"/>
  <c r="B231" i="8" l="1"/>
  <c r="B232" i="8" l="1"/>
  <c r="B233" i="8" l="1"/>
  <c r="B234" i="8" l="1"/>
  <c r="B235" i="8" l="1"/>
  <c r="B236" i="8" l="1"/>
  <c r="B237" i="8" l="1"/>
  <c r="B238" i="8" l="1"/>
  <c r="B239" i="8" l="1"/>
  <c r="B240" i="8" l="1"/>
  <c r="B241" i="8" l="1"/>
  <c r="B242" i="8" l="1"/>
  <c r="B243" i="8" l="1"/>
  <c r="B244" i="8"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tc={36B4644B-152E-46AB-AAB2-EFFCB52E053B}</author>
  </authors>
  <commentList>
    <comment ref="A1" authorId="0" shapeId="0" xr:uid="{36B4644B-152E-46AB-AAB2-EFFCB52E053B}">
      <text>
        <t>[Threaded comment]
Your version of Excel allows you to read this threaded comment; however, any edits to it will get removed if the file is opened in a newer version of Excel. Learn more: https://go.microsoft.com/fwlink/?linkid=870924
Comment:
    This is a weak link. need to find a better way</t>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tc={B1B6FA7C-4BE8-4EFD-AC52-9E6726D590B2}</author>
    <author>tc={E29E7D76-57FC-4185-A808-CA850E9D1989}</author>
  </authors>
  <commentList>
    <comment ref="K2136" authorId="0" shapeId="0" xr:uid="{B1B6FA7C-4BE8-4EFD-AC52-9E6726D590B2}">
      <text>
        <t>[Threaded comment]
Your version of Excel allows you to read this threaded comment; however, any edits to it will get removed if the file is opened in a newer version of Excel. Learn more: https://go.microsoft.com/fwlink/?linkid=870924
Comment:
    Not on  ConQA</t>
      </text>
    </comment>
    <comment ref="J3547" authorId="1" shapeId="0" xr:uid="{E29E7D76-57FC-4185-A808-CA850E9D1989}">
      <text>
        <t xml:space="preserve">[Threaded comment]
Your version of Excel allows you to read this threaded comment; however, any edits to it will get removed if the file is opened in a newer version of Excel. Learn more: https://go.microsoft.com/fwlink/?linkid=870924
Comment:
    Might need to shift this line somewhere else
</t>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tc={4EDD4AE8-B802-4F1B-9A1A-7D681DAC1AA1}</author>
    <author>tc={4035E6A3-85F7-43DD-BCEB-7493800B2510}</author>
    <author>tc={926286FD-4CB8-4E5C-BD1F-E35777B3CB63}</author>
    <author>tc={31C0E7C7-2D67-4060-86DA-A578388D9D0F}</author>
    <author>tc={5235AAD7-0B60-42D9-903D-FFBAF80A2431}</author>
  </authors>
  <commentList>
    <comment ref="M1325" authorId="0" shapeId="0" xr:uid="{4EDD4AE8-B802-4F1B-9A1A-7D681DAC1AA1}">
      <text>
        <t>[Threaded comment]
Your version of Excel allows you to read this threaded comment; however, any edits to it will get removed if the file is opened in a newer version of Excel. Learn more: https://go.microsoft.com/fwlink/?linkid=870924
Comment:
    @Colin Alderson
Reply:
    @Michael Mitchelson I entered this for Leshani so let's make it Kevin Hickman only</t>
      </text>
    </comment>
    <comment ref="M1788" authorId="1" shapeId="0" xr:uid="{4035E6A3-85F7-43DD-BCEB-7493800B2510}">
      <text>
        <t>[Threaded comment]
Your version of Excel allows you to read this threaded comment; however, any edits to it will get removed if the file is opened in a newer version of Excel. Learn more: https://go.microsoft.com/fwlink/?linkid=870924
Comment:
    Building B
1.	East elevation (grid K)
2.	South Elevation
Reply:
    addition of new checklist for Ryman Project</t>
      </text>
    </comment>
    <comment ref="L2217" authorId="2" shapeId="0" xr:uid="{926286FD-4CB8-4E5C-BD1F-E35777B3CB63}">
      <text>
        <t xml:space="preserve">[Threaded comment]
Your version of Excel allows you to read this threaded comment; however, any edits to it will get removed if the file is opened in a newer version of Excel. Learn more: https://go.microsoft.com/fwlink/?linkid=870924
Comment:
    @Heather Swan this is for CLL, correct?
Reply:
    No this is for Johnston Civil </t>
      </text>
    </comment>
    <comment ref="N2318" authorId="3" shapeId="0" xr:uid="{31C0E7C7-2D67-4060-86DA-A578388D9D0F}">
      <text>
        <t>[Threaded comment]
Your version of Excel allows you to read this threaded comment; however, any edits to it will get removed if the file is opened in a newer version of Excel. Learn more: https://go.microsoft.com/fwlink/?linkid=870924
Comment:
    @Colin Alderson is this still necessary?</t>
      </text>
    </comment>
    <comment ref="N2445" authorId="4" shapeId="0" xr:uid="{5235AAD7-0B60-42D9-903D-FFBAF80A2431}">
      <text>
        <t>[Threaded comment]
Your version of Excel allows you to read this threaded comment; however, any edits to it will get removed if the file is opened in a newer version of Excel. Learn more: https://go.microsoft.com/fwlink/?linkid=870924
Comment:
    @Michael Mitchelson @Will Craine Can you please issue this checklist, it needs implementing and any additional testing will mean further adjustments.  The Kevin Hickman queries can be accounted for under this checklist structure.  Happy to discuss further if required.</t>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1BAEA8E6-829F-478A-BFBE-79C1363A0748}" keepAlive="1" name="Query - changes" description="Connection to the 'changes' query in the workbook." type="5" refreshedVersion="0" saveData="1">
    <dbPr connection="Provider=Microsoft.Mashup.OleDb.1;Data Source=$Workbook$;Location=changes;Extended Properties=&quot;&quot;" command="SELECT * FROM [changes]"/>
  </connection>
  <connection id="2" xr16:uid="{24515AF3-5C76-44E9-8688-E51692FDBBEF}" keepAlive="1" name="Query - Checklists" description="Connection to the 'Checklists' query in the workbook." type="5" refreshedVersion="8" background="1" saveData="1">
    <dbPr connection="Provider=Microsoft.Mashup.OleDb.1;Data Source=$Workbook$;Location=Checklists;Extended Properties=&quot;&quot;" command="SELECT * FROM [Checklists]"/>
  </connection>
</connection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<sst xmlns="http://schemas.openxmlformats.org/spreadsheetml/2006/main" count="44943" uniqueCount="3022">
  <si>
    <t>Checklist Names</t>
  </si>
  <si>
    <t>Sites</t>
  </si>
  <si>
    <t>Discipline</t>
  </si>
  <si>
    <t>User</t>
  </si>
  <si>
    <t>Change Type</t>
  </si>
  <si>
    <t>Status</t>
  </si>
  <si>
    <t>All</t>
  </si>
  <si>
    <t>William Sanders</t>
  </si>
  <si>
    <t>Civil</t>
  </si>
  <si>
    <t>Subcontractor</t>
  </si>
  <si>
    <t>Addition</t>
  </si>
  <si>
    <t>Denied</t>
  </si>
  <si>
    <t>Murray Halberg</t>
  </si>
  <si>
    <t>Foundation</t>
  </si>
  <si>
    <t>Main Contractor</t>
  </si>
  <si>
    <t>Edit</t>
  </si>
  <si>
    <t>Processing</t>
  </si>
  <si>
    <t>Linda Jones</t>
  </si>
  <si>
    <t>Structure</t>
  </si>
  <si>
    <t>Deletion</t>
  </si>
  <si>
    <t>Approved</t>
  </si>
  <si>
    <t>Keith Park</t>
  </si>
  <si>
    <t>Façade</t>
  </si>
  <si>
    <t>Site Specific</t>
  </si>
  <si>
    <t>Updated in ConQA</t>
  </si>
  <si>
    <t>Miriam Corban</t>
  </si>
  <si>
    <t>Postline</t>
  </si>
  <si>
    <t>New Checklist</t>
  </si>
  <si>
    <t>Implemented</t>
  </si>
  <si>
    <t>James Wattie</t>
  </si>
  <si>
    <t>Preline</t>
  </si>
  <si>
    <t>Kevin Hickman</t>
  </si>
  <si>
    <t>Services</t>
  </si>
  <si>
    <t>Newtown</t>
  </si>
  <si>
    <t>Handover</t>
  </si>
  <si>
    <t>Park Terrace</t>
  </si>
  <si>
    <t>Completion Documents</t>
  </si>
  <si>
    <t>Karori</t>
  </si>
  <si>
    <t>Northwood/Radcliffe Rd</t>
  </si>
  <si>
    <t>Takapuna</t>
  </si>
  <si>
    <t>Cambridge</t>
  </si>
  <si>
    <t>Karaka</t>
  </si>
  <si>
    <t>ID</t>
  </si>
  <si>
    <t>ChecklistID</t>
  </si>
  <si>
    <t>Order</t>
  </si>
  <si>
    <t>ChecklistOrder</t>
  </si>
  <si>
    <t>Version</t>
  </si>
  <si>
    <t>Checklist</t>
  </si>
  <si>
    <t>Type</t>
  </si>
  <si>
    <t>Name</t>
  </si>
  <si>
    <t>Value</t>
  </si>
  <si>
    <t>Site</t>
  </si>
  <si>
    <t>Ryman</t>
  </si>
  <si>
    <t>C - R - Asbestos Removal</t>
  </si>
  <si>
    <t>checklist-flat</t>
  </si>
  <si>
    <t>checkpoint</t>
  </si>
  <si>
    <t>Demolition Survey reviewed and attached</t>
  </si>
  <si>
    <t>Asbestos Removal Control Plan (ARCP) reviewed and attached</t>
  </si>
  <si>
    <t>Background Air Monitoring Results (BGAM) reviewed and attached</t>
  </si>
  <si>
    <t>Clearance Certificates reviewed and attached</t>
  </si>
  <si>
    <t>All asbestos removed and approval given to progress with work</t>
  </si>
  <si>
    <t>C - R - Bulk Excavation</t>
  </si>
  <si>
    <t>Relevant inspections completed and attached and any observations recorded and closed out</t>
  </si>
  <si>
    <t>Trades QA received, attached, reviewed and approved</t>
  </si>
  <si>
    <t>holdpoint</t>
  </si>
  <si>
    <t>Raise remedial / Request Signoff</t>
  </si>
  <si>
    <t>Excavation completed - Correct locations and RL's achieved</t>
  </si>
  <si>
    <t>C - R - Connection to public systems</t>
  </si>
  <si>
    <t>Approval to connect given by relevant Authority (AC, Watercare, Vector, etc)</t>
  </si>
  <si>
    <t>Area signed off by engineer</t>
  </si>
  <si>
    <t>Pipe line connected in accordance with requirements,  checked and accurate</t>
  </si>
  <si>
    <t>C - R - Demolition</t>
  </si>
  <si>
    <t>Demolition completed and acceptable</t>
  </si>
  <si>
    <t>C - R - Detailed Excavation</t>
  </si>
  <si>
    <t>C - R - Lift Pit Installation</t>
  </si>
  <si>
    <t xml:space="preserve">Lift Pit installation completed and acceptable </t>
  </si>
  <si>
    <t>C - R - Manhole Installation</t>
  </si>
  <si>
    <t>Manhole Installation completed as per the specifications</t>
  </si>
  <si>
    <t>C - R - Pipe Laying</t>
  </si>
  <si>
    <t>Stormwater pipe laying completed as per the specifications</t>
  </si>
  <si>
    <t>C - R - Service Trenches - Common Service Trenches</t>
  </si>
  <si>
    <t>Common service trench works completed as per the specifications</t>
  </si>
  <si>
    <t>C - R - Service Trenches - Pulling Pits</t>
  </si>
  <si>
    <t>Pulling Pits trench works completed as per the specifications</t>
  </si>
  <si>
    <t>C - S - Bulk Excavation</t>
  </si>
  <si>
    <t>Excavation depth determined using appropriate RL's (Check relevant drawings and revisions)</t>
  </si>
  <si>
    <t>Confirm location and isolation of relevant services</t>
  </si>
  <si>
    <t>Batters formed correctly</t>
  </si>
  <si>
    <t>Trenches/ pits / hazardous areas appropriately isolated</t>
  </si>
  <si>
    <t>Soft spots identified and appropriate remedial completed</t>
  </si>
  <si>
    <t>Hardfill/ blinding installed correctly to required specification</t>
  </si>
  <si>
    <t>Static Rolled (2 photos required)</t>
  </si>
  <si>
    <t>Scala Test and results upload (including supporting documents)</t>
  </si>
  <si>
    <t>Inspections completed and issued to Foreman</t>
  </si>
  <si>
    <t>CLICK AND SEND EMAIL TO FOREMAN TO SIGN FOR RECEIPT OF THE INSPECTION RESULTS</t>
  </si>
  <si>
    <t>C - S - Demolition</t>
  </si>
  <si>
    <t>Traffic management plan (TMP) in place</t>
  </si>
  <si>
    <t>Noise and Vibration Management Plan (NVMP) in place</t>
  </si>
  <si>
    <t>All relevant services isolated</t>
  </si>
  <si>
    <t>bool</t>
  </si>
  <si>
    <t>Power isolated</t>
  </si>
  <si>
    <t>Waste/storm water isolated</t>
  </si>
  <si>
    <t>Gas isolated</t>
  </si>
  <si>
    <t>Telecommunication/Fibre isolated</t>
  </si>
  <si>
    <t>All pre demolition works completed and approval given to commence demolition</t>
  </si>
  <si>
    <t>All demolition works completed, checked and approved</t>
  </si>
  <si>
    <t>C - S - Detailed Excavation</t>
  </si>
  <si>
    <t>Grids/profiles/set out completed, clearly marked and accurate</t>
  </si>
  <si>
    <t>Excavation depths and locations confirmed prior to detailed excavation commencing</t>
  </si>
  <si>
    <t>Services (overhead / below ground) identified, isolated where required before excavation commences</t>
  </si>
  <si>
    <t>Approval given to commence detailed excavation</t>
  </si>
  <si>
    <t>Excavation checked, correct and approved</t>
  </si>
  <si>
    <t>Location accurate</t>
  </si>
  <si>
    <t>Depth correct (allow for site concrete if required)</t>
  </si>
  <si>
    <t>Width correct (allow for boxing if required)</t>
  </si>
  <si>
    <t>Placement of Geotextile (2 photos required)</t>
  </si>
  <si>
    <t xml:space="preserve">Placement of hardfill </t>
  </si>
  <si>
    <t>Placement of Geogrid (2 photos)</t>
  </si>
  <si>
    <t>NDM test and report (supporting documents incl. photos)</t>
  </si>
  <si>
    <t>Completed level of hardfill (completion NDM test with report and supporting documents (incl. photos) and uploaded into QA system)</t>
  </si>
  <si>
    <t>Any additional layer of hardfill (300mm) requires an NDM test (report and supporting documents (incl. photos) sent uploaded into QA system</t>
  </si>
  <si>
    <t>Hold Point</t>
  </si>
  <si>
    <t>Sand blinding and check final RL. (completion required to handover to the next stage-townhouses only)</t>
  </si>
  <si>
    <t>Excavation for services is completed and accurate</t>
  </si>
  <si>
    <t>Excess material cleaned up and removed as required</t>
  </si>
  <si>
    <t>Detailed excavation completed, reviewed and approved</t>
  </si>
  <si>
    <t>C - S - Lift Pit Installation</t>
  </si>
  <si>
    <t>Set-out completed, checked and accurate</t>
  </si>
  <si>
    <t xml:space="preserve">Excavation location and depth accurate </t>
  </si>
  <si>
    <t xml:space="preserve">Bedding depth and material correct </t>
  </si>
  <si>
    <t>Backfill completed and compacted as per specifications</t>
  </si>
  <si>
    <t>Backfill completed correctly and heights checked/correct</t>
  </si>
  <si>
    <t>C - S - Manhole Installation</t>
  </si>
  <si>
    <t>Manhole installed to specified height and invert level</t>
  </si>
  <si>
    <t>Manhole risers &amp; steps installed and joints sealed as specified</t>
  </si>
  <si>
    <t>Manhole benching completed and acceptable</t>
  </si>
  <si>
    <t>Concrete manhole cover installed and sitting correctly with hole covered if required</t>
  </si>
  <si>
    <t>Cast Iron lid installed and sitting at correct height</t>
  </si>
  <si>
    <t>Manhole installation completed as per the specifications</t>
  </si>
  <si>
    <t>Backfill completed &amp; compacted as per the specifications</t>
  </si>
  <si>
    <t>C - S - Retaining Walls</t>
  </si>
  <si>
    <t>Area prepared - Excavation depths and location of wall checked and correct</t>
  </si>
  <si>
    <t>Footing setout/ heights confirmed</t>
  </si>
  <si>
    <t>Footing checked by engineer ready for pour</t>
  </si>
  <si>
    <t>Footing concrete poured to correct level &amp; finish</t>
  </si>
  <si>
    <t>Retaining wall(s) setout/heights confirmed</t>
  </si>
  <si>
    <t>Correct materials used and installed using appropriate methodology</t>
  </si>
  <si>
    <t>Backfill completed - correct materials and compaction methodology used - specified compaction achieved</t>
  </si>
  <si>
    <t>All relevant services / waterproofing elements completed, checked and approved prior to backfill</t>
  </si>
  <si>
    <t>Balustrades and handrails installed, checked and approved</t>
  </si>
  <si>
    <t>Retaining wall completed to required specifications</t>
  </si>
  <si>
    <t>C - S - Rodding Eye</t>
  </si>
  <si>
    <t>Rodding eye installation completed to required specifications</t>
  </si>
  <si>
    <t>Correct rodding eye (size, material &amp; class) installed</t>
  </si>
  <si>
    <t>Laid to specified level</t>
  </si>
  <si>
    <t>Installed in correct location</t>
  </si>
  <si>
    <t>C - S - Service Trenches - Common Service Trenches</t>
  </si>
  <si>
    <t>Bedding for Trench completed and acceptable</t>
  </si>
  <si>
    <t>Installed correct number of Power Ducts and Comms Ducts as per cross section drawings</t>
  </si>
  <si>
    <t>Covering ducts installed with fines at correct depth and confirmed</t>
  </si>
  <si>
    <t xml:space="preserve">Mag slab laid on top of ducts </t>
  </si>
  <si>
    <t xml:space="preserve">Trech work completed and acceptable </t>
  </si>
  <si>
    <t>C - S - Service Trenches - Pulling Pits</t>
  </si>
  <si>
    <t>Draw cords in each duct installed</t>
  </si>
  <si>
    <t>C - S - Subsoil Drainage</t>
  </si>
  <si>
    <t xml:space="preserve">Subsoil Drainage location and depth accurate </t>
  </si>
  <si>
    <t>Correct pipe (size, material &amp; class) laid to specified level, grade and jointed as specified</t>
  </si>
  <si>
    <t>Subsoil drainage installation completed as per the specifications</t>
  </si>
  <si>
    <t>C - S - Underground Detention Chambers</t>
  </si>
  <si>
    <t>Geotextile laid as specified</t>
  </si>
  <si>
    <t>Underdrain laid as per the specifications</t>
  </si>
  <si>
    <t>Angular stone laid as specified pre-installation of M22 chambers</t>
  </si>
  <si>
    <t>Chambers installed as per the specifications</t>
  </si>
  <si>
    <t>DIA riser, ring, cover and concrete collar installed as per the specifications</t>
  </si>
  <si>
    <t xml:space="preserve">Connections to manholes completed and approved </t>
  </si>
  <si>
    <t>Angular stone laid as specified post installation of M22 chambers</t>
  </si>
  <si>
    <t>Pipe laying completed as per the specifications</t>
  </si>
  <si>
    <t>Scour protection sheet base installed as per the specifications</t>
  </si>
  <si>
    <t>3 layers of Duragrid on top of subgrade as per the specifications</t>
  </si>
  <si>
    <t>Confirmation of inspection port with Engineer prior to installation</t>
  </si>
  <si>
    <t>Inspection port installed as per specification and location agreement with Engineer</t>
  </si>
  <si>
    <t>150mm coil installation as per specification</t>
  </si>
  <si>
    <t>Cirtex Triton M22 Chambers completed, reviewed, and approved</t>
  </si>
  <si>
    <t>Completion Docs</t>
  </si>
  <si>
    <t>CST - R - Civil Consent</t>
  </si>
  <si>
    <t>Title Recorded</t>
  </si>
  <si>
    <t>Final Inspection Passed</t>
  </si>
  <si>
    <t>Summary sheet - site inspection records</t>
  </si>
  <si>
    <t>Summary sheet - LBP Records</t>
  </si>
  <si>
    <t>Drainage</t>
  </si>
  <si>
    <t>Producer Statement Construction(PS3): sub-soil drains</t>
  </si>
  <si>
    <t>Producer Statement Construction(PS3): drainage</t>
  </si>
  <si>
    <t>Drainage as built plan</t>
  </si>
  <si>
    <t>Producer Statement Construction(PS3): Stormwater Management</t>
  </si>
  <si>
    <t>Producer Statement Review(PS4): Stormwater management approved by council Engineer</t>
  </si>
  <si>
    <t>Operations and Maintenance manual for stormwater management systems</t>
  </si>
  <si>
    <t>Backflow test Certificate</t>
  </si>
  <si>
    <t>Yes,No,N/A</t>
  </si>
  <si>
    <t>Drainage Pump Systems</t>
  </si>
  <si>
    <t>Producer Statement Construction(PS3): installation of drainage pump system</t>
  </si>
  <si>
    <t>Manufacturer's warranty for pump system</t>
  </si>
  <si>
    <t>Maintenance agreement for pump system</t>
  </si>
  <si>
    <t>On-Site wastewater Systems</t>
  </si>
  <si>
    <t>Producer Statement Construction(PS3): wastewater treatment and disposal system</t>
  </si>
  <si>
    <t>Plan showing location of treatment and disposal of systems</t>
  </si>
  <si>
    <t>Producer Statement Review(PS4): System of onsite treatment and disposal of wastewater</t>
  </si>
  <si>
    <t xml:space="preserve">Maintenance agreement for on-site wastewater treatment and disposal system </t>
  </si>
  <si>
    <t>Development Engineering</t>
  </si>
  <si>
    <t>Written approval of works completed within 2m of public waste water drainage</t>
  </si>
  <si>
    <t>Engineering Approval Completion Certificate for ENG</t>
  </si>
  <si>
    <t>Watercare Services/Viola Approval</t>
  </si>
  <si>
    <t>Certificate of connection for both incoming and outgoing water to the public system</t>
  </si>
  <si>
    <t>Written approval of completed works</t>
  </si>
  <si>
    <t>CST - R - Council Inspection</t>
  </si>
  <si>
    <t>text</t>
  </si>
  <si>
    <t>Date of Inspection</t>
  </si>
  <si>
    <t>Type of Inspection</t>
  </si>
  <si>
    <t>Area Inspection relates to</t>
  </si>
  <si>
    <t>dropdown</t>
  </si>
  <si>
    <t>Inspection outcome</t>
  </si>
  <si>
    <t>Pass, Partial Pass, Fail</t>
  </si>
  <si>
    <t>Council inspection attached</t>
  </si>
  <si>
    <t>Relevant Observation Closeout evidence attached below if applicable (pass once completed)</t>
  </si>
  <si>
    <t>Failed comments and Required Action</t>
  </si>
  <si>
    <t>CST - R - Demolition Consent</t>
  </si>
  <si>
    <t>Final Inspection passed</t>
  </si>
  <si>
    <t>Summary Sheet - Site inspection records</t>
  </si>
  <si>
    <t>Summary Sheet - LBP Records</t>
  </si>
  <si>
    <t>Asbestos - Asbestos Clearance Certificates &amp; PS3</t>
  </si>
  <si>
    <t>Demolition - PS3</t>
  </si>
  <si>
    <t>CST - R - Façade Consent</t>
  </si>
  <si>
    <t>Exterior</t>
  </si>
  <si>
    <t>Producer Statement Construction(PS3): Plaster system and manufacturer's product warranty</t>
  </si>
  <si>
    <t>Producer Statement Construction(PS3): Brick work and manufacturer's product warranty</t>
  </si>
  <si>
    <t>Glazing and external joinery</t>
  </si>
  <si>
    <t>Producer statement for aluminium joinery complying with NZS4211:2008</t>
  </si>
  <si>
    <t>Producer Statement Construction(PS3): safety glazing in compliance with NZS4211:2008</t>
  </si>
  <si>
    <t>Producer Statement Design(PS1) from joinery manufacturer</t>
  </si>
  <si>
    <t>Producer statement for fire rated windows confirming compliance with NZS4232</t>
  </si>
  <si>
    <t>Waterproofing</t>
  </si>
  <si>
    <t>Producer Statement Construction(PS3): Roof membrane and Manufacturer's product warranty</t>
  </si>
  <si>
    <t>Producer Statement Construction(PS3): Deck Membrane and manufacturer's product warranty</t>
  </si>
  <si>
    <t>Producer Statement Construction(PS3): Tanking membrane and manufacturer's product warranty</t>
  </si>
  <si>
    <t>Roof abseil and fall arrest system</t>
  </si>
  <si>
    <t>Producer Statement Design(PS1): installation of roof abseil and/or fall arrest system</t>
  </si>
  <si>
    <t>Producer Statement Construction(PS3): installation of roof abseil and/or fall arrest system</t>
  </si>
  <si>
    <t>Producer Statement Review(PS4): installation of roof abseil and/or fall arrest system</t>
  </si>
  <si>
    <t>Balustrades</t>
  </si>
  <si>
    <t>Producer Statement Construction (PS3) for the balustrade installation</t>
  </si>
  <si>
    <t>Façade systems</t>
  </si>
  <si>
    <t>Producer Statement Review(PS4): from council approved façade engineer for façade system</t>
  </si>
  <si>
    <t>Written report from council approved façade engineer for façade system (supporting the PS4)</t>
  </si>
  <si>
    <t>Producer Statement Construction(PS3): installation of the façade system</t>
  </si>
  <si>
    <t>Façade System Maintenance Manual</t>
  </si>
  <si>
    <t>Warranties/Guarantees from main and sub-contractors</t>
  </si>
  <si>
    <t>CST - R - Fire Consent</t>
  </si>
  <si>
    <t>Electrical</t>
  </si>
  <si>
    <t>Electrical compliance and safety certificate</t>
  </si>
  <si>
    <t>record of inspections for high risk works</t>
  </si>
  <si>
    <t>Fire rated (Intumescent) Coatings to Structural Steel</t>
  </si>
  <si>
    <t>Producer Statement Construction(PS3 - AC2334): Intumescent coatings to structural steel from approved applicator</t>
  </si>
  <si>
    <t>Suppliers material schedule - products used and thicknesses applied</t>
  </si>
  <si>
    <t>Floor plan of intumescent coating locations</t>
  </si>
  <si>
    <t>Fire Rated and Stopping Systems</t>
  </si>
  <si>
    <t>Producer Statement Construction(PS3): Fire stopping of penetrations(collars, wraps, sealants) for Plumbing, Mechanical, Ventilation and Communication services</t>
  </si>
  <si>
    <t>Fire rated penetration Schedule: Plumbing, Mechanical, Ventilation and Communication Services</t>
  </si>
  <si>
    <t>As built plans: penetrations</t>
  </si>
  <si>
    <t xml:space="preserve">Producer Statement Construction(PS3): Installed fire rated constructions; fire rated walls, partitions, floors and ceilings to show fire rating </t>
  </si>
  <si>
    <t>Fire door declaration documentation and register of door sets by the manufacturer (refer NZS4520: 2010 clause 6.4.3</t>
  </si>
  <si>
    <t>Checkpoint</t>
  </si>
  <si>
    <t>Sprinkler systems</t>
  </si>
  <si>
    <t>Producer Statement Construction(PS3): Automatic sprinkler system (in compliance with NZS4514:2013)</t>
  </si>
  <si>
    <t>Accredited inspection company's automatic sprinkler system certification confirming compliance with NZS4514:2013</t>
  </si>
  <si>
    <t>As built documentation; sprinkler block plan, equipment manufacture register</t>
  </si>
  <si>
    <t>Manual and Automatic fire alarms</t>
  </si>
  <si>
    <t>Producer Statement construction(PS3): Manual/automatic fire alarm in compliance with NZS4512:2010</t>
  </si>
  <si>
    <t>Accredited inspection company's fire alarm certification confirming compliance with NZS4512:2010 (new system)</t>
  </si>
  <si>
    <t>As built documentation; zone index plan, operation manual and maintenance manual</t>
  </si>
  <si>
    <t>Riser Mains for use by fire services</t>
  </si>
  <si>
    <t>Producer Statement Construction(PS3): fire hydrant riser confirming compliance with NZS4510:2008</t>
  </si>
  <si>
    <t>Certificate of Compliance or Verification Report for fire hydrant riser confirming compliance with NZS4510:2008</t>
  </si>
  <si>
    <t>As built documentation; fire hydrant schematic as built</t>
  </si>
  <si>
    <t>Emergency Lighting systems</t>
  </si>
  <si>
    <t>Producer Statement Construction(PS3): Emergency lighting from electrical contractor confirming compliance with NZBC F6</t>
  </si>
  <si>
    <t>Producer Statement Review(PS4): Emergency Lighting from council approved electrical engineer confirming compliance with NZBC F6</t>
  </si>
  <si>
    <t>Duration test results for emergency light fitting from electrical contractor or IQP</t>
  </si>
  <si>
    <t>Lux test results for the emergency lighting system</t>
  </si>
  <si>
    <t>As built plan with model of systems installed</t>
  </si>
  <si>
    <t>Electrical work certificate</t>
  </si>
  <si>
    <t>Fire separation that forms part of the means of escape from fire</t>
  </si>
  <si>
    <t>As built plans confirming final location of Fire separation that forms part of the means of escape from fire</t>
  </si>
  <si>
    <t>Smoke separation that forms part of the means of escape from fire</t>
  </si>
  <si>
    <t>As built plans confirming final location of walls forming a protected path in a building, smoke resistant lift lobby, smoke stop door, smoke cell</t>
  </si>
  <si>
    <t>interfaced fire or smoke doors on windows</t>
  </si>
  <si>
    <t>Producer Statement Construction(PS3): installation of magnetic door holders</t>
  </si>
  <si>
    <t>As built documentation; location of systems, the make of the systems, operation manuals and maintenance manuals</t>
  </si>
  <si>
    <t>final exits</t>
  </si>
  <si>
    <t>as built plans confirming location of final exit (include info on if any doors are automatic or access controlled)</t>
  </si>
  <si>
    <t>Signs for all systems</t>
  </si>
  <si>
    <t xml:space="preserve">SS 1/1: Sign showing maximum storage heights </t>
  </si>
  <si>
    <t xml:space="preserve">SS 2/1: Sign showing how to operate a fire alarm call point </t>
  </si>
  <si>
    <t xml:space="preserve">SS 3/1: Sign showing location of accessible automatic </t>
  </si>
  <si>
    <t xml:space="preserve">SS 3/2: Sign showing and automatic closing fire or smoke door </t>
  </si>
  <si>
    <t xml:space="preserve">SS 3/2: Sign showing location of an emergency door release on access control doors </t>
  </si>
  <si>
    <t xml:space="preserve">SS 8/1: Sign showing location of accessible lift </t>
  </si>
  <si>
    <t xml:space="preserve">Sign showing not to use the lift in event of fire </t>
  </si>
  <si>
    <t xml:space="preserve">Sign showing lift load ratings </t>
  </si>
  <si>
    <t>SS 8/3: Sign showing hazards to escalators and moving walks</t>
  </si>
  <si>
    <t>Fire safety construction review</t>
  </si>
  <si>
    <t>Producer Statement Review(PS4): council approved fire engineer to confirm systems conform with the relevant NZBC clauses and fire reports</t>
  </si>
  <si>
    <t xml:space="preserve">Application for compliance schedule (AC2102) </t>
  </si>
  <si>
    <t>Confirmation of performance standards for specified systems (AC2150)</t>
  </si>
  <si>
    <t>CST - R - Fitout Consent</t>
  </si>
  <si>
    <t>Summary sheet  - LBP records</t>
  </si>
  <si>
    <t>Producer Statement Construction(PS3): Waterproofing Membrane</t>
  </si>
  <si>
    <t>Manufacturer's warranty for waterproofing membrane</t>
  </si>
  <si>
    <t>Surface Coatings</t>
  </si>
  <si>
    <t>Producer Statement Construction(PS3): surface finishes complying with (material categories 1-3 – NZBC clause C3.4(a)</t>
  </si>
  <si>
    <t>Producer Statement Construction(PS3): floor surface materials complying with (NZBC clause C3.4(b))</t>
  </si>
  <si>
    <t>Acoustic testing</t>
  </si>
  <si>
    <t>Report/Test certificates from council approved acoustic engineer confirming compliance with NZBC G6</t>
  </si>
  <si>
    <t>Producer Statement Construction(PS3) for balustrade installation</t>
  </si>
  <si>
    <t>Producer Statement Construction(PS3) for proprietary products</t>
  </si>
  <si>
    <t>CST - R - Foundation Consent</t>
  </si>
  <si>
    <t>Record of title</t>
  </si>
  <si>
    <t>Pre-cast concrete</t>
  </si>
  <si>
    <t xml:space="preserve">Producer Statement Design(PS1): Prestressed concrete beams and floor units </t>
  </si>
  <si>
    <t xml:space="preserve">Producer Statement Construction(PS3): Prestressed concrete beams and floor units </t>
  </si>
  <si>
    <t xml:space="preserve">Producer Statement Review(PS4): Prestressed concrete beams and floor units </t>
  </si>
  <si>
    <t xml:space="preserve">Shop drawings for concrete beams and floor units </t>
  </si>
  <si>
    <t>Producer Statement Construction(PS3): sub-soil drainage</t>
  </si>
  <si>
    <t>Mill certificates</t>
  </si>
  <si>
    <t>Concrete dockets</t>
  </si>
  <si>
    <t>Producer Statement Review(PS4): Engineer's observation</t>
  </si>
  <si>
    <t>Surveyor certificate for siting</t>
  </si>
  <si>
    <t>CST - R - Hydraulic Consent</t>
  </si>
  <si>
    <t>Plumbing</t>
  </si>
  <si>
    <t>Producer Statement Construction (PS3): Plumbing</t>
  </si>
  <si>
    <t>Confirmation of water saving devices</t>
  </si>
  <si>
    <t>Plumbing under slab as built plan</t>
  </si>
  <si>
    <t>Producer Statement Review(PS4): hydraulic systems of the building from a council approved engineer</t>
  </si>
  <si>
    <t>Gas-fitting Work Certificate</t>
  </si>
  <si>
    <t>Automatic Backflow Preventers Connected to Potable Water supply</t>
  </si>
  <si>
    <t>Backflow prevention - PS3 and test certificates showing location and type of devices</t>
  </si>
  <si>
    <t>Application for compliance schedule (AC2102)</t>
  </si>
  <si>
    <t>CST - R - Mechanical Consent</t>
  </si>
  <si>
    <t>Automatic doors</t>
  </si>
  <si>
    <t>Producer Statement Construction(PS3): automatic door installation and failsafe override</t>
  </si>
  <si>
    <t>As built documentation; plans, operation and maintenance manual</t>
  </si>
  <si>
    <t>Access controlled doors</t>
  </si>
  <si>
    <t>Producer Statement Construction(PS3): installation of access control to doors and failsafe override</t>
  </si>
  <si>
    <t>As built documentation; location of systems, the make of the systems and operation manuals</t>
  </si>
  <si>
    <t>Escape route pressurization systems</t>
  </si>
  <si>
    <t>Producer Statement Construction(PS3): Installation of escape route pressurization systems from approved mechanical contractor</t>
  </si>
  <si>
    <t>Producer Statement Review(PS4):  Installation of escape route pressurization systems from approved mechanical contractor</t>
  </si>
  <si>
    <t>test/commissioning results verifying measured airflow rates meet design and interface with alarm system</t>
  </si>
  <si>
    <t>As built documentation; equipment schedules and make of systems, operation and maintenance manuals</t>
  </si>
  <si>
    <t>Passenger Carrying Lifts</t>
  </si>
  <si>
    <t>Codemark construction certification and inspection/maintenance sheets</t>
  </si>
  <si>
    <t>Mechanical ventilation or air conditioning system</t>
  </si>
  <si>
    <t>Producer Statement Construction(PS3): Kitchen extract system (compliance with NZBC G4)</t>
  </si>
  <si>
    <t>Producer Statement Construction(PS3): Confirmation from mechanical contractor the systems comply with NZBC G4</t>
  </si>
  <si>
    <t>Producer Statement Review(PS4): Confirmation from council approved mechanical engineer that the systems comply with NZBC G4</t>
  </si>
  <si>
    <t>Producer Statement Review(PS4): Installation of seismic restraints in accordance with NZS 4219:2009:"Seismic Performance of Engineering Systems in Buildings"</t>
  </si>
  <si>
    <t>CST - R - Piling Consent</t>
  </si>
  <si>
    <t>Record of Title</t>
  </si>
  <si>
    <t>Construction Review</t>
  </si>
  <si>
    <t>Producer Statement Review(PS4): Geotechnical</t>
  </si>
  <si>
    <t>Producer Statement Review(PS4): Compaction of hardfill</t>
  </si>
  <si>
    <t>Producer Statement Review(PS4): Drain Bridging</t>
  </si>
  <si>
    <t>Producer Statement Construction(PS3): Piling</t>
  </si>
  <si>
    <t>Pile records and cards</t>
  </si>
  <si>
    <t>CST - R - Restricted Building Works Consent</t>
  </si>
  <si>
    <t>Record of works</t>
  </si>
  <si>
    <t>Foundations</t>
  </si>
  <si>
    <t>Slab or subfloor framing</t>
  </si>
  <si>
    <t>Blockwork</t>
  </si>
  <si>
    <t>Walls</t>
  </si>
  <si>
    <t>Roof</t>
  </si>
  <si>
    <t>Columns and Beams</t>
  </si>
  <si>
    <t>Bracing</t>
  </si>
  <si>
    <t>Damp proofing</t>
  </si>
  <si>
    <t>Roof cladding or roof cladding system</t>
  </si>
  <si>
    <t>Ventilation system</t>
  </si>
  <si>
    <t>Wall cladding or wall cladding system</t>
  </si>
  <si>
    <t>Record of warranties</t>
  </si>
  <si>
    <t>CST - R - Site Inspection Details</t>
  </si>
  <si>
    <t xml:space="preserve">Specific site works location </t>
  </si>
  <si>
    <t>Contractor QA reviewed and approved</t>
  </si>
  <si>
    <t>Have the consented drawings been followed?</t>
  </si>
  <si>
    <t>General comments, photos, and observations during inspection</t>
  </si>
  <si>
    <t>Works completed to required specifications - Engineer signoff</t>
  </si>
  <si>
    <t>CST - R - Structural Consent</t>
  </si>
  <si>
    <t>Producer Statement Design(PS1): Prestressed beams, walls, stairs, columns and floor units</t>
  </si>
  <si>
    <t>Producer Statement Construction(PS3): Prestressed beams, walls, stairs, columns and floor units</t>
  </si>
  <si>
    <t>Producer Statement Review(PS4): Prestressed beams, walls, stairs, columns and floor units</t>
  </si>
  <si>
    <t>Structural Steel</t>
  </si>
  <si>
    <t>Producer Statement Construction(PS3): Corrosion Protection</t>
  </si>
  <si>
    <t>ITPs approved by structural engineer</t>
  </si>
  <si>
    <t>weld inspection and test records</t>
  </si>
  <si>
    <t>Trusses</t>
  </si>
  <si>
    <t>Producer Statement Design(PS1): Layout Plan for timber roof trusses</t>
  </si>
  <si>
    <t>Producer Statement Construction(PS3): for timber roof trusses</t>
  </si>
  <si>
    <t>Construction Review (Structural)</t>
  </si>
  <si>
    <t>Producer Statement Construction Review(PS4): Certification of work in accordance with design, drawings, specifications and material codes</t>
  </si>
  <si>
    <t>Producer Statement Construction Review(PS4): excavation near boundary and site observation notes</t>
  </si>
  <si>
    <t>Producer Statement Construction Review(PS4): Raft slab and site observation notes</t>
  </si>
  <si>
    <t>Producer Statement Construction Review(PS4): Swimming pool and site observation notes</t>
  </si>
  <si>
    <t>Producer Statement Construction Review(PS4): Type A or B masonry and site observation notes</t>
  </si>
  <si>
    <t>Producer Statement Construction Review(PS4): Underpinning and site observation notes</t>
  </si>
  <si>
    <t>Producer Statement Construction Review(PS4): Structural steel including connections and site observation notes</t>
  </si>
  <si>
    <t>Producer Statement Construction Review(PS4): Timber pole retaining wall and site observation notes</t>
  </si>
  <si>
    <t>Producer Statement Construction Review(PS4): reinforced concrete foundations and site observation notes</t>
  </si>
  <si>
    <t>Producer Statement Construction Review(PS4): Suspended concrete slab and site observation notes</t>
  </si>
  <si>
    <t>Producer Statement Construction Review(PS4): Precast elements and site observation notes</t>
  </si>
  <si>
    <t>Structural engineer's variations and contractor advice notes</t>
  </si>
  <si>
    <t>Surveyor certificate for finished floor levels</t>
  </si>
  <si>
    <t>CST - S - Completion Documents</t>
  </si>
  <si>
    <t>All relevant Compliance Documentation completed and attached above</t>
  </si>
  <si>
    <t>Any Additional Compliance Documentation (Required under Section C and by Consultants) - Completed and Attached</t>
  </si>
  <si>
    <t>label</t>
  </si>
  <si>
    <t>Do not select "Pass" HERE until all requirements have been marked as "Yes" &amp; attached or you have selected "N/A"</t>
  </si>
  <si>
    <t>Request Signoff</t>
  </si>
  <si>
    <t>F - R - Backfilling</t>
  </si>
  <si>
    <t>Backfilling completed as per the specifications</t>
  </si>
  <si>
    <t>F - R - Crane Piling</t>
  </si>
  <si>
    <t>Crane Piling completed and acceptable</t>
  </si>
  <si>
    <t>F - R - Piling</t>
  </si>
  <si>
    <t>Piling completed as per the specifications</t>
  </si>
  <si>
    <t>PASS to confirm work has started.</t>
  </si>
  <si>
    <t>PASS to confirm expectations have been set for all contractors.</t>
  </si>
  <si>
    <t>Subcontractor piling card reviewed and meets requirements</t>
  </si>
  <si>
    <t>Piles set out, surveyed, and marked.</t>
  </si>
  <si>
    <t>Site condition acceptable for piling rig</t>
  </si>
  <si>
    <t>Piles meet set out, heights, and correct within tolerances.</t>
  </si>
  <si>
    <t>All piling cards received, filed, and meet requirements.</t>
  </si>
  <si>
    <t>Engineer inspection completed and approved</t>
  </si>
  <si>
    <t>button</t>
  </si>
  <si>
    <t>Note remedial work needed</t>
  </si>
  <si>
    <t>None, Minor, Major</t>
  </si>
  <si>
    <t>Raise remedial as required.</t>
  </si>
  <si>
    <t>Council inspection completed and approved</t>
  </si>
  <si>
    <t>Confirm CANs implemented as directed, including external sign off as required.  (n/a response if blank above)</t>
  </si>
  <si>
    <t>Record details of Consultant Advice Notices issued relating to this work (CAN Ref numbers and Consultant)</t>
  </si>
  <si>
    <t>F - R - Sheet Piling</t>
  </si>
  <si>
    <t>Sheet pile installation completed and acceptable</t>
  </si>
  <si>
    <t>F - R - Shell Beam Installation</t>
  </si>
  <si>
    <t>Shell Beam installation completed as per the specifications</t>
  </si>
  <si>
    <t>F - R - Survey Certificates</t>
  </si>
  <si>
    <t>survey certificates for correct building height/location/setout attached</t>
  </si>
  <si>
    <t>F - R - Underground services</t>
  </si>
  <si>
    <t>All underground services installation completed as per the specifications</t>
  </si>
  <si>
    <t>F - R - Underslab plumbing</t>
  </si>
  <si>
    <t>All underslab plumbing installation completed as per the specifications</t>
  </si>
  <si>
    <t>F - R - Waterproofing</t>
  </si>
  <si>
    <t>All waterproofing works completed as per the specifications</t>
  </si>
  <si>
    <t>F - S - Backfilling</t>
  </si>
  <si>
    <t>Waterproofing membrane installed</t>
  </si>
  <si>
    <t>Area clean of debris</t>
  </si>
  <si>
    <t>Backfill completed correctly and heights checked/ correct</t>
  </si>
  <si>
    <t>F - S - Crane Piling</t>
  </si>
  <si>
    <t>Soil profile checked and is acceptable</t>
  </si>
  <si>
    <t>Pile cage checked and is acceptable</t>
  </si>
  <si>
    <t>Offsets checked against original offset</t>
  </si>
  <si>
    <t>Pile verticality checked</t>
  </si>
  <si>
    <t>Pile founding checked and is acceptable</t>
  </si>
  <si>
    <t>Concrete documentation collected</t>
  </si>
  <si>
    <t>Tremmie checked and is acceptable</t>
  </si>
  <si>
    <t xml:space="preserve">Pile installation completed and acceptable </t>
  </si>
  <si>
    <t>F - S - Formwork Inspection</t>
  </si>
  <si>
    <t>Combined Project</t>
  </si>
  <si>
    <t>Location, height, falls and dimensions checked and accurate</t>
  </si>
  <si>
    <t>Formwork sufficiently fixed and braced</t>
  </si>
  <si>
    <t>Any rebates/ nibs / cast in items are correctly positioned, sized and appropriately fixed in place</t>
  </si>
  <si>
    <t>Service penetrations formed correctly and locations checked/correct</t>
  </si>
  <si>
    <t>All surfaces correctly prepared (e.g. joints to existing concrete, release agent to formwork etc)</t>
  </si>
  <si>
    <t>Any control joints/ stop ends installed accurately and correctly braced</t>
  </si>
  <si>
    <t>F - S - Piling</t>
  </si>
  <si>
    <t>checklist</t>
  </si>
  <si>
    <t>section</t>
  </si>
  <si>
    <t>Pile Details</t>
  </si>
  <si>
    <t> </t>
  </si>
  <si>
    <t>Pile details identified</t>
  </si>
  <si>
    <t>Pile type</t>
  </si>
  <si>
    <t>Pile Diameter</t>
  </si>
  <si>
    <t>Weather Conditions</t>
  </si>
  <si>
    <t>Heavy Rain, Light Showers, Overcast, Fine</t>
  </si>
  <si>
    <t>Date Started:</t>
  </si>
  <si>
    <t>Casing identified</t>
  </si>
  <si>
    <t>Casing Type</t>
  </si>
  <si>
    <t>Starter, Temporary, Permanent</t>
  </si>
  <si>
    <t>Casing Length</t>
  </si>
  <si>
    <t>Casing material and thickness</t>
  </si>
  <si>
    <t>Heavy Wall</t>
  </si>
  <si>
    <t>Thin Wall</t>
  </si>
  <si>
    <t>Design Details identified</t>
  </si>
  <si>
    <t>Top of Concrete RL</t>
  </si>
  <si>
    <t>Top of Steel RL</t>
  </si>
  <si>
    <t>Expected top of ECBF/Rock</t>
  </si>
  <si>
    <t>Minimum Embedment</t>
  </si>
  <si>
    <t>Toe of pile RL</t>
  </si>
  <si>
    <t>Length of Pile</t>
  </si>
  <si>
    <t>As Built Pile Details identified</t>
  </si>
  <si>
    <t>Actual Ground RL</t>
  </si>
  <si>
    <t>Actual ECBF/Rock RL</t>
  </si>
  <si>
    <t>Embedment into ECBF/Rock</t>
  </si>
  <si>
    <t>Toe of Pile RL</t>
  </si>
  <si>
    <t>Level of Groundwater RL</t>
  </si>
  <si>
    <t>Design Vs Actual Discrepancy Recorded</t>
  </si>
  <si>
    <t>Concrete cover achieved?</t>
  </si>
  <si>
    <t>Yes, No</t>
  </si>
  <si>
    <t>Specify concrete cover:</t>
  </si>
  <si>
    <t>Spacer wheels installed?</t>
  </si>
  <si>
    <t>Is there a difference between design and actual lengths?</t>
  </si>
  <si>
    <t>No, Yes</t>
  </si>
  <si>
    <t>If so, what is the reason?</t>
  </si>
  <si>
    <t>Soil Profile checked and is acceptable</t>
  </si>
  <si>
    <t>Stratum 1 (e.g.. Marine Silt (GL to 4.5m)</t>
  </si>
  <si>
    <t>Stratum 2</t>
  </si>
  <si>
    <t>Stratum 3</t>
  </si>
  <si>
    <t>Stratum 4</t>
  </si>
  <si>
    <t>Stratum 5</t>
  </si>
  <si>
    <t>Pre Pour Checks</t>
  </si>
  <si>
    <t>Setout checked against Offsets and acceptable</t>
  </si>
  <si>
    <t>Pile checked for verticality and within tolerance</t>
  </si>
  <si>
    <t>Pile founding is adequate</t>
  </si>
  <si>
    <t>Grooving is complete</t>
  </si>
  <si>
    <t>Length of Grooving</t>
  </si>
  <si>
    <t>Inspected by Geotech engineer and approved</t>
  </si>
  <si>
    <t>Request Geotech engineer inspection confirmation</t>
  </si>
  <si>
    <t>Cage Details</t>
  </si>
  <si>
    <t xml:space="preserve">Cage Details identified </t>
  </si>
  <si>
    <t>Number and Diameter of Longitudinal Bars:</t>
  </si>
  <si>
    <t>Size and Pitch of Spiral</t>
  </si>
  <si>
    <t>Weld Lengths Compliant</t>
  </si>
  <si>
    <t>Cage Length not Including Projection</t>
  </si>
  <si>
    <t>Cage Projection</t>
  </si>
  <si>
    <t>Grade of steel</t>
  </si>
  <si>
    <t>Docket checked by CLL &amp; Engineer (Photograph Required)</t>
  </si>
  <si>
    <t>Concrete Details</t>
  </si>
  <si>
    <t>Details of Concrete identified</t>
  </si>
  <si>
    <t>Theoretical Concrete Volume</t>
  </si>
  <si>
    <t>Actual Concrete Volume</t>
  </si>
  <si>
    <t>Reason for over consumption</t>
  </si>
  <si>
    <t>Time of pouring concrete:</t>
  </si>
  <si>
    <t>Method of Delivery</t>
  </si>
  <si>
    <t>Chute, Pump, Skip, Tremie, Bucket</t>
  </si>
  <si>
    <t>Ordered Slump</t>
  </si>
  <si>
    <t>Time Pour Complete:</t>
  </si>
  <si>
    <t>Concrete Strength</t>
  </si>
  <si>
    <t>Concrete Mix Code</t>
  </si>
  <si>
    <t>Photographs of concrete dockets (All relevant dockets)</t>
  </si>
  <si>
    <t>Tremmie Pour Details</t>
  </si>
  <si>
    <t>Diameter of Tremmie Pipe</t>
  </si>
  <si>
    <t>100mm</t>
  </si>
  <si>
    <t>150mm</t>
  </si>
  <si>
    <t>Pump Used</t>
  </si>
  <si>
    <t xml:space="preserve"> No, Yes</t>
  </si>
  <si>
    <t>Supplier:</t>
  </si>
  <si>
    <t>As-Built Pile Checks and Signoff</t>
  </si>
  <si>
    <t>Sign Off</t>
  </si>
  <si>
    <t>Sand installed above top of pile to protect starters</t>
  </si>
  <si>
    <t>As built checked and within tolerance (centre of pile within 75mm of design)</t>
  </si>
  <si>
    <t>Distance from Centre Point</t>
  </si>
  <si>
    <t>Top of Steel after Pour RL</t>
  </si>
  <si>
    <t>Pile Completed - CLL Signoff</t>
  </si>
  <si>
    <t>F - S - Precast Fire Joint Sealant</t>
  </si>
  <si>
    <t>Details</t>
  </si>
  <si>
    <t>Date:</t>
  </si>
  <si>
    <t>Area:</t>
  </si>
  <si>
    <t>Installer:</t>
  </si>
  <si>
    <t>Weather Conditions:</t>
  </si>
  <si>
    <t>Sika Specification (if any)</t>
  </si>
  <si>
    <t>Joint dimensions width x depth</t>
  </si>
  <si>
    <t>Substrate</t>
  </si>
  <si>
    <t>Sika products used last 6 digits of Batch number</t>
  </si>
  <si>
    <t>Method of substrate preparation (e.g.. grinding, abrading, drying etc</t>
  </si>
  <si>
    <t>Sika cleaner / primer used</t>
  </si>
  <si>
    <t>F - S - Sheet Piling</t>
  </si>
  <si>
    <t xml:space="preserve">Existing ground level RL checked and acceptable </t>
  </si>
  <si>
    <t xml:space="preserve">Length of sheet checked and acceptable </t>
  </si>
  <si>
    <t xml:space="preserve">Grade of sheet checked and acceptable </t>
  </si>
  <si>
    <t xml:space="preserve">Top and bottom of steel RL checked and acceptable </t>
  </si>
  <si>
    <t>F - S - Shell Beam Installation</t>
  </si>
  <si>
    <t>Shell beams inspected for damage</t>
  </si>
  <si>
    <t>Shell beams installed in correct locations</t>
  </si>
  <si>
    <t xml:space="preserve">F - S - Underground services </t>
  </si>
  <si>
    <t>Electrical services/conduits installed at correct location</t>
  </si>
  <si>
    <t>Hydraulic services installed at correct location</t>
  </si>
  <si>
    <t>Telecommunications installed at correct location</t>
  </si>
  <si>
    <t>Any other relevant services installed in correct location</t>
  </si>
  <si>
    <t>All Subfloor services correctly installed to respective area</t>
  </si>
  <si>
    <t>F - S - Underslab plumbing</t>
  </si>
  <si>
    <t xml:space="preserve">Correct gradient of the pipework achieved </t>
  </si>
  <si>
    <t>Pipe wrapped/protected and acceptable</t>
  </si>
  <si>
    <t>Flood test completed and acceptable</t>
  </si>
  <si>
    <t>Pipe capped and acceptable</t>
  </si>
  <si>
    <t xml:space="preserve">All underfloor plumbing works installed as per specifications </t>
  </si>
  <si>
    <t>F - S - Waterproofing</t>
  </si>
  <si>
    <t>Lap distance for sheet membrane complies with manufacturers specification</t>
  </si>
  <si>
    <t xml:space="preserve">Upstand/ perimeter detail installed as specified </t>
  </si>
  <si>
    <t>Adhesives fully applied as specified and acceptable</t>
  </si>
  <si>
    <t>Check for air pockets, wrinkles, holes, tears &amp; note and remediated if required</t>
  </si>
  <si>
    <t>Checked for penetrations/ pipework/ upstands sealed to specified detail</t>
  </si>
  <si>
    <t>Checked membrane detail at expansion/ construction joints and acceptable</t>
  </si>
  <si>
    <t>Flood test conducted and no leaks found</t>
  </si>
  <si>
    <t xml:space="preserve">Waterproofing membrane installed and correct and any remedial works completed </t>
  </si>
  <si>
    <t>Specified membrane protection is in place</t>
  </si>
  <si>
    <t>F - S - Waterstops</t>
  </si>
  <si>
    <t>Area being inspected</t>
  </si>
  <si>
    <t>Types of Swellable being re-inspected</t>
  </si>
  <si>
    <t>length of time since the waterstops have been installed</t>
  </si>
  <si>
    <t>final waterproofing system check</t>
  </si>
  <si>
    <t>check for any damage, physical or water</t>
  </si>
  <si>
    <t>Is there any remedial work required</t>
  </si>
  <si>
    <t>inspect remedial work if required</t>
  </si>
  <si>
    <t>FC - R - Air conditioning</t>
  </si>
  <si>
    <t xml:space="preserve">Air conditioning works completed and acceptable </t>
  </si>
  <si>
    <t>FC - R - Anchor Points - Anchor Point Installation</t>
  </si>
  <si>
    <t xml:space="preserve">Anchor point installation completed and acceptable </t>
  </si>
  <si>
    <t>FC - R - Anchor Points - Intermediate, Corner and End Plate Installation</t>
  </si>
  <si>
    <t xml:space="preserve">Intermediate, Corner and End Plate installation completed and acceptable </t>
  </si>
  <si>
    <t>FC - R - Anchor Points - Static line installation</t>
  </si>
  <si>
    <t xml:space="preserve">Static line installation completed and acceptable </t>
  </si>
  <si>
    <t>FC - R - Balconies</t>
  </si>
  <si>
    <t xml:space="preserve">Waterproofing and flashing checked and acceptable
</t>
  </si>
  <si>
    <t xml:space="preserve">All screed to nib and deck falls checked and accurate
</t>
  </si>
  <si>
    <t xml:space="preserve">Soffit Checked and accurate
</t>
  </si>
  <si>
    <t xml:space="preserve">Flood test completed and acceptable </t>
  </si>
  <si>
    <t xml:space="preserve">Installation of deck tiles completed and acceptable 
</t>
  </si>
  <si>
    <t xml:space="preserve">All works on balcony are completed to required specification. </t>
  </si>
  <si>
    <t>FC - R - Balustrades Installation</t>
  </si>
  <si>
    <t>Chemset bolt pull testings completed and passed.  Test results recevied and confirmed.</t>
  </si>
  <si>
    <t>Record sample size (%)</t>
  </si>
  <si>
    <t>Lateral load pull testings completed and passed.  Test results recevied and confirmed.</t>
  </si>
  <si>
    <t>FC - R - Brick Works</t>
  </si>
  <si>
    <t xml:space="preserve">Brick works completed and acceptable </t>
  </si>
  <si>
    <t>FC - R - Cladding Sealant</t>
  </si>
  <si>
    <t xml:space="preserve">Cladding sealant completed and acceptable </t>
  </si>
  <si>
    <t>FC - R - Ecoply Board</t>
  </si>
  <si>
    <t>Fixing and spacings checked in accordance with manufacturers specs.</t>
  </si>
  <si>
    <t>Bracing checked and accurate</t>
  </si>
  <si>
    <t>Penetrations and punctures sealed with flashing tape</t>
  </si>
  <si>
    <t xml:space="preserve">Ecoply board installation completed and acceptable </t>
  </si>
  <si>
    <t>FC - R - Envelope Penetrations</t>
  </si>
  <si>
    <t xml:space="preserve">Envelope Penetrations completed and acceptable </t>
  </si>
  <si>
    <t>FC - R - Exterior Tiling</t>
  </si>
  <si>
    <t xml:space="preserve">Exterior Tiling works completed and acceptable </t>
  </si>
  <si>
    <t>FC - R - Exterior Timber Framing</t>
  </si>
  <si>
    <t xml:space="preserve">Exterior Timber Framing works completed and acceptable </t>
  </si>
  <si>
    <t>FC - R - External Plaster - Nibs &amp; Beams</t>
  </si>
  <si>
    <t xml:space="preserve">External Plaster works for Nibs &amp; Beams completed and acceptable </t>
  </si>
  <si>
    <t>FC - R - Eyebrow - Canopy</t>
  </si>
  <si>
    <t xml:space="preserve">Eyebrow - Canopy works completed and acceptable </t>
  </si>
  <si>
    <t>FC - R - Fascia/Gutter</t>
  </si>
  <si>
    <t>checkpoint-status</t>
  </si>
  <si>
    <t>Fascia/Gutter installation completed and acceptable</t>
  </si>
  <si>
    <t xml:space="preserve">FC - R - Flashing installation </t>
  </si>
  <si>
    <t xml:space="preserve">Flashing installation completed and acceptable </t>
  </si>
  <si>
    <t>FC - R - Hatches</t>
  </si>
  <si>
    <t>Precast Edge Beams Installation completed and acceptable</t>
  </si>
  <si>
    <t>FC - R - Lintels</t>
  </si>
  <si>
    <t xml:space="preserve">Lintels completed and acceptable </t>
  </si>
  <si>
    <t>FC - R - Louvres Installation</t>
  </si>
  <si>
    <t xml:space="preserve">Louvres installation completed and acceptable </t>
  </si>
  <si>
    <t>FC - R - Passive fire</t>
  </si>
  <si>
    <t xml:space="preserve">Passive Fire works completed and acceptable </t>
  </si>
  <si>
    <t>FC - R - RAB Board</t>
  </si>
  <si>
    <t xml:space="preserve">RAB Board works completed and acceptable </t>
  </si>
  <si>
    <t>FC - R - Roofing</t>
  </si>
  <si>
    <t xml:space="preserve">Roofing installation completed and acceptable </t>
  </si>
  <si>
    <t xml:space="preserve">FC - R - Soffits </t>
  </si>
  <si>
    <t xml:space="preserve">Soffit works completed and acceptable </t>
  </si>
  <si>
    <t>FC - R - STO Poly Plaster</t>
  </si>
  <si>
    <t xml:space="preserve">STO Poly Plaster works completed and acceptable </t>
  </si>
  <si>
    <t>FC - R - Symonite Alucobond Cladding System</t>
  </si>
  <si>
    <t>FC - R - Tapes and VaproShield</t>
  </si>
  <si>
    <t xml:space="preserve">Tapes/VaproShield works completed and acceptable </t>
  </si>
  <si>
    <t>FC - R - Water Test</t>
  </si>
  <si>
    <t xml:space="preserve">Water Test completed and acceptable </t>
  </si>
  <si>
    <t>FC - R - Windows and Sliders</t>
  </si>
  <si>
    <t>Check clearance around opening min 6mm/ max 18mm</t>
  </si>
  <si>
    <t>Packers to be correctly used and set back to allow continuous air seal</t>
  </si>
  <si>
    <t>Check air seal is provided at the rear of the window reveal</t>
  </si>
  <si>
    <t>Raise remedial/ request signoff</t>
  </si>
  <si>
    <t xml:space="preserve">Window and slider installation completed and acceptable </t>
  </si>
  <si>
    <t xml:space="preserve">FC - S - Air conditioning </t>
  </si>
  <si>
    <t>Aircon channel installed</t>
  </si>
  <si>
    <t>Aircon brackets installed</t>
  </si>
  <si>
    <t>Threaded rod installed</t>
  </si>
  <si>
    <t>Flashing covers installed</t>
  </si>
  <si>
    <t>Trade seal installed</t>
  </si>
  <si>
    <t>FC - S - Anchor Points - Anchor Point Installation</t>
  </si>
  <si>
    <t xml:space="preserve">Roof structure condition checked and acceptable. No rust or corrosion on roof, purlins or structure. </t>
  </si>
  <si>
    <t>Positioning and installation of the plinth is correct and acceptable</t>
  </si>
  <si>
    <t>Roof substrate is checked and acceptable and no visible damages.</t>
  </si>
  <si>
    <t>Anchor plate alignment is correct. Fixing holes are aligned with fall of roof</t>
  </si>
  <si>
    <t>Minimum of 2 toggles are installed. Toggles deployed fully at 90° to threaded bar and confirmed.</t>
  </si>
  <si>
    <t xml:space="preserve">Anchor plate cover is installed. </t>
  </si>
  <si>
    <t>Dome screws and anchor plate screws fixed to structure. Steel/ timber: 14 gauge tek screw and minimum of 4 screw fixings per anchor (2 holes), sealant and Neoprene washer installed. Sea spray zoning requires the screws to be stainless steel</t>
  </si>
  <si>
    <t>Anchor ID label fixed on to anchor plate with all information noted - Installer info, Limitations of use, Last certification date, Next recertification date and Rated for single person use (15kN)</t>
  </si>
  <si>
    <t>FC - S - Anchor Points - Intermediate, Corner and End Plate Installation</t>
  </si>
  <si>
    <t>Anchor plate alignment is correct. Fixing holes to be aligned with fall of roof</t>
  </si>
  <si>
    <t>Intermediate Plates: Dome screws and anchor plate screws fixed to structure. Steel/ timber: 14 gauge tek screw and minimum of 4 screw fixings per anchor (2 holes), sealant and Neoprene washer. End Plate and Corner Plate: Dome screws and anchor plate screws fixed to structure. Steel/ timber: 14 gauge tek screw and minimum of 10 screw fixings per anchor (2 holes), sealant and Neoprene washer installed. Sea spray zoning requires the screws to be stainless steel.</t>
  </si>
  <si>
    <t xml:space="preserve">Static line components attached to static line plates - Tensioner, Shock Absorber and End Swage. </t>
  </si>
  <si>
    <t xml:space="preserve">Installed 8mm SS 7x7 cable to static line plates. Crimped the cable to the end of the static lines. 5 Crimps per end. Tensioned the static lines with the tensioner and tension indicator. </t>
  </si>
  <si>
    <t>FC - S - Anchor Points - Static line installation</t>
  </si>
  <si>
    <t>Line tensioner and indicator checked and acceptable. Attachment to end stanchion secured. Lock in pin cir-clip secured. Tension indicator disc can be rotated manually. Swaged cable termination secured, no evidence of slipping. All locknuts and fixings secured. No visible damage to unit/structure.</t>
  </si>
  <si>
    <t>Anchorage cable installation checked and acceptable. No cuts or frays to cable. Cable correctly tensioned and not touching the roof deck. Securely attached to end stanchions. No visible damage.</t>
  </si>
  <si>
    <t>System traveller checked and acceptable. Slide latch operates freely. Gap between tongue &amp; shuttle inner casing when closed and latched with karabiner, 5mm maximum. Karabiner fits securely when slide latch closed. Karabiner gate lock device operates securely. No visible damage to unit.</t>
  </si>
  <si>
    <t>FC - S - Balustrades Installation</t>
  </si>
  <si>
    <t>Pre-Installation Checks</t>
  </si>
  <si>
    <t>Pre Fit - Studding completed &amp; setout checked</t>
  </si>
  <si>
    <t>Waterproofing to pre-fit studs completed and acceptable</t>
  </si>
  <si>
    <t>Installation Checks</t>
  </si>
  <si>
    <t>Balustrade height is compliant</t>
  </si>
  <si>
    <t>No Gaps Larger than 100 mm</t>
  </si>
  <si>
    <t>All bolts installed tightened to specification</t>
  </si>
  <si>
    <t>Endcaps in place and acceptable</t>
  </si>
  <si>
    <t>Any paint touch ups completed</t>
  </si>
  <si>
    <t>All Balustrade works completed, reviewed and approved and protection installed</t>
  </si>
  <si>
    <t>Third Party Chemset Post Bolt Pull Testing</t>
  </si>
  <si>
    <t>checkpoint-no-status</t>
  </si>
  <si>
    <t>Third Party Inspection Company Name</t>
  </si>
  <si>
    <t>input</t>
  </si>
  <si>
    <t>Pass to confirm understanding of contractual test requirements.</t>
  </si>
  <si>
    <t>Upload a copy of the contractual requirements</t>
  </si>
  <si>
    <t>Overall Inspection Results</t>
  </si>
  <si>
    <t>Upload all correspondence if rework or additional testing was needed.</t>
  </si>
  <si>
    <t>Test certificates uploaded (pass when uploaded)</t>
  </si>
  <si>
    <t>All balustrade inspections completed and results provided to Ryman Foreman</t>
  </si>
  <si>
    <t>Name of Ryman personnel issued with test results.</t>
  </si>
  <si>
    <t>Post Lateral Load Test</t>
  </si>
  <si>
    <t>CLICK AND SEND EMAIL TO RYMAN FOREMAN TO SIGN FOR RECEIPT OF THE INSPECTION RESULTS</t>
  </si>
  <si>
    <t>FC - S - Brick Works</t>
  </si>
  <si>
    <t xml:space="preserve">section </t>
  </si>
  <si>
    <t>Preinstall checks</t>
  </si>
  <si>
    <t>Area accessible, substrate acceptable &amp; approval to start works - Services, cavity &amp; waterproofing requirements achieved prior to install</t>
  </si>
  <si>
    <t>Ground clearance correct to specification</t>
  </si>
  <si>
    <t>Grids/Wall marked for reference. RL reference/TOW confirmed. Base/Concrete/footing clean, tidy and level ready for first coarse.</t>
  </si>
  <si>
    <t xml:space="preserve">Brick installation </t>
  </si>
  <si>
    <t>Base of wall starting correct location - Brick base overhang within tolerances (no more than 20mm)</t>
  </si>
  <si>
    <t xml:space="preserve">Control joints installed correctly </t>
  </si>
  <si>
    <t>Weep holes positioned and installed correctly.  Correct size</t>
  </si>
  <si>
    <t xml:space="preserve">Mortar Joints installed within tolerances (7-13mm) </t>
  </si>
  <si>
    <t xml:space="preserve">Wall ties installed and aligning with specification (spacing, spans, length etc) </t>
  </si>
  <si>
    <t>Horizontal shelf angles &amp; lintel bars installed and correctly fixed where required</t>
  </si>
  <si>
    <t>All relevant flashings and waterproofing/taping completed as required - If Applicable</t>
  </si>
  <si>
    <t>Caulking completed (correct colour) and satisfactory finish achieved</t>
  </si>
  <si>
    <t>Brick cavity is correctly formed and free of obstructions</t>
  </si>
  <si>
    <t>Brickwork completed to required specification. All brickwork washed/clean &amp; area left clean &amp; tidy - Wall built within tolerance - straight, level and to the correct height and colour</t>
  </si>
  <si>
    <t>FC - S - Exterior Tiling</t>
  </si>
  <si>
    <t>Screeding work completed - specified level of finish achieved and area left clean and tidy</t>
  </si>
  <si>
    <t xml:space="preserve">Waterproofing completed - specified level of finish achieved and area left clean and tidy - Membrane not wrinkled, smooth, no holes, etc. and flood test completed if required </t>
  </si>
  <si>
    <t>Nurajacks installation completed - Nurajacks system sitting flush and cuts around walls checked and acceptable</t>
  </si>
  <si>
    <t>Tiling completed - specified level of finish achieved and area left clean and tidy - Matching batches of tiles</t>
  </si>
  <si>
    <t>FC - S - Exterior Timber Framing</t>
  </si>
  <si>
    <t>Setout completed, checked &amp; accurate (no clashes &amp; wall locations clearly marked)</t>
  </si>
  <si>
    <t>Framing Dimensions / locations checked &amp; accurate</t>
  </si>
  <si>
    <t>All frames have been installed square, straight and plumb</t>
  </si>
  <si>
    <t xml:space="preserve">DPC installed (if required) correctly </t>
  </si>
  <si>
    <t>Fixings are correct to specification including any seismic/bracing requirements (attach relevant photos)</t>
  </si>
  <si>
    <t>All Nogs (Service/Specialty) &amp; penetrations - installed, checked &amp; correct (ensure acoustic &amp; fire rating requirements)</t>
  </si>
  <si>
    <t>All timber framing completed correctly to specification &amp; within tolerance in respective area(s)</t>
  </si>
  <si>
    <t>FC - S - External Envelope</t>
  </si>
  <si>
    <t>Eco ply taped nailing checked</t>
  </si>
  <si>
    <t>Supplied &amp; installed by others</t>
  </si>
  <si>
    <t>RAB board Fixing and spacings checked in accordance with manufacturers specs (Photos attached)</t>
  </si>
  <si>
    <t>Fire strip installed (Photos attached)</t>
  </si>
  <si>
    <t>Soffit checked and accurate (Photos attached)</t>
  </si>
  <si>
    <t>Garage reveals checked and accurate (Photos attached)</t>
  </si>
  <si>
    <t>DPC installed checked and accurate (Photos attached)</t>
  </si>
  <si>
    <t>Request sign off</t>
  </si>
  <si>
    <t>FC - S - External Plaster - Nibs &amp; Beams</t>
  </si>
  <si>
    <t xml:space="preserve">All nibs/ beams prepared for plaster checked and acceptable
</t>
  </si>
  <si>
    <t xml:space="preserve">Saddle flashing installed to deck ends, checked and accurate
</t>
  </si>
  <si>
    <t xml:space="preserve">Falls set to 5 degrees as per plan - 20mm Fall over 200mm checked and accurate
</t>
  </si>
  <si>
    <t xml:space="preserve">Corner and drip edge flashings installed correctly and acceptable </t>
  </si>
  <si>
    <t xml:space="preserve">Plaster installed as per spec and painted, checked and acceptable 
</t>
  </si>
  <si>
    <t xml:space="preserve">All cladding works completed and acceptable 
</t>
  </si>
  <si>
    <t>FC - S - Eyebrow - Canopy</t>
  </si>
  <si>
    <t>FC - S - Fascia/Gutter</t>
  </si>
  <si>
    <t>Size checked and accurate</t>
  </si>
  <si>
    <t>Fixings installed (2-4 photos attached)</t>
  </si>
  <si>
    <t>Installation and size of downpipes checked</t>
  </si>
  <si>
    <t>Installation of downpipe rainwater heads checked</t>
  </si>
  <si>
    <t>Rinwater heads checked and accurate (2-4 photos attached)</t>
  </si>
  <si>
    <t>Paint - specified level of finish achieved</t>
  </si>
  <si>
    <t>Fascia installation completed (2-4 photos attached)</t>
  </si>
  <si>
    <t xml:space="preserve">FC - S - Flashing installation </t>
  </si>
  <si>
    <t xml:space="preserve">Head flashing installed with sealant at windows and doors (STO system)
</t>
  </si>
  <si>
    <t xml:space="preserve">Rainshield installed between joinery and lintel (brick)
</t>
  </si>
  <si>
    <t xml:space="preserve">DPC and WANZ bar installed at the bottom of the joinery (see fixing) as per manufacturer's spec
</t>
  </si>
  <si>
    <t xml:space="preserve">Aluminium window jamb side flashings are installed
</t>
  </si>
  <si>
    <t xml:space="preserve">All flashing installed at windows and doors to specification &amp; within tolerance in respective area(s) </t>
  </si>
  <si>
    <t>FC - S - Gutters</t>
  </si>
  <si>
    <t>FC - S - Hatches</t>
  </si>
  <si>
    <t>FC - S - Louvre Installation</t>
  </si>
  <si>
    <t>Louvres height is compliant</t>
  </si>
  <si>
    <t>No Gaps Larger than 75 mm</t>
  </si>
  <si>
    <t>Louvre brackets installed</t>
  </si>
  <si>
    <t>All bolts installed done up correctly</t>
  </si>
  <si>
    <t>All louvre bracket installation works completed, reviewed and approved and protection installed</t>
  </si>
  <si>
    <t>FC - S - Passive fire</t>
  </si>
  <si>
    <t>Installed horizontal fire barriers as per specifications</t>
  </si>
  <si>
    <t>Installed vertical fire barriers as per specifications</t>
  </si>
  <si>
    <t>Installed Eyebrow and soffit fire barriers as per specifications</t>
  </si>
  <si>
    <t>Installed Boss Bulkhead Batt fire barriers as per specifications</t>
  </si>
  <si>
    <t>Installed Gutter fire barriers as per specifications</t>
  </si>
  <si>
    <t>Installed Concrete Pannels (under roof) fire barriers as per specifications</t>
  </si>
  <si>
    <t>Installed Hatches fire barriers as per specifications</t>
  </si>
  <si>
    <t>FC - S - RAB</t>
  </si>
  <si>
    <t xml:space="preserve">Fixing and spacings checked in accordance with manufacturers specs
</t>
  </si>
  <si>
    <t>White MS sealant for air seals between RAB board and concrete horizontal and vertical joints</t>
  </si>
  <si>
    <t xml:space="preserve">3M taping around windows and external corners and vertical joints and horizontal flashing checked
</t>
  </si>
  <si>
    <t xml:space="preserve">Vaproshield to interfloor installed after vertical taping
</t>
  </si>
  <si>
    <t xml:space="preserve">Bracing checked and accurate
</t>
  </si>
  <si>
    <t xml:space="preserve">Penetrations and punctures sealed with flashing tape
</t>
  </si>
  <si>
    <t xml:space="preserve">Sealing joints over internal and external joints
</t>
  </si>
  <si>
    <t xml:space="preserve">Batten on RAB Board for cladding fixings
</t>
  </si>
  <si>
    <t xml:space="preserve">All RAB board installation completed to specification &amp; within tolerance in respective area(s) </t>
  </si>
  <si>
    <t>FC - S - Roofing</t>
  </si>
  <si>
    <t>Pre-installation checks</t>
  </si>
  <si>
    <t>Scaffolding in place and tagged</t>
  </si>
  <si>
    <t>Edge protection and safety nets installed</t>
  </si>
  <si>
    <t>Correct Purlin / Steelwork heights</t>
  </si>
  <si>
    <t>Correct Precast wall heights</t>
  </si>
  <si>
    <t>Observations</t>
  </si>
  <si>
    <t>Plywood Gutter Substrate</t>
  </si>
  <si>
    <t>Plywood laid a minimum 0.5 degrees</t>
  </si>
  <si>
    <t>Plywood surface smooth finish CD minimum 1.75mm H3 no knots</t>
  </si>
  <si>
    <t>Plywood laid with 2mm gaps</t>
  </si>
  <si>
    <t>Plywood fastened with stainless steel screws recessed 2mm</t>
  </si>
  <si>
    <t>Outlets installed correctly 73-75mm above plywood</t>
  </si>
  <si>
    <t>Steel Tray Substrate</t>
  </si>
  <si>
    <t>Metal profile installed upside down with fastenings spaced correctly</t>
  </si>
  <si>
    <t>Flashings installed on hips and valleys</t>
  </si>
  <si>
    <t>Insulation protected from crushing (edge of gutter, timber edging, etc.)</t>
  </si>
  <si>
    <t>Outlets framed and plywood routed out</t>
  </si>
  <si>
    <t>Unused Roofing Iron Secured</t>
  </si>
  <si>
    <t>Insulation panels</t>
  </si>
  <si>
    <t>Sheets installed in brick-bond pattern</t>
  </si>
  <si>
    <t>No gaps between sheets</t>
  </si>
  <si>
    <t>Adhesive applied evenly and at correct amount</t>
  </si>
  <si>
    <t>Sheets held down for correct length of time</t>
  </si>
  <si>
    <t>Roof is confirmed uniform and flat</t>
  </si>
  <si>
    <t>Membrane</t>
  </si>
  <si>
    <t>Insulation panels are acceptable level of cleanliness</t>
  </si>
  <si>
    <t>Membrane colour and thickness confirmed correct</t>
  </si>
  <si>
    <t>Membrane penetrations have been sealed and are watertight</t>
  </si>
  <si>
    <t>All welded seams and proprietary items to be seam probed</t>
  </si>
  <si>
    <t>FC - S - Roofing Iron/Flashings</t>
  </si>
  <si>
    <t>Correct drawing revision checked, referenced and attached</t>
  </si>
  <si>
    <t>Drawing number(s) &amp; Revisions</t>
  </si>
  <si>
    <t>Area Accessible, Substrate Acceptable &amp; Approval to start work</t>
  </si>
  <si>
    <t xml:space="preserve">Roof underlay checked and accurate </t>
  </si>
  <si>
    <t>Roofing Material fixed correctly/checked and accurate (2-3 photos attached)</t>
  </si>
  <si>
    <t>Flashing/capping checked and accurate (2-3 Photos attached)</t>
  </si>
  <si>
    <t>Area left clean and tidy  (Photos attached)</t>
  </si>
  <si>
    <t>Roof and gutters/surrounding area clean and rubbish/filings removed</t>
  </si>
  <si>
    <t>All Roof works completed, reviewed and approved (Photos attached)</t>
  </si>
  <si>
    <t xml:space="preserve">FC - S - Soffits </t>
  </si>
  <si>
    <t xml:space="preserve">Wiring in and anchored down for downlights, checked and accurate
</t>
  </si>
  <si>
    <t xml:space="preserve">Air Conditioning pre wire and pipe completed and acceptable </t>
  </si>
  <si>
    <t xml:space="preserve">Fire sprinklers droppers installed and acceptable 
</t>
  </si>
  <si>
    <t>Soffits works checks</t>
  </si>
  <si>
    <t>Framing completed, checked and accurate including sheet joins/blocking</t>
  </si>
  <si>
    <t xml:space="preserve">Framing centre correct at 600mm centres, including set out to allow all sheets joints to be fully supported
</t>
  </si>
  <si>
    <t xml:space="preserve">Villaboard installed, stopped and painted, checked and acceptable
</t>
  </si>
  <si>
    <t xml:space="preserve">Plaster installed as per spec and painted and acceptable </t>
  </si>
  <si>
    <t xml:space="preserve">All soffits completed and acceptable 
</t>
  </si>
  <si>
    <t>FC - S - STO Poly Products</t>
  </si>
  <si>
    <t>Type of Product used</t>
  </si>
  <si>
    <t>STO Poly Plaster, STO Poly Panel</t>
  </si>
  <si>
    <t xml:space="preserve">Moisture Barrier installed with correct fixings &amp; fixing pattern, checked and acceptable
</t>
  </si>
  <si>
    <t xml:space="preserve">All joints/penetrations/openings taped as per specs, checked and accurate
</t>
  </si>
  <si>
    <t xml:space="preserve">All windows installed, with air barrier sealant applied, checked and accurate
</t>
  </si>
  <si>
    <t xml:space="preserve">All head flashings are installed 3mm past end of window and acceptable </t>
  </si>
  <si>
    <t xml:space="preserve">Foot tray, windows flashings and battens installed, checked and acceptable 
</t>
  </si>
  <si>
    <t xml:space="preserve">Appropriate fixings used at correct centres for poly cladding, checked and acceptable 
</t>
  </si>
  <si>
    <t xml:space="preserve">Mesh Coat to plaster, banding installed, true and flat and acceptable 
</t>
  </si>
  <si>
    <t xml:space="preserve">Topcoat and paint works completed and acceptable 
</t>
  </si>
  <si>
    <t>FC - S - Symonite Alucobond Cladding System</t>
  </si>
  <si>
    <t>High impact packers</t>
  </si>
  <si>
    <t>Screw fixing</t>
  </si>
  <si>
    <t>Ali. Fixing angle &amp; sealant on backing rod</t>
  </si>
  <si>
    <t>All Alucobond have been installed square, straight and plumb</t>
  </si>
  <si>
    <t xml:space="preserve">All door stoppers installation completed to specification &amp; within tolerance in respective area(s) </t>
  </si>
  <si>
    <t>FC - S - Tapes</t>
  </si>
  <si>
    <t>3m taping around windows and sliders around the exterior framings as per the manufacturer specifications</t>
  </si>
  <si>
    <t>FC - S - Windows, Sliders and Sealants</t>
  </si>
  <si>
    <t xml:space="preserve">Fixings and clearance around opening min 6mm &amp; max 18mm and PEF rod/air seal are within acceptable tolerance level
</t>
  </si>
  <si>
    <t xml:space="preserve">Check taping around, before installing the windows and sliders
</t>
  </si>
  <si>
    <t xml:space="preserve">Packers to be correctly used and set back to allow continuous air seal
</t>
  </si>
  <si>
    <t xml:space="preserve">Jambs level and straight for finishing lines on the side
</t>
  </si>
  <si>
    <t xml:space="preserve">Door and window jambs flush to GIB Board
</t>
  </si>
  <si>
    <t xml:space="preserve">Check air seal is provided at the rear of the window reveal
</t>
  </si>
  <si>
    <t xml:space="preserve">All joints detailed as per attached Detail Document
</t>
  </si>
  <si>
    <t xml:space="preserve">All framing completed correctly within tolerance in respective area
</t>
  </si>
  <si>
    <t>Sill support fixing bars installed for all joinery within acceptable tolerance level</t>
  </si>
  <si>
    <t xml:space="preserve">All windows, sliders and sealant installation completed to specification &amp; within tolerance in respective area(s) </t>
  </si>
  <si>
    <t>H - R - Handover</t>
  </si>
  <si>
    <t>Bathroom completed and signed off.</t>
  </si>
  <si>
    <t>Open living room area completed and signed off.</t>
  </si>
  <si>
    <t>Kitchen area completed and signed off.</t>
  </si>
  <si>
    <t>Toilet completed and signed off.</t>
  </si>
  <si>
    <t>Bedroom 1 (1st clockwise from front door) completed and signed off.</t>
  </si>
  <si>
    <t>Bedroom 2 (2nd clockwise from front door) completed and signed off.</t>
  </si>
  <si>
    <t>Bedroom 3 (3rd clockwise from front door) completed and signed off.</t>
  </si>
  <si>
    <t>Walk in/through wardrobe area completed and signed off.</t>
  </si>
  <si>
    <t>Hall (and closets) completed and signed off.</t>
  </si>
  <si>
    <t>Laundry area completed and signed off.</t>
  </si>
  <si>
    <t>Garage completed and signed off.</t>
  </si>
  <si>
    <t>Cleanliness and general items completed and signed off.</t>
  </si>
  <si>
    <t>External and Hardscape completed and signed off.</t>
  </si>
  <si>
    <t>Client extras / other unit specific items completed and signed off.</t>
  </si>
  <si>
    <t>Upload Related Ryman Fitout quality inspection record (QT-012)</t>
  </si>
  <si>
    <t>Inspection</t>
  </si>
  <si>
    <t>Consultant</t>
  </si>
  <si>
    <t>I - C - Enlighten Fire Solutions Consultant Site Visit Report</t>
  </si>
  <si>
    <t>Site Visit Details</t>
  </si>
  <si>
    <t>All Inspection Details Inputted Below</t>
  </si>
  <si>
    <t>Consent Number:</t>
  </si>
  <si>
    <t>Date of Visit:</t>
  </si>
  <si>
    <t>Arrival Time:</t>
  </si>
  <si>
    <t>Departure Time:</t>
  </si>
  <si>
    <t>Report prepared by - Engineer's name:</t>
  </si>
  <si>
    <t>Other attendees:</t>
  </si>
  <si>
    <t>Work Reviewed:</t>
  </si>
  <si>
    <t>Works accepted and no response required (select PASS) or response required (select FAIL)</t>
  </si>
  <si>
    <t>General comments, photos and observations during inspection</t>
  </si>
  <si>
    <t>Remedial(s) - Recorded and Closed Out</t>
  </si>
  <si>
    <t>Remedials actioned by Main Contractor</t>
  </si>
  <si>
    <t>Raise Remedial Request</t>
  </si>
  <si>
    <t>I - C - Inhabit Consultant Observation/Remedial Item Checklist</t>
  </si>
  <si>
    <t>Observation/Remedial Status</t>
  </si>
  <si>
    <t>Location of Remedial</t>
  </si>
  <si>
    <t>Observation/Remedial Description</t>
  </si>
  <si>
    <t>Action Required</t>
  </si>
  <si>
    <t>Request Signoff on Remedial</t>
  </si>
  <si>
    <t>I - C - Inhabit Consultant Site Visit Report</t>
  </si>
  <si>
    <t>Site Details and Inspection Specifics</t>
  </si>
  <si>
    <t>Site Details (Pass once all below details are inputted below)</t>
  </si>
  <si>
    <t>Report Issue By:</t>
  </si>
  <si>
    <t>Fine, Overcast, Light Showers, Heavy Rain</t>
  </si>
  <si>
    <t>Health &amp; Safety - Fail if issues need to been identified / Pass if all ok</t>
  </si>
  <si>
    <t>Construction work in progress recorded</t>
  </si>
  <si>
    <t>Observations / Follow-up actions required (see Observations folder relating to this SVR)</t>
  </si>
  <si>
    <t>Photographic evidence to close out remedial items is required prior to completing works. Proceeding without the engineer’s approval is at the Contractor’s risk</t>
  </si>
  <si>
    <t>I - C - MV Compliance Documents</t>
  </si>
  <si>
    <t>Compliance Documents</t>
  </si>
  <si>
    <t>tickbox</t>
  </si>
  <si>
    <t>LBP Memorandum</t>
  </si>
  <si>
    <t>Mill Certificates</t>
  </si>
  <si>
    <t>Concrete Dockets</t>
  </si>
  <si>
    <t>Concrete Strength Test Results</t>
  </si>
  <si>
    <t>Mitchell Vranjes PS4 Attached</t>
  </si>
  <si>
    <t>I - C - MV Consultant Site Visit Report</t>
  </si>
  <si>
    <t>Site Inspection Details</t>
  </si>
  <si>
    <t>All Site Details Inputted Below</t>
  </si>
  <si>
    <t>Building Consent No.</t>
  </si>
  <si>
    <t>Date site visit occurred</t>
  </si>
  <si>
    <t>Time on site (include start and end times)</t>
  </si>
  <si>
    <t>Report prepared by - Engineer's name</t>
  </si>
  <si>
    <t>Additional personnel accompanying engineer</t>
  </si>
  <si>
    <t>Has contractors pre-inspection QA been reviewed?</t>
  </si>
  <si>
    <t>Select "Yes" if pre-inspection QC/QA has been viewed &amp; detail below / attach examples</t>
  </si>
  <si>
    <t>Select "No" detail why no QC/QA has been viewed/referenced below</t>
  </si>
  <si>
    <t>Inspection Specifics</t>
  </si>
  <si>
    <t>Consented drawings have been followed</t>
  </si>
  <si>
    <t>Site Report Summary/Closeout</t>
  </si>
  <si>
    <t>Works accepted and may proceed (select Pass) or reinspection required to defective elements (select Fail - Works Cannot Proceed)</t>
  </si>
  <si>
    <t>RAISE REMEDIAL / REQUEST SIGNOFF</t>
  </si>
  <si>
    <t>I - C - MV Remedial Item Checklist</t>
  </si>
  <si>
    <t>Remedial Status (MV to "Pass" once satisfied)</t>
  </si>
  <si>
    <t>Remedial Description</t>
  </si>
  <si>
    <t>Request MV Signoff on Remedial</t>
  </si>
  <si>
    <t>I - C - Site Visit Report</t>
  </si>
  <si>
    <t>Site Details</t>
  </si>
  <si>
    <t xml:space="preserve">Area of site visited: </t>
  </si>
  <si>
    <t>Work element monitored / purpose of visit:</t>
  </si>
  <si>
    <t>Date of site visit:</t>
  </si>
  <si>
    <t>Time on site (include start and end times):</t>
  </si>
  <si>
    <t>Weather conditions:</t>
  </si>
  <si>
    <t>Report prepared by:</t>
  </si>
  <si>
    <t>Additional personnel accompanying:</t>
  </si>
  <si>
    <t>Building Consent Number:</t>
  </si>
  <si>
    <t>Drawing &amp; Revision Number(s):</t>
  </si>
  <si>
    <t>Health and Safety acceptable</t>
  </si>
  <si>
    <t>Works accepted and may proceed</t>
  </si>
  <si>
    <t>note</t>
  </si>
  <si>
    <t>Select Pass if works accepted or Fail if reinspection required to defective elements</t>
  </si>
  <si>
    <t>Report attached or remedials summarised below</t>
  </si>
  <si>
    <t>Remedial(s)</t>
  </si>
  <si>
    <t>signoff</t>
  </si>
  <si>
    <t>I - C - T+T Consultant Site Visit Report</t>
  </si>
  <si>
    <t>All site visit details have been captured</t>
  </si>
  <si>
    <t>Date</t>
  </si>
  <si>
    <t>Time</t>
  </si>
  <si>
    <t>Site Conditions:</t>
  </si>
  <si>
    <t>Sub-contractors:</t>
  </si>
  <si>
    <t>On-site contact with:</t>
  </si>
  <si>
    <t>Plant/Equipment on site:</t>
  </si>
  <si>
    <t>Materials on site:</t>
  </si>
  <si>
    <t>General progress recorded</t>
  </si>
  <si>
    <t>Health and Safety</t>
  </si>
  <si>
    <t>Health and safety - All details inputted and any closeout completed</t>
  </si>
  <si>
    <t>Contractors induction/Hazard IT sighted</t>
  </si>
  <si>
    <t>T+T's JSA/Hazard ID signed</t>
  </si>
  <si>
    <t>Double take completed</t>
  </si>
  <si>
    <t>Comments:</t>
  </si>
  <si>
    <t>Actions:</t>
  </si>
  <si>
    <t>Follow up:</t>
  </si>
  <si>
    <t>Inspection Details/Closeout</t>
  </si>
  <si>
    <t>WORK ELEMENT BEING MONITORED:</t>
  </si>
  <si>
    <t>HAS CONTRACTOR PRE-INSPECTION QA CHECK BEEN VIEWED</t>
  </si>
  <si>
    <t>Yes,No</t>
  </si>
  <si>
    <t>If "Yes" what QC/QA has been viewed</t>
  </si>
  <si>
    <t>If "No" detail why no QC/QA has been viewed/referenced</t>
  </si>
  <si>
    <t>DRAWING REFERENCE:</t>
  </si>
  <si>
    <t>Works may proceed</t>
  </si>
  <si>
    <t>"FAIL" if reinspection is required to defective elements (If Failed - Works Cannot Proceed without T+T approval)</t>
  </si>
  <si>
    <t>Photographic evidence to close out remedial items is required prior to pouring concrete or completing works. Proceeding without the engineer’s approval is at the Contractor’s risk</t>
  </si>
  <si>
    <t>Reported By:</t>
  </si>
  <si>
    <t>Reviewed By:</t>
  </si>
  <si>
    <t>I - C - T+T Remedial Item Checklist</t>
  </si>
  <si>
    <t>Remedial Status (T+T to "Pass" once satisfied)</t>
  </si>
  <si>
    <t>Request T+T Signoff on Remedial</t>
  </si>
  <si>
    <t>I - C - T+T Vibration Monitoring Report</t>
  </si>
  <si>
    <t>General comments, photos and observations during inspection &amp; report attached</t>
  </si>
  <si>
    <t>I - C - Woods Consultant Remedial Item Checklist</t>
  </si>
  <si>
    <t>Remedial Status (Woods to "Pass" once satisfied)</t>
  </si>
  <si>
    <t>Request Woods Signoff on Remedial</t>
  </si>
  <si>
    <t>I - C - Woods Consultant Site Visit Report</t>
  </si>
  <si>
    <t>Site Details &amp; Inspection Specifics</t>
  </si>
  <si>
    <t>SVR#</t>
  </si>
  <si>
    <t>Area of site visited</t>
  </si>
  <si>
    <t>Purpose of visit</t>
  </si>
  <si>
    <t>Time on site (Include start &amp; end time)</t>
  </si>
  <si>
    <t>Weather</t>
  </si>
  <si>
    <t>Health and Safety Observations recorded/photos attached</t>
  </si>
  <si>
    <t>Dust / Erosion and Sediment Control Observations recorded / photos attached</t>
  </si>
  <si>
    <t>Drawing &amp; Revision Number(s)</t>
  </si>
  <si>
    <t>Capture relevant photos specific to this site visit report</t>
  </si>
  <si>
    <t>Works accepted and may proceed (select Pass) or re inspection required to defective elements (select Fail - Works Cannot Proceed)</t>
  </si>
  <si>
    <t>Select appropriate outcome</t>
  </si>
  <si>
    <t>PASS - no remedial work, PASS - Remedial action needed to proceed, FAIL - Stop works (fail checkpoint).</t>
  </si>
  <si>
    <t>Label</t>
  </si>
  <si>
    <t>Remedials raised against Main Contractor</t>
  </si>
  <si>
    <t>I - C - Woods Survey Set-Out Checklist</t>
  </si>
  <si>
    <t>Survey works completed by - (enter name)</t>
  </si>
  <si>
    <t>Additional personnel accompanying surveyor</t>
  </si>
  <si>
    <t>Building/Area to Setout</t>
  </si>
  <si>
    <t>Received CAD drawing of building grids or outline</t>
  </si>
  <si>
    <t>Office calculations</t>
  </si>
  <si>
    <t>Set out platform using offset stake</t>
  </si>
  <si>
    <t>Mark level of top of platform</t>
  </si>
  <si>
    <t>Provide diagram of set out to contractor</t>
  </si>
  <si>
    <t>Check level of platform is correct</t>
  </si>
  <si>
    <t>Set out grids on profiles installed by contractor</t>
  </si>
  <si>
    <t>Setting out certificate or Building Location Certificate before concrete pour</t>
  </si>
  <si>
    <t>Copy of Setting out or Building Location Certificate</t>
  </si>
  <si>
    <t>Upper floor setout (if required)</t>
  </si>
  <si>
    <t>Receive instruction from Rymans</t>
  </si>
  <si>
    <t>Set out service locations on upper floors</t>
  </si>
  <si>
    <t>Diagram provided to contractor</t>
  </si>
  <si>
    <t>Setout / Surveying works completed and report sent to relevant parties</t>
  </si>
  <si>
    <t>Post-Line</t>
  </si>
  <si>
    <t>POST - R - Fire door installation</t>
  </si>
  <si>
    <t>POST - S - Carpet /Rubber Installation</t>
  </si>
  <si>
    <t>Flooring prep/ levelling compound completed if required</t>
  </si>
  <si>
    <t>Substrate/ Underlay installed to meet required specification</t>
  </si>
  <si>
    <t xml:space="preserve">Carpet/Rubber Installation work completed - specified level of finish achieved </t>
  </si>
  <si>
    <t xml:space="preserve">Carpet/Rubber protection layer installed </t>
  </si>
  <si>
    <t>POST - S - Cork/ Soundproofing</t>
  </si>
  <si>
    <t>Cork installed across the floor</t>
  </si>
  <si>
    <t>Joints are tight</t>
  </si>
  <si>
    <t>Cork/ Soundproofing work completed - specified level of finish achieved</t>
  </si>
  <si>
    <t xml:space="preserve">POST - S - Fire door installation </t>
  </si>
  <si>
    <t>Door Number(s) / Location checked and accurate</t>
  </si>
  <si>
    <t>Floor clearance - Adequate for proposed floor coverings</t>
  </si>
  <si>
    <t>Services/Mechanisms &amp; FRR/Acoustic requirements achieved</t>
  </si>
  <si>
    <t>Fixings - Jamb/Hinges, all installed &amp; secure (Size &amp; type)</t>
  </si>
  <si>
    <t>Door leaf to jamb gaps parallel &amp; correct</t>
  </si>
  <si>
    <t>Door opening as required &amp; is plumb</t>
  </si>
  <si>
    <t>Door tags installed</t>
  </si>
  <si>
    <t xml:space="preserve">All doors installed, damage free &amp; completed correctly to specification in respective area(s) </t>
  </si>
  <si>
    <t>POST - S - Fire Door Receival</t>
  </si>
  <si>
    <t>Fire Doors in line with design drawings</t>
  </si>
  <si>
    <t>Arrived damage free</t>
  </si>
  <si>
    <t>Stored on-site properly</t>
  </si>
  <si>
    <t>Photo of finished product attached</t>
  </si>
  <si>
    <t>POST - S - Glue-Down/Floating Timber Flooring</t>
  </si>
  <si>
    <t>Substrate acceptable - free of dust and construction waste</t>
  </si>
  <si>
    <t>Light grind completed</t>
  </si>
  <si>
    <t>Specified vapour barrier shield applied</t>
  </si>
  <si>
    <t>Apply specified adhesive and lay flooring</t>
  </si>
  <si>
    <t>Vinyl skirting laps 150mm onto the wall lining</t>
  </si>
  <si>
    <t>Minimum 10mm perimeter gap between flooring and wall</t>
  </si>
  <si>
    <t>Coving bead and capping installed to vinyl coving</t>
  </si>
  <si>
    <t>Trim bar finish applied to carpet to vinyl transition areas</t>
  </si>
  <si>
    <t>Clean finished surface - Completed to specification</t>
  </si>
  <si>
    <t xml:space="preserve">POST - S - Handrails </t>
  </si>
  <si>
    <t>Area &amp; substrate acceptable</t>
  </si>
  <si>
    <t>All handrails install completed correctly within tolerance in respective area</t>
  </si>
  <si>
    <t>Raise Remedial/ Main Contractor Signoff</t>
  </si>
  <si>
    <t>POST - S - Hardware Installation</t>
  </si>
  <si>
    <t>Area accessible and ready to install the hardware</t>
  </si>
  <si>
    <t>All hardware installation completed correctly within tolerance in respective area (Photos attached)</t>
  </si>
  <si>
    <t xml:space="preserve">POST - S - Internal door installation </t>
  </si>
  <si>
    <t>POST - S - Internal Lining - Ceilings</t>
  </si>
  <si>
    <t>All preline services &amp; passive fire (where required) completed, area accessible and substrate acceptable</t>
  </si>
  <si>
    <t>Bracing, adhesive/sealant &amp; lining layer(s) requirements achieved</t>
  </si>
  <si>
    <t>Services/penetrations, correctly formed &amp; located</t>
  </si>
  <si>
    <t>Correct fixing pattern/sealant/adhesive/layers installed to align with consented design and specifications</t>
  </si>
  <si>
    <t>Any bracing elements completed to design specification</t>
  </si>
  <si>
    <t>All lining(s) completed correctly to specification &amp; level of finish acceptable in respective area(s)</t>
  </si>
  <si>
    <t>POST - S - Internal Lining - Walls</t>
  </si>
  <si>
    <t>Specific products used (photos Required)</t>
  </si>
  <si>
    <t xml:space="preserve">All lining(s) completed correctly to specification &amp; level of finish acceptable in respective area(s) </t>
  </si>
  <si>
    <t>POST - S - Internal Waterproofing &amp; Tiling - Bathrooms &amp; WC</t>
  </si>
  <si>
    <t>Screeding completed to correct thickness, levels and to heights</t>
  </si>
  <si>
    <t>Cork/ soundproofing completed to correct thickness, levels and to heights</t>
  </si>
  <si>
    <t>Underfloor heating installed  to specifications</t>
  </si>
  <si>
    <t>Waterproofing completed to specifications</t>
  </si>
  <si>
    <t>Flood testing completed, results recorded and acceptable</t>
  </si>
  <si>
    <t xml:space="preserve">All tiles laid to specification, square, clean edges with no lipping </t>
  </si>
  <si>
    <t>Grouting/ silicone works complete and surface cleaned of excess</t>
  </si>
  <si>
    <t xml:space="preserve">Tiling is completed correctly to specification &amp; level of finish acceptable in respective area(s) </t>
  </si>
  <si>
    <t>POST - S - Joinery and Cabinets Installation - Kitchen, Ensuite, Bathroom and Wardrobes</t>
  </si>
  <si>
    <t>All units &amp; scribers in apartment</t>
  </si>
  <si>
    <t>Joinery free from damage pre install</t>
  </si>
  <si>
    <t>Joinery installed free from defect and damage</t>
  </si>
  <si>
    <t xml:space="preserve">Silicone installed, correct colour &amp; clean and tidy
</t>
  </si>
  <si>
    <t>Joinery and Cabinets installation completed - specified level of finish achieved</t>
  </si>
  <si>
    <t>POST - S - Joinery Receival</t>
  </si>
  <si>
    <t>Joinery in line with design drawings</t>
  </si>
  <si>
    <t>Post - S - Mirror Installation</t>
  </si>
  <si>
    <t>Mirror correct size as per plans</t>
  </si>
  <si>
    <t>Mirror free from chips, cracks and scratches (Attach photos)</t>
  </si>
  <si>
    <t>Mirror fastened to surface correctly and square (Attach photos)</t>
  </si>
  <si>
    <t>Silicon seal appropriate (Attach photos)</t>
  </si>
  <si>
    <t>Raise remedial/Request signoff</t>
  </si>
  <si>
    <t xml:space="preserve">POST - S - Painting </t>
  </si>
  <si>
    <t>Any prep work &amp; sealer coat completed</t>
  </si>
  <si>
    <t>Light inspection completed and approved to continue</t>
  </si>
  <si>
    <t>Any additional prep work completed (stopping, filling, sanding etc)</t>
  </si>
  <si>
    <t>First top coat completed</t>
  </si>
  <si>
    <t>Additional top coat applications completed</t>
  </si>
  <si>
    <t xml:space="preserve">Final coat completed as per specifications </t>
  </si>
  <si>
    <t>Painting work completed - specified level of finish achieved</t>
  </si>
  <si>
    <t>POST - S - Screeding</t>
  </si>
  <si>
    <t>Area is clean, waterproofed and free of cracks</t>
  </si>
  <si>
    <t>Area setout correctly and dimensions specified</t>
  </si>
  <si>
    <t>Material used is as per specification</t>
  </si>
  <si>
    <t>Alignment and evenness as per specification</t>
  </si>
  <si>
    <t>Screeding work completed - specified level of finish achieved</t>
  </si>
  <si>
    <t>POST - S - Second Fix - Electrical</t>
  </si>
  <si>
    <t xml:space="preserve">All cover plates in place &amp; fitted correctly and straight </t>
  </si>
  <si>
    <t>All light fittings tight &amp; secure and acceptable</t>
  </si>
  <si>
    <t>All cables are tied up</t>
  </si>
  <si>
    <t>Switch board fit off is completed and acceptable</t>
  </si>
  <si>
    <t>Test sheet for insulation Resistance are completed and acceptable</t>
  </si>
  <si>
    <t xml:space="preserve">Fixtures level &amp; in place  and acceptable </t>
  </si>
  <si>
    <t>POST - S - Second Fix - Nurse Call, Data &amp; Communications &amp; Security</t>
  </si>
  <si>
    <t>LAN test completed and acceptable</t>
  </si>
  <si>
    <t>MATV terminated and acceptable</t>
  </si>
  <si>
    <t>Distribution Box terminated and acceptable</t>
  </si>
  <si>
    <t>Nurse Call faceplates fitted off and acceptable</t>
  </si>
  <si>
    <t>MATV/Data faceplates fitted off and acceptable</t>
  </si>
  <si>
    <t>Camera faceplates fitted off and acceptable</t>
  </si>
  <si>
    <t>Intercom faceplates fitted off and acceptable</t>
  </si>
  <si>
    <t>AC-Mags faceplates fitted off and acceptable</t>
  </si>
  <si>
    <t>AC-Plates fitted off and acceptable</t>
  </si>
  <si>
    <t>Second Fix complete and acceptable and area clean and tidy for next trade</t>
  </si>
  <si>
    <t xml:space="preserve">POST - S - Second Fix - Plumbing </t>
  </si>
  <si>
    <t>Preinstall QA</t>
  </si>
  <si>
    <t>Permission to begin work obtained</t>
  </si>
  <si>
    <t>Drawings correct issue and construction set</t>
  </si>
  <si>
    <t>Area is left clean and tidy and work can begin</t>
  </si>
  <si>
    <t>Fit-off materials match schedule or drawings</t>
  </si>
  <si>
    <t>Setouts/min clearances as per specification</t>
  </si>
  <si>
    <t>Water pipework maintained test throughout</t>
  </si>
  <si>
    <t>No debris in floor wastes or subs</t>
  </si>
  <si>
    <t>Section</t>
  </si>
  <si>
    <t>Water Supplies</t>
  </si>
  <si>
    <t>Toilet full flush and half flush working as required. Visual check for leaks on pan cone and close coupled connection </t>
  </si>
  <si>
    <t>Vanity basin mixer working to required flow rate and overflow able to keep up with flow rate from mixer </t>
  </si>
  <si>
    <t>Sink overflow able to keep up with flow rate from mixer</t>
  </si>
  <si>
    <t> Dishwasher commissioned</t>
  </si>
  <si>
    <t>Showers  - Mixer working to required flow rate and shower hoses fitted with non-returns </t>
  </si>
  <si>
    <t>Hot water cylinder</t>
  </si>
  <si>
    <t xml:space="preserve">Trap installed on tray if required </t>
  </si>
  <si>
    <t>HWC relief lines have 25mm clearance</t>
  </si>
  <si>
    <t>Restraints installed</t>
  </si>
  <si>
    <t xml:space="preserve">Hot water set to Min 60° </t>
  </si>
  <si>
    <t>Tempering valve set to required temperature</t>
  </si>
  <si>
    <t>Timber blocks installed </t>
  </si>
  <si>
    <t>Finishing</t>
  </si>
  <si>
    <t>Flanges installed on all pipework penetrations</t>
  </si>
  <si>
    <t>All soil pipes are connected to  sanitary sewer</t>
  </si>
  <si>
    <t>No crossovers, hot on left and cold on right on all mixers</t>
  </si>
  <si>
    <t>All fixtures are siliconed down and splash sealed</t>
  </si>
  <si>
    <t>Hose taps are complete with Vacuum Breakers</t>
  </si>
  <si>
    <t>Area is left clean and tidy</t>
  </si>
  <si>
    <t>Work is 100% competed to required specifications</t>
  </si>
  <si>
    <t xml:space="preserve">POST - S - Skirting/ Architraves &amp; Trims </t>
  </si>
  <si>
    <t xml:space="preserve">Architraves/ skirtings &amp; trims are the correct size and profile
</t>
  </si>
  <si>
    <t>Skirting boards have been properly scribed, sanded, glued and mitred</t>
  </si>
  <si>
    <t xml:space="preserve">Architraves/skirtings &amp; trims have been installed with consistent even margins
</t>
  </si>
  <si>
    <t xml:space="preserve">Skirting/Architraves &amp; trim work completed - specified level of finish achieved </t>
  </si>
  <si>
    <t>Post - S - Splashback Installation</t>
  </si>
  <si>
    <t>Splashback correct size as per plans</t>
  </si>
  <si>
    <t>Splashback free from chips, cracks and scratches (Attach photos)</t>
  </si>
  <si>
    <t>Splashback fastened to surface correctly and square (Attach photos)</t>
  </si>
  <si>
    <t>Correct colour as per scope</t>
  </si>
  <si>
    <t xml:space="preserve">POST - S - Stopping </t>
  </si>
  <si>
    <t xml:space="preserve">Complete fire stopping between layers of lining &amp; apply compound(s) as specified </t>
  </si>
  <si>
    <t>Openings/penetrations/corners &amp; bulkheads, correctly formed</t>
  </si>
  <si>
    <t>Square stopping, slimlines, joints checked &amp; acceptable</t>
  </si>
  <si>
    <t xml:space="preserve">Correct compound(s) used to align with consented specifications </t>
  </si>
  <si>
    <t>Adequate drying time between coats, no visible bubbling/deforms &amp; each coat is sanded as applicable</t>
  </si>
  <si>
    <t xml:space="preserve">Light check completed to ensure no sheet joins stand out </t>
  </si>
  <si>
    <t xml:space="preserve">Stopping work completed - specified level of finish achieved </t>
  </si>
  <si>
    <t>POST - S - Tiling</t>
  </si>
  <si>
    <t xml:space="preserve">Matching batches of tiles installed </t>
  </si>
  <si>
    <t>Correct tile adhesive applied as per spec</t>
  </si>
  <si>
    <t>Trims/ transition bars and any other finishing completed</t>
  </si>
  <si>
    <t xml:space="preserve">Epoxy/ grouting correct colours applied and acceptable </t>
  </si>
  <si>
    <t xml:space="preserve">Silicone correct colours applied and acceptable </t>
  </si>
  <si>
    <t>Fully cleaned and no grout residue on tiles</t>
  </si>
  <si>
    <t>Tiling completed - specified level of finish achieved and area left clean and tidy</t>
  </si>
  <si>
    <t>POST - S - Underfloor heating</t>
  </si>
  <si>
    <t>Wiring on the floor completed correctly</t>
  </si>
  <si>
    <t>Self levelling coverage completed and acceptable</t>
  </si>
  <si>
    <t xml:space="preserve">Underfloor heating completed - specified level of finish achieved </t>
  </si>
  <si>
    <t>POST - S - Waterproofing</t>
  </si>
  <si>
    <t>Underfloor heating installed</t>
  </si>
  <si>
    <t>Inspection of floor membrane (1.5mm thick, no pin holes)</t>
  </si>
  <si>
    <t>Inspection of wall membrane (2 coats applied)</t>
  </si>
  <si>
    <t>Is the water-stop at shower correctly positioned and coated with membrane</t>
  </si>
  <si>
    <t>Waterproofing completed - specified level of finish achieved</t>
  </si>
  <si>
    <t>Pre-Line</t>
  </si>
  <si>
    <t>PRE - R - Fire Penetration</t>
  </si>
  <si>
    <t>PRE - R - PRE-line</t>
  </si>
  <si>
    <t>PRE-line works completed and acceptable. Trades QA received, reviewed, attached and approved for all pre-line trades. Approved to line the area.</t>
  </si>
  <si>
    <t>Timber frame installation completed and acceptable</t>
  </si>
  <si>
    <t>Steel Stud frame installation completed and acceptable</t>
  </si>
  <si>
    <t xml:space="preserve">Electrical First Fix completed and acceptable </t>
  </si>
  <si>
    <t xml:space="preserve">Plumbing First Fix completed and acceptable </t>
  </si>
  <si>
    <t xml:space="preserve">Security, Comms and Data First Fix completed and acceptable </t>
  </si>
  <si>
    <t xml:space="preserve">HVAC First Fix completed and acceptable </t>
  </si>
  <si>
    <t xml:space="preserve">Fire Security First Fix completed and acceptable </t>
  </si>
  <si>
    <t xml:space="preserve">Under floor heating First Fix (including screeding and soundproofing of the bathrooms/ wc) completed and acceptable </t>
  </si>
  <si>
    <t xml:space="preserve">Kitchen extract First Fix completed and acceptable </t>
  </si>
  <si>
    <t>Insulation installation completed and acceptable</t>
  </si>
  <si>
    <t>Passive fire installation completed and acceptable</t>
  </si>
  <si>
    <t>Suspended ceiling grids installation completed and acceptable</t>
  </si>
  <si>
    <t>PRE - S - Fire Penetration</t>
  </si>
  <si>
    <t>Penetration Details</t>
  </si>
  <si>
    <t>Area of Installation</t>
  </si>
  <si>
    <t>Wall, Floor, Ceiling</t>
  </si>
  <si>
    <t>Fire Rating (Minutes)</t>
  </si>
  <si>
    <t>FRR 30, FRR 60, FRR 120, FRR 180, Other</t>
  </si>
  <si>
    <t>If other - specify here:</t>
  </si>
  <si>
    <t>Penetration Type</t>
  </si>
  <si>
    <t>Cables, Copper Pipe, PVC Pipe, PPR, DUX, Stainless Steel Pipe, Galvanized Steel Pipe, Metal Duct, PVC Duct, Pair Coil</t>
  </si>
  <si>
    <t>Service Type</t>
  </si>
  <si>
    <t>Sprinkler Services, Data &amp; Security Systems, Hydraulics/ Plumbing, Electricals, Mechanical, Other</t>
  </si>
  <si>
    <t>Product Used</t>
  </si>
  <si>
    <t>Collars, Pipe Wraps, Fire Plates, Cast-In Collars, Fire Bonds, Boss FyreBox 150 x 600, Boss FyreBox 150 x 300,  Cable Transit, Cable Collar, Fire Mortar, Compressed Material Wool, Fire Rated Fabric, Flexicoat Sealant, Fire Dampers, Fire Pillow, Downlight Cover, Ablative Coating, Fire Shield, Protecta FR Putty Cord, Intumescent Sealant, Fire Mastic Sealant, Weather Resistant Fire Sealant, Fire Foam, Kaowool, Bulkhead Batt, Other</t>
  </si>
  <si>
    <t>Fire Sealant Used</t>
  </si>
  <si>
    <t>Yes, No, N/A</t>
  </si>
  <si>
    <t>Raise Remedial / Request Signoff</t>
  </si>
  <si>
    <t>PRE - S - First Fix - Air Conditioning</t>
  </si>
  <si>
    <t xml:space="preserve"> Complete length of pipework is insulated and acceptable</t>
  </si>
  <si>
    <t>Drain installed and insulated</t>
  </si>
  <si>
    <t>Supply cable installed correctly, protected and secured</t>
  </si>
  <si>
    <t>Outdoor wall brackets in place</t>
  </si>
  <si>
    <t>Interconnecting cables correctly installed and protected</t>
  </si>
  <si>
    <t>Mechanical First Fix complete and acceptable and area clean and tidy for next trade</t>
  </si>
  <si>
    <t>PRE - S - First Fix - Electrical</t>
  </si>
  <si>
    <t>Check all drawings, plan symbols are identified and wired for, raise any anomalies</t>
  </si>
  <si>
    <t>Check wall and ceiling outlets and fitting positions against Architectural/ Electrical drawings and acceptable</t>
  </si>
  <si>
    <t>Check for any purchaser variations/ client extras</t>
  </si>
  <si>
    <t>Check all power &amp; light feeds present and acceptable</t>
  </si>
  <si>
    <t>Check loop wires installed and acceptable</t>
  </si>
  <si>
    <t>All joinery plans are followed and correct position of outlets installed and acceptable</t>
  </si>
  <si>
    <t>Flush boxes straight and level and acceptable</t>
  </si>
  <si>
    <t>Fire rated flush boxes where required + fire pads installed and acceptable</t>
  </si>
  <si>
    <t>Lights are marked out on plans or floor ready for cut out</t>
  </si>
  <si>
    <t>Electrical First Fix completed and acceptable and area clean and tidy for next trade</t>
  </si>
  <si>
    <t>PRE - S - First Fix - Fire Alarm</t>
  </si>
  <si>
    <t>Flush boxes installed and acceptable</t>
  </si>
  <si>
    <t>Walls are ready to line and acceptable</t>
  </si>
  <si>
    <t>Ceiling is ready to line and acceptable</t>
  </si>
  <si>
    <t>First Fix complete and acceptable and area clean and tidy for next trade</t>
  </si>
  <si>
    <t>PRE - S - First Fix - Nurse Call, Data &amp; Communications &amp; Security</t>
  </si>
  <si>
    <t>Framework available and acceptable</t>
  </si>
  <si>
    <t>Cabling completed and acceptable</t>
  </si>
  <si>
    <t>Nogs installed and acceptable</t>
  </si>
  <si>
    <t>Flush/Fire boxes installed and acceptable</t>
  </si>
  <si>
    <t>Fire Baffles installed and acceptable</t>
  </si>
  <si>
    <t>Fire penetrations completed, sealed and acceptable</t>
  </si>
  <si>
    <t>PRE - S - First Fix - Plumbing</t>
  </si>
  <si>
    <t>Hot water supply lines run the shortest</t>
  </si>
  <si>
    <t>Specified Waste pipework is Acoustic lagged and acceptable</t>
  </si>
  <si>
    <t>Penetrations through fire cells are fire protected</t>
  </si>
  <si>
    <t>All joist Brackets or Reinforcement installed, if required</t>
  </si>
  <si>
    <t>Nog's and fixings are installed for water closet, shower, hot water cylinder and etc.</t>
  </si>
  <si>
    <t>Penetrations through building paper are trade sealed</t>
  </si>
  <si>
    <t>Hot Water Ring main is thermally lagged</t>
  </si>
  <si>
    <t>All Pipework clipped neatly and tidy</t>
  </si>
  <si>
    <t>All pipework secured/ siliconed</t>
  </si>
  <si>
    <t>Floor Waste Gully Flange is recessed into flooring and installed</t>
  </si>
  <si>
    <t>Enter water pressure value tested for. Confirm loop not effect lining</t>
  </si>
  <si>
    <t>Checked for drips on water and waste piping</t>
  </si>
  <si>
    <t>Soil and waste piping hydrostatic test ( Flood test )</t>
  </si>
  <si>
    <t>Test plug &amp; Gauge removed from pipe system</t>
  </si>
  <si>
    <t>Fire penetration Schedule is completed</t>
  </si>
  <si>
    <t xml:space="preserve">Flange and all through installed pipework flood tested </t>
  </si>
  <si>
    <t>Plumbing First Fix complete and acceptable and area clean and tidy for next trade</t>
  </si>
  <si>
    <t>PRE - S - First Fix - Sprinkler</t>
  </si>
  <si>
    <t>PRE - S - First Fix - Ventilation</t>
  </si>
  <si>
    <t>Ductwork run straight level and well supported</t>
  </si>
  <si>
    <t>All ductwork joints sealed and acceptable</t>
  </si>
  <si>
    <t>All SAB joints sealed and taped and acceptable</t>
  </si>
  <si>
    <t>All flexible ducts cable tied and taped to duct and acceptable</t>
  </si>
  <si>
    <t>All seismic restraints in place (if needed) and acceptable</t>
  </si>
  <si>
    <t>Flexible ducts fixed in place to grille location and acceptable</t>
  </si>
  <si>
    <t>Grille locations/access panels marked on plans and acceptable</t>
  </si>
  <si>
    <t xml:space="preserve">PRE - S - Insulation </t>
  </si>
  <si>
    <t>All materials checked &amp; aligning with consented design &amp; specifications prior to install</t>
  </si>
  <si>
    <t>Correct product &amp; R value as per specification</t>
  </si>
  <si>
    <t>All Insulation completed correctly to specification &amp; within tolerance in respective area(s)</t>
  </si>
  <si>
    <t>PRE - S - Nogs</t>
  </si>
  <si>
    <t>Service Nogs Toilet</t>
  </si>
  <si>
    <t>Wall Vanity nogs installed</t>
  </si>
  <si>
    <t>Handrail and Toilet roll holder Nogs installed</t>
  </si>
  <si>
    <t>Bathroom</t>
  </si>
  <si>
    <t>Mirror cabinet nogs installed</t>
  </si>
  <si>
    <t>Toilet: Handrail nogs Installed</t>
  </si>
  <si>
    <t>Shower:  Handrails nogs (3 areas) installed</t>
  </si>
  <si>
    <t>Wall Mounted Heater nog installed</t>
  </si>
  <si>
    <t>Towel rail nogs installed</t>
  </si>
  <si>
    <t>Shower head nog installed</t>
  </si>
  <si>
    <t>Shower mixer nog installed</t>
  </si>
  <si>
    <t>Laundry</t>
  </si>
  <si>
    <t>Dryer nogs installed</t>
  </si>
  <si>
    <t>Cupboard nogs installed</t>
  </si>
  <si>
    <t>Service Nogs General</t>
  </si>
  <si>
    <t>Nogs / Service Nogs installed correctly as per plan</t>
  </si>
  <si>
    <t>PRE - S - Steel Stud Framing</t>
  </si>
  <si>
    <t>Steel Stud Dimensions / locations checked &amp; accurate</t>
  </si>
  <si>
    <t xml:space="preserve">Steel Studs have been installed square, straight and plumb </t>
  </si>
  <si>
    <t>Fixings are correct to specification including any seismic/bracing requirements</t>
  </si>
  <si>
    <t>All Nogs (Service/Specialty) &amp; penetrations - installed, checked &amp; correct (ensure acoustic &amp; fire rating requirements achieved)</t>
  </si>
  <si>
    <t xml:space="preserve">All Steel Stud framing completed correctly to specification &amp; within tolerance in respective area(s) </t>
  </si>
  <si>
    <t>Door Timber studs and lintels installed and level</t>
  </si>
  <si>
    <t>Window Timber studs, lintels and still installed and level</t>
  </si>
  <si>
    <t xml:space="preserve">PRE - S - Suspended ceiling grids </t>
  </si>
  <si>
    <t>Ceiling Height confirmed</t>
  </si>
  <si>
    <t>Bulkheads plumb, level and square (if required)</t>
  </si>
  <si>
    <t>Battens running in correct directions and orientation for critical light</t>
  </si>
  <si>
    <t>Batten joins offset</t>
  </si>
  <si>
    <t>Batten joins flush</t>
  </si>
  <si>
    <t>All hangers and clips installed</t>
  </si>
  <si>
    <t>Corners fixed correctly</t>
  </si>
  <si>
    <t>Appropriate fixings used and installed as per required specification</t>
  </si>
  <si>
    <t>Angles correct to fix plasterboard</t>
  </si>
  <si>
    <t>Any seismic requirements and bracing elements installed</t>
  </si>
  <si>
    <t xml:space="preserve">Suspended ceiling installation completed and acceptable </t>
  </si>
  <si>
    <t>PRE - S - Timber Framing</t>
  </si>
  <si>
    <t>Building square placed in all internal corners</t>
  </si>
  <si>
    <t>All walls are parallel</t>
  </si>
  <si>
    <t>All door openings correct</t>
  </si>
  <si>
    <t>Check levels and straight edges</t>
  </si>
  <si>
    <t>All DPC installed to walls</t>
  </si>
  <si>
    <t>All internal corners have appropriate fixings for plasterboard</t>
  </si>
  <si>
    <t>Appropriate deflection head gap</t>
  </si>
  <si>
    <t>PRE - S - Townhouse Suspended Ceilings</t>
  </si>
  <si>
    <t>Prestart</t>
  </si>
  <si>
    <t>Latest drawings available checked and referenced  and attached</t>
  </si>
  <si>
    <t>Ceiling Grid Install</t>
  </si>
  <si>
    <t>Ceiling height confirmed</t>
  </si>
  <si>
    <t>Correct product delivered, reviewed and approved as per specification</t>
  </si>
  <si>
    <t>Gib standard plasterboard screw fixed to metal ceiling system as per manufacturer specification (2-3 photos attached)</t>
  </si>
  <si>
    <t>Appropriate fixings used and installed as per specification (2-3 photos attached)</t>
  </si>
  <si>
    <t>Appropriate spacings for respective grid elements</t>
  </si>
  <si>
    <t>Battens level checked and accurate</t>
  </si>
  <si>
    <t xml:space="preserve">Checkpoint </t>
  </si>
  <si>
    <t>Perimeter channel/angle installed correctly (2-3 photos attached)</t>
  </si>
  <si>
    <t>Clips installed to appropriate centres</t>
  </si>
  <si>
    <t>All strong backs installed where required to meet specification</t>
  </si>
  <si>
    <t>All ceiling grid completed in respective area to required specification (Attach photo of respective completed grid)</t>
  </si>
  <si>
    <t>S - R - Electrical - Distribution Boards</t>
  </si>
  <si>
    <t>S - S - Air conditioning</t>
  </si>
  <si>
    <t>Pre-start checks</t>
  </si>
  <si>
    <t xml:space="preserve">Area/base/wall ready for outdoor unit
</t>
  </si>
  <si>
    <t xml:space="preserve">Pipework route all clear, penetrations complete
</t>
  </si>
  <si>
    <t xml:space="preserve">Nogs/ply in place for indoor unit
</t>
  </si>
  <si>
    <t xml:space="preserve">Drain 1m from indoor unit location by plumber
</t>
  </si>
  <si>
    <t>First Fix</t>
  </si>
  <si>
    <t xml:space="preserve">Complete length of pipework is insulated and acceptable
</t>
  </si>
  <si>
    <t xml:space="preserve">Drain installed and insulated
</t>
  </si>
  <si>
    <t xml:space="preserve">Outdoor wall brackets in place
</t>
  </si>
  <si>
    <t xml:space="preserve">Interconnecting cables correctly installed and protected
</t>
  </si>
  <si>
    <t xml:space="preserve">Mechanical First Fix complete and acceptable </t>
  </si>
  <si>
    <t>Second Fix</t>
  </si>
  <si>
    <t>System pressure checked and still holding pressure and acceptable</t>
  </si>
  <si>
    <t>Correct Indoor unit installed, level and tight to wall and acceptable</t>
  </si>
  <si>
    <t xml:space="preserve">Correct Outdoor unit installed and secure
</t>
  </si>
  <si>
    <t xml:space="preserve">Indoor unit serial no. recorded
</t>
  </si>
  <si>
    <t xml:space="preserve">Outdoor Unit serial no. recorded
</t>
  </si>
  <si>
    <t xml:space="preserve">Indoor unit run, fan speeds, modes etc. are acceptable
</t>
  </si>
  <si>
    <t xml:space="preserve">Air conditioning Second Fix complete and acceptable </t>
  </si>
  <si>
    <t>Commissioning</t>
  </si>
  <si>
    <t>Installer confirmed commissioned and paperwork submitted</t>
  </si>
  <si>
    <t>Commissioning paperwork reviewed and accepted by Project Manager</t>
  </si>
  <si>
    <t>Electrical testing complete</t>
  </si>
  <si>
    <t xml:space="preserve">Commissioning complete and acceptable </t>
  </si>
  <si>
    <t>S - S - Electrical</t>
  </si>
  <si>
    <t>Handover Accepted/Nogs Installed and area clean and tidy before starting</t>
  </si>
  <si>
    <t xml:space="preserve">Check for any purchaser variations/ client extras
</t>
  </si>
  <si>
    <t xml:space="preserve">Check loop wires installed and acceptable
</t>
  </si>
  <si>
    <t xml:space="preserve">All joinery plans are followed and correct position of outlets installed and acceptable
</t>
  </si>
  <si>
    <t xml:space="preserve">Flush boxes straight and level and acceptable
</t>
  </si>
  <si>
    <t xml:space="preserve">Fire rated flush boxes where required + fire pads installed and acceptable
</t>
  </si>
  <si>
    <t xml:space="preserve">Lights are marked out on plans or floor ready for cut out
</t>
  </si>
  <si>
    <t xml:space="preserve">All cables are tied up
</t>
  </si>
  <si>
    <t xml:space="preserve">Switch board fit off is completed and acceptable
</t>
  </si>
  <si>
    <t xml:space="preserve">Test sheet for insulation Resistance are completed and acceptable
</t>
  </si>
  <si>
    <t xml:space="preserve">Fixtures level &amp; in place and acceptable </t>
  </si>
  <si>
    <t>S - S - Electrical - Cable Trays</t>
  </si>
  <si>
    <t>Tray ready to start</t>
  </si>
  <si>
    <t>Building to correct Drawings (BIM model)</t>
  </si>
  <si>
    <t>Correct Tray / Basket size used</t>
  </si>
  <si>
    <t>Tray height correct of RL</t>
  </si>
  <si>
    <t>Tray position as per BIM model measurements</t>
  </si>
  <si>
    <t>Tray level</t>
  </si>
  <si>
    <t>Tray locked down</t>
  </si>
  <si>
    <t>S - S - Electrical - Distribution Boards</t>
  </si>
  <si>
    <t>DB details</t>
  </si>
  <si>
    <t>Engineer</t>
  </si>
  <si>
    <t>Test Instrument</t>
  </si>
  <si>
    <t>Cable Size/Type</t>
  </si>
  <si>
    <t>Main SW Size (A)</t>
  </si>
  <si>
    <t>Submain Insulation Resistance</t>
  </si>
  <si>
    <t>select</t>
  </si>
  <si>
    <t>Polarity</t>
  </si>
  <si>
    <t>Main SW Voltage E-N (V)</t>
  </si>
  <si>
    <t>Main SW Voltage R-E/N (V)</t>
  </si>
  <si>
    <t>Main Sw Fault Loop Impedance (Z)</t>
  </si>
  <si>
    <t>DB completed as per spec 100%</t>
  </si>
  <si>
    <t xml:space="preserve">S - S - Fire Alarm </t>
  </si>
  <si>
    <t>Substrate acceptable</t>
  </si>
  <si>
    <t>Area accessible</t>
  </si>
  <si>
    <t>Flush boxes fitted</t>
  </si>
  <si>
    <t>Ready to line walls</t>
  </si>
  <si>
    <t>Ready to line ceiling</t>
  </si>
  <si>
    <t>First fix completed and area cleared of waste</t>
  </si>
  <si>
    <t>Main contractor sign off</t>
  </si>
  <si>
    <t>Ceiling fitted off</t>
  </si>
  <si>
    <t>Walls fitted off</t>
  </si>
  <si>
    <t>Second fix completed in all aspects and area cleared of waste</t>
  </si>
  <si>
    <t>S - S - Fire Hydrant</t>
  </si>
  <si>
    <t>S - S - Fire Sprinkler</t>
  </si>
  <si>
    <t>Pressure Test</t>
  </si>
  <si>
    <t>Pressure Test Info</t>
  </si>
  <si>
    <t>System pressure test details</t>
  </si>
  <si>
    <t>Installation conforms to accepted plans</t>
  </si>
  <si>
    <t>Equipment used is approved</t>
  </si>
  <si>
    <t>Test Results</t>
  </si>
  <si>
    <t>Retest required</t>
  </si>
  <si>
    <t>Installer review completed</t>
  </si>
  <si>
    <t>Main contractor review completed</t>
  </si>
  <si>
    <t>S - S - Kitch Extraction</t>
  </si>
  <si>
    <t>Area clear, access good, enough space for install</t>
  </si>
  <si>
    <t>Duct Route clear, Penetrations completed</t>
  </si>
  <si>
    <t>Nogs/Supports in place</t>
  </si>
  <si>
    <t>Fan installed straight and level and correct orientation</t>
  </si>
  <si>
    <t>Correct Fan installed</t>
  </si>
  <si>
    <t>Fan seismically braced and vibration isolated</t>
  </si>
  <si>
    <t>S - S - Lifts</t>
  </si>
  <si>
    <t>Area clean and accessible</t>
  </si>
  <si>
    <t>Installation of car structure as working platform</t>
  </si>
  <si>
    <t>Brackets and Guide rails installed</t>
  </si>
  <si>
    <t>Headroom components installed and Machine commissioned</t>
  </si>
  <si>
    <t>Traction media installed and installation travel prepared</t>
  </si>
  <si>
    <t>Car sill and landing doors installed</t>
  </si>
  <si>
    <t>Hoistway and pit wired</t>
  </si>
  <si>
    <t>Work on car completed</t>
  </si>
  <si>
    <t>Lift installation completed, All final checks and documentation completed and attached</t>
  </si>
  <si>
    <t>S - S - Ventilation - Apartment Ventilation</t>
  </si>
  <si>
    <t>Penetrations done in floors and walls (if needed)</t>
  </si>
  <si>
    <t>Space for ducting (no trades in the way)</t>
  </si>
  <si>
    <t>Pipe through exterior wall installed by RHC to connect to</t>
  </si>
  <si>
    <t>Drawings and work scope confirmed</t>
  </si>
  <si>
    <t>All ductwork joints sealed</t>
  </si>
  <si>
    <t>All SAB joints sealed and taped</t>
  </si>
  <si>
    <t>All flexible ducts cable tied and taped to duct</t>
  </si>
  <si>
    <t>Identify locations and correct model of Fire damper to be installed</t>
  </si>
  <si>
    <t>Inform RHC PM Fire Dampers are ready for sealing</t>
  </si>
  <si>
    <t>Using damper handle and fusible link, test damper operation and then set blade to required postition</t>
  </si>
  <si>
    <t>Understand the requirements of the Seismic PS1 and identify the locations where engineered bracing is required</t>
  </si>
  <si>
    <t>Install using Materials specified in the PS1</t>
  </si>
  <si>
    <t xml:space="preserve">Upload Photos of Install </t>
  </si>
  <si>
    <t>All seismic restraints in place (if needed)</t>
  </si>
  <si>
    <t>Flexible ducts fixed in place to grille location</t>
  </si>
  <si>
    <t>Identify Fan Upgrade Requirement</t>
  </si>
  <si>
    <t>Area Clear for Install of Ducting, Fan, and Control Box</t>
  </si>
  <si>
    <t>Install Fan, ducting and control box as per spec.</t>
  </si>
  <si>
    <t>Grille locations/access panels marked on plans</t>
  </si>
  <si>
    <t>Mechanical First Fix complete</t>
  </si>
  <si>
    <t>Ceiling fans installed square and level</t>
  </si>
  <si>
    <t>Kitchen range hood installed by RHC to connect to</t>
  </si>
  <si>
    <t>Fingerprints removed from grilles/walls/ceilings</t>
  </si>
  <si>
    <t>Fan plugged in before install to ceiling</t>
  </si>
  <si>
    <t>External louver supplied by TSL, installed by RHC completed</t>
  </si>
  <si>
    <t>Commissioning form completed &amp; given to TSL</t>
  </si>
  <si>
    <t>Mechanical Second Fix complete</t>
  </si>
  <si>
    <t>Correct product used as per requirements</t>
  </si>
  <si>
    <t>Correct design followed as per drawings</t>
  </si>
  <si>
    <t>Mechanical Plant commissioned</t>
  </si>
  <si>
    <t>S - S - Ventilation - Carpark Ventilation - Jet Pulse Fan</t>
  </si>
  <si>
    <t>Access Panel requirements marked up on drawings and submitted to client</t>
  </si>
  <si>
    <t>All works from builders or other trades to enable Mechanical First fix to be completed (e.g.. drains, framing, penetrations&amp;)</t>
  </si>
  <si>
    <t>All works from builders or other trades to enable Mechanical second fix to be completed (e.g.. painting, waterproofing...)</t>
  </si>
  <si>
    <t>Good access to all areas of building</t>
  </si>
  <si>
    <t>Power live to Mechanical Plant</t>
  </si>
  <si>
    <t>S - S - Ventilation - Corridors Ventilation</t>
  </si>
  <si>
    <t>Duct route clear, Penetrations complete</t>
  </si>
  <si>
    <t>Install to Manufacturers Specifications</t>
  </si>
  <si>
    <t>Refer back to Seismic Engineer for PS4 Production.</t>
  </si>
  <si>
    <t>ST - I - ITP Concrete Pour</t>
  </si>
  <si>
    <t>DESIGN</t>
  </si>
  <si>
    <t>Attach relevant design documents as references</t>
  </si>
  <si>
    <t>Confirm Mpa/Slump/Aggregate size - attach mix design</t>
  </si>
  <si>
    <t>Reinforcing design, attach approved engineering design</t>
  </si>
  <si>
    <t>PRELIMINARIES AND PLANNING</t>
  </si>
  <si>
    <t>Local authority compliance, council inspection completed, confirm compliance with consent conditions</t>
  </si>
  <si>
    <t>Project Quality High Risk Activity, risk assessment completed, attach copy</t>
  </si>
  <si>
    <t>All equipment calibrated and operating within tolerances.  Attach calibration ceritificate for relevant equipment.</t>
  </si>
  <si>
    <t>Subcontractor QA Completed in CONQA (ST - S - Concrete Pour) with no issues.</t>
  </si>
  <si>
    <t>Ryman 046 ST - R - Concrete Pour Planning checklist completed and SIGN OFF request issued and completed</t>
  </si>
  <si>
    <t>PM Sign off request - all preliminaries and planning section requirements are met.  Pass this checkpoint once signed.</t>
  </si>
  <si>
    <t>Add signature as per checkpoint above</t>
  </si>
  <si>
    <t>SET OUT</t>
  </si>
  <si>
    <t>3rd Party Sign off: Set out of concrete elements, Grids and RLs clearly marked for reference - Check setout in accordance with Architectural and Structural Drawings</t>
  </si>
  <si>
    <t>Set out of concrete elements, Grids and RLs clearly marked for reference - Check setout in accordance with Architectural and Structural Drawings</t>
  </si>
  <si>
    <t>GROUND PREPARATION</t>
  </si>
  <si>
    <t>All underslab services installed, inspected, backfilled and compacted - Services Trades ITP's signed off to relevant points. Services Trades to sign as confirmation of all underslab works complete. Attach Photos of signed trade ITPs</t>
  </si>
  <si>
    <t>Subcontractor sign off required.  Ground preparation confirmed by subcontractor.  Pass this checkpoint once signed.</t>
  </si>
  <si>
    <t>SUBCONTRACTOR CONFIRMATION, CLICK TO EMAIL SIGN OFF REQUEST</t>
  </si>
  <si>
    <t>PM Signature required.  Ground preparation confirmed by subcontractor.  Pass this checkpoint once signed.</t>
  </si>
  <si>
    <t>ADD SIGNATURE - PM SIGN OFF TO PROCEED</t>
  </si>
  <si>
    <t>Thickenings / footings / pads correct - location/ depth / width - Attach Photos</t>
  </si>
  <si>
    <t>Subgrade prepared, compacted and finished to correct RL's - Confirm levels</t>
  </si>
  <si>
    <t xml:space="preserve">Vapour barrier installed under internal slabs on ground including integral ground beams. Joints lapped and facing away from concrete pour. Seal laps &amp; penetrations with water adhesive tape. Patch or seal punctures. Plastic is taped around pipes and other slab penetrations. Any holes or tears have been repaired or taped - Attach photos
</t>
  </si>
  <si>
    <t>Waterproofing membrane installed and correct - Attach photos</t>
  </si>
  <si>
    <t>Installation of edge forms, rebates, setdowns, penetrations etc. checked - Formwork has been placed and securely fixed plumb and level to prevent displacement during pour. Slab RL's checked in accordance with the approved plans. Dimensions have been checked against plans. All set downs are in the correct place and are the correct depth. Slab is square.</t>
  </si>
  <si>
    <t>SLAB PREPARATION</t>
  </si>
  <si>
    <t>Formwork. Checklist 046 F - S - Formwork Inspection completed by subcontractor</t>
  </si>
  <si>
    <t>PM SIGN OFF TO PROCEED</t>
  </si>
  <si>
    <t>Services trades to confirm all embedded items are installed, tested and checked as required. Underslab drain penetration positions have been checked in accordance with the approved plans - Electrician, Plumber, Mechanical to sign off</t>
  </si>
  <si>
    <t>Reinforcement installed as per structural design.  Checklist 046 ST - S - IMBMS Couplers Tests Checklist completed.</t>
  </si>
  <si>
    <t>Engineer inspection and approval to pour - Attach certificate / report and photos of slab prior to pouring</t>
  </si>
  <si>
    <t>Confirmation that all work to be rectified from Engineer Inspections has been completed checked for compliance. Project Manager's review of all required check points and approval to proceed with Concrete Pour.</t>
  </si>
  <si>
    <t>CONCRETE POUR</t>
  </si>
  <si>
    <t>Review and confirm:  - Pour sequence (attach pour plan), Concrete truck discharge point, supply rate and turn around time, Pump type, setup location and timing, Placement equipment (chutes, barrow runs, ramps etc.), Construction joint forms and inserts, Finishing equipment, Curing method, Weather forecast check. Confirm all planning is in place and pour is approved to proceed.</t>
  </si>
  <si>
    <t>Concrete Slump Test Report.  Attach Slump test report.</t>
  </si>
  <si>
    <t>Tolerances.  Delivery dockets checked for MPA, slump tolerance, maximum elapsed time from batch plant to discharge. Check tolerances as laid from straight edge, Visual inspection – Ponding of water after rain</t>
  </si>
  <si>
    <t>POST POUR</t>
  </si>
  <si>
    <t>Concrete Cylinder Test Results.  Attach Test Results (7, 14, 28, 56 days) - Confirm all concrete installed reached nominal strengths</t>
  </si>
  <si>
    <t>ST - R - Blockwork</t>
  </si>
  <si>
    <t>Blockwork walls completed and acceptable</t>
  </si>
  <si>
    <t>ST - R - Concrete Pour</t>
  </si>
  <si>
    <t>Correct size and grade of the propping timbers</t>
  </si>
  <si>
    <t>Correct size and grade of the props</t>
  </si>
  <si>
    <t>Props placed in the correct location as indicated on the propping plan</t>
  </si>
  <si>
    <t>Temporary anchors and fixings installed</t>
  </si>
  <si>
    <t>All concrete dockets photographed/ attached</t>
  </si>
  <si>
    <t>Concrete strength test reports attached and required concrete strength achieved</t>
  </si>
  <si>
    <t>Mill certificate reviewed, attached and approved</t>
  </si>
  <si>
    <t>Concrete pour completed and acceptable</t>
  </si>
  <si>
    <t>ST - R - Concrete Pour Inspection</t>
  </si>
  <si>
    <t>IMMEDIATELY PRIOR TO POUR</t>
  </si>
  <si>
    <t>Confirm temperature on site is within allowable range to pour (Deg C)</t>
  </si>
  <si>
    <t>If air temp &gt; 32°C then confirm aliphatic alcohol to be applied.</t>
  </si>
  <si>
    <t>Rain forecast?</t>
  </si>
  <si>
    <t>Confirm concrete tester is onsite to take samples (slump &amp; cylinder) as per approved testing rate</t>
  </si>
  <si>
    <t>Confirm agreed concrete truck turn around times and supply rate with supplier</t>
  </si>
  <si>
    <t>Confirm maximum waiting time with concrete supplier</t>
  </si>
  <si>
    <t>Confirm positioning of pump is adequate to place concrete in a safe and timely manner</t>
  </si>
  <si>
    <t>Confirm all required access permits, traffic control and the like are in place for movements of concrete trucks and pumps</t>
  </si>
  <si>
    <t>Reinforcement installed as per structural design</t>
  </si>
  <si>
    <t>DURING CONCRETE POUR</t>
  </si>
  <si>
    <t>Concrete dockets - attach photo of each docket to this item</t>
  </si>
  <si>
    <t>Confirm delivery docket complies with mix design prior to dispatching concrete, check for MPA, slump tolerance, max. time from plant to discharge.</t>
  </si>
  <si>
    <t>Location of each batch of concrete marked up on pour plan</t>
  </si>
  <si>
    <t>Ensure no water is added to the concrete mix (whether pump or truck).</t>
  </si>
  <si>
    <t>Confirm vibrator use, rubber tipped vibrator used at regular intervals and penetrate vertically approx. 50mm into previous layer.</t>
  </si>
  <si>
    <t>Confirm levels, as per drawings, confirm correct cover, falls and flatness tolerances achieved.</t>
  </si>
  <si>
    <t>Confirm jointing as per drawings, do not relocate, eliminate or make other construction joints.</t>
  </si>
  <si>
    <t>Confirm Finishing - As per drawings, confirm finish requirements achieved (sufficient to receive nominated floor coverings) - Steel trowel finish to carpet &amp; vinyl areas, wood</t>
  </si>
  <si>
    <t>IMMEDIATELY AFTER POUR</t>
  </si>
  <si>
    <t>Approved Curing Method (nominate)</t>
  </si>
  <si>
    <t>Check cured when bleed water stops and able to access slab without marking and also amount used complies</t>
  </si>
  <si>
    <t>Curing commenced and will continue from completion of finish - Fully enclosed internal surfaces/Early age concrete: 3 days - Other concrete surfaces: 7 days. Prevent rapid drying out at the end of the curing period.</t>
  </si>
  <si>
    <t>Foreman Sign off to receive inspection results - concrete pour inspections completed by subcontractor.  Pass this checkpoint once signed.</t>
  </si>
  <si>
    <t>CLICK AND SEND EMAIL TO PROJECT MANAGER TO SIGN FOR RECEIPT OF THE INSPECTION RESULTS</t>
  </si>
  <si>
    <t>ST - R - Concrete Pour Planning</t>
  </si>
  <si>
    <t>POUR DETAILS</t>
  </si>
  <si>
    <t>Area to be poured:</t>
  </si>
  <si>
    <t>Date of pour:</t>
  </si>
  <si>
    <t>Type of pour:</t>
  </si>
  <si>
    <t>Rib Raft, Reinforced</t>
  </si>
  <si>
    <t>CONCRETE SUPPLIER SPECIFICS</t>
  </si>
  <si>
    <t>Specified concrete strength:</t>
  </si>
  <si>
    <t>Concrete strength ordered:</t>
  </si>
  <si>
    <t>Concrete quantity ordered:</t>
  </si>
  <si>
    <t>Test blocks booked</t>
  </si>
  <si>
    <t>METHODOLOGY AGREEMENT</t>
  </si>
  <si>
    <t>Sequence</t>
  </si>
  <si>
    <t>Placement</t>
  </si>
  <si>
    <t>Erection</t>
  </si>
  <si>
    <t>Assembly</t>
  </si>
  <si>
    <t>Temporary works</t>
  </si>
  <si>
    <t>PM Sign off to receive inspection results - concrete pour planning inspections completed by Foreman.  Pass this checkpoint once signed.</t>
  </si>
  <si>
    <t>ST - R - Insitu Pour - Kevin Hickman</t>
  </si>
  <si>
    <t>Insitu Pour concrete pour completed and acceptable</t>
  </si>
  <si>
    <t xml:space="preserve">ST - R - Insitu Stitch Joints </t>
  </si>
  <si>
    <t>Insitu Stitch Joints concrete pour completed and acceptable</t>
  </si>
  <si>
    <t>ST - R - Intumescent Painting</t>
  </si>
  <si>
    <t>Intumescent Painting completed and acceptable</t>
  </si>
  <si>
    <t>ST - R - Precast Balcony Installation</t>
  </si>
  <si>
    <t>Joints grouted with Sika 212 and PEF rod.</t>
  </si>
  <si>
    <t>Precast Balcony Installation completed and acceptable</t>
  </si>
  <si>
    <t>ST - R - Precast beam installation</t>
  </si>
  <si>
    <t xml:space="preserve">Precast Beam installation completed and acceptable </t>
  </si>
  <si>
    <t>ST - R - Precast Edge Beams Installation</t>
  </si>
  <si>
    <t>ST - R - Precast Flat Slab Installation</t>
  </si>
  <si>
    <t>Precast Flat Slab Installation completed and acceptable</t>
  </si>
  <si>
    <t xml:space="preserve">ST - R - Precast Shell Beam Lintel Installation </t>
  </si>
  <si>
    <t>Precast Shell Beam Lintel Installation completed and acceptable</t>
  </si>
  <si>
    <t>ST - R - Precast Spandrel Panel Installation</t>
  </si>
  <si>
    <t>Precast Spandrel Panel Installation completed and acceptable</t>
  </si>
  <si>
    <t>ST - R - Precast Wall Bracket Installation</t>
  </si>
  <si>
    <t>Precast Wall Bracket Installation completed and acceptable</t>
  </si>
  <si>
    <t>ST - R - Precast Wall Panel Installation</t>
  </si>
  <si>
    <t>Precast Wall Panel Installation completed and acceptable</t>
  </si>
  <si>
    <t>ST - R - Rib &amp; Infill Installation</t>
  </si>
  <si>
    <t>Pre-commencement</t>
  </si>
  <si>
    <t>Rib lifting plan confirmed, correct chains and hooks verified.</t>
  </si>
  <si>
    <t>Propping layout confirmed as "issued for construction" with contractor and attached.</t>
  </si>
  <si>
    <t>Floor area cleared for propping to be erected.</t>
  </si>
  <si>
    <t>Rib grid layout confirmed with contractor and drawing attached.</t>
  </si>
  <si>
    <t>Ryman Infill Installation SOP obtained and reviewed.  Record version number below.  Click PASS to confirm</t>
  </si>
  <si>
    <t>Version number</t>
  </si>
  <si>
    <t>Subcontractor SWMS obtained and reviewed against Ryman SOP.</t>
  </si>
  <si>
    <t>Variations to the SOP are proactively assessed and managed with the subcontractor accordingly.  Record personnel involved below.  Respond N/A if no variation to Ryman SOP is identified.</t>
  </si>
  <si>
    <t>Name/s of personnel</t>
  </si>
  <si>
    <t>Upload a copy of the subcontractor SWMS document.  PASS this checkpoint when uploaded.</t>
  </si>
  <si>
    <t>Approval to proceed given.</t>
  </si>
  <si>
    <t>Rib Installation</t>
  </si>
  <si>
    <t>Rib inspection results received from the contractor</t>
  </si>
  <si>
    <t>Ribs placed as per layout.</t>
  </si>
  <si>
    <t>All ribs visually supported as per plan, no visual damage.  Ready for infill panels.</t>
  </si>
  <si>
    <t>Infill Panel Installation</t>
  </si>
  <si>
    <t>Infill panel inspection results received from the contractor</t>
  </si>
  <si>
    <t>Infill boards  constructed as panels, including 'backbone', 6 to 10 boards in length and fitted tightly between the ribs</t>
  </si>
  <si>
    <t>Infill panel adjacent ends are joined, locked with timber blocks to prevent lateral movement, and secured to wall supports</t>
  </si>
  <si>
    <t>No obvious visual defects on infill boards, no knots, no cracks or other weakness across 25% of the width.</t>
  </si>
  <si>
    <t>Completion</t>
  </si>
  <si>
    <t>All propping below timber infill complete</t>
  </si>
  <si>
    <t>Handrails installed on all edges (top of slab)</t>
  </si>
  <si>
    <t>All penetrations closed or exclusions in place</t>
  </si>
  <si>
    <t>Pass to indicate agreement to proceed to lay reinforcing.</t>
  </si>
  <si>
    <t>ST - R - Roof structure - Steel</t>
  </si>
  <si>
    <t>All structural steel correctly installed in respective area and acceptable</t>
  </si>
  <si>
    <t>ST - R - Roof structure - Timber Trusses</t>
  </si>
  <si>
    <t>All timber trusses correctly installed in respective area and acceptable</t>
  </si>
  <si>
    <t>ST - R - Stair Installation</t>
  </si>
  <si>
    <t>Stair Installation completed and acceptable</t>
  </si>
  <si>
    <t>ST - R - Structural Steel Installation</t>
  </si>
  <si>
    <t>Chemical anchor proof tests conducted on the sample selected by the MV Engineer</t>
  </si>
  <si>
    <t>Chemical anchors are tested to 0.7xdesign load</t>
  </si>
  <si>
    <t>The test load of the bar is provided by the MV Engineer</t>
  </si>
  <si>
    <t>Proof load tests maintained for a minimum of 30 seconds</t>
  </si>
  <si>
    <t>The load did not drop more than 10% during the testing</t>
  </si>
  <si>
    <t>If the proof of tests show failure of the anchors, installation of anchors should stop, cause of failure investigated and installation methodology should be reviewed. If failure is recorded, the minimum test sample shall be increased to 6 specimens or 5% of the total relevant anchor population, whichever is greater.</t>
  </si>
  <si>
    <t>Mechanical anchor testing conducted on the sample selected by the MV Engineer and witnessed by the MV Engineer</t>
  </si>
  <si>
    <t>For trubolt or similar anchors the maximum tightening torque is reviewed</t>
  </si>
  <si>
    <t>ST - R - Timber Framing</t>
  </si>
  <si>
    <t>ST - S - Bentonite</t>
  </si>
  <si>
    <t>Area Confirmed and in acceptable condition</t>
  </si>
  <si>
    <t>Text</t>
  </si>
  <si>
    <t>Names of Applicators</t>
  </si>
  <si>
    <t>Substrate applied correctly</t>
  </si>
  <si>
    <t>Joints are overlapped correctly</t>
  </si>
  <si>
    <t>All pipe penetrations sealed correctly</t>
  </si>
  <si>
    <t>Protection board is the correct material and fitted properly</t>
  </si>
  <si>
    <t>ST - S - Blockwork</t>
  </si>
  <si>
    <t>Grids available for reference and base of wall marked accurately, RL reference/top of wall (TOW) confirmed</t>
  </si>
  <si>
    <t>Base of wall in correct location</t>
  </si>
  <si>
    <t>Horizontal reinforcing installed correctly (centres/ size / splicing etc)</t>
  </si>
  <si>
    <t>Ties / Control joints installed as required</t>
  </si>
  <si>
    <t>Vertical reinforcing installed as required with appropriate splice</t>
  </si>
  <si>
    <t>Openings checked and correct - location, height and width</t>
  </si>
  <si>
    <t>Washouts correct/openings covered correctly and wall braced adequately (if required)</t>
  </si>
  <si>
    <t>Wall built within tolerance - straight, level and to the correct height (Approval to pour)</t>
  </si>
  <si>
    <t xml:space="preserve">Concrete specifications checked and correct </t>
  </si>
  <si>
    <t>All blocks filled to correct height</t>
  </si>
  <si>
    <t>Starter bars in centre of block if applicable</t>
  </si>
  <si>
    <t>Blockwork wall(s) complete to required specification</t>
  </si>
  <si>
    <t>ST - S - Concrete Pour</t>
  </si>
  <si>
    <t>Pour Details</t>
  </si>
  <si>
    <t>Pour details entered</t>
  </si>
  <si>
    <t>Latest drawings available, checked and referenced</t>
  </si>
  <si>
    <t>Formwork and Embedded Items</t>
  </si>
  <si>
    <t>Formwork - location, height, falls and dimensions checked and accurate</t>
  </si>
  <si>
    <t>Reinforcing</t>
  </si>
  <si>
    <t>Size and type correct to specification</t>
  </si>
  <si>
    <t>Reinforcing spacing and location correct</t>
  </si>
  <si>
    <t>Specified covers checked/correct</t>
  </si>
  <si>
    <t>Splice laps checked/correct</t>
  </si>
  <si>
    <t>All couplers installed correctly (if reid bar couplers have been used, has epconC8 epoxy been used as specified)</t>
  </si>
  <si>
    <t>Appointment with the engineers confirmed (Enter date &amp; time of the appointment)</t>
  </si>
  <si>
    <t>Reidbar – coupler and flange nut installations are inspected by the MV Engineer</t>
  </si>
  <si>
    <t>IMBMS couplers testing carried out for Village Podiums in the form of tensile testing in accordance with NZS3101.1.2006 and results acceptable</t>
  </si>
  <si>
    <t>All starter bars are installed correctly (location, size and spacing )</t>
  </si>
  <si>
    <t>Any additional items installed/ completed (trimmer bars etc) and excess reinforcing removed</t>
  </si>
  <si>
    <t>Welding certificates sited and attached</t>
  </si>
  <si>
    <t>Reinforcing installed correctly to specification and ready for concrete to be placed</t>
  </si>
  <si>
    <t>Pre-Pour Completion (Approval to pour)</t>
  </si>
  <si>
    <t>Waterproofing elements have been correctly installed and checked</t>
  </si>
  <si>
    <t>Relevant service requirements completed (locations checked and accurate)</t>
  </si>
  <si>
    <t>Engineer inspection completed - any observations / remedial work documented and closed out</t>
  </si>
  <si>
    <t>Ryman inspection completed - Approval given to pour concrete</t>
  </si>
  <si>
    <t>Concrete Supplier Specifics</t>
  </si>
  <si>
    <t>Concrete Supplier details entered</t>
  </si>
  <si>
    <t>Supplier Name:</t>
  </si>
  <si>
    <t>mPA</t>
  </si>
  <si>
    <t>m3</t>
  </si>
  <si>
    <t>Placement Method</t>
  </si>
  <si>
    <t>Placement methodology confirmed and necessary plant and equipment on site</t>
  </si>
  <si>
    <t>Heights and falls checked/confirmed before placement</t>
  </si>
  <si>
    <t>Is the cover correct to specification</t>
  </si>
  <si>
    <t>Heights and falls checked/ confirmed after placement</t>
  </si>
  <si>
    <t>Any curing compound applied correctly</t>
  </si>
  <si>
    <t>Concrete placement completed - specified level of finish achieved</t>
  </si>
  <si>
    <t>Post Pour Checks/Sign Off</t>
  </si>
  <si>
    <t>Any remedial work completed</t>
  </si>
  <si>
    <t>Raise remedial/ Request Signoff</t>
  </si>
  <si>
    <t>Concrete Pour completed - All final checks and documentation completed and attached</t>
  </si>
  <si>
    <t>ST - S - Concrete Pour - Without Reo</t>
  </si>
  <si>
    <t>ST - S - Concrete Reinforcing</t>
  </si>
  <si>
    <t>ST - S - Epoxy</t>
  </si>
  <si>
    <t>Applicators</t>
  </si>
  <si>
    <t>Surface and preparation completed</t>
  </si>
  <si>
    <t>Method of preparing joints or cracks</t>
  </si>
  <si>
    <t>Hypalon tape used, type and strength</t>
  </si>
  <si>
    <t>Sikadur 31 number of units and last 6 digits of batch number (Attach confirmation Photo)</t>
  </si>
  <si>
    <t>Weather and Temperature</t>
  </si>
  <si>
    <t>Weather conditions and temperature in Celsius</t>
  </si>
  <si>
    <t>Surface temperature</t>
  </si>
  <si>
    <t>Surface temperature in Celsius</t>
  </si>
  <si>
    <t>Sarnafil Roof</t>
  </si>
  <si>
    <t>ST - S - IMBMS Couplers Tests Checklist</t>
  </si>
  <si>
    <t>Testing shall be carried out on IMBMS couplers in the form of tensile testing in accordance with NZS3101.1.2006</t>
  </si>
  <si>
    <t>Tests shall be conducted in a random manner, a random coupler of any size shall be used as the testing sample</t>
  </si>
  <si>
    <t>A total of 3 tensile tests shall be carried out, 1 test at the start of the project and 2 tests mid-way through the projects programme</t>
  </si>
  <si>
    <t>All tests samples to be produced and assembled by IMBMS</t>
  </si>
  <si>
    <t>If a sample fails to meet the tensile requirements of NZS3101.1.2006, then a cause shall be found by the manufacturer and appropriate corrective actions taken, after which three samples shall be tested without failure</t>
  </si>
  <si>
    <t>Reidbar – coupler and flange nut inspection</t>
  </si>
  <si>
    <t>The inspection process of Reidbar coupler and flange nuts shall be as per the manufacturer’s recommendations. The installation process shall be inspected by the Engineer, with the following inspection frequency.</t>
  </si>
  <si>
    <t>The Engineer shall inspect the installation of the couplers and/or flange nuts on a random sample of 3 structural elements (i.e. column, beam, panel etc.). The 3 random structural elements shall be confirmed by the Engineer.</t>
  </si>
  <si>
    <t>Foreman Sign off to receive inspection results - IMBMS coupler tests completed by subcontractor.  Pass this checkpoint once signed.</t>
  </si>
  <si>
    <t>ST - S - Insitu Pour</t>
  </si>
  <si>
    <t>Pour Details:</t>
  </si>
  <si>
    <t>Formwork</t>
  </si>
  <si>
    <t>Formwork braced &amp; fixed correctly</t>
  </si>
  <si>
    <t xml:space="preserve">Cover as specified </t>
  </si>
  <si>
    <t>Adjacent construction joints roughened and clean (7mm amplitude min)</t>
  </si>
  <si>
    <t>All relevant inspections completed and attached</t>
  </si>
  <si>
    <t>ST - S - Intumescent Painting - Pre-Commencement</t>
  </si>
  <si>
    <t>Pre-site visit</t>
  </si>
  <si>
    <t>Fabrication Drawings received</t>
  </si>
  <si>
    <t>Carboline schedule received and attached/uploaded</t>
  </si>
  <si>
    <t>Sealer schedule received and attached/uploaded</t>
  </si>
  <si>
    <t>Fire engineer report received and attached/uploaded</t>
  </si>
  <si>
    <t>Fire rating specified</t>
  </si>
  <si>
    <t>Fire limiting temperature specified</t>
  </si>
  <si>
    <t>QA documentation from blast and prime received</t>
  </si>
  <si>
    <t>Raise remedial/ sign-off request</t>
  </si>
  <si>
    <t>Pre-Paint Site Visit</t>
  </si>
  <si>
    <t>Supports removed</t>
  </si>
  <si>
    <t>No timber attached</t>
  </si>
  <si>
    <t>Concrete splatters removed</t>
  </si>
  <si>
    <t>All area and substrate checkpoints passed and area acceptable for painting</t>
  </si>
  <si>
    <t>ST - S - Intumescent Painting - QA</t>
  </si>
  <si>
    <t>Preparation</t>
  </si>
  <si>
    <t>Area for preparation and application input:</t>
  </si>
  <si>
    <t>Area / Grids:</t>
  </si>
  <si>
    <t>Solvent clean of substrate performed to remove contamination</t>
  </si>
  <si>
    <t>Profile substrate for adhesion sanded</t>
  </si>
  <si>
    <t>Abrasive blast</t>
  </si>
  <si>
    <t>Vapour blast</t>
  </si>
  <si>
    <t>Bristle blast</t>
  </si>
  <si>
    <t>Scotch sand</t>
  </si>
  <si>
    <t>Application</t>
  </si>
  <si>
    <t>Positector activated to gauge weather elements</t>
  </si>
  <si>
    <t>Average ambient conditions photographed and site conditions acceptable for painting</t>
  </si>
  <si>
    <t>Batch numbers photographed</t>
  </si>
  <si>
    <t>Area first application complete and visual check completed</t>
  </si>
  <si>
    <t xml:space="preserve">ST - S - Lintel Installation </t>
  </si>
  <si>
    <t>Inspected on arrival and damage free</t>
  </si>
  <si>
    <t>Adequately braced and braces are tagged</t>
  </si>
  <si>
    <t>Lintel Installation completed (checked location &amp; level) and no damages</t>
  </si>
  <si>
    <t xml:space="preserve">ST - S - Offsite Precast Manufacturing </t>
  </si>
  <si>
    <t xml:space="preserve">Photos of Internal QA </t>
  </si>
  <si>
    <t>Photos attached - pre-pour</t>
  </si>
  <si>
    <t xml:space="preserve">Photos attached - individual panel plan </t>
  </si>
  <si>
    <t>Photos attached - post-pour</t>
  </si>
  <si>
    <t>Any additional information inc. photos</t>
  </si>
  <si>
    <t>ST - S - Precast Balcony Installation</t>
  </si>
  <si>
    <t>Joints Scabbled</t>
  </si>
  <si>
    <t>Temporary supports correctly placed</t>
  </si>
  <si>
    <t>Precast balcony Installed in correct location</t>
  </si>
  <si>
    <t>Precast Balcony install complete (checked location &amp; level)</t>
  </si>
  <si>
    <t xml:space="preserve">ST - S - Precast Beam Installation </t>
  </si>
  <si>
    <t>Precast Beam Installation completed (checked location &amp; level) and no damages</t>
  </si>
  <si>
    <t>ST - S - Precast Compliance Documents</t>
  </si>
  <si>
    <t>Concrete Test Results</t>
  </si>
  <si>
    <t>Producer Statement (PS3)</t>
  </si>
  <si>
    <t>ST - S - Precast Edge Beams Installation</t>
  </si>
  <si>
    <t>Edge Beams installation completed (checked location &amp; level) and no damages</t>
  </si>
  <si>
    <t xml:space="preserve">ST - S - Precast Flat Slab Installation </t>
  </si>
  <si>
    <t>Precast Flat Slab Installation completed (checked location &amp; level) and no damages</t>
  </si>
  <si>
    <t>ST - S - Precast Spandrel Panel Installation</t>
  </si>
  <si>
    <t>Precast Spandrel Panel Installation completed (checked location &amp; level) and no damages</t>
  </si>
  <si>
    <t>ST - S - Precast Wall Bracket Installation</t>
  </si>
  <si>
    <t>Bracket correct size as per drawing</t>
  </si>
  <si>
    <t>Cast in weld plate in correct position</t>
  </si>
  <si>
    <t>Adequately braced and braces to be tagged</t>
  </si>
  <si>
    <t>Bracket installed in correct position, plumb and level</t>
  </si>
  <si>
    <t>Welding inspected and correct as per drawing</t>
  </si>
  <si>
    <t>Paint repair completed</t>
  </si>
  <si>
    <t>Bracket installation completed correctly (checked location &amp; level)</t>
  </si>
  <si>
    <t>ST - S - Precast Wall Panel Installation</t>
  </si>
  <si>
    <t>Adequately braced and Braces to be tagged</t>
  </si>
  <si>
    <t>Grout sleeves correctly grouted</t>
  </si>
  <si>
    <t>Precast Wall Panel Installation completed correctly (checked location &amp; level) and damage free</t>
  </si>
  <si>
    <t>ST - S - Rib &amp; Infill Installation</t>
  </si>
  <si>
    <t>Infill Panel SWMS compiled and provided to Ryman for review prior to work starting on site</t>
  </si>
  <si>
    <t>Ribs inspected on arrival and correct (length, width, size/shape) as per design/shop drawings and damage free</t>
  </si>
  <si>
    <t>Infill boards inspected on arrival.  No knots, no cracks or other weaknesses across 25% of the width.</t>
  </si>
  <si>
    <t>Propping layout confirmed as "issued for construction" and attached.</t>
  </si>
  <si>
    <t>Area cleared for propping to be erected in place.</t>
  </si>
  <si>
    <t>Structural Steel Brackets fitted and fixed (correct height and as per design)</t>
  </si>
  <si>
    <t>Propping/Falseworks</t>
  </si>
  <si>
    <t>Props tagged and fixings as per approved design.</t>
  </si>
  <si>
    <t>U Head brackets rotated to support bearers, bearers clipped to U head brackets.</t>
  </si>
  <si>
    <t>All back propping completed, checked and approved as per design</t>
  </si>
  <si>
    <t>Inspect against rib install and propping layout drawings.  Mark up hard copy drawings accordingly and upload to this checkpoint to verify the specification has been met.</t>
  </si>
  <si>
    <t>No visual damage to ribs</t>
  </si>
  <si>
    <t>SWMS implemented and followed.</t>
  </si>
  <si>
    <t>Ryman Foreman Sign off to receive Rib Installation inspection results.  Pass this checkpoint after sending the email.</t>
  </si>
  <si>
    <t>Infill boards tightly constructed as panels, including 'backbone', 6 to 10 boards in length.</t>
  </si>
  <si>
    <t>Infill panels fitted tightly between ribs.</t>
  </si>
  <si>
    <t>Infill panel adjacent ends are joined.</t>
  </si>
  <si>
    <t>Infill panels locked with timber blocks to prevent lateral movement.</t>
  </si>
  <si>
    <t>Infill boards secured to wall supports</t>
  </si>
  <si>
    <t>All gaps filled, infills installed, PF rod/expanding foam installed (No gaps)</t>
  </si>
  <si>
    <t>ST - S - Roof structure - Steel</t>
  </si>
  <si>
    <t>Hold down bolts in the correct location</t>
  </si>
  <si>
    <t>Pre erection checks complete</t>
  </si>
  <si>
    <t>Installation</t>
  </si>
  <si>
    <t>Steel correct size and type</t>
  </si>
  <si>
    <t>Welding certificates sited</t>
  </si>
  <si>
    <t>Installed in the correct location and orientation</t>
  </si>
  <si>
    <t>Installed in correct level, plumb, correct pitch and braced</t>
  </si>
  <si>
    <t>All bolts secure/ correctly tensioned</t>
  </si>
  <si>
    <t>ST - S - Roof structure - Timber Trusses</t>
  </si>
  <si>
    <t>Truss hardware completed as specified</t>
  </si>
  <si>
    <t xml:space="preserve">All fixings in place </t>
  </si>
  <si>
    <t xml:space="preserve">Truss seating checked and accurate </t>
  </si>
  <si>
    <t>Tile battens installed and acceptable</t>
  </si>
  <si>
    <t>Underlay completed and acceptable</t>
  </si>
  <si>
    <t xml:space="preserve">Pre-tile checks completed and no issues identified </t>
  </si>
  <si>
    <t>Load tiles completed and acceptable</t>
  </si>
  <si>
    <t xml:space="preserve">Installation and recheck completed and no issues identified </t>
  </si>
  <si>
    <t>Lay capping completed and acceptable</t>
  </si>
  <si>
    <t>Ridges installed and acceptable</t>
  </si>
  <si>
    <t>Facia gutters installed and acceptable</t>
  </si>
  <si>
    <t>Trusses are installed correctly and acceptable</t>
  </si>
  <si>
    <t>ST - S - Sarnafil</t>
  </si>
  <si>
    <t>Sarnafil perimeter</t>
  </si>
  <si>
    <t>Concrete Ground</t>
  </si>
  <si>
    <t>Edges Bevelled</t>
  </si>
  <si>
    <t>Concrete in acceptable condition</t>
  </si>
  <si>
    <t>last 6 digits of batch number</t>
  </si>
  <si>
    <t>RAB boards installed</t>
  </si>
  <si>
    <t>Sikalastic 152 applied</t>
  </si>
  <si>
    <t>Area left tidy and accessible, and signed off</t>
  </si>
  <si>
    <t>Sarnafil Decks</t>
  </si>
  <si>
    <t>Concrete Screeded</t>
  </si>
  <si>
    <t>Correct Falls</t>
  </si>
  <si>
    <t>Sarnafils drops installed</t>
  </si>
  <si>
    <t>Ring clamps on site</t>
  </si>
  <si>
    <t>All openings electronically checked</t>
  </si>
  <si>
    <t>Deck protected</t>
  </si>
  <si>
    <t>Electronic Testing</t>
  </si>
  <si>
    <t>Area on site testing</t>
  </si>
  <si>
    <t>Electronic tested</t>
  </si>
  <si>
    <t>ST - S - Sikalastic</t>
  </si>
  <si>
    <t>Any damage to structure repaired</t>
  </si>
  <si>
    <t>Concrete free of lumps and laitance</t>
  </si>
  <si>
    <t>Cleaning Method:</t>
  </si>
  <si>
    <t>Ambient temperature at the start of the work day:</t>
  </si>
  <si>
    <t>Ambient temperature at the end of the work day:</t>
  </si>
  <si>
    <t>Is the substrate temperature 3 degrees above due point?</t>
  </si>
  <si>
    <t>Please state substrate temperature:</t>
  </si>
  <si>
    <t>No free standing water on substrate</t>
  </si>
  <si>
    <t>Surfaces to be bonded and cleaned, free of dust and contaminants</t>
  </si>
  <si>
    <t>Sika Batch number</t>
  </si>
  <si>
    <t>Input</t>
  </si>
  <si>
    <t>Detail area completed on site</t>
  </si>
  <si>
    <t>ST - S - Stair Installation</t>
  </si>
  <si>
    <t>Items inspected on arrival and correct (length, width, size/shape) as per design/shop drawings and damage free</t>
  </si>
  <si>
    <t>Grid Set-out offset and level correct</t>
  </si>
  <si>
    <t>Joints scabbled and acceptable</t>
  </si>
  <si>
    <t>All setout completed correctly and approved</t>
  </si>
  <si>
    <t>Temporary support installed and approved</t>
  </si>
  <si>
    <t>Stairs placed, locations, heights and orientation approved. No damage during installation</t>
  </si>
  <si>
    <t>ST - S - Steel Deck Concrete Topping</t>
  </si>
  <si>
    <t>Material and size are correct</t>
  </si>
  <si>
    <t>Firmly secured in the correct method</t>
  </si>
  <si>
    <t>Area left tidy and accessible, and work signed off</t>
  </si>
  <si>
    <t>ST - S - Steel Handover Documents - Non-SFC Accredited Contractors Additional Requirements</t>
  </si>
  <si>
    <t xml:space="preserve">Contractor to receive an independent preparation, assembly and fabrication inspection report. </t>
  </si>
  <si>
    <t>Contractor to receive an independent welding inspection report.</t>
  </si>
  <si>
    <t>Contractor to receive an independent surface treatment inspection report.</t>
  </si>
  <si>
    <t>Contractor to receive an independent paint coatings inspection report.</t>
  </si>
  <si>
    <t>Contractor to receive an independent galvanised coating inspection report.</t>
  </si>
  <si>
    <t>Contractor to provide a final weld inspector compliance certificate.</t>
  </si>
  <si>
    <t xml:space="preserve">Contractor to provide a final surface preparation inspector compliance certificate. </t>
  </si>
  <si>
    <t>Contractor to provide a final paint coating inspector compliance certificate.</t>
  </si>
  <si>
    <t xml:space="preserve">Contractor to provide a final galvanising inspector compliance certificate. </t>
  </si>
  <si>
    <t>ST - S - Steel Handover Documents - SFC Accredited and Non-SFC Contractors</t>
  </si>
  <si>
    <t>Checklist-flat</t>
  </si>
  <si>
    <t>Provide PS3 – Construction from the fabricator and erector.</t>
  </si>
  <si>
    <t>Copy of ITP checklist</t>
  </si>
  <si>
    <t>Steel source list and declaration of conformity</t>
  </si>
  <si>
    <t>Bolts Docs - to verify compliance to relevant standards</t>
  </si>
  <si>
    <t>Subcontractor SFC certification</t>
  </si>
  <si>
    <t>Steel erection sequence methodology</t>
  </si>
  <si>
    <t>Bolt installation inspection record, including any that differ from design or not fully documented.</t>
  </si>
  <si>
    <t>Detail of proposed markings if members and/or connections are to exposed to view. (only applicable for Architecturally Exposed Structural Steel, AESS)</t>
  </si>
  <si>
    <t>Survey erected structural steelwork. (AC steelwork survey work document)</t>
  </si>
  <si>
    <t>ST - S - Steel Overview QA Checklist</t>
  </si>
  <si>
    <t>Steel Erection QA</t>
  </si>
  <si>
    <t>Steel erects to correct Level</t>
  </si>
  <si>
    <t>Steelwork plumb and within tolerance</t>
  </si>
  <si>
    <t>Purlins, girts, sag rods straight and tight</t>
  </si>
  <si>
    <t>Snug tight bolts checked</t>
  </si>
  <si>
    <t>Posts chemset correctly</t>
  </si>
  <si>
    <t>Bracing installed &amp; tightened (Temporary bracing secured, if required)</t>
  </si>
  <si>
    <t>Welding</t>
  </si>
  <si>
    <t>All welding completed to spec and weld procedure</t>
  </si>
  <si>
    <t>Site NDT</t>
  </si>
  <si>
    <t>NDT conducted and passed, if required</t>
  </si>
  <si>
    <t>Coating</t>
  </si>
  <si>
    <t>Coating touch up completed</t>
  </si>
  <si>
    <t>Steel surface left clean</t>
  </si>
  <si>
    <t>Area left tidy and accessible</t>
  </si>
  <si>
    <t>Steel erectors sign off</t>
  </si>
  <si>
    <t>ST - S - Steel Paint QA Documents</t>
  </si>
  <si>
    <t>Paint QA Documents, Uploaded and all supporting documentation attached</t>
  </si>
  <si>
    <t>ST - S - Steel Site Install</t>
  </si>
  <si>
    <t>Work area clear, tidy and accessible</t>
  </si>
  <si>
    <t>Previous substrate acceptable</t>
  </si>
  <si>
    <t>Steel Delivery</t>
  </si>
  <si>
    <t>Corrosion protection acceptable</t>
  </si>
  <si>
    <t>Numbers stamped / id tags attached</t>
  </si>
  <si>
    <t>Steel Erection</t>
  </si>
  <si>
    <t>Grid Lines marked for Set out</t>
  </si>
  <si>
    <t>Wall heights marked and checked</t>
  </si>
  <si>
    <t>Walls plumb / cast in plates correct</t>
  </si>
  <si>
    <t>Base plate / top plate orientation are correct and all bolts to base plates in place and tight</t>
  </si>
  <si>
    <t>ST - S - Structural Steel Installation</t>
  </si>
  <si>
    <t>Post-Installation</t>
  </si>
  <si>
    <t>Welding Visual/Scanning inspections completed</t>
  </si>
  <si>
    <t>ST - S - Structural Steel Installation - Pre-Commencement</t>
  </si>
  <si>
    <t>GA Building Plans Attached</t>
  </si>
  <si>
    <t>Numbers stamped / ID tags attached</t>
  </si>
  <si>
    <t>Grid Lines marked for Set out and acceptable</t>
  </si>
  <si>
    <t>Wall heights marked and checked and acceptable</t>
  </si>
  <si>
    <t>Walls plumb / cast in plates correct and acceptable</t>
  </si>
  <si>
    <t>Base plate / top plate orientation are correct and all bolts to base plates in place and tight and acceptable</t>
  </si>
  <si>
    <t>ST - S - Timber Framing</t>
  </si>
  <si>
    <t xml:space="preserve">Dimensions / locations checked and accurate
</t>
  </si>
  <si>
    <t>All frames are square / Frames are plumb and level</t>
  </si>
  <si>
    <t xml:space="preserve">Fixings are correct </t>
  </si>
  <si>
    <t xml:space="preserve">Any bracing requirements installed </t>
  </si>
  <si>
    <t xml:space="preserve">ST - S - Timber Framing Receival </t>
  </si>
  <si>
    <t>Timber Framing in line with design drawings</t>
  </si>
  <si>
    <t>ST - S - Wall Strapping</t>
  </si>
  <si>
    <t>Wall Strapping</t>
  </si>
  <si>
    <t>Latest consented drawings checked and referenced</t>
  </si>
  <si>
    <t>Area clear, tidy and accessible</t>
  </si>
  <si>
    <t>Correct wall types as per specification</t>
  </si>
  <si>
    <t>Dimensions / locations checked and accurate</t>
  </si>
  <si>
    <t>Deflection head requirements checked and correct to specification</t>
  </si>
  <si>
    <t>Any additional photos, comments and observations</t>
  </si>
  <si>
    <t>All framing completed correctly within tolerance in respective area</t>
  </si>
  <si>
    <t>Review and Handover</t>
  </si>
  <si>
    <t>All Steel Stud/Strapping completed to specification/drawings - Area left clean &amp; tidy</t>
  </si>
  <si>
    <t>ST - S -Panel Starter bars Installation</t>
  </si>
  <si>
    <t>Correct drawings referenced and attached</t>
  </si>
  <si>
    <t>Specified covers checked/ correct</t>
  </si>
  <si>
    <t>Any additional items installed/completed (trimmer bars etc.) and excess reinforcing removed</t>
  </si>
  <si>
    <t>Panel starter bars installed correctly to specifications (location, size, length and spacing) and ready to place the precast panels</t>
  </si>
  <si>
    <t>Inspection Test Plan</t>
  </si>
  <si>
    <t>ITP - R - On Grade Slab Foundation Construction (per area)</t>
  </si>
  <si>
    <t>All subcontractor QA uploaded, attached, and meets ITP requirements.</t>
  </si>
  <si>
    <t>Survey set out (height, location, setout) - confirmation attached.</t>
  </si>
  <si>
    <t>Backfilling completed</t>
  </si>
  <si>
    <t>Waterproofing completed</t>
  </si>
  <si>
    <t>DPM overlapping/taping with no tears or perforations.  Council requirement</t>
  </si>
  <si>
    <t>Reinforcing completed</t>
  </si>
  <si>
    <t>Engineer sign off completed and approved for pour</t>
  </si>
  <si>
    <t>Council inspection completed and approved for pour</t>
  </si>
  <si>
    <t>ITP - R - Concrete - Planning and Pour (per area)</t>
  </si>
  <si>
    <t>Pre Pour Planning</t>
  </si>
  <si>
    <t>Concrete pour planning completed with subcontractor</t>
  </si>
  <si>
    <t>Date of pour</t>
  </si>
  <si>
    <t>Pour</t>
  </si>
  <si>
    <t>Request to pour received and approved</t>
  </si>
  <si>
    <t>Reinforcing meets specification</t>
  </si>
  <si>
    <t>Yes, Reworked, N/A</t>
  </si>
  <si>
    <t>Service penetrations present and correct</t>
  </si>
  <si>
    <t>Waterproofing elements present and correct</t>
  </si>
  <si>
    <t>Couples present and correct</t>
  </si>
  <si>
    <t>Control joints/ stop ends installed accurately and correctly braced</t>
  </si>
  <si>
    <t>Engineer Inspection conducted and passed</t>
  </si>
  <si>
    <t>Inspected by and date:</t>
  </si>
  <si>
    <t>Documentation</t>
  </si>
  <si>
    <t>ITP - R - Townhouse Block Build (per townhouse block)</t>
  </si>
  <si>
    <t>Structure/Framing</t>
  </si>
  <si>
    <t>Framing system installed, square and plumb</t>
  </si>
  <si>
    <t>Council pre-clad inspection completed and approved.  Note date of inspection in comments</t>
  </si>
  <si>
    <t>Roofing</t>
  </si>
  <si>
    <t>Verify materials supplied to site (material and fixings) are as specified or approved samples</t>
  </si>
  <si>
    <t>Construction complies with specifications</t>
  </si>
  <si>
    <t>Obtain and upload all performance and authority certificates as required by specification or statutory regulations.</t>
  </si>
  <si>
    <t>Council Pre-Roof Inspection completed and passed</t>
  </si>
  <si>
    <t>Envelope/Watertightness Completed (requirements below)</t>
  </si>
  <si>
    <t>Ecoply Board installed</t>
  </si>
  <si>
    <t>Lintels installed</t>
  </si>
  <si>
    <t>Tapes and VaproShield installed.</t>
  </si>
  <si>
    <t>Windows and Sliders installed</t>
  </si>
  <si>
    <t>Flashing installed</t>
  </si>
  <si>
    <t>Envelope Penetrations completed</t>
  </si>
  <si>
    <t>Council pre-wrap inspection completed and passed</t>
  </si>
  <si>
    <t>Council brickwork 'half-high' inspection completed and acceptable</t>
  </si>
  <si>
    <t>Describe cladding type:</t>
  </si>
  <si>
    <t>Brick Works completed</t>
  </si>
  <si>
    <t>STO Poly Plaster completed</t>
  </si>
  <si>
    <t>Pre-line completed</t>
  </si>
  <si>
    <t>Nogs Installed as below and comply</t>
  </si>
  <si>
    <t>Pre-line plumbing external inspections completed and uploaded.  Any remedial work signed off.</t>
  </si>
  <si>
    <t>Pre-line building external inspections completed and uploaded.  Any remedial work signed off.</t>
  </si>
  <si>
    <t>Post-Line GIB</t>
  </si>
  <si>
    <t>GIB installation correct, screw types, pattern, etc..</t>
  </si>
  <si>
    <t>Fire rated GIB installed to adjoining unit walls &amp; garage, correct thickness.</t>
  </si>
  <si>
    <t>Post Line Council Inspection completed and acceptable.  GIB stopping to proceed</t>
  </si>
  <si>
    <t>ITP - R - Fitout (per unit)</t>
  </si>
  <si>
    <t xml:space="preserve">FC - R - Punch Windows Frames (unglazed) </t>
  </si>
  <si>
    <t>sections</t>
  </si>
  <si>
    <t>Glazing Install</t>
  </si>
  <si>
    <t xml:space="preserve">Window # / Elevation / Level </t>
  </si>
  <si>
    <t>Installation (By others) completed as per detail Y/N</t>
  </si>
  <si>
    <t>Check the joinery is free from damage</t>
  </si>
  <si>
    <t>All glazing beads attached to Frame PHOTO REQUIRED</t>
  </si>
  <si>
    <t>Check Frame number PHOTO REQUIRED</t>
  </si>
  <si>
    <t xml:space="preserve">Inspection of Backing rubber - no damage and continuous around perimeter </t>
  </si>
  <si>
    <t>Glazing Blocks inserted correctly  PHOTO REQUIRED</t>
  </si>
  <si>
    <t>Correct Glass units installed (Glass sticker) PHOTO REQUIRED</t>
  </si>
  <si>
    <t>Glazing Beads fitted  correctly PHOTO REQUIRED</t>
  </si>
  <si>
    <t>Correct Wedge Rubber installed and rubbered off as per WGANZ guidelines</t>
  </si>
  <si>
    <t xml:space="preserve">Glass Stickers removed </t>
  </si>
  <si>
    <t xml:space="preserve">Trade Clean </t>
  </si>
  <si>
    <t>Final Inspection PHOTO REQUIRED</t>
  </si>
  <si>
    <t xml:space="preserve">Glazing complete for handover to Ryman Healthcare </t>
  </si>
  <si>
    <t>Hold point</t>
  </si>
  <si>
    <t xml:space="preserve">Raise Remedial </t>
  </si>
  <si>
    <t xml:space="preserve">ST - S - Roof Membrane System </t>
  </si>
  <si>
    <t>Roof Membrane</t>
  </si>
  <si>
    <t>Correct drawing revision referenced and attached</t>
  </si>
  <si>
    <t>Plywood substrate checked and accurate</t>
  </si>
  <si>
    <t>Moisture check to substrate before Enviroclad to be installed / checked and accurate/ documentation, photos attached</t>
  </si>
  <si>
    <t>Hatches checked and accurate (2-4 Photos attached)</t>
  </si>
  <si>
    <t>Area left clean and tidy</t>
  </si>
  <si>
    <t>No Damages to membrane (cuts &amp; holes)</t>
  </si>
  <si>
    <t>Work completed, reviewed and approved</t>
  </si>
  <si>
    <t>Internal Gutter</t>
  </si>
  <si>
    <t>Gutters checked and accurate (2-4 Photos attached)</t>
  </si>
  <si>
    <t>Screw heads and ply joints all flush (2-4 Photos attached)</t>
  </si>
  <si>
    <t>Correct fall (2-4 Photos attached)</t>
  </si>
  <si>
    <t>Membrane checked, Lapped and accurate (2-4 Photos attached)</t>
  </si>
  <si>
    <t>No bubbles or bulges (2-4 Photos attached)</t>
  </si>
  <si>
    <t>All joints sealed and accurate (2-4 Photos attached)</t>
  </si>
  <si>
    <t xml:space="preserve">Water test done and results attached </t>
  </si>
  <si>
    <t>I - C - S&amp;H Site Visit Report</t>
  </si>
  <si>
    <t>I - C - S&amp;H Compliance Documents</t>
  </si>
  <si>
    <t>I - C - S&amp;H Remedial Item Checklist</t>
  </si>
  <si>
    <t>ITP - R - Contractor Allocation (Use at stage level for each subcontractor on the stage)</t>
  </si>
  <si>
    <t>Contractor Allocated</t>
  </si>
  <si>
    <t>Record Subcontractor Company Name</t>
  </si>
  <si>
    <t>Record scope of works</t>
  </si>
  <si>
    <t>Specifications confirmed with subcontractor management</t>
  </si>
  <si>
    <t>Programme milestones confirmed with subcontractor management</t>
  </si>
  <si>
    <t>All subcontractor ITPs (inspection test plans) attached and agreed.</t>
  </si>
  <si>
    <t>Quality expectations and requirements discussed and confirmed as understood.</t>
  </si>
  <si>
    <t>Escalate concerns to QA Advisor</t>
  </si>
  <si>
    <t xml:space="preserve">C - S - Pipe Laying </t>
  </si>
  <si>
    <t>Ground conditions checked and acceptable</t>
  </si>
  <si>
    <t>Upstream &amp; downstream manhole invert levels and gradient of the pipe line checked and acceptable</t>
  </si>
  <si>
    <t>FC - S - Glazing Install</t>
  </si>
  <si>
    <t>ST - R - Insitu suspended floor concrete Pour (Ryman Owned)</t>
  </si>
  <si>
    <t>Floor Propping</t>
  </si>
  <si>
    <t>Floor propping installed correctly and ready for concrete to be placed</t>
  </si>
  <si>
    <t>ST - S - Monier Tiled Roof Installation</t>
  </si>
  <si>
    <t>Monier Installation Guide Confirmed, Understood, and Uploaded to this Record</t>
  </si>
  <si>
    <t>Fall Arrest Anchor Points - fixing and location as per specification</t>
  </si>
  <si>
    <t>Battens - jointing and fixing.</t>
  </si>
  <si>
    <t>Sarking/Underlay - General Roof.  Overlays correct.  Extension to flat roofing conforms</t>
  </si>
  <si>
    <t>Sarking/Underlay - Valley</t>
  </si>
  <si>
    <t>Sarking/Underlay - Eaves</t>
  </si>
  <si>
    <t>Laying of tiles</t>
  </si>
  <si>
    <t>Securing of tiles</t>
  </si>
  <si>
    <t>Hip and Ridge Tile Bedding and Pointing</t>
  </si>
  <si>
    <t>Gable ends / Barge Boards - Finish</t>
  </si>
  <si>
    <t>Fire Wall/Internal Seperating Walls</t>
  </si>
  <si>
    <t>Click and send EMAIL to Ryman Foreman upon Completion</t>
  </si>
  <si>
    <t>ST - R - Monier Tiled Roof Installation</t>
  </si>
  <si>
    <t>Monier Installation Guide Confirmed with Contractor</t>
  </si>
  <si>
    <t>Subcontractor QA completed and passed</t>
  </si>
  <si>
    <t>Fall Arrest Anchor Point Fixings in place</t>
  </si>
  <si>
    <t>Producer Statement Construction (PS3) received and attached for installation of roof abseil and/or fall arrest system</t>
  </si>
  <si>
    <t>Sarking/Underlay</t>
  </si>
  <si>
    <t>Tiles Laid and Secured</t>
  </si>
  <si>
    <t>Fire Consultant inspection completed and approved</t>
  </si>
  <si>
    <t>ITP - R - Services</t>
  </si>
  <si>
    <t>Residential Apartment/Townhouse Unit</t>
  </si>
  <si>
    <t>Fire - Alarm, Hydrant &amp; Sprinkler completed and acceptable.  PS3 and As Builts supplied.</t>
  </si>
  <si>
    <t>Nurse Call, Security, Data and Communications completed and acceptable.  PS3 and As Builts supplied.</t>
  </si>
  <si>
    <t>Hydraulic completed and acceptable.  PS3 and As Builts supplied.</t>
  </si>
  <si>
    <t>Electrical completed and acceptable.  PS3 and As Builts supplied.</t>
  </si>
  <si>
    <t>Mechanical completed and acceptable.  PS3 and As Builts supplied.</t>
  </si>
  <si>
    <t>Common, Recreational &amp; Service Areas</t>
  </si>
  <si>
    <t>Specified Systems - Hydrant, Fire Alarms, Sprinklers completed and acceptable.  PS3 and As Builts supplied.</t>
  </si>
  <si>
    <t>Specified Systems - Alarms, Manual/Automatic completed and acceptable.  PS3 and As Builts supplied.</t>
  </si>
  <si>
    <t>Specified Systems - Gas Detection completed and acceptable.  PS3 and As Builts supplied.</t>
  </si>
  <si>
    <t>Specified Systems - Nurse Call completed and acceptable.  PS3 and As Builts supplied.</t>
  </si>
  <si>
    <t>Specified Systems - Access Controlled Doors completed and acceptable.  PS3 and As Builts supplied.</t>
  </si>
  <si>
    <t>Specified Systems - Interfaced Fire/Smoke Doors/Windows/Security completed and acceptable.  PS3 and As Builts supplied.</t>
  </si>
  <si>
    <t>Specified Systems - Hydraulic completed and acceptable.  PS3 and As Builts supplied.</t>
  </si>
  <si>
    <t>Specified Systems - Lifts completed and acceptable.  PS3 and As Builts supplied.</t>
  </si>
  <si>
    <t>Specified Systems - Mechanical, fresh air and duct extrac system completed and acceptable.  PS3 and As Builts supplied.</t>
  </si>
  <si>
    <t>Specified Systems - Mechanical, kitchen extract + air conditioning system completed and acceptable.  PS3 and As Builts supplied.</t>
  </si>
  <si>
    <t>Specified Systems - Smoke Curtains completed and acceptable.  PS3 and As Builts supplied.</t>
  </si>
  <si>
    <t>Specified Systems - Essential Power Supply completed and acceptable.  PS3 and As Builts supplied.</t>
  </si>
  <si>
    <t>Specified Systems - Emergency Signage + Exits &amp; Emergency Lighting completed and acceptable.  PS3 and As Builts supplied.</t>
  </si>
  <si>
    <t>Swimming Pool - Plant completed and acceptable.  PS3 and As Builts supplied.</t>
  </si>
  <si>
    <t>Fire Engineer inspection completed and approved</t>
  </si>
  <si>
    <t>Electrical Engineer inspection completed and approved</t>
  </si>
  <si>
    <t>Mechanical / Hydraulic Engineer inspection completed and approved</t>
  </si>
  <si>
    <t>ITP - R - Foundation Piling</t>
  </si>
  <si>
    <t>ITP - R - Tanking/Waterproofing</t>
  </si>
  <si>
    <t>Verify application of waterproofing, joint laps, thickness and number of layers as is specified.</t>
  </si>
  <si>
    <t>Monitor installation and adequacy of protective linings during backfilling operations</t>
  </si>
  <si>
    <t>Subcontractor to provide photo evidence of applied membranes</t>
  </si>
  <si>
    <t>Sign off completed areas as per the agreed method PRIOR TO follow-on trades commencing their work.</t>
  </si>
  <si>
    <t>Flood test conducted</t>
  </si>
  <si>
    <t>PS3 received from subcontractor confirming application of membrane is in accordance with manufacturers recommendations</t>
  </si>
  <si>
    <t>ITP - R - Excavation (Bulk and Detailed)</t>
  </si>
  <si>
    <t>Bulk Excavation</t>
  </si>
  <si>
    <t>Detailed Excavation</t>
  </si>
  <si>
    <t>Services (overhead / below ground) considered and isolated where required before excavation commences</t>
  </si>
  <si>
    <t>Placement of Geo-grid (2 photos)</t>
  </si>
  <si>
    <t>ITP - R - Pipe Laying (Mains Water, Storm and Waste)</t>
  </si>
  <si>
    <t>Main Water</t>
  </si>
  <si>
    <t>Set-out completed</t>
  </si>
  <si>
    <t>Excavation</t>
  </si>
  <si>
    <t>Ground conditions</t>
  </si>
  <si>
    <t>Bedding</t>
  </si>
  <si>
    <t>Pipework</t>
  </si>
  <si>
    <t>Levels and Gradients</t>
  </si>
  <si>
    <t>Backfill</t>
  </si>
  <si>
    <t>Storm Water</t>
  </si>
  <si>
    <t>Waste Water</t>
  </si>
  <si>
    <t>Air/water test completed</t>
  </si>
  <si>
    <t>ITP - R - Service Trenches (Common and Pulling Pits)</t>
  </si>
  <si>
    <t>Common Service Trenches</t>
  </si>
  <si>
    <t>Power Ducts and Comms Ducts</t>
  </si>
  <si>
    <t>Mag slab installed</t>
  </si>
  <si>
    <t>Pulling Pits</t>
  </si>
  <si>
    <t>Draw cords</t>
  </si>
  <si>
    <t>ITP - R - Apartment Pre Cast, Timber, Insuti , Blockwork Element Installation (per area/level)</t>
  </si>
  <si>
    <t>Pre-Cast Elements</t>
  </si>
  <si>
    <t>Pre-cast elements inspected upon delivery and accepted for lifting.</t>
  </si>
  <si>
    <t>Installed verticaly / aligment tolerances complies with specification (components below)</t>
  </si>
  <si>
    <t>Stairs</t>
  </si>
  <si>
    <t>Spandrels</t>
  </si>
  <si>
    <t>Pre-cast panels</t>
  </si>
  <si>
    <t>Columns</t>
  </si>
  <si>
    <t>Stitch joints</t>
  </si>
  <si>
    <t>Timber Framing Elements</t>
  </si>
  <si>
    <t>Timber Framing installed</t>
  </si>
  <si>
    <t>Insuti Pour Elements</t>
  </si>
  <si>
    <t>Stitch joints - meets specification</t>
  </si>
  <si>
    <t>Beams - meets specification</t>
  </si>
  <si>
    <t>Panels - meets specification</t>
  </si>
  <si>
    <t>Columns - meets specification</t>
  </si>
  <si>
    <t>Reinforced Blockwork Elements</t>
  </si>
  <si>
    <t>Blockwork - meets specification</t>
  </si>
  <si>
    <t>Reinforcing - meets specification</t>
  </si>
  <si>
    <t>Testing</t>
  </si>
  <si>
    <t>Chemical anchor testing completed.  Upload report</t>
  </si>
  <si>
    <t>Record sample size</t>
  </si>
  <si>
    <t>Concrete Documentation</t>
  </si>
  <si>
    <t>ITP - R - Apartment Pre Cast Floor Structure and Concrete Pour (per level/area)</t>
  </si>
  <si>
    <t>Pre Commencement</t>
  </si>
  <si>
    <t>Confirm construction method</t>
  </si>
  <si>
    <t>Double T's, Rib &amp; Infill, Post Tensioned, Other</t>
  </si>
  <si>
    <t>Other details:</t>
  </si>
  <si>
    <t>Propping/Falseworks Confirmed and Accepted. Evidence required</t>
  </si>
  <si>
    <t>Propping layout confirmed as "issued for construction"</t>
  </si>
  <si>
    <t>Yes, N/A</t>
  </si>
  <si>
    <t>Floor area cleared for propping to be erected</t>
  </si>
  <si>
    <t>Pre Cast Element Installation</t>
  </si>
  <si>
    <t>Hogging of panels within design tolerances.  Installed in accordance with suppliers recommendations.</t>
  </si>
  <si>
    <t>Adequate identification, cast date and verification of inspection marked on precast element.</t>
  </si>
  <si>
    <t>Floor structure elements landed as per layout</t>
  </si>
  <si>
    <t>If Rib and Infill, Ryman SOP followed where applicable. (Reference the document name / version)</t>
  </si>
  <si>
    <t>Reinforcing laid as per specification</t>
  </si>
  <si>
    <t>Service penetrations present as per specification</t>
  </si>
  <si>
    <t>Engineer inspection completed and approved for pour</t>
  </si>
  <si>
    <t>Post Tensioned Floor Construction</t>
  </si>
  <si>
    <t>Stressing access correct</t>
  </si>
  <si>
    <t>Tensioning strands quantity, length, and size correct.</t>
  </si>
  <si>
    <t>Tendons quantity, size, and spacing correct</t>
  </si>
  <si>
    <t>Tendon profiles (highs and lows and edges) correct</t>
  </si>
  <si>
    <t>Antiburst are located at the correct position on the tendon</t>
  </si>
  <si>
    <t>Grout Tubes height above concrete surface, quantity, and location correct</t>
  </si>
  <si>
    <t>Pans and pan trimmers, anchorages, antiburst</t>
  </si>
  <si>
    <t>Couplers present and correct</t>
  </si>
  <si>
    <t>Post Pour (Post Tensioned Floor Only)</t>
  </si>
  <si>
    <t>Initial Tension applied [when concrete strength 9MPa (min) initial stress- 21% of UTS]</t>
  </si>
  <si>
    <t>Final Tension applied [when concrete strength 22MPa (min) final stress- 80% of UTS]</t>
  </si>
  <si>
    <t>Cutting of strands and sealing of pockets completed</t>
  </si>
  <si>
    <t>Grouting completed as per specification and tubes clear</t>
  </si>
  <si>
    <t>ITP - R - Apartment Structural Steel (per area/level)</t>
  </si>
  <si>
    <t>SFC and Non SFC Accredited Contractors</t>
  </si>
  <si>
    <t>Accreditation confirmed as below.</t>
  </si>
  <si>
    <t>Confirm Steel Contractor's SFC Accreditation</t>
  </si>
  <si>
    <t>SFC Accredited, Non-SFC Accredited</t>
  </si>
  <si>
    <t>Subcontractor SFC certification (n/a response if non-SFC)</t>
  </si>
  <si>
    <t>Structural Steel installed, test results uploaded and attached.  Meets specification</t>
  </si>
  <si>
    <t>Chemical anchor tests conducted and documented</t>
  </si>
  <si>
    <t>Mechanical anchor tests conducted and documented</t>
  </si>
  <si>
    <t>Bolting requirements confirmed against design requirements.</t>
  </si>
  <si>
    <t>Welding conforms to design requirements.</t>
  </si>
  <si>
    <t>Mandatory Completion for Non SFC Accredited Contractors ONLY</t>
  </si>
  <si>
    <t>Non SFC only: Independent preparation, assembly and fabrication inspection report received and issued to subsubcontractor</t>
  </si>
  <si>
    <t>Non SFC only: Independent welding inspection report received and issued to subcontractor</t>
  </si>
  <si>
    <t>Non SFC only: Independent surface treatment inspection report received and issued to subcontractor</t>
  </si>
  <si>
    <t>Non SFC only: Independent paint coatings inspection report received and issued to subcontractor</t>
  </si>
  <si>
    <t>Non SFC only: Independent galvanised coating inspection report received and issued to subcontractor</t>
  </si>
  <si>
    <t>Non SFC only: Final weld inspector compliance certificate received</t>
  </si>
  <si>
    <t>Non SFC only: Final surface preparation inspector compliance certificate received</t>
  </si>
  <si>
    <t>Non SFC only: Final paint coating inspector compliance certificate received</t>
  </si>
  <si>
    <t>Non SFC only: Final galvanising inspector compliance certificate received</t>
  </si>
  <si>
    <t>ITP - R - Apartment Pre &amp; Post Line (per area/grid/Location)</t>
  </si>
  <si>
    <t>Framing system installation completed and acceptable</t>
  </si>
  <si>
    <t>Nogs Installed and comply</t>
  </si>
  <si>
    <t>Fire rated GIB installed</t>
  </si>
  <si>
    <t>Ceilings and Walls: Consider bracing, adhesive/sealant &amp; lining layer(s) requirements (including fire stopping between layers)</t>
  </si>
  <si>
    <t>Ceilings and Walls: Services/penetrations, correctly formed &amp; located (consider cut-out tolerances where applicable)</t>
  </si>
  <si>
    <t>Ceilings and Walls: Correct fixing pattern/sealant (including fire)/adhesive/layers installed to align with consented design and specifications</t>
  </si>
  <si>
    <t>ITP - R - Apartment Roofing (per area)</t>
  </si>
  <si>
    <t>ITP - R - Apartment Facade (per elevation/grid)</t>
  </si>
  <si>
    <t>Balcony waterproofing completed</t>
  </si>
  <si>
    <t>Water tightness test performed.  No leaks.  Witnessed by Ryman.  Record name of contractor who conducted the test in the comments section.</t>
  </si>
  <si>
    <t>Installed Boss Bulkhead Batt fire barriers as per sepecifications</t>
  </si>
  <si>
    <t>Consultant Inspections Completed and Passed</t>
  </si>
  <si>
    <t>Balustrade Testing</t>
  </si>
  <si>
    <t>Balustrade Anchor Bolt Pull Testing</t>
  </si>
  <si>
    <t>Test results to be uploaded</t>
  </si>
  <si>
    <t>Balustrade Lateral Load Testing</t>
  </si>
  <si>
    <t>F - S - Piling (per pile)</t>
  </si>
  <si>
    <t>Pile Number</t>
  </si>
  <si>
    <t>300mm, 400mm, 600mm, 900mm</t>
  </si>
  <si>
    <t>Pile set out - Surveyed and marked - Upload photo of survey marker</t>
  </si>
  <si>
    <t>Cage Inspected by Structural engineer and approved</t>
  </si>
  <si>
    <t>Concrete Pour Start Date &amp; Time</t>
  </si>
  <si>
    <t>Concrete Pour CompleteTime</t>
  </si>
  <si>
    <t>Upload of all relevant concrete dockets</t>
  </si>
  <si>
    <t>Completed Pile card upload</t>
  </si>
  <si>
    <t>CLICK AND SEND EMAIL TO RYMAN FOREMAN TO CONFIRM ALL STEPS ABOVE COMPLETED</t>
  </si>
  <si>
    <t>Concrete Test Certificate Upload</t>
  </si>
  <si>
    <t>Upload of 7 day certificate</t>
  </si>
  <si>
    <t>Upload of 28 day certificate</t>
  </si>
  <si>
    <t>Pile QA Completed - Contractor Sign-Off</t>
  </si>
  <si>
    <t>ST - R - Double T Installation</t>
  </si>
  <si>
    <t>Inspected on arrival &amp; damage free</t>
  </si>
  <si>
    <t>Shoreload completed</t>
  </si>
  <si>
    <t>Double T install complete and acceptable (checked location and level)</t>
  </si>
  <si>
    <t>ITP - R - B01 Fitout/Services (per area/room)</t>
  </si>
  <si>
    <t>All areas/rooms</t>
  </si>
  <si>
    <t>Sanitary areas completed and signed off</t>
  </si>
  <si>
    <t>Service areas completed and signed off.</t>
  </si>
  <si>
    <t>Public/personal areas completed and signed off.</t>
  </si>
  <si>
    <t>ALS/Care unit services</t>
  </si>
  <si>
    <t>Systems completed and acceptable.</t>
  </si>
  <si>
    <t>Fire - Alarm, Hydrant &amp; Sprinkler completed and acceptable.</t>
  </si>
  <si>
    <t>Nurse Call, Security, Data and Communications completed and acceptable.</t>
  </si>
  <si>
    <t>Hydraulic completed and acceptable.</t>
  </si>
  <si>
    <t>Electrical completed and acceptable.</t>
  </si>
  <si>
    <t>Mechanical completed and acceptable.</t>
  </si>
  <si>
    <t>Common, Recreational &amp; Service Areas services</t>
  </si>
  <si>
    <t>Specified systems completed and acceptable.</t>
  </si>
  <si>
    <t>Specified Systems - Hydrant, Fire Alarms, Sprinklers completed and acceptable.</t>
  </si>
  <si>
    <t>Specified Systems - Alarms, Manual/Automatic completed and acceptable.</t>
  </si>
  <si>
    <t>Specified Systems - Gas Detection completed and acceptable.</t>
  </si>
  <si>
    <t>Specified Systems - Nurse Call completed and acceptable.</t>
  </si>
  <si>
    <t>Specified Systems - Access Controlled Doors completed and acceptable.</t>
  </si>
  <si>
    <t>Specified Systems - Interfaced Fire/Smoke Doors/Windows/Security completed and acceptable.</t>
  </si>
  <si>
    <t>Specified Systems - Hydraulic completed and acceptable.</t>
  </si>
  <si>
    <t>Specified Systems - Lifts completed and acceptable.</t>
  </si>
  <si>
    <t>Specified Systems - Mechanical, fresh air and duct extract system completed and acceptable.</t>
  </si>
  <si>
    <t>Specified Systems - Mechanical, kitchen extract + air conditioning system completed and acceptable.</t>
  </si>
  <si>
    <t>Specified Systems - Smoke Curtains completed and acceptable.</t>
  </si>
  <si>
    <t>Specified Systems - Essential Power Supply completed and acceptable. PS3 and As Builts supplied.</t>
  </si>
  <si>
    <t>Specified Systems - Emergency Signage + Exits &amp; Emergency Lighting completed and acceptable. PS3 and As Builts supplied.</t>
  </si>
  <si>
    <t>Swimming Pool - Plant completed and acceptable. PS3 and As Builts supplied.</t>
  </si>
  <si>
    <t>ITP - R - CLT Structure (per structural cube)</t>
  </si>
  <si>
    <t>Pre-Delivery Activity</t>
  </si>
  <si>
    <t>Lifting schedule approved</t>
  </si>
  <si>
    <t>Truck Loading/Installation sequence approved</t>
  </si>
  <si>
    <t>Temporary works plan approved</t>
  </si>
  <si>
    <t>APPROVAL TO DELIVER.  CLICK TO SIGN OFF</t>
  </si>
  <si>
    <t>Post-Delivery Activity</t>
  </si>
  <si>
    <t>Panels delivered with panel protection drawings attached, correct version.</t>
  </si>
  <si>
    <t>Weather proofing product is applied correctly to meet drawing requirements.</t>
  </si>
  <si>
    <t>Construction</t>
  </si>
  <si>
    <t>Confirm all moisture tests for the panels in this structural cube have moisture tests conducted, documented, and passed.</t>
  </si>
  <si>
    <t>Wall panels installed</t>
  </si>
  <si>
    <t>LVL post and beams installed</t>
  </si>
  <si>
    <t>Corbels and other critical framing installed</t>
  </si>
  <si>
    <t>Balcony and floor panels installed</t>
  </si>
  <si>
    <t>Temporary works and initial fixings completed to plan</t>
  </si>
  <si>
    <t>Structural cube surveyed as installed to tolerance</t>
  </si>
  <si>
    <t>Removal of Temporary Works</t>
  </si>
  <si>
    <t xml:space="preserve">Components checked and align with design intent </t>
  </si>
  <si>
    <t>Temporary weathertightness in place</t>
  </si>
  <si>
    <t>Engineer inspection.  All fixings completed throughout structural cube</t>
  </si>
  <si>
    <t>APPROVAL TO REMOVE TEMPORARY WORKS.  CLICK TO SIGN OFF</t>
  </si>
  <si>
    <t>ITP - R - CLT Moisture Test (per test)</t>
  </si>
  <si>
    <t>Test conducted</t>
  </si>
  <si>
    <t>On Delivery, Surveillance</t>
  </si>
  <si>
    <t>Panel protection at time of test</t>
  </si>
  <si>
    <t>Applied, Not Applied</t>
  </si>
  <si>
    <t>If panel protection is applied, is it intact with no exposed areas.  "n/a" if not applied</t>
  </si>
  <si>
    <t>Panel number tested</t>
  </si>
  <si>
    <t>Date of test</t>
  </si>
  <si>
    <t>Number of test points taken</t>
  </si>
  <si>
    <t>Overall test result, take photo of each test result.</t>
  </si>
  <si>
    <t>ITP - R - B01 Area Inspection signoff</t>
  </si>
  <si>
    <t>Specified Systems - Hydrant, Fire Alarms, Sprinklers - PS3 and As Builts supplied.</t>
  </si>
  <si>
    <t>Specified Systems - Alarms, Manual/Automatic completed - PS3 and As Builts supplied.</t>
  </si>
  <si>
    <t>Specified Systems - Gas Detection - PS3 and As Builts supplied.</t>
  </si>
  <si>
    <t>Specified Systems - Nurse Call - As Builts supplied.</t>
  </si>
  <si>
    <t>Specified Systems - Access Controlled Doors - PS3 and As Builts supplied.</t>
  </si>
  <si>
    <t>Specified Systems - Interfaced Fire/Smoke Doors/Windows/Security - PS3 and As Builts supplied.</t>
  </si>
  <si>
    <t>Specified Systems - Hydraulic - PS3 and As Builts supplied.</t>
  </si>
  <si>
    <t>Specified Systems - Lifts - PS3 and As Builts supplied.</t>
  </si>
  <si>
    <t>Specified Systems - Mechanical, fresh air and duct extrac system - PS3 and As Builts supplied.</t>
  </si>
  <si>
    <t>Specified Systems - Mechanical, kitchen extract + air conditioning system - PS3 and As Builts supplied.</t>
  </si>
  <si>
    <t>Specified Systems - Smoke Curtains - PS3 and As Builts supplied.</t>
  </si>
  <si>
    <t>Specified Systems - Essential Power Supply - PS3 and As Builts supplied.</t>
  </si>
  <si>
    <t>Specified Systems - Emergency Signage + Exits &amp; Emergency Lighting - PS3 and As Builts supplied.</t>
  </si>
  <si>
    <t>Specified Systems - Electrical - PS3 and As Builts supplied</t>
  </si>
  <si>
    <t>services</t>
  </si>
  <si>
    <t>S - R - Firewalls (must be completed prior to internal wall commencement)</t>
  </si>
  <si>
    <t>POST - S - Hanging wallpaper</t>
  </si>
  <si>
    <t>Check batch number/s of wallpaper</t>
  </si>
  <si>
    <t>Check drop length (if applicable) and ensure quantity of paper is sufficient</t>
  </si>
  <si>
    <t>Size/sealer applied if required</t>
  </si>
  <si>
    <t>Hang first drop of paper aligning with plumb line</t>
  </si>
  <si>
    <t>Ensure edges/corners are trimmed and paper is smoothed out</t>
  </si>
  <si>
    <t>Paper hanging completed - specified level of finish achieved</t>
  </si>
  <si>
    <t>ITP - R - Ancillary Building Build (per ancillary building unit)</t>
  </si>
  <si>
    <t>ITP - R - Landscaping (per area/location)</t>
  </si>
  <si>
    <t>Verify all dimensions, boundaries, and underground services before commencement of work</t>
  </si>
  <si>
    <t>Photograph the drawing number and revision of the drawing/s being implemented.</t>
  </si>
  <si>
    <t>Lawn and garden beds meets landscaping layout plan dimensions</t>
  </si>
  <si>
    <t>Lawn and planting bed areas meets landscape preparation specification</t>
  </si>
  <si>
    <t>Plants laid out and planted as per plan</t>
  </si>
  <si>
    <t>Trees and hedging laid out and planted as per plan</t>
  </si>
  <si>
    <t>Root guards installed as required.</t>
  </si>
  <si>
    <t>ITP - R - Hardscaping (per area/location)</t>
  </si>
  <si>
    <t>Photograph the drawing number and revision of the drawing being implemented.</t>
  </si>
  <si>
    <t>Street Lighting - locations.</t>
  </si>
  <si>
    <t>Bollard Lighting - locations.</t>
  </si>
  <si>
    <t>Letterbox - locations.</t>
  </si>
  <si>
    <t>Letterbox - materials and colour.</t>
  </si>
  <si>
    <t>EV charger - location/s.</t>
  </si>
  <si>
    <t>Main footpath/s - material and finish.</t>
  </si>
  <si>
    <t>Main footpath/s - Pipework ducting installed prior to pour</t>
  </si>
  <si>
    <t>Townhouse footpath/s - material and finish.</t>
  </si>
  <si>
    <t>Main footpath/s - layouts and gradients.</t>
  </si>
  <si>
    <t>Townhouse footpath/s - layouts and gradients.</t>
  </si>
  <si>
    <t>Townhouse footpath/s - Pipework ducting installed prior to pour</t>
  </si>
  <si>
    <t>All pathways - edging.</t>
  </si>
  <si>
    <t>Raised pedestrian crossing/s - material and finish.</t>
  </si>
  <si>
    <t>Flush pedestrian crossing/s - material and finish.</t>
  </si>
  <si>
    <t>Paved area/s - materials, pattern, and edging.</t>
  </si>
  <si>
    <t>Driveways - materials and finish.</t>
  </si>
  <si>
    <t>Driveways - Pipework ducting installed prior to pour</t>
  </si>
  <si>
    <t>Brick wall - materials and finish.</t>
  </si>
  <si>
    <t>Brick wall - pipework ducting installed</t>
  </si>
  <si>
    <t>Aluminium fencing/rails/hand rails installed - materials and finish.</t>
  </si>
  <si>
    <t>ITP - R - Detention Tank Installation</t>
  </si>
  <si>
    <t>ITP - R - Detailed Excavation</t>
  </si>
  <si>
    <t>Underground Detention Chambers</t>
  </si>
  <si>
    <t>Angular stone laid as specified pre-installation of chambers</t>
  </si>
  <si>
    <t>Angular stone laid as specified post installation of chambers</t>
  </si>
  <si>
    <t>3 layers of Duragrid (or other specified product) on top of subgrade as per the specifications</t>
  </si>
  <si>
    <t>Coil installation as per specification</t>
  </si>
  <si>
    <t>Chambers completed, reviewed, and approved</t>
  </si>
  <si>
    <t>Date of Request</t>
  </si>
  <si>
    <t>Requested by</t>
  </si>
  <si>
    <t>Type of change</t>
  </si>
  <si>
    <t>Project</t>
  </si>
  <si>
    <t>Trade</t>
  </si>
  <si>
    <t>Edited Checklist Comments</t>
  </si>
  <si>
    <t>Rewiew Comments</t>
  </si>
  <si>
    <t>Colin Alderson</t>
  </si>
  <si>
    <t>Gayani Welikala</t>
  </si>
  <si>
    <t>Corrosion protection accepatble</t>
  </si>
  <si>
    <t>New checklist</t>
  </si>
  <si>
    <t xml:space="preserve">ST - S - Structural Steel Installation - Installation </t>
  </si>
  <si>
    <t>ST - S - Concrete Pour - Suspended Slab</t>
  </si>
  <si>
    <t>All surfaces correctly prepared (e.g joints to existing concrete, release agent to formwork etc)</t>
  </si>
  <si>
    <t>ST - R - Concrete Pour - Suspended Slab</t>
  </si>
  <si>
    <t>Michael Mitchelson</t>
  </si>
  <si>
    <t>C- S - Pipe Laying - Water</t>
  </si>
  <si>
    <t>Balastrades and handrails installed, checked and approved</t>
  </si>
  <si>
    <t xml:space="preserve">ST - S - Insitu Stitch Joints </t>
  </si>
  <si>
    <t>All surfaces correctly prepared (e.g joints to exisiting concrete, release agent to formwork etc)</t>
  </si>
  <si>
    <t>Ties / Controll joints installed as required</t>
  </si>
  <si>
    <t>Grid set-out offset and level correct</t>
  </si>
  <si>
    <t>Props tagged and fixings as per approved temp works design and temp work approval report attached</t>
  </si>
  <si>
    <t>All grids ready for rib installation</t>
  </si>
  <si>
    <t>All Ribs placed, locations, heights and orientation approved. No damage during install and approval given to install planks</t>
  </si>
  <si>
    <t>All planks installed correctly (adequate seating etc)</t>
  </si>
  <si>
    <t>All gaps filled, infills installed, PF rod/expanding foam installed (NO GAPS)</t>
  </si>
  <si>
    <t>Rib &amp; Infill Installation completed correctly (checked location &amp; level) and damage free</t>
  </si>
  <si>
    <t xml:space="preserve">ST - S - Precast Shell Beam Lintel Installation </t>
  </si>
  <si>
    <t>Precast Shell Beam Lintel Installation completed (checked location &amp; level) and no damages</t>
  </si>
  <si>
    <t>Panel starter bars installed correctly to specifications (locaion, size, length and spacing) and ready to place the precast panels</t>
  </si>
  <si>
    <t>SYS - Compliance / Completion Documentation checklist</t>
  </si>
  <si>
    <t>All Compliance / Completion Documentation - Completed &amp; Attached</t>
  </si>
  <si>
    <t>PS3 - Completed and Attached</t>
  </si>
  <si>
    <t>LBP Memorandum/ Record of works</t>
  </si>
  <si>
    <t>Concrete Test Results &amp; Mill Certs</t>
  </si>
  <si>
    <t>Any Additional Compliance Documentation - Completed and Attached</t>
  </si>
  <si>
    <t>Do not select "Pass" HERE until all above requirements have been marked as "Yes" &amp; attached or you have selected "N/A"</t>
  </si>
  <si>
    <t>Thalia/Marcela</t>
  </si>
  <si>
    <t>Concrete in acceptible condition</t>
  </si>
  <si>
    <t>Pracast Balcony install complete (checked location &amp; level)</t>
  </si>
  <si>
    <t>Fin Martin</t>
  </si>
  <si>
    <t>Cst - S - Completion Documents</t>
  </si>
  <si>
    <t>named under something rather than completion docs?</t>
  </si>
  <si>
    <t>LBP Memorandum/ Record of works filled out, signed and attached</t>
  </si>
  <si>
    <t>H - R - Garage</t>
  </si>
  <si>
    <t>Garage Completed and acceptable</t>
  </si>
  <si>
    <t>Button</t>
  </si>
  <si>
    <t>Garage door opens &amp; shuts by remote</t>
  </si>
  <si>
    <t>Remotes ready for residents</t>
  </si>
  <si>
    <t>Laundry tub installed, fixed and working</t>
  </si>
  <si>
    <t>Laundry overflow connected, plug supplied</t>
  </si>
  <si>
    <t>Water and waste ready for resident's washing machine</t>
  </si>
  <si>
    <t>If washing machine part of sales package, run a cycle</t>
  </si>
  <si>
    <t>Lights fitted and working</t>
  </si>
  <si>
    <t>Ceiling installed</t>
  </si>
  <si>
    <t>Paintwork complete</t>
  </si>
  <si>
    <t>Tickbox</t>
  </si>
  <si>
    <t>Ceiling</t>
  </si>
  <si>
    <t>Skirtings/Trims</t>
  </si>
  <si>
    <t>Sills and Doors</t>
  </si>
  <si>
    <t>FC - R - Down Pipes</t>
  </si>
  <si>
    <t>Need to check if it has matching sub check</t>
  </si>
  <si>
    <t>Raise remedial / RequeFC Signoff</t>
  </si>
  <si>
    <t xml:space="preserve">Downpipe installation completed and acceptable </t>
  </si>
  <si>
    <t xml:space="preserve">Evelope Penetrations completed and acceptable </t>
  </si>
  <si>
    <t>Marcela Salazar</t>
  </si>
  <si>
    <t>Highly specific - though can add in in case it comes up again.</t>
  </si>
  <si>
    <t>Framing Dimensions / locations checked &amp; accurate (openings considered where applicable)</t>
  </si>
  <si>
    <t>All Nogs (Service/Specialty) &amp; penetrations - installed, checked &amp; correct (consider acoustic &amp; fire rating requirements)</t>
  </si>
  <si>
    <t>RAB</t>
  </si>
  <si>
    <t>RAB definitely has it's own checklist. This might not be necessary</t>
  </si>
  <si>
    <t>Fixing and spacings checked in accordance with manufacturers specs</t>
  </si>
  <si>
    <t>Wrapshield / Vaproshield to interfloor installed after vertical taping</t>
  </si>
  <si>
    <t>Sealing joints over internal and external joints</t>
  </si>
  <si>
    <t>Battern on RAB Board for cladding fixings</t>
  </si>
  <si>
    <t>Passive fire usually had it's own section. Wouldn't be left out for no reason - look into this deeply before adding</t>
  </si>
  <si>
    <t>FC - S - Symonite Alucobond Cadding System</t>
  </si>
  <si>
    <t>Only a Ryman checklist for symonite. This is approved</t>
  </si>
  <si>
    <t xml:space="preserve">All door stopperst installation completed to specification &amp; within tolerance in respective area(s) </t>
  </si>
  <si>
    <t>Hatches</t>
  </si>
  <si>
    <t>Gutters</t>
  </si>
  <si>
    <t>Added prior</t>
  </si>
  <si>
    <t xml:space="preserve">Balustrades installation completed and acceptable </t>
  </si>
  <si>
    <t>FC - R - Symonite Alucobond Cadding System</t>
  </si>
  <si>
    <t>FC - R - Windows, Sliders and Sealants</t>
  </si>
  <si>
    <t>Think that this already exists</t>
  </si>
  <si>
    <t>FC - R - Rab</t>
  </si>
  <si>
    <t>Post - S - Plumbing Second Fix</t>
  </si>
  <si>
    <t>No checklist for plumbing in post-line. Looks ok to add</t>
  </si>
  <si>
    <t>Second fix QA</t>
  </si>
  <si>
    <t>Hot water cylinder tempered to required outlet temp</t>
  </si>
  <si>
    <t>Flanges installed on all pipework  to vermin proof</t>
  </si>
  <si>
    <t>No crossovers, hot on left and cold on right</t>
  </si>
  <si>
    <t>Shower hoses are fitted with non returns</t>
  </si>
  <si>
    <t xml:space="preserve">Post - S - Handrails </t>
  </si>
  <si>
    <t>H - S - Bathroom Checks</t>
  </si>
  <si>
    <t>Unsure if Subcontractors should be completing Handover checks.</t>
  </si>
  <si>
    <t>Vanity check (photos attached)</t>
  </si>
  <si>
    <t>Mirror check (Photos attached)</t>
  </si>
  <si>
    <t>Toilet roll holder check (Photos attached)</t>
  </si>
  <si>
    <t>All relevant bathroom checks completed correctly within tolerance in respective area</t>
  </si>
  <si>
    <t>Post - S - Hardware Installation</t>
  </si>
  <si>
    <t>Seems to be a Ryman checklist will include it at such</t>
  </si>
  <si>
    <t>Elodie Julien</t>
  </si>
  <si>
    <t>Pre - S - Nogs</t>
  </si>
  <si>
    <t>Pre - S - Common Area Internal Plumbing</t>
  </si>
  <si>
    <t>Pre - S - Common Area Internal Plumbing First Fix</t>
  </si>
  <si>
    <t>Replaced by more generalised Checklist</t>
  </si>
  <si>
    <t>Preinstall QA checklist</t>
  </si>
  <si>
    <t>Previous Substrate Acceptable</t>
  </si>
  <si>
    <t>First Fix QA checklist - Common Areas</t>
  </si>
  <si>
    <t>Picked up all left over material and removed from site</t>
  </si>
  <si>
    <t>Handover checklist</t>
  </si>
  <si>
    <t>Area left clean &amp; tidy</t>
  </si>
  <si>
    <t>All work 100% complete to required specifications</t>
  </si>
  <si>
    <t>HT installed (If specified)</t>
  </si>
  <si>
    <t>Pre - S - Apartment Internal Plumbing</t>
  </si>
  <si>
    <t>Specified Waste pipework is Acoustic Lagged</t>
  </si>
  <si>
    <t>All joist Brackets or Reinforcement installed if required</t>
  </si>
  <si>
    <t>Nog's and fixings are installed for WC, WHB, SHW, HWC?</t>
  </si>
  <si>
    <t>FWG Flange is recessed into flooring and installed</t>
  </si>
  <si>
    <t>Water tested to 1500kpa and loop not effect lining</t>
  </si>
  <si>
    <t>Flange and all through installed pipework flood tested (photo required)</t>
  </si>
  <si>
    <t>Fit-off Materials match schedule on plans</t>
  </si>
  <si>
    <t>Setouts/min clearances as per plan</t>
  </si>
  <si>
    <t>No debris in floor wastes or stubs</t>
  </si>
  <si>
    <t>HWC Tempered to required outlet temp</t>
  </si>
  <si>
    <t>Flanges installed on all pipework to vermin proof</t>
  </si>
  <si>
    <t>All soil pipes are connected to sanitary sewer</t>
  </si>
  <si>
    <t>No crossovers, Hot on left and Cold on Right</t>
  </si>
  <si>
    <t>All fixtures are silicon-ed down and splash sealed</t>
  </si>
  <si>
    <t>Shower Hoses are fitted with non returns</t>
  </si>
  <si>
    <t>Clamping rings and grates installed (photo required)</t>
  </si>
  <si>
    <t>pre</t>
  </si>
  <si>
    <t>To be converted to paper check</t>
  </si>
  <si>
    <t>FC - S - Fascia/Gutter Checklist</t>
  </si>
  <si>
    <t>ITP already created</t>
  </si>
  <si>
    <t>Correct drawing revision checked,referenced and attached</t>
  </si>
  <si>
    <t>Area Accessable, Substrate Acceptable &amp; Approval to start work</t>
  </si>
  <si>
    <t>Iron laid fixed correctly/checked and accurate (2-3 photos attached)</t>
  </si>
  <si>
    <t>POST - S - Data Installation</t>
  </si>
  <si>
    <t>Pre-wire</t>
  </si>
  <si>
    <t>Area is left clean and tidy and approval to start work is obtained</t>
  </si>
  <si>
    <t>Internal cabling complete</t>
  </si>
  <si>
    <t>Main cabling complete (photos attached)</t>
  </si>
  <si>
    <t>Flush boxes installed</t>
  </si>
  <si>
    <t>Termination &amp; Testing</t>
  </si>
  <si>
    <t>Install DB</t>
  </si>
  <si>
    <t>Fit off DB (photos attached)</t>
  </si>
  <si>
    <t>LAN test internals</t>
  </si>
  <si>
    <t>Fit off</t>
  </si>
  <si>
    <t>Area is left clean and tidy and approved to start work is obtained</t>
  </si>
  <si>
    <t>TV/DATA fit off (photos attached)</t>
  </si>
  <si>
    <t>Nurse call fit off (photos attached)</t>
  </si>
  <si>
    <t>Programming and commisioning</t>
  </si>
  <si>
    <t>Batterns level checked and accurate</t>
  </si>
  <si>
    <t>PRE - S - Plumbing First Fix</t>
  </si>
  <si>
    <t>First fix QA</t>
  </si>
  <si>
    <t>Materials supplied as per specification</t>
  </si>
  <si>
    <t>Heights and locations checked</t>
  </si>
  <si>
    <t>Hot water supply lines run over shortest distance</t>
  </si>
  <si>
    <t>Any required brackets or reinforcements supplied</t>
  </si>
  <si>
    <t>Pipes fixed and supported appropriately to specification</t>
  </si>
  <si>
    <t>Penetrations are trade sealed</t>
  </si>
  <si>
    <t>All pipework neatly clipped and tidy</t>
  </si>
  <si>
    <t>All pipework secured/siliconed</t>
  </si>
  <si>
    <t>FWG Flange is recessed into floor</t>
  </si>
  <si>
    <t>Water pressure testing completed and passed</t>
  </si>
  <si>
    <t>Checked for drips on water and waste lines</t>
  </si>
  <si>
    <t>Left over materials tidied up and removed</t>
  </si>
  <si>
    <t>Gauge removed from pipe system</t>
  </si>
  <si>
    <t>POST - S - Plumbing Second Fix</t>
  </si>
  <si>
    <t>POST - S - Water Pressure Test</t>
  </si>
  <si>
    <t xml:space="preserve">Fairly Certain this can be included as </t>
  </si>
  <si>
    <t>Correct Pipe confirmed</t>
  </si>
  <si>
    <t>177006 already covers this</t>
  </si>
  <si>
    <t>Pressure test completed</t>
  </si>
  <si>
    <t>177008 already covers this</t>
  </si>
  <si>
    <t>Pressure test passed</t>
  </si>
  <si>
    <t>POST - S - Fire Linings to Structural Steel</t>
  </si>
  <si>
    <t>Similar to POST - S - Internal Lining - Walls. Looking to append</t>
  </si>
  <si>
    <t>Promatect Boarding</t>
  </si>
  <si>
    <t xml:space="preserve">checkpoint </t>
  </si>
  <si>
    <t>Right product supplied and checked (Promatect 250)</t>
  </si>
  <si>
    <t xml:space="preserve">All required steel channels &amp; angles are covered and sealed with Promatect 250 (Photos required) </t>
  </si>
  <si>
    <t>Thickness, materials &amp; fixings are correct as per specifications</t>
  </si>
  <si>
    <t>All installation completed as per structural steel engineer's plans &amp; fire rating requirements</t>
  </si>
  <si>
    <t>GIB Fyreline works</t>
  </si>
  <si>
    <t>Right product supplied</t>
  </si>
  <si>
    <t xml:space="preserve">GIB Fyreline fire boarding to structural steelwork installation completed as per engineer's plan (Photos required) </t>
  </si>
  <si>
    <t xml:space="preserve">Supply &amp; installation of timber/steel strapping are correct </t>
  </si>
  <si>
    <t>Thickness, materials &amp; fixings are correct as per specifications and completed as per fire rating requirements</t>
  </si>
  <si>
    <t>Will Craine</t>
  </si>
  <si>
    <t>Hardware/Fittings</t>
  </si>
  <si>
    <t>Joinery/Doors</t>
  </si>
  <si>
    <t>Decorating</t>
  </si>
  <si>
    <t>Flooring</t>
  </si>
  <si>
    <t>Other</t>
  </si>
  <si>
    <t>POST - R - POST-line</t>
  </si>
  <si>
    <t>Will Filter from checklist view</t>
  </si>
  <si>
    <t xml:space="preserve">POST-line works completed and acceptable. Trades QA received, reviewed, attached and approved for all pre-line trades. </t>
  </si>
  <si>
    <t>Wall lining completed and acceptable</t>
  </si>
  <si>
    <t>Ceiling lining completed and acceptable</t>
  </si>
  <si>
    <t>Stopping works completed and acceptable</t>
  </si>
  <si>
    <t>Skirting, architraves and trim work completed and acceptable</t>
  </si>
  <si>
    <t>Screeding, cork/ soundproofing, under floor heating, waterproofing and tiling completed and acceptable</t>
  </si>
  <si>
    <t>Painting works completed and acceptable</t>
  </si>
  <si>
    <t>Internal doors installation completed and acceptable</t>
  </si>
  <si>
    <t xml:space="preserve">Joinery installation completed and acceptable </t>
  </si>
  <si>
    <t xml:space="preserve">Electrical Second Fix completed and acceptable </t>
  </si>
  <si>
    <t xml:space="preserve">Plumbing Second Fix completed and acceptable </t>
  </si>
  <si>
    <t xml:space="preserve">Security, Comms and Data Second Fix completed and acceptable </t>
  </si>
  <si>
    <t xml:space="preserve">HVAC Second Fix completed and acceptable </t>
  </si>
  <si>
    <t xml:space="preserve">Fire Security Second Fix completed and acceptable </t>
  </si>
  <si>
    <t xml:space="preserve">Under floor heating Second Fix completed and acceptable </t>
  </si>
  <si>
    <t xml:space="preserve">Carpet installation completed and acceptable </t>
  </si>
  <si>
    <t xml:space="preserve">Fire door installation completed and acceptable </t>
  </si>
  <si>
    <t>H - R - Flooring</t>
  </si>
  <si>
    <t>Trades QA received, reviewed, attached and approved</t>
  </si>
  <si>
    <t>Raise Remedial/Trade Contractor QA and Sign off</t>
  </si>
  <si>
    <t>H - R - Exterior</t>
  </si>
  <si>
    <t>Exterior is completed and acceptable</t>
  </si>
  <si>
    <t>Hose taps in place and working</t>
  </si>
  <si>
    <t>Exterior cladding installed</t>
  </si>
  <si>
    <t>Exterior joinery</t>
  </si>
  <si>
    <t>Raise RemedialRequest Sign off</t>
  </si>
  <si>
    <t>H - R - Lounge/Dining Area</t>
  </si>
  <si>
    <t>Lounge/Dining Area is completed and acceptable</t>
  </si>
  <si>
    <t>Front door- works, keys lock &amp; unlock</t>
  </si>
  <si>
    <t>Heater and extras installed and working</t>
  </si>
  <si>
    <t>Smoke alarm installed and working</t>
  </si>
  <si>
    <t>TV aerial point(s) working</t>
  </si>
  <si>
    <t>Phone, ppts installed &amp; working</t>
  </si>
  <si>
    <t>Lights working, incl exterior lighting at door</t>
  </si>
  <si>
    <t>skirtings/trims</t>
  </si>
  <si>
    <t>sills,doors</t>
  </si>
  <si>
    <t>Windows - catches, closers, working</t>
  </si>
  <si>
    <t>Floor coverings (colour &amp; instalation)</t>
  </si>
  <si>
    <t>H - R - Bedrooms</t>
  </si>
  <si>
    <t>Bedroom 1</t>
  </si>
  <si>
    <t>Bedroom is completed and acceptable</t>
  </si>
  <si>
    <t>Wardrobe doors installed, open, close</t>
  </si>
  <si>
    <t>Wardeobe clothes rack/shelving installed</t>
  </si>
  <si>
    <t>TV, ph &amp; ppts installed working</t>
  </si>
  <si>
    <t>Nurse Call system installed, workong</t>
  </si>
  <si>
    <t>Bedside lights fitted &amp; working</t>
  </si>
  <si>
    <t>Main light fitted &amp; working</t>
  </si>
  <si>
    <t>Window Catches, closers, working</t>
  </si>
  <si>
    <t>Door stop fitted</t>
  </si>
  <si>
    <t>Bedroom 2</t>
  </si>
  <si>
    <t>Bedroom 3</t>
  </si>
  <si>
    <t>H - R - Study</t>
  </si>
  <si>
    <t>Study is complete and acceptable</t>
  </si>
  <si>
    <t>H - R - Bathroom</t>
  </si>
  <si>
    <t>Bathroom is completed and acceptable</t>
  </si>
  <si>
    <t>Flooring in plae corners welded or sealed</t>
  </si>
  <si>
    <t>Shower screen in place, fixed to walls</t>
  </si>
  <si>
    <t>Vinyl on walls, seems welded</t>
  </si>
  <si>
    <t>Mixer, outlet &amp; rail installed, working</t>
  </si>
  <si>
    <t>Shower waste installed, working</t>
  </si>
  <si>
    <t>Shower caddie installed</t>
  </si>
  <si>
    <t>Safety grab rail installed, fixed firmly</t>
  </si>
  <si>
    <t>Nurse call system installed, working</t>
  </si>
  <si>
    <t>Vanity connected &amp; working</t>
  </si>
  <si>
    <t>Doors fit, drawers slide, stickers removed</t>
  </si>
  <si>
    <t>Tap installed, working</t>
  </si>
  <si>
    <t>Vanity waste connected, working</t>
  </si>
  <si>
    <t>Plug supplied</t>
  </si>
  <si>
    <t>Screw fixings covered</t>
  </si>
  <si>
    <t>Mirrir installed, clean</t>
  </si>
  <si>
    <t>Heated towel rail installed, working</t>
  </si>
  <si>
    <t>Bathroom Heater installed, working</t>
  </si>
  <si>
    <t>Hand towel holder fixed to wall</t>
  </si>
  <si>
    <t>Door lock works</t>
  </si>
  <si>
    <t>Lights, ppts installed and working</t>
  </si>
  <si>
    <t>Window - frosted; catches &amp; closers; working</t>
  </si>
  <si>
    <t>H - R - Toilet</t>
  </si>
  <si>
    <t>Toilet is completed and acceptable</t>
  </si>
  <si>
    <t>Flooring in place corners welded or sealed</t>
  </si>
  <si>
    <t>Toilet is fixed to the floor</t>
  </si>
  <si>
    <t>cistern fixed seat secure</t>
  </si>
  <si>
    <t>toilet roll holder fitted</t>
  </si>
  <si>
    <t>Mirror installed, clean</t>
  </si>
  <si>
    <t>H - R - Ensuite</t>
  </si>
  <si>
    <t>H - R - Client extras</t>
  </si>
  <si>
    <t>Client extras is completed and acceptable</t>
  </si>
  <si>
    <t>H - R - Kitchen</t>
  </si>
  <si>
    <t>Kitchen is completed and acceptable</t>
  </si>
  <si>
    <t>Hobb installed and working</t>
  </si>
  <si>
    <t>Rangehood and ducting installed</t>
  </si>
  <si>
    <t>light and fan working</t>
  </si>
  <si>
    <t>Oven installed and working, please set clock</t>
  </si>
  <si>
    <t>Kitchen bench, sink, joinery fitted correctly</t>
  </si>
  <si>
    <t>Plug for kitchen sink supplied</t>
  </si>
  <si>
    <t>Kitchen tap installed, moves but isn't loose</t>
  </si>
  <si>
    <t>Wastemaster installed, works &amp; drains</t>
  </si>
  <si>
    <t>Overflow installed and connected to trap</t>
  </si>
  <si>
    <t>DW tap installed, drain outlet on trap installed</t>
  </si>
  <si>
    <t>DW - run a cycle through to confirm all OK</t>
  </si>
  <si>
    <t>Hot point in cupboard for DW &amp; WM</t>
  </si>
  <si>
    <t>Hot point for fridge</t>
  </si>
  <si>
    <t>Pantry shelves installed, light works</t>
  </si>
  <si>
    <t>Spash black installed &amp; complete</t>
  </si>
  <si>
    <t>Window - catches, closers, working</t>
  </si>
  <si>
    <t>walls</t>
  </si>
  <si>
    <t>ceiling</t>
  </si>
  <si>
    <t>sills, doors</t>
  </si>
  <si>
    <t>Floor coverings (installation)</t>
  </si>
  <si>
    <t>H - R - Hallway within the apartment</t>
  </si>
  <si>
    <t>Area completed and acceptable</t>
  </si>
  <si>
    <t>Lights fitted, working</t>
  </si>
  <si>
    <t>Smoke Alarm installed and working</t>
  </si>
  <si>
    <t>Hall cupboard shelving installed</t>
  </si>
  <si>
    <t>Hall cupboard doors open &amp; close properly</t>
  </si>
  <si>
    <t>H - R - Service Kitchen</t>
  </si>
  <si>
    <t>Hobbs installed and working</t>
  </si>
  <si>
    <t>Friers Installed/Working</t>
  </si>
  <si>
    <t>Pantry doors installed, open, close</t>
  </si>
  <si>
    <t>Pantry storage/shelving installed</t>
  </si>
  <si>
    <t>Chill room/Freexer doors installed, open, close</t>
  </si>
  <si>
    <t>Chill Room storage/shelving installed</t>
  </si>
  <si>
    <t>Ovens installed and working</t>
  </si>
  <si>
    <t>Kitchen benchs, sinsk, joinery fitted correctly</t>
  </si>
  <si>
    <t>Plug for kitchen sinks supplied</t>
  </si>
  <si>
    <t>Kitchen taps installed, moves but isn't loose</t>
  </si>
  <si>
    <t>H - R - Saloon</t>
  </si>
  <si>
    <t>Saloon is completed and acceptable</t>
  </si>
  <si>
    <t>Basins waste connected, working</t>
  </si>
  <si>
    <t>Mirrors installed, clean</t>
  </si>
  <si>
    <t>H - R - Servery</t>
  </si>
  <si>
    <t>Servery is completed and acceptable</t>
  </si>
  <si>
    <t>Counter installed correctly</t>
  </si>
  <si>
    <t>bench, sink, joinery fitted correctly</t>
  </si>
  <si>
    <t>Plug for sink supplied</t>
  </si>
  <si>
    <t>Taps installed, moves but isn't loose</t>
  </si>
  <si>
    <t>Overflows installed and connected to trap</t>
  </si>
  <si>
    <t>Hot point for DW &amp; WM</t>
  </si>
  <si>
    <t>Hot point for fridge(s)</t>
  </si>
  <si>
    <t>Storage installed</t>
  </si>
  <si>
    <t>H - R - Back Door</t>
  </si>
  <si>
    <t>Back door</t>
  </si>
  <si>
    <t>Door opens, closes, keys lock &amp; unlock</t>
  </si>
  <si>
    <t xml:space="preserve">Outside light fitted, working </t>
  </si>
  <si>
    <t>H - R - Other works</t>
  </si>
  <si>
    <t>Other works completed acceptable</t>
  </si>
  <si>
    <t>HWC turned on, hot water temp correct</t>
  </si>
  <si>
    <t>All internal doors open &amp; close freely</t>
  </si>
  <si>
    <t>Check all internal door handle mechanisms</t>
  </si>
  <si>
    <t>Drapes</t>
  </si>
  <si>
    <t>In place and hanging properly</t>
  </si>
  <si>
    <t>Correct length and close properly</t>
  </si>
  <si>
    <t>All approved modifications/extras completed</t>
  </si>
  <si>
    <t>Cleaning of unit to Ryman standard</t>
  </si>
  <si>
    <t xml:space="preserve">All keys ready </t>
  </si>
  <si>
    <t xml:space="preserve">Any instruction books (e.g. oven) ready </t>
  </si>
  <si>
    <t>H - R - Corridor</t>
  </si>
  <si>
    <t>Corridor/ Lobby is completed and acceptable</t>
  </si>
  <si>
    <t>Fire doors open &amp; close properly</t>
  </si>
  <si>
    <t>Ripped from Related ITPS</t>
  </si>
  <si>
    <t>Check loop wires insatlled and acceptable</t>
  </si>
  <si>
    <t>PRE - S -First Fix - Nurse Call, Data &amp; Communications &amp; Security</t>
  </si>
  <si>
    <t>Fire penetrations compleated, sealed and acceptable</t>
  </si>
  <si>
    <t xml:space="preserve">No current checks included for Distribution boards. Unspecific enough for all sites. </t>
  </si>
  <si>
    <t>pass, fail</t>
  </si>
  <si>
    <t xml:space="preserve">No current checks included for Cable Trays. Unspecific enough for all sites. </t>
  </si>
  <si>
    <t>specific products used (photos required)</t>
  </si>
  <si>
    <t>Chris MacDonnell</t>
  </si>
  <si>
    <t>POST - Second Fix - Electrical</t>
  </si>
  <si>
    <t xml:space="preserve">All cover plates in place &amp; fitted correctly and striaght </t>
  </si>
  <si>
    <t>Correct louvre product and size checked and accurate</t>
  </si>
  <si>
    <t>Louvre installed to head and sill correctly</t>
  </si>
  <si>
    <t>correct finish applied to louvres and frame</t>
  </si>
  <si>
    <t>Works completed and acceptable</t>
  </si>
  <si>
    <t>Ashish Mankotia</t>
  </si>
  <si>
    <t>membrane penetrations have been sealed and are watertight</t>
  </si>
  <si>
    <t>Membrane color and thickness confirmed correct</t>
  </si>
  <si>
    <t>Removed from FC - S - Roofing iin order to be it’s own checklist</t>
  </si>
  <si>
    <t>Fixings - Consider Jamb/Hinges/Door Packer, all installed &amp; secure (Size &amp; type)</t>
  </si>
  <si>
    <t>Included Door packer so the same checklist can be used for siding doors</t>
  </si>
  <si>
    <t>Door leaf to jamb gaps parallel &amp; correct (Consider paint thickness(s))</t>
  </si>
  <si>
    <t>Pulled from a breakdown Chris sent me with checklists in the correct format, but were missing from the main checklists. More detailed than current louvre checklists</t>
  </si>
  <si>
    <t>Pass, Partial Pass, Fail, N/A</t>
  </si>
  <si>
    <t>FC - S - Air conditioning Pre-Installation Works</t>
  </si>
  <si>
    <t>Was listed as a section, not a checklist. Seeing if it fits anywhere in another check</t>
  </si>
  <si>
    <t xml:space="preserve">Inclusion of Mill certificates check. </t>
  </si>
  <si>
    <t>Upon review, not included in Handover paper docs. Including as checklists</t>
  </si>
  <si>
    <t>Post - S - Screeding</t>
  </si>
  <si>
    <t>Changes made to remove specific mentions of depth etc.</t>
  </si>
  <si>
    <t>Area clean and accessable</t>
  </si>
  <si>
    <t>Bedi</t>
  </si>
  <si>
    <t>ST - R - Concrete Pour - Ryman owned</t>
  </si>
  <si>
    <t>William sanders has Ryman workers doing the concrete pour. They need a detailed check to be able to inlcude in ryman projects</t>
  </si>
  <si>
    <t>Specified work instead of just "excavation"</t>
  </si>
  <si>
    <t>Removed ground condition check - checks above make it obsolete</t>
  </si>
  <si>
    <t>Lift Pit is an important part of the excavation discipline currently missing a checklist. adding one in now</t>
  </si>
  <si>
    <t>Backfill completed and commpacted as per specifications</t>
  </si>
  <si>
    <t>Waterproofing is vital to backfilling. Necessary check</t>
  </si>
  <si>
    <t>Removed LBP Memorandum check. Encompassed by check below</t>
  </si>
  <si>
    <t>Added bracketed point. Specifies all documents to be included</t>
  </si>
  <si>
    <t>Michael Ajero</t>
  </si>
  <si>
    <t>FC - S - STO Plastering</t>
  </si>
  <si>
    <t>FC - S - STO Poly Plaster</t>
  </si>
  <si>
    <t xml:space="preserve">Name change - to include Sto Poren and Sto Poly. </t>
  </si>
  <si>
    <t>Sikadur 31 number of units and last 6 digits of batch number</t>
  </si>
  <si>
    <t>F - S - Fire Joint Sealant</t>
  </si>
  <si>
    <t>F - S - Sealant</t>
  </si>
  <si>
    <t>Method of substrate preparation (e.g. grinding, abrading, drying etc</t>
  </si>
  <si>
    <t>Morgan Steel</t>
  </si>
  <si>
    <t>New Checkpoint Added</t>
  </si>
  <si>
    <t>Installed in corrct level, plumb, correct pitch and braced</t>
  </si>
  <si>
    <t>New Checpoint Added</t>
  </si>
  <si>
    <t>Watertight</t>
  </si>
  <si>
    <t>Additional Checkpoint</t>
  </si>
  <si>
    <t>Thalia Taurere</t>
  </si>
  <si>
    <t>Re-ordered Checkpoints</t>
  </si>
  <si>
    <t>Re-wording of checkpoint</t>
  </si>
  <si>
    <t>ST - S  Steel-Deck Concrete Topping</t>
  </si>
  <si>
    <t>ST - S  - Steel-Deck Concrete Topping</t>
  </si>
  <si>
    <t>Marin Construction</t>
  </si>
  <si>
    <t>Waiting on more info from the trades before this is added in (checklist may need reworking)</t>
  </si>
  <si>
    <t>Stresscrete</t>
  </si>
  <si>
    <t>Added in CONQA</t>
  </si>
  <si>
    <t>Geetanjali Mongam</t>
  </si>
  <si>
    <t>MCB Plumbing</t>
  </si>
  <si>
    <t>New section breakup - Additional checks across board - edits to wording in current checks</t>
  </si>
  <si>
    <t>Lena Dunham</t>
  </si>
  <si>
    <t>FC - R - Scaffold Drop Checklist</t>
  </si>
  <si>
    <t>Brickwork</t>
  </si>
  <si>
    <t>Weep holes installed.</t>
  </si>
  <si>
    <t>Weep holes clean of mortar.</t>
  </si>
  <si>
    <t>Vent holes installed.</t>
  </si>
  <si>
    <t>Vent holes clear of mortar.</t>
  </si>
  <si>
    <t>Mortar finish acceptable – no holes.</t>
  </si>
  <si>
    <t>Mortar acceptable around vents.</t>
  </si>
  <si>
    <t>Clean Lintel Cavity.</t>
  </si>
  <si>
    <t>Vent holes full brick.</t>
  </si>
  <si>
    <t>No damaged to bricks.</t>
  </si>
  <si>
    <t>Seals completed Nib / Brick. Soffit / Brick.</t>
  </si>
  <si>
    <t>Sto</t>
  </si>
  <si>
    <t>Seals completed Nib / Brick.</t>
  </si>
  <si>
    <t>Sto finish good ( not damaged.)</t>
  </si>
  <si>
    <t>Paint standard acceptable</t>
  </si>
  <si>
    <t>Soffits complete</t>
  </si>
  <si>
    <t>Windows</t>
  </si>
  <si>
    <t>Windows are clean</t>
  </si>
  <si>
    <t>Railside's sealed (good seal)</t>
  </si>
  <si>
    <t>Transom rubber caps installed (not loose)</t>
  </si>
  <si>
    <t>Misc</t>
  </si>
  <si>
    <t>Down pipes installed</t>
  </si>
  <si>
    <t>Roof capped &amp; fascia installed</t>
  </si>
  <si>
    <t>Tom on site (include start and end times)</t>
  </si>
  <si>
    <t>Additional personel accompanying engineer</t>
  </si>
  <si>
    <t>Marin Construction, Clearwater Construction, Contract Construction, Francis Ward, Harris Dowd Gibbons</t>
  </si>
  <si>
    <t>Comprehensive rewrite for new breakdowns</t>
  </si>
  <si>
    <t xml:space="preserve">Area cleared for propping to be </t>
  </si>
  <si>
    <t>Foreman Sign off to receive Rib Installation inspection results.  Pass this checkpoint after sending the email.</t>
  </si>
  <si>
    <t>Foreman Sign off to receive Infill Panel Installation inspection results.  Pass this checkpoint after sending the email.</t>
  </si>
  <si>
    <t>Raise Remedial if failed</t>
  </si>
  <si>
    <t xml:space="preserve">Aquacraft, Express Plumbing, Laser Plumbing, MCB Plumbing, </t>
  </si>
  <si>
    <t>Changed value allow variation in water pressure testing</t>
  </si>
  <si>
    <t>Combined Projects</t>
  </si>
  <si>
    <t>Northwood, Takapuna</t>
  </si>
  <si>
    <t>Sections must start with a checkpoint. Use "checkpoint-no-status" for a checkpoint without PASS/FAIL/NA buttons</t>
  </si>
  <si>
    <t>"Text" (and all other values) must sit under a checkpoint</t>
  </si>
  <si>
    <t>Sections must start with a checkpoint. Use "checkpoint-no-status" for a checkpoint without PASS/FAIL/NA buttons. "Text" (and all other values) must sit under a checkpoint</t>
  </si>
  <si>
    <t xml:space="preserve"> ST - R - Concrete Pour Inspection</t>
  </si>
  <si>
    <t>Please add values for buttons, or change to another checklist item type</t>
  </si>
  <si>
    <t>The Engineer shall inspect the installation of the couplers and/or flange nuts on a random sample of 3 structural elements (i.e. column, beam, panel etc.). The 3 random structral elements shall be confirmed by the Engineer.</t>
  </si>
  <si>
    <t>ITP</t>
  </si>
  <si>
    <t>Sections must start with a checkpoint. Use "checkpoint-no-status" for a checkpoint without PASS/FAIL/NA buttons. "Holdpoints" (and all other values) must sit under a checkpoint</t>
  </si>
  <si>
    <t>Vapour barrier installed under internal slabs on ground including integral ground beams. Joints lapped and facing away from concrete pour. Seal laps &amp; penetrations with water adhesive tape. Patch or seal punctures. Plastic is taped around pipes and other slab penetrations. Any holes or tears have been repaired or taped - Attach photos
Waterproofing membrane installed and correct - Attach photos</t>
  </si>
  <si>
    <t>Warrior Construction</t>
  </si>
  <si>
    <t>Changed name of checklist from ST - S - Precast Shell Beam Lintel Installation to ST - S - Lintel Installation</t>
  </si>
  <si>
    <t>Changed wording to make up for the change in title</t>
  </si>
  <si>
    <t>Damian Sycamore (CONQA)</t>
  </si>
  <si>
    <t>Accurate Ceilings</t>
  </si>
  <si>
    <t>Heather Swan</t>
  </si>
  <si>
    <t>Edits</t>
  </si>
  <si>
    <t>Johnston Civil</t>
  </si>
  <si>
    <t>C – S – Detailed Excavation</t>
  </si>
  <si>
    <t>Chris MacDonell</t>
  </si>
  <si>
    <t>Thermal Solutions</t>
  </si>
  <si>
    <t>Added "All seismic restraints in place (if needed)" in First Fix</t>
  </si>
  <si>
    <t>Pre-start check</t>
  </si>
  <si>
    <t>Area clear, access god, enough space for install</t>
  </si>
  <si>
    <t>Add seismic checks from michael ajero</t>
  </si>
  <si>
    <t>Cancelled. Fleshed out with another ITP from a different site</t>
  </si>
  <si>
    <t>Waiting to hear fromm Northwood</t>
  </si>
  <si>
    <t>I - S - CAN - #</t>
  </si>
  <si>
    <t>Clearwater</t>
  </si>
  <si>
    <t>Need to confirm what account this is for</t>
  </si>
  <si>
    <t>CAN description and required actions as specified in the CAN</t>
  </si>
  <si>
    <t>Used as "Ability to add"</t>
  </si>
  <si>
    <t>Description</t>
  </si>
  <si>
    <t>All remedial works completed, photos attached</t>
  </si>
  <si>
    <t>All final checks and documentation completed and attached</t>
  </si>
  <si>
    <t>FINAL - Pass when work(s) are completed, area clean &amp; tidy (any issues please comment below)</t>
  </si>
  <si>
    <t>Request Sign Off</t>
  </si>
  <si>
    <t>Ethan Kolose</t>
  </si>
  <si>
    <t>ST - S - Astroturf</t>
  </si>
  <si>
    <t>TigerTurf</t>
  </si>
  <si>
    <t>TigerTurf not on CONQA</t>
  </si>
  <si>
    <t>Subgrade evaluation to confirm site is 350mm below finish level of capping, paths and hard structures</t>
  </si>
  <si>
    <t>Excavate trenches and install drainage as per plan connected to outlet supplied off side of green</t>
  </si>
  <si>
    <t>Auger holes and ground plant 100x100mm H4 treated posts to support backing boards</t>
  </si>
  <si>
    <t>Supply and install timber plinth to all four sides of green for TigerWeave installation</t>
  </si>
  <si>
    <t>Supply and lay geo cloth</t>
  </si>
  <si>
    <t>Supply load level Gap base rock to depth of 120mm</t>
  </si>
  <si>
    <t>Supply load level PAP 7 Top course to 30mm</t>
  </si>
  <si>
    <t>Supply and fit new aluminium grippers for TigerWeave</t>
  </si>
  <si>
    <t>Apply TigerBond base system to assist in stabilizing the existing base as required</t>
  </si>
  <si>
    <t>supply and installation of ditch and dropper grass</t>
  </si>
  <si>
    <t>Supply and installation of rink markers</t>
  </si>
  <si>
    <t>Supply and install new underlay and TigerWeave from GreenGauge, woven surface</t>
  </si>
  <si>
    <t xml:space="preserve">Project management, clean site of TigerTurf materials. </t>
  </si>
  <si>
    <t>new checkpoint added</t>
  </si>
  <si>
    <t>FC - S - Down Pipes</t>
  </si>
  <si>
    <t>Taylor Fascia</t>
  </si>
  <si>
    <t>Monkeytoe, Unix</t>
  </si>
  <si>
    <t>01/12/2022 waiting on colin to find out about testing</t>
  </si>
  <si>
    <t>Note from CONQA: Monkeytoe updated, Unix account pending</t>
  </si>
  <si>
    <t xml:space="preserve">ST - S - Insitu Pour </t>
  </si>
  <si>
    <t>Replacing with the Insitu Pour</t>
  </si>
  <si>
    <t>ST - S - Formwork Inspection</t>
  </si>
  <si>
    <t>Overwrite all existing checkpoints</t>
  </si>
  <si>
    <t>Deleted by Colin A 8/12/22, was intended for 046 NW but not followed up.</t>
  </si>
  <si>
    <t>Ward Chandler</t>
  </si>
  <si>
    <t>Change out the current checklist for this one</t>
  </si>
  <si>
    <t>Flushboxes at correct orientation and heights</t>
  </si>
  <si>
    <t>Flushbox positioned correctly to suit kitchen and bathroom layouts</t>
  </si>
  <si>
    <t>Metal flushboxes installed at Fire walls</t>
  </si>
  <si>
    <t>Cables protected  thru metal studs</t>
  </si>
  <si>
    <t>Cables penetrating firewalls are supported 200mm from the wall</t>
  </si>
  <si>
    <t>Kitchen island conduit installed.C/D/E 69,70,78,79,84,85,86,87.F75,F76,F77 &amp; F78</t>
  </si>
  <si>
    <t>Bathroom Reo earth bond installed and extended to DB</t>
  </si>
  <si>
    <t>Check lighting installation against drawing</t>
  </si>
  <si>
    <t>cables at correct locations (including kitchen island) , cables labelled, 2- way lighting correctly wired,</t>
  </si>
  <si>
    <t>Check no downlight clashes with rondo or strong backs</t>
  </si>
  <si>
    <t>Check ceiling fans prewired in bedrooms and lounge 2 x 1.5mm 2c+e at each location</t>
  </si>
  <si>
    <t>Check power  installation against drawing</t>
  </si>
  <si>
    <t>cables at correct locations (including kitchen island) , cables labelled, Comms panel, HWC and Heat pump wired wired</t>
  </si>
  <si>
    <t>Check laundry power has separately labelled cable for dryer</t>
  </si>
  <si>
    <t>Check laundry extract fan supply in place</t>
  </si>
  <si>
    <t>Check bathroom/WC extract fan supply (inc surface socket) in position with switch loops</t>
  </si>
  <si>
    <t>Confirm E4M contractor has installed controller before gib ceiling installed</t>
  </si>
  <si>
    <t>Check UFH prewired inc draw wire</t>
  </si>
  <si>
    <t>Check towel rail nogs inc draw wire</t>
  </si>
  <si>
    <t>Check switchboard back box install in correct location and all cables are labelled</t>
  </si>
  <si>
    <t>Check circuits against DB schedule</t>
  </si>
  <si>
    <t>Check submain and hot water supply are installed to DB</t>
  </si>
  <si>
    <t>Check any client extras are prewired</t>
  </si>
  <si>
    <t>ITP - R - On Grade Slab Pre-Pour (per townhouse block)</t>
  </si>
  <si>
    <t>Underground services installation completed</t>
  </si>
  <si>
    <t>ITP - R - Concrete - Planning and Pour (per townhouse block)</t>
  </si>
  <si>
    <t>ITP - R - Fitout (per townhouse unit)</t>
  </si>
  <si>
    <t>Finishing completed, meets benchmark standard.  Refer separate checklist.  Full response to the items below needed.</t>
  </si>
  <si>
    <t xml:space="preserve">Plumbing completed and acceptable </t>
  </si>
  <si>
    <t xml:space="preserve">Electrical completed and acceptable </t>
  </si>
  <si>
    <t xml:space="preserve">Joinery/Doors completed and acceptable </t>
  </si>
  <si>
    <t xml:space="preserve">Decorating completed and acceptable </t>
  </si>
  <si>
    <t xml:space="preserve">Flooring completed and acceptable </t>
  </si>
  <si>
    <t>Other works completed (inc. client extras) and acceptable, state below.</t>
  </si>
  <si>
    <t>Details:</t>
  </si>
  <si>
    <t>ITP - R - Project Manager Handover to Operations (per townhouse unit)</t>
  </si>
  <si>
    <t>No outstanding defects/snag list items</t>
  </si>
  <si>
    <t>Chattels confirmed as operational</t>
  </si>
  <si>
    <t>Chattel manuals provided.</t>
  </si>
  <si>
    <t>Unit meets benchmark standards and expectations</t>
  </si>
  <si>
    <t>Resident "Welcome Letter" completed by PM and left in property.</t>
  </si>
  <si>
    <t>Formal handover to Sales/Operations conducted by PM.</t>
  </si>
  <si>
    <t>ITP - R - Unit Benchmarking (Use at stage level)</t>
  </si>
  <si>
    <t>Benchmark standard agreed as per Quality Management Plan</t>
  </si>
  <si>
    <t>Project Manager or delegate present</t>
  </si>
  <si>
    <t>Sales representative or delegate present</t>
  </si>
  <si>
    <t>QA Advisor or delegate present</t>
  </si>
  <si>
    <t>Design representative or delegate present</t>
  </si>
  <si>
    <t>Benchmark details (e.g. apartment number or explanation)</t>
  </si>
  <si>
    <t>Record benchmark date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</si>
</sst>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1">
    <numFmt numFmtId="164" formatCode="dd/mm/yyyy;@"/>
  </numFmts>
  <fonts count="15">
    <font>
      <sz val="11"/>
      <color theme="1"/>
      <name val="Arial"/>
      <family val="2"/>
    </font>
    <font>
      <b/>
      <sz val="11"/>
      <color theme="0"/>
      <name val="Arial"/>
      <family val="2"/>
    </font>
    <font>
      <sz val="8"/>
      <name val="Arial"/>
      <family val="2"/>
    </font>
    <font>
      <sz val="11"/>
      <name val="Arial"/>
      <family val="2"/>
    </font>
    <font>
      <sz val="12"/>
      <color theme="1"/>
      <name val="Calibri"/>
      <family val="2"/>
      <scheme val="minor"/>
    </font>
    <font>
      <sz val="12"/>
      <name val="Calibri"/>
      <family val="2"/>
      <scheme val="minor"/>
    </font>
    <font>
      <sz val="12"/>
      <color theme="1"/>
      <name val="Calibri"/>
      <family val="2"/>
    </font>
    <font>
      <sz val="11"/>
      <color theme="1"/>
      <name val="Calibri"/>
      <family val="2"/>
    </font>
    <font>
      <sz val="11"/>
      <color theme="1"/>
      <name val="Calibri"/>
      <family val="2"/>
      <scheme val="minor"/>
    </font>
    <font>
      <sz val="11"/>
      <color theme="1"/>
      <name val="Arial"/>
      <family val="2"/>
    </font>
    <font>
      <sz val="11"/>
      <color rgb="FF0D0D0D"/>
      <name val="Arial"/>
      <family val="2"/>
    </font>
    <font>
      <sz val="11"/>
      <color rgb="FF000000"/>
      <name val="Arial"/>
      <family val="2"/>
    </font>
    <font>
      <sz val="11"/>
      <color theme="1"/>
      <name val="Calibri"/>
      <family val="2"/>
      <scheme val="minor"/>
    </font>
    <font>
      <sz val="11"/>
      <name val="Calibri"/>
      <family val="2"/>
      <scheme val="minor"/>
    </font>
    <font>
      <sz val="12"/>
      <name val="Arial"/>
      <family val="2"/>
    </font>
  </fonts>
  <fills count="6">
    <fill>
      <patternFill patternType="none"/>
    </fill>
    <fill>
      <patternFill patternType="gray125"/>
    </fill>
    <fill>
      <patternFill patternType="solid">
        <fgColor theme="4"/>
        <bgColor theme="4"/>
      </patternFill>
    </fill>
    <fill>
      <patternFill patternType="solid">
        <fgColor theme="4" tint="0.79998168889431442"/>
        <bgColor theme="4" tint="0.79998168889431442"/>
      </patternFill>
    </fill>
    <fill>
      <patternFill patternType="solid">
        <fgColor rgb="FFBDD7EE"/>
        <bgColor rgb="FF000000"/>
      </patternFill>
    </fill>
    <fill>
      <patternFill patternType="solid">
        <fgColor rgb="FFFFFF00"/>
        <bgColor indexed="64"/>
      </patternFill>
    </fill>
  </fills>
  <borders count="19">
    <border>
      <left/>
      <right/>
      <top/>
      <bottom/>
      <diagonal/>
    </border>
    <border>
      <left style="thin">
        <color theme="4" tint="0.39997558519241921"/>
      </left>
      <right style="thin">
        <color theme="4" tint="0.39997558519241921"/>
      </right>
      <top style="thin">
        <color theme="4" tint="0.39997558519241921"/>
      </top>
      <bottom style="thin">
        <color theme="4" tint="0.39997558519241921"/>
      </bottom>
      <diagonal/>
    </border>
    <border>
      <left style="thin">
        <color theme="4" tint="0.39997558519241921"/>
      </left>
      <right style="thin">
        <color theme="4" tint="0.39997558519241921"/>
      </right>
      <top style="thin">
        <color theme="4" tint="0.39997558519241921"/>
      </top>
      <bottom/>
      <diagonal/>
    </border>
    <border>
      <left/>
      <right/>
      <top/>
      <bottom style="thin">
        <color indexed="64"/>
      </bottom>
      <diagonal/>
    </border>
    <border>
      <left style="medium">
        <color rgb="FFA3A3A3"/>
      </left>
      <right style="medium">
        <color rgb="FFA3A3A3"/>
      </right>
      <top style="medium">
        <color rgb="FFA3A3A3"/>
      </top>
      <bottom style="medium">
        <color rgb="FFA3A3A3"/>
      </bottom>
      <diagonal/>
    </border>
    <border>
      <left style="medium">
        <color rgb="FFA3A3A3"/>
      </left>
      <right style="medium">
        <color rgb="FFA3A3A3"/>
      </right>
      <top style="medium">
        <color rgb="FFA3A3A3"/>
      </top>
      <bottom/>
      <diagonal/>
    </border>
    <border>
      <left/>
      <right style="thin">
        <color indexed="64"/>
      </right>
      <top/>
      <bottom/>
      <diagonal/>
    </border>
    <border>
      <left style="medium">
        <color rgb="FFA3A3A3"/>
      </left>
      <right style="medium">
        <color rgb="FFA3A3A3"/>
      </right>
      <top style="medium">
        <color rgb="FFA3A3A3"/>
      </top>
      <bottom style="thin">
        <color theme="4" tint="0.39997558519241921"/>
      </bottom>
      <diagonal/>
    </border>
    <border>
      <left/>
      <right/>
      <top style="thin">
        <color rgb="FF00AA94"/>
      </top>
      <bottom/>
      <diagonal/>
    </border>
    <border>
      <left/>
      <right style="thin">
        <color rgb="FF00AA94"/>
      </right>
      <top style="thin">
        <color rgb="FF00AA94"/>
      </top>
      <bottom/>
      <diagonal/>
    </border>
    <border>
      <left/>
      <right style="thin">
        <color rgb="FF00AA94"/>
      </right>
      <top/>
      <bottom/>
      <diagonal/>
    </border>
    <border>
      <left style="thin">
        <color rgb="FF000000"/>
      </left>
      <right style="thin">
        <color rgb="FF000000"/>
      </right>
      <top style="thin">
        <color rgb="FF000000"/>
      </top>
      <bottom/>
      <diagonal/>
    </border>
    <border>
      <left style="thin">
        <color rgb="FF00AA94"/>
      </left>
      <right/>
      <top style="thin">
        <color rgb="FF00AA94"/>
      </top>
      <bottom/>
      <diagonal/>
    </border>
    <border>
      <left/>
      <right/>
      <top style="thin">
        <color rgb="FF000000"/>
      </top>
      <bottom/>
      <diagonal/>
    </border>
    <border>
      <left/>
      <right/>
      <top/>
      <bottom style="thin">
        <color rgb="FF000000"/>
      </bottom>
      <diagonal/>
    </border>
    <border>
      <left/>
      <right/>
      <top style="thin">
        <color rgb="FF000000"/>
      </top>
      <bottom style="thin">
        <color rgb="FF000000"/>
      </bottom>
      <diagonal/>
    </border>
    <border>
      <left/>
      <right/>
      <top style="thin">
        <color indexed="64"/>
      </top>
      <bottom/>
      <diagonal/>
    </border>
    <border>
      <left/>
      <right/>
      <top style="thin">
        <color rgb="FF00AA94"/>
      </top>
      <bottom style="thin">
        <color indexed="64"/>
      </bottom>
      <diagonal/>
    </border>
    <border>
      <left/>
      <right/>
      <top style="thin">
        <color indexed="64"/>
      </top>
      <bottom style="thin">
        <color indexed="64"/>
      </bottom>
      <diagonal/>
    </border>
  </borders>
  <cellStyleXfs count="4">
    <xf numFmtId="0" fontId="0" fillId="0" borderId="0"/>
    <xf numFmtId="0" fontId="8" fillId="0" borderId="0"/>
    <xf numFmtId="0" fontId="9" fillId="0" borderId="0"/>
    <xf numFmtId="0" fontId="12" fillId="0" borderId="0"/>
  </cellStyleXfs>
  <cellXfs count="70">
    <xf numFmtId="0" fontId="0" fillId="0" borderId="0" xfId="0"/>
    <xf numFmtId="49" fontId="0" fillId="0" borderId="0" xfId="0" applyNumberFormat="1"/>
    <xf numFmtId="49" fontId="3" fillId="0" borderId="0" xfId="0" applyNumberFormat="1" applyFont="1"/>
    <xf numFmtId="0" fontId="0" fillId="0" borderId="1" xfId="0" applyBorder="1"/>
    <xf numFmtId="0" fontId="1" fillId="2" borderId="2" xfId="0" applyFont="1" applyFill="1" applyBorder="1"/>
    <xf numFmtId="0" fontId="1" fillId="0" borderId="0" xfId="0" applyFont="1"/>
    <xf numFmtId="0" fontId="7" fillId="0" borderId="4" xfId="0" applyFont="1" applyBorder="1" applyAlignment="1">
      <alignment vertical="center" wrapText="1"/>
    </xf>
    <xf numFmtId="0" fontId="7" fillId="0" borderId="5" xfId="0" applyFont="1" applyBorder="1" applyAlignment="1">
      <alignment vertical="center" wrapText="1"/>
    </xf>
    <xf numFmtId="0" fontId="7" fillId="0" borderId="0" xfId="0" applyFont="1" applyAlignment="1">
      <alignment vertical="center"/>
    </xf>
    <xf numFmtId="14" fontId="0" fillId="0" borderId="0" xfId="0" applyNumberFormat="1"/>
    <xf numFmtId="1" fontId="0" fillId="0" borderId="0" xfId="0" applyNumberFormat="1"/>
    <xf numFmtId="0" fontId="6" fillId="0" borderId="0" xfId="0" applyFont="1"/>
    <xf numFmtId="0" fontId="0" fillId="3" borderId="1" xfId="0" applyFill="1" applyBorder="1"/>
    <xf numFmtId="0" fontId="7" fillId="3" borderId="4" xfId="0" applyFont="1" applyFill="1" applyBorder="1" applyAlignment="1">
      <alignment vertical="center" wrapText="1"/>
    </xf>
    <xf numFmtId="0" fontId="7" fillId="3" borderId="7" xfId="0" applyFont="1" applyFill="1" applyBorder="1" applyAlignment="1">
      <alignment vertical="center" wrapText="1"/>
    </xf>
    <xf numFmtId="0" fontId="7" fillId="0" borderId="1" xfId="0" applyFont="1" applyBorder="1" applyAlignment="1">
      <alignment vertical="center"/>
    </xf>
    <xf numFmtId="164" fontId="0" fillId="0" borderId="0" xfId="0" applyNumberFormat="1"/>
    <xf numFmtId="0" fontId="3" fillId="0" borderId="0" xfId="0" applyFont="1"/>
    <xf numFmtId="49" fontId="5" fillId="0" borderId="0" xfId="0" applyNumberFormat="1" applyFont="1"/>
    <xf numFmtId="49" fontId="3" fillId="0" borderId="8" xfId="0" applyNumberFormat="1" applyFont="1" applyBorder="1"/>
    <xf numFmtId="0" fontId="0" fillId="0" borderId="8" xfId="0" applyBorder="1"/>
    <xf numFmtId="49" fontId="5" fillId="0" borderId="8" xfId="0" applyNumberFormat="1" applyFont="1" applyBorder="1"/>
    <xf numFmtId="49" fontId="3" fillId="0" borderId="9" xfId="0" applyNumberFormat="1" applyFont="1" applyBorder="1"/>
    <xf numFmtId="49" fontId="3" fillId="0" borderId="10" xfId="0" applyNumberFormat="1" applyFont="1" applyBorder="1"/>
    <xf numFmtId="0" fontId="0" fillId="0" borderId="6" xfId="0" applyBorder="1"/>
    <xf numFmtId="0" fontId="5" fillId="0" borderId="0" xfId="0" applyFont="1"/>
    <xf numFmtId="49" fontId="10" fillId="0" borderId="0" xfId="0" applyNumberFormat="1" applyFont="1"/>
    <xf numFmtId="0" fontId="10" fillId="0" borderId="0" xfId="0" applyFont="1"/>
    <xf numFmtId="0" fontId="4" fillId="0" borderId="0" xfId="0" applyFont="1"/>
    <xf numFmtId="0" fontId="0" fillId="0" borderId="11" xfId="0" applyBorder="1"/>
    <xf numFmtId="0" fontId="11" fillId="0" borderId="0" xfId="0" applyFont="1"/>
    <xf numFmtId="0" fontId="0" fillId="0" borderId="3" xfId="0" applyBorder="1"/>
    <xf numFmtId="0" fontId="11" fillId="0" borderId="0" xfId="0" applyFont="1" applyAlignment="1">
      <alignment vertical="center"/>
    </xf>
    <xf numFmtId="0" fontId="11" fillId="4" borderId="0" xfId="0" applyFont="1" applyFill="1"/>
    <xf numFmtId="0" fontId="11" fillId="0" borderId="0" xfId="0" applyFont="1" applyAlignment="1">
      <alignment vertical="center" wrapText="1"/>
    </xf>
    <xf numFmtId="0" fontId="11" fillId="0" borderId="8" xfId="0" applyFont="1" applyBorder="1"/>
    <xf numFmtId="0" fontId="9" fillId="0" borderId="0" xfId="0" applyFont="1"/>
    <xf numFmtId="0" fontId="9" fillId="0" borderId="0" xfId="0" applyFont="1" applyAlignment="1">
      <alignment vertical="center"/>
    </xf>
    <xf numFmtId="0" fontId="0" fillId="0" borderId="0" xfId="0" applyAlignment="1">
      <alignment vertical="center"/>
    </xf>
    <xf numFmtId="49" fontId="3" fillId="0" borderId="12" xfId="0" applyNumberFormat="1" applyFont="1" applyBorder="1"/>
    <xf numFmtId="0" fontId="0" fillId="0" borderId="0" xfId="2" applyFont="1"/>
    <xf numFmtId="0" fontId="7" fillId="0" borderId="0" xfId="0" applyFont="1"/>
    <xf numFmtId="49" fontId="3" fillId="5" borderId="0" xfId="0" applyNumberFormat="1" applyFont="1" applyFill="1"/>
    <xf numFmtId="49" fontId="3" fillId="5" borderId="0" xfId="0" quotePrefix="1" applyNumberFormat="1" applyFont="1" applyFill="1"/>
    <xf numFmtId="49" fontId="13" fillId="0" borderId="13" xfId="3" applyNumberFormat="1" applyFont="1" applyBorder="1"/>
    <xf numFmtId="49" fontId="13" fillId="0" borderId="0" xfId="3" applyNumberFormat="1" applyFont="1"/>
    <xf numFmtId="49" fontId="5" fillId="0" borderId="8" xfId="3" applyNumberFormat="1" applyFont="1" applyBorder="1"/>
    <xf numFmtId="49" fontId="5" fillId="0" borderId="0" xfId="3" applyNumberFormat="1" applyFont="1"/>
    <xf numFmtId="49" fontId="5" fillId="0" borderId="13" xfId="3" applyNumberFormat="1" applyFont="1" applyBorder="1"/>
    <xf numFmtId="49" fontId="5" fillId="0" borderId="14" xfId="3" applyNumberFormat="1" applyFont="1" applyBorder="1"/>
    <xf numFmtId="49" fontId="5" fillId="0" borderId="15" xfId="3" applyNumberFormat="1" applyFont="1" applyBorder="1"/>
    <xf numFmtId="49" fontId="3" fillId="0" borderId="8" xfId="3" applyNumberFormat="1" applyFont="1" applyBorder="1"/>
    <xf numFmtId="49" fontId="3" fillId="0" borderId="0" xfId="3" applyNumberFormat="1" applyFont="1"/>
    <xf numFmtId="49" fontId="3" fillId="0" borderId="14" xfId="3" applyNumberFormat="1" applyFont="1" applyBorder="1"/>
    <xf numFmtId="49" fontId="3" fillId="0" borderId="13" xfId="3" applyNumberFormat="1" applyFont="1" applyBorder="1"/>
    <xf numFmtId="49" fontId="3" fillId="0" borderId="15" xfId="3" applyNumberFormat="1" applyFont="1" applyBorder="1"/>
    <xf numFmtId="1" fontId="5" fillId="0" borderId="8" xfId="0" applyNumberFormat="1" applyFont="1" applyBorder="1"/>
    <xf numFmtId="49" fontId="5" fillId="0" borderId="16" xfId="0" applyNumberFormat="1" applyFont="1" applyBorder="1"/>
    <xf numFmtId="49" fontId="3" fillId="0" borderId="8" xfId="0" applyNumberFormat="1" applyFont="1" applyBorder="1" applyAlignment="1">
      <alignment vertical="center"/>
    </xf>
    <xf numFmtId="49" fontId="3" fillId="0" borderId="12" xfId="0" applyNumberFormat="1" applyFont="1" applyBorder="1" applyAlignment="1">
      <alignment vertical="center"/>
    </xf>
    <xf numFmtId="49" fontId="14" fillId="0" borderId="0" xfId="0" applyNumberFormat="1" applyFont="1"/>
    <xf numFmtId="49" fontId="14" fillId="0" borderId="10" xfId="0" applyNumberFormat="1" applyFont="1" applyBorder="1"/>
    <xf numFmtId="1" fontId="0" fillId="0" borderId="8" xfId="0" applyNumberFormat="1" applyBorder="1"/>
    <xf numFmtId="49" fontId="3" fillId="0" borderId="0" xfId="0" applyNumberFormat="1" applyFont="1" applyAlignment="1">
      <alignment vertical="center"/>
    </xf>
    <xf numFmtId="49" fontId="14" fillId="0" borderId="12" xfId="0" applyNumberFormat="1" applyFont="1" applyBorder="1"/>
    <xf numFmtId="1" fontId="0" fillId="0" borderId="10" xfId="0" applyNumberFormat="1" applyBorder="1"/>
    <xf numFmtId="49" fontId="0" fillId="0" borderId="10" xfId="0" applyNumberFormat="1" applyBorder="1"/>
    <xf numFmtId="49" fontId="5" fillId="0" borderId="17" xfId="0" applyNumberFormat="1" applyFont="1" applyBorder="1"/>
    <xf numFmtId="49" fontId="5" fillId="0" borderId="18" xfId="0" applyNumberFormat="1" applyFont="1" applyBorder="1"/>
    <xf numFmtId="0" fontId="8" fillId="0" borderId="0" xfId="1"/>
  </cellXfs>
  <cellStyles count="4">
    <cellStyle name="Normal" xfId="0" builtinId="0"/>
    <cellStyle name="Normal 2" xfId="1" xr:uid="{DADE988C-899F-4807-8E9F-5EC341BECFED}"/>
    <cellStyle name="Normal 2 2" xfId="2" xr:uid="{BF833CDB-6FEB-4C47-B6B5-A86A092A61ED}"/>
    <cellStyle name="Normal 3" xfId="3" xr:uid="{E38571DF-2F7F-42C8-8204-6F0D1167A853}"/>
  </cellStyles>
  <dxfs count="140">
    <dxf>
      <font>
        <b val="0"/>
        <i val="0"/>
        <strike val="0"/>
        <condense val="0"/>
        <extend val="0"/>
        <outline val="0"/>
        <shadow val="0"/>
        <u val="none"/>
        <vertAlign val="baseline"/>
        <sz val="11"/>
        <color auto="1"/>
        <name val="Arial"/>
        <family val="2"/>
        <scheme val="none"/>
      </font>
      <numFmt numFmtId="30" formatCode="@"/>
    </dxf>
    <dxf>
      <font>
        <b val="0"/>
        <i val="0"/>
        <strike val="0"/>
        <condense val="0"/>
        <extend val="0"/>
        <outline val="0"/>
        <shadow val="0"/>
        <u val="none"/>
        <vertAlign val="baseline"/>
        <sz val="11"/>
        <color auto="1"/>
        <name val="Arial"/>
        <family val="2"/>
        <scheme val="none"/>
      </font>
      <numFmt numFmtId="30" formatCode="@"/>
      <fill>
        <patternFill patternType="none">
          <fgColor indexed="64"/>
          <bgColor auto="1"/>
        </patternFill>
      </fill>
    </dxf>
    <dxf>
      <font>
        <color auto="1"/>
      </font>
      <numFmt numFmtId="30" formatCode="@"/>
      <fill>
        <patternFill patternType="none">
          <fgColor indexed="64"/>
          <bgColor indexed="65"/>
        </patternFill>
      </fill>
      <border diagonalUp="0" diagonalDown="0">
        <left/>
        <right style="thin">
          <color rgb="FF00AA94"/>
        </right>
        <top style="thin">
          <color rgb="FF00AA94"/>
        </top>
        <bottom/>
        <vertical/>
        <horizontal/>
      </border>
    </dxf>
    <dxf>
      <font>
        <sz val="12"/>
        <color auto="1"/>
        <name val="Calibri"/>
        <family val="2"/>
        <scheme val="minor"/>
      </font>
      <numFmt numFmtId="30" formatCode="@"/>
      <fill>
        <patternFill patternType="none">
          <fgColor indexed="64"/>
          <bgColor indexed="65"/>
        </patternFill>
      </fill>
      <alignment horizontal="general" vertical="bottom" textRotation="0" wrapText="0" indent="0" justifyLastLine="0" shrinkToFit="0" readingOrder="0"/>
      <border diagonalUp="0" diagonalDown="0">
        <left/>
        <right/>
        <top style="thin">
          <color rgb="FF00AA94"/>
        </top>
        <bottom/>
        <vertical/>
        <horizontal/>
      </border>
    </dxf>
    <dxf>
      <font>
        <color auto="1"/>
      </font>
      <numFmt numFmtId="30" formatCode="@"/>
      <fill>
        <patternFill patternType="none">
          <fgColor indexed="64"/>
          <bgColor indexed="65"/>
        </patternFill>
      </fill>
      <border diagonalUp="0" diagonalDown="0">
        <left/>
        <right/>
        <top style="thin">
          <color rgb="FF00AA94"/>
        </top>
        <bottom/>
        <vertical/>
        <horizontal/>
      </border>
    </dxf>
    <dxf>
      <numFmt numFmtId="1" formatCode="0"/>
      <fill>
        <patternFill patternType="none">
          <fgColor indexed="64"/>
          <bgColor indexed="65"/>
        </patternFill>
      </fill>
    </dxf>
    <dxf>
      <numFmt numFmtId="1" formatCode="0"/>
      <fill>
        <patternFill patternType="none">
          <fgColor indexed="64"/>
          <bgColor indexed="65"/>
        </patternFill>
      </fill>
    </dxf>
    <dxf>
      <numFmt numFmtId="0" formatCode="General"/>
      <fill>
        <patternFill patternType="none">
          <fgColor indexed="64"/>
          <bgColor auto="1"/>
        </patternFill>
      </fill>
    </dxf>
    <dxf>
      <numFmt numFmtId="30" formatCode="@"/>
      <fill>
        <patternFill patternType="none">
          <fgColor indexed="64"/>
          <bgColor auto="1"/>
        </patternFill>
      </fill>
    </dxf>
    <dxf>
      <numFmt numFmtId="164" formatCode="dd/mm/yyyy;@"/>
      <fill>
        <patternFill patternType="none">
          <fgColor indexed="64"/>
          <bgColor auto="1"/>
        </patternFill>
      </fill>
    </dxf>
    <dxf>
      <numFmt numFmtId="0" formatCode="General"/>
    </dxf>
    <dxf>
      <fill>
        <patternFill>
          <bgColor theme="4" tint="0.39994506668294322"/>
        </patternFill>
      </fill>
    </dxf>
    <dxf>
      <fill>
        <patternFill>
          <bgColor theme="4" tint="0.79998168889431442"/>
        </patternFill>
      </fill>
    </dxf>
    <dxf>
      <fill>
        <patternFill>
          <bgColor theme="4" tint="0.39994506668294322"/>
        </patternFill>
      </fill>
    </dxf>
    <dxf>
      <fill>
        <patternFill>
          <bgColor theme="4" tint="0.79998168889431442"/>
        </patternFill>
      </fill>
    </dxf>
    <dxf>
      <fill>
        <patternFill>
          <bgColor theme="9" tint="0.39994506668294322"/>
        </patternFill>
      </fill>
    </dxf>
    <dxf>
      <fill>
        <patternFill>
          <bgColor theme="4" tint="0.39994506668294322"/>
        </patternFill>
      </fill>
    </dxf>
    <dxf>
      <fill>
        <patternFill>
          <bgColor theme="4" tint="0.79998168889431442"/>
        </patternFill>
      </fill>
    </dxf>
    <dxf>
      <fill>
        <patternFill>
          <bgColor theme="4" tint="0.39994506668294322"/>
        </patternFill>
      </fill>
    </dxf>
    <dxf>
      <fill>
        <patternFill>
          <bgColor theme="4" tint="0.79998168889431442"/>
        </patternFill>
      </fill>
    </dxf>
    <dxf>
      <fill>
        <patternFill>
          <bgColor theme="8" tint="0.79998168889431442"/>
        </patternFill>
      </fill>
    </dxf>
    <dxf>
      <fill>
        <patternFill>
          <bgColor theme="8" tint="0.59996337778862885"/>
        </patternFill>
      </fill>
    </dxf>
    <dxf>
      <fill>
        <patternFill>
          <bgColor theme="4" tint="0.39994506668294322"/>
        </patternFill>
      </fill>
    </dxf>
    <dxf>
      <fill>
        <patternFill>
          <bgColor theme="4" tint="0.79998168889431442"/>
        </patternFill>
      </fill>
    </dxf>
    <dxf>
      <font>
        <color rgb="FF9C0006"/>
      </font>
      <fill>
        <patternFill>
          <bgColor rgb="FFFFC7CE"/>
        </patternFill>
      </fill>
    </dxf>
    <dxf>
      <fill>
        <patternFill>
          <bgColor theme="8" tint="0.79998168889431442"/>
        </patternFill>
      </fill>
    </dxf>
    <dxf>
      <fill>
        <patternFill>
          <bgColor theme="8" tint="0.59996337778862885"/>
        </patternFill>
      </fill>
    </dxf>
    <dxf>
      <fill>
        <patternFill>
          <bgColor theme="4" tint="0.39994506668294322"/>
        </patternFill>
      </fill>
    </dxf>
    <dxf>
      <fill>
        <patternFill>
          <bgColor theme="4" tint="0.79998168889431442"/>
        </patternFill>
      </fill>
    </dxf>
    <dxf>
      <fill>
        <patternFill>
          <bgColor theme="4" tint="0.39994506668294322"/>
        </patternFill>
      </fill>
    </dxf>
    <dxf>
      <fill>
        <patternFill>
          <bgColor theme="4" tint="0.79998168889431442"/>
        </patternFill>
      </fill>
    </dxf>
    <dxf>
      <fill>
        <patternFill>
          <bgColor theme="4" tint="0.39994506668294322"/>
        </patternFill>
      </fill>
    </dxf>
    <dxf>
      <fill>
        <patternFill>
          <bgColor theme="4" tint="0.79998168889431442"/>
        </patternFill>
      </fill>
    </dxf>
    <dxf>
      <fill>
        <patternFill>
          <bgColor theme="4" tint="0.39994506668294322"/>
        </patternFill>
      </fill>
    </dxf>
    <dxf>
      <fill>
        <patternFill>
          <bgColor theme="4" tint="0.79998168889431442"/>
        </patternFill>
      </fill>
    </dxf>
    <dxf>
      <fill>
        <patternFill>
          <bgColor theme="8" tint="0.79998168889431442"/>
        </patternFill>
      </fill>
    </dxf>
    <dxf>
      <fill>
        <patternFill>
          <bgColor theme="8" tint="0.59996337778862885"/>
        </patternFill>
      </fill>
    </dxf>
    <dxf>
      <fill>
        <patternFill>
          <bgColor theme="4" tint="0.39994506668294322"/>
        </patternFill>
      </fill>
    </dxf>
    <dxf>
      <fill>
        <patternFill>
          <bgColor theme="4" tint="0.79998168889431442"/>
        </patternFill>
      </fill>
    </dxf>
    <dxf>
      <fill>
        <patternFill>
          <bgColor theme="8" tint="0.79998168889431442"/>
        </patternFill>
      </fill>
    </dxf>
    <dxf>
      <fill>
        <patternFill>
          <bgColor theme="8" tint="0.59996337778862885"/>
        </patternFill>
      </fill>
    </dxf>
    <dxf>
      <fill>
        <patternFill>
          <bgColor theme="4" tint="0.39994506668294322"/>
        </patternFill>
      </fill>
    </dxf>
    <dxf>
      <fill>
        <patternFill>
          <bgColor theme="4" tint="0.79998168889431442"/>
        </patternFill>
      </fill>
    </dxf>
    <dxf>
      <fill>
        <patternFill>
          <bgColor theme="8" tint="0.79998168889431442"/>
        </patternFill>
      </fill>
    </dxf>
    <dxf>
      <fill>
        <patternFill>
          <bgColor theme="8" tint="0.59996337778862885"/>
        </patternFill>
      </fill>
    </dxf>
    <dxf>
      <fill>
        <patternFill>
          <bgColor theme="8" tint="0.79998168889431442"/>
        </patternFill>
      </fill>
    </dxf>
    <dxf>
      <fill>
        <patternFill>
          <bgColor theme="8" tint="0.59996337778862885"/>
        </patternFill>
      </fill>
    </dxf>
    <dxf>
      <fill>
        <patternFill>
          <bgColor theme="8" tint="0.79998168889431442"/>
        </patternFill>
      </fill>
    </dxf>
    <dxf>
      <fill>
        <patternFill>
          <bgColor theme="8" tint="0.59996337778862885"/>
        </patternFill>
      </fill>
    </dxf>
    <dxf>
      <fill>
        <patternFill>
          <bgColor theme="8" tint="0.79998168889431442"/>
        </patternFill>
      </fill>
    </dxf>
    <dxf>
      <fill>
        <patternFill>
          <bgColor theme="8" tint="0.59996337778862885"/>
        </patternFill>
      </fill>
    </dxf>
    <dxf>
      <font>
        <color rgb="FF9C0006"/>
      </font>
      <fill>
        <patternFill>
          <bgColor rgb="FFFFC7CE"/>
        </patternFill>
      </fill>
    </dxf>
    <dxf>
      <fill>
        <patternFill>
          <bgColor theme="4" tint="0.39994506668294322"/>
        </patternFill>
      </fill>
    </dxf>
    <dxf>
      <fill>
        <patternFill>
          <bgColor theme="4" tint="0.79998168889431442"/>
        </patternFill>
      </fill>
    </dxf>
    <dxf>
      <fill>
        <patternFill>
          <bgColor theme="4" tint="0.39994506668294322"/>
        </patternFill>
      </fill>
    </dxf>
    <dxf>
      <fill>
        <patternFill>
          <bgColor theme="4" tint="0.79998168889431442"/>
        </patternFill>
      </fill>
    </dxf>
    <dxf>
      <fill>
        <patternFill>
          <bgColor theme="8" tint="0.79998168889431442"/>
        </patternFill>
      </fill>
    </dxf>
    <dxf>
      <fill>
        <patternFill>
          <bgColor theme="8" tint="0.59996337778862885"/>
        </patternFill>
      </fill>
    </dxf>
    <dxf>
      <fill>
        <patternFill>
          <bgColor theme="4" tint="0.39994506668294322"/>
        </patternFill>
      </fill>
    </dxf>
    <dxf>
      <fill>
        <patternFill>
          <bgColor theme="4" tint="0.79998168889431442"/>
        </patternFill>
      </fill>
    </dxf>
    <dxf>
      <font>
        <color rgb="FF9C0006"/>
      </font>
      <fill>
        <patternFill>
          <bgColor rgb="FFFFC7CE"/>
        </patternFill>
      </fill>
    </dxf>
    <dxf>
      <fill>
        <patternFill>
          <bgColor theme="8" tint="0.79998168889431442"/>
        </patternFill>
      </fill>
    </dxf>
    <dxf>
      <fill>
        <patternFill>
          <bgColor theme="8" tint="0.59996337778862885"/>
        </patternFill>
      </fill>
    </dxf>
    <dxf>
      <fill>
        <patternFill>
          <bgColor theme="8" tint="0.79998168889431442"/>
        </patternFill>
      </fill>
    </dxf>
    <dxf>
      <fill>
        <patternFill>
          <bgColor theme="8" tint="0.59996337778862885"/>
        </patternFill>
      </fill>
    </dxf>
    <dxf>
      <fill>
        <patternFill>
          <bgColor theme="4" tint="0.39994506668294322"/>
        </patternFill>
      </fill>
    </dxf>
    <dxf>
      <fill>
        <patternFill>
          <bgColor theme="4" tint="0.79998168889431442"/>
        </patternFill>
      </fill>
    </dxf>
    <dxf>
      <fill>
        <patternFill>
          <bgColor theme="4" tint="0.39994506668294322"/>
        </patternFill>
      </fill>
    </dxf>
    <dxf>
      <fill>
        <patternFill>
          <bgColor theme="4" tint="0.79998168889431442"/>
        </patternFill>
      </fill>
    </dxf>
    <dxf>
      <fill>
        <patternFill>
          <bgColor theme="4" tint="0.39994506668294322"/>
        </patternFill>
      </fill>
    </dxf>
    <dxf>
      <fill>
        <patternFill>
          <bgColor theme="4" tint="0.79998168889431442"/>
        </patternFill>
      </fill>
    </dxf>
    <dxf>
      <fill>
        <patternFill>
          <bgColor theme="4" tint="0.39994506668294322"/>
        </patternFill>
      </fill>
    </dxf>
    <dxf>
      <fill>
        <patternFill>
          <bgColor theme="4" tint="0.79998168889431442"/>
        </patternFill>
      </fill>
    </dxf>
    <dxf>
      <fill>
        <patternFill>
          <bgColor theme="5" tint="0.39994506668294322"/>
        </patternFill>
      </fill>
    </dxf>
    <dxf>
      <fill>
        <patternFill>
          <bgColor theme="4" tint="0.39994506668294322"/>
        </patternFill>
      </fill>
    </dxf>
    <dxf>
      <fill>
        <patternFill>
          <bgColor theme="4" tint="0.79998168889431442"/>
        </patternFill>
      </fill>
    </dxf>
    <dxf>
      <fill>
        <patternFill>
          <bgColor theme="4" tint="0.39994506668294322"/>
        </patternFill>
      </fill>
    </dxf>
    <dxf>
      <fill>
        <patternFill>
          <bgColor theme="4" tint="0.79998168889431442"/>
        </patternFill>
      </fill>
    </dxf>
    <dxf>
      <fill>
        <patternFill>
          <bgColor theme="4" tint="0.39994506668294322"/>
        </patternFill>
      </fill>
    </dxf>
    <dxf>
      <fill>
        <patternFill>
          <bgColor theme="4" tint="0.79998168889431442"/>
        </patternFill>
      </fill>
    </dxf>
    <dxf>
      <fill>
        <patternFill>
          <bgColor theme="4" tint="0.39994506668294322"/>
        </patternFill>
      </fill>
    </dxf>
    <dxf>
      <fill>
        <patternFill>
          <bgColor theme="4" tint="0.79998168889431442"/>
        </patternFill>
      </fill>
    </dxf>
    <dxf>
      <fill>
        <patternFill>
          <bgColor theme="4" tint="0.39994506668294322"/>
        </patternFill>
      </fill>
    </dxf>
    <dxf>
      <fill>
        <patternFill>
          <bgColor theme="4" tint="0.79998168889431442"/>
        </patternFill>
      </fill>
    </dxf>
    <dxf>
      <fill>
        <patternFill>
          <bgColor theme="4" tint="0.39994506668294322"/>
        </patternFill>
      </fill>
    </dxf>
    <dxf>
      <fill>
        <patternFill>
          <bgColor theme="4" tint="0.79998168889431442"/>
        </patternFill>
      </fill>
    </dxf>
    <dxf>
      <fill>
        <patternFill>
          <bgColor theme="4" tint="0.39994506668294322"/>
        </patternFill>
      </fill>
    </dxf>
    <dxf>
      <fill>
        <patternFill>
          <bgColor theme="4" tint="0.79998168889431442"/>
        </patternFill>
      </fill>
    </dxf>
    <dxf>
      <fill>
        <patternFill>
          <bgColor theme="4" tint="0.79998168889431442"/>
        </patternFill>
      </fill>
    </dxf>
    <dxf>
      <fill>
        <patternFill>
          <bgColor theme="4" tint="0.39994506668294322"/>
        </patternFill>
      </fill>
    </dxf>
    <dxf>
      <fill>
        <patternFill>
          <bgColor theme="4" tint="0.79998168889431442"/>
        </patternFill>
      </fill>
    </dxf>
    <dxf>
      <fill>
        <patternFill>
          <bgColor theme="4" tint="0.39994506668294322"/>
        </patternFill>
      </fill>
    </dxf>
    <dxf>
      <fill>
        <patternFill>
          <bgColor theme="4" tint="0.79998168889431442"/>
        </patternFill>
      </fill>
    </dxf>
    <dxf>
      <fill>
        <patternFill>
          <bgColor theme="4" tint="0.39994506668294322"/>
        </patternFill>
      </fill>
    </dxf>
    <dxf>
      <fill>
        <patternFill>
          <bgColor theme="4" tint="0.79998168889431442"/>
        </patternFill>
      </fill>
    </dxf>
    <dxf>
      <fill>
        <patternFill>
          <bgColor theme="4" tint="0.39994506668294322"/>
        </patternFill>
      </fill>
    </dxf>
    <dxf>
      <fill>
        <patternFill>
          <bgColor theme="4" tint="0.39994506668294322"/>
        </patternFill>
      </fill>
    </dxf>
    <dxf>
      <fill>
        <patternFill>
          <bgColor theme="4" tint="0.79998168889431442"/>
        </patternFill>
      </fill>
    </dxf>
    <dxf>
      <fill>
        <patternFill>
          <bgColor theme="4" tint="0.39994506668294322"/>
        </patternFill>
      </fill>
    </dxf>
    <dxf>
      <fill>
        <patternFill>
          <bgColor theme="4" tint="0.79998168889431442"/>
        </patternFill>
      </fill>
    </dxf>
    <dxf>
      <fill>
        <patternFill>
          <bgColor theme="4" tint="0.39994506668294322"/>
        </patternFill>
      </fill>
    </dxf>
    <dxf>
      <fill>
        <patternFill>
          <bgColor theme="4" tint="0.79998168889431442"/>
        </patternFill>
      </fill>
    </dxf>
    <dxf>
      <fill>
        <patternFill>
          <bgColor theme="6"/>
        </patternFill>
      </fill>
    </dxf>
    <dxf>
      <fill>
        <patternFill>
          <bgColor theme="6"/>
        </patternFill>
      </fill>
    </dxf>
    <dxf>
      <fill>
        <patternFill>
          <bgColor theme="6"/>
        </patternFill>
      </fill>
    </dxf>
    <dxf>
      <fill>
        <patternFill>
          <bgColor theme="7" tint="0.39994506668294322"/>
        </patternFill>
      </fill>
    </dxf>
    <dxf>
      <fill>
        <patternFill>
          <bgColor theme="5" tint="0.39994506668294322"/>
        </patternFill>
      </fill>
    </dxf>
    <dxf>
      <fill>
        <patternFill>
          <bgColor theme="9" tint="0.39994506668294322"/>
        </patternFill>
      </fill>
    </dxf>
    <dxf>
      <fill>
        <patternFill>
          <bgColor theme="8" tint="0.39994506668294322"/>
        </patternFill>
      </fill>
    </dxf>
    <dxf>
      <fill>
        <patternFill>
          <bgColor theme="7" tint="0.39994506668294322"/>
        </patternFill>
      </fill>
    </dxf>
    <dxf>
      <fill>
        <patternFill>
          <bgColor theme="5" tint="0.39994506668294322"/>
        </patternFill>
      </fill>
    </dxf>
    <dxf>
      <fill>
        <patternFill>
          <bgColor theme="9" tint="0.39994506668294322"/>
        </patternFill>
      </fill>
    </dxf>
    <dxf>
      <fill>
        <patternFill>
          <bgColor theme="8" tint="0.39994506668294322"/>
        </patternFill>
      </fill>
    </dxf>
    <dxf>
      <fill>
        <patternFill>
          <bgColor theme="6"/>
        </patternFill>
      </fill>
    </dxf>
    <dxf>
      <fill>
        <patternFill>
          <bgColor theme="7" tint="0.39994506668294322"/>
        </patternFill>
      </fill>
    </dxf>
    <dxf>
      <fill>
        <patternFill>
          <bgColor theme="5" tint="0.39994506668294322"/>
        </patternFill>
      </fill>
    </dxf>
    <dxf>
      <fill>
        <patternFill>
          <bgColor theme="9" tint="0.39994506668294322"/>
        </patternFill>
      </fill>
    </dxf>
    <dxf>
      <fill>
        <patternFill>
          <bgColor theme="8" tint="0.39994506668294322"/>
        </patternFill>
      </fill>
    </dxf>
    <dxf>
      <fill>
        <patternFill>
          <bgColor theme="4" tint="0.59996337778862885"/>
        </patternFill>
      </fill>
    </dxf>
    <dxf>
      <fill>
        <patternFill>
          <bgColor theme="8"/>
        </patternFill>
      </fill>
    </dxf>
    <dxf>
      <fill>
        <patternFill>
          <bgColor theme="8"/>
        </patternFill>
      </fill>
    </dxf>
    <dxf>
      <fill>
        <patternFill>
          <bgColor theme="8"/>
        </patternFill>
      </fill>
    </dxf>
    <dxf>
      <fill>
        <patternFill>
          <bgColor theme="4" tint="0.59996337778862885"/>
        </patternFill>
      </fill>
    </dxf>
    <dxf>
      <fill>
        <patternFill>
          <bgColor theme="8"/>
        </patternFill>
      </fill>
    </dxf>
    <dxf>
      <fill>
        <patternFill>
          <bgColor theme="8"/>
        </patternFill>
      </fill>
    </dxf>
    <dxf>
      <border>
        <left style="thin">
          <color rgb="FF00AA94"/>
        </left>
      </border>
    </dxf>
    <dxf>
      <border>
        <left style="thin">
          <color rgb="FF00AA94"/>
        </left>
      </border>
    </dxf>
    <dxf>
      <border>
        <top style="thin">
          <color rgb="FF00AA94"/>
        </top>
      </border>
    </dxf>
    <dxf>
      <border>
        <top style="thin">
          <color rgb="FF00AA94"/>
        </top>
      </border>
    </dxf>
    <dxf>
      <font>
        <b/>
        <color theme="1"/>
      </font>
    </dxf>
    <dxf>
      <font>
        <b/>
        <color theme="1"/>
      </font>
    </dxf>
    <dxf>
      <font>
        <b/>
        <color theme="1"/>
      </font>
      <border>
        <top style="double">
          <color theme="9"/>
        </top>
      </border>
    </dxf>
    <dxf>
      <font>
        <b/>
        <color theme="0"/>
      </font>
      <fill>
        <patternFill>
          <fgColor theme="3"/>
          <bgColor rgb="FF00AA94"/>
        </patternFill>
      </fill>
    </dxf>
    <dxf>
      <font>
        <color theme="1"/>
      </font>
      <border>
        <left style="thin">
          <color rgb="FF00AA94"/>
        </left>
        <right style="thin">
          <color rgb="FF00AA94"/>
        </right>
        <top style="thin">
          <color rgb="FF00AA94"/>
        </top>
        <bottom style="thin">
          <color rgb="FF00AA94"/>
        </bottom>
      </border>
    </dxf>
    <dxf>
      <font>
        <color theme="0"/>
      </font>
      <border diagonalUp="1">
        <bottom style="thin">
          <color rgb="FF00AA94"/>
        </bottom>
        <diagonal style="thin">
          <color theme="3"/>
        </diagonal>
        <vertical/>
        <horizontal/>
      </border>
    </dxf>
    <dxf>
      <font>
        <color theme="1"/>
      </font>
      <fill>
        <patternFill>
          <bgColor rgb="FF00AA94"/>
        </patternFill>
      </fill>
      <border>
        <left style="thin">
          <color rgb="FF00AA94"/>
        </left>
        <right style="thin">
          <color rgb="FF00AA94"/>
        </right>
        <top style="thin">
          <color rgb="FF00AA94"/>
        </top>
        <bottom style="thin">
          <color rgb="FF00AA94"/>
        </bottom>
        <vertical/>
        <horizontal/>
      </border>
    </dxf>
    <dxf>
      <font>
        <color theme="0"/>
      </font>
      <border diagonalUp="1">
        <bottom style="thin">
          <color rgb="FF00AA94"/>
        </bottom>
        <diagonal style="thin">
          <color theme="3"/>
        </diagonal>
        <vertical/>
        <horizontal/>
      </border>
    </dxf>
    <dxf>
      <font>
        <color theme="1"/>
      </font>
      <fill>
        <patternFill>
          <bgColor rgb="FF00AA94"/>
        </patternFill>
      </fill>
      <border>
        <left style="thin">
          <color rgb="FF00AA94"/>
        </left>
        <right style="thin">
          <color rgb="FF00AA94"/>
        </right>
        <top style="thin">
          <color rgb="FF00AA94"/>
        </top>
        <bottom style="thin">
          <color rgb="FF00AA94"/>
        </bottom>
        <vertical/>
        <horizontal/>
      </border>
    </dxf>
    <dxf>
      <font>
        <b/>
        <color theme="1"/>
      </font>
      <border>
        <bottom style="thin">
          <color rgb="FF00AA94"/>
        </bottom>
        <vertical/>
        <horizontal/>
      </border>
    </dxf>
    <dxf>
      <font>
        <color theme="1"/>
      </font>
      <border diagonalUp="1" diagonalDown="1">
        <left style="thin">
          <color rgb="FF00AA94"/>
        </left>
        <right style="thin">
          <color rgb="FF00AA94"/>
        </right>
        <top style="thin">
          <color rgb="FF00AA94"/>
        </top>
        <bottom style="thin">
          <color rgb="FF00AA94"/>
        </bottom>
        <diagonal style="thin">
          <color rgb="FF00AA94"/>
        </diagonal>
        <vertical/>
        <horizontal/>
      </border>
    </dxf>
  </dxfs>
  <tableStyles count="4" defaultTableStyle="TableQuality" defaultPivotStyle="PivotStyleLight16">
    <tableStyle name="QualitySlicer" pivot="0" table="0" count="10" xr9:uid="{A35B7AB5-2C16-4490-AB9A-39E3B9D6C443}">
      <tableStyleElement type="wholeTable" dxfId="139"/>
      <tableStyleElement type="headerRow" dxfId="138"/>
    </tableStyle>
    <tableStyle name="QualitySlicerTurq" pivot="0" table="0" count="10" xr9:uid="{57FC38C6-3BB5-44C9-93F4-094D247EE423}">
      <tableStyleElement type="wholeTable" dxfId="137"/>
      <tableStyleElement type="headerRow" dxfId="136"/>
    </tableStyle>
    <tableStyle name="QualitySlicerTurq 2" pivot="0" table="0" count="10" xr9:uid="{894AAD70-2734-4F45-94C9-37047C367A18}">
      <tableStyleElement type="wholeTable" dxfId="135"/>
      <tableStyleElement type="headerRow" dxfId="134"/>
    </tableStyle>
    <tableStyle name="TableQuality" pivot="0" count="9" xr9:uid="{E2195B2B-662B-453B-8CD6-FC8D7E271509}">
      <tableStyleElement type="wholeTable" dxfId="133"/>
      <tableStyleElement type="headerRow" dxfId="132"/>
      <tableStyleElement type="totalRow" dxfId="131"/>
      <tableStyleElement type="firstColumn" dxfId="130"/>
      <tableStyleElement type="lastColumn" dxfId="129"/>
      <tableStyleElement type="firstRowStripe" dxfId="128"/>
      <tableStyleElement type="secondRowStripe" dxfId="127"/>
      <tableStyleElement type="firstColumnStripe" dxfId="126"/>
      <tableStyleElement type="secondColumnStripe" dxfId="125"/>
    </tableStyle>
  </tableStyles>
  <colors>
    <mruColors>
      <color rgb="FF00AA94"/>
      <color rgb="FFD7EEEA"/>
      <color rgb="FFE9EDF7"/>
      <color rgb="FF2E3173"/>
    </mruColors>
  </colors>
  <extLst>
    <ext xmlns:x14="http://schemas.microsoft.com/office/spreadsheetml/2009/9/main" uri="{46F421CA-312F-682f-3DD2-61675219B42D}">
      <x14:dxfs count="24">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theme="0"/>
          </font>
          <fill>
            <patternFill patternType="solid">
              <fgColor theme="9" tint="0.59999389629810485"/>
              <bgColor theme="3" tint="0.39994506668294322"/>
            </patternFill>
          </fill>
          <border>
            <left style="thin">
              <color auto="1"/>
            </left>
            <right style="thin">
              <color auto="1"/>
            </right>
            <top style="thin">
              <color auto="1"/>
            </top>
            <bottom style="thin">
              <color auto="1"/>
            </bottom>
            <vertical/>
            <horizontal/>
          </border>
        </dxf>
        <dxf>
          <font>
            <color theme="0"/>
          </font>
          <fill>
            <patternFill patternType="solid">
              <fgColor theme="9"/>
              <bgColor rgb="FF00AA94"/>
            </patternFill>
          </fill>
          <border diagonalDown="1">
            <left style="thin">
              <color auto="1"/>
            </left>
            <right style="thin">
              <color auto="1"/>
            </right>
            <top style="thin">
              <color auto="1"/>
            </top>
            <bottom style="thin">
              <color auto="1"/>
            </bottom>
            <diagonal style="thin">
              <color auto="1"/>
            </diagonal>
            <vertical/>
            <horizontal/>
          </border>
        </dxf>
        <dxf>
          <font>
            <color rgb="FF959595"/>
          </font>
          <fill>
            <patternFill patternType="solid">
              <fgColor rgb="FFDFDFDF"/>
              <bgColor rgb="FFDFDFDF"/>
            </patternFill>
          </fill>
          <border>
            <left style="thin">
              <color auto="1"/>
            </left>
            <right style="thin">
              <color auto="1"/>
            </right>
            <top style="thin">
              <color auto="1"/>
            </top>
            <bottom style="thin">
              <color auto="1"/>
            </bottom>
            <vertical/>
            <horizontal/>
          </border>
        </dxf>
        <dxf>
          <font>
            <color rgb="FF000000"/>
          </font>
          <fill>
            <patternFill patternType="solid">
              <fgColor rgb="FFC0C0C0"/>
              <bgColor rgb="FFC0C0C0"/>
            </patternFill>
          </fill>
          <border>
            <left style="thin">
              <color auto="1"/>
            </left>
            <right style="thin">
              <color auto="1"/>
            </right>
            <top style="thin">
              <color auto="1"/>
            </top>
            <bottom style="thin">
              <color auto="1"/>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AA94"/>
          </font>
          <fill>
            <patternFill patternType="solid">
              <fgColor theme="9" tint="0.59999389629810485"/>
              <bgColor theme="3" tint="0.39994506668294322"/>
            </patternFill>
          </fill>
          <border>
            <left style="thin">
              <color auto="1"/>
            </left>
            <right style="thin">
              <color auto="1"/>
            </right>
            <top style="thin">
              <color auto="1"/>
            </top>
            <bottom style="thin">
              <color auto="1"/>
            </bottom>
            <vertical/>
            <horizontal/>
          </border>
        </dxf>
        <dxf>
          <font>
            <color theme="0"/>
          </font>
          <fill>
            <patternFill patternType="solid">
              <fgColor theme="9"/>
              <bgColor rgb="FF00AA94"/>
            </patternFill>
          </fill>
          <border diagonalDown="1">
            <left style="thin">
              <color auto="1"/>
            </left>
            <right style="thin">
              <color auto="1"/>
            </right>
            <top style="thin">
              <color auto="1"/>
            </top>
            <bottom style="thin">
              <color auto="1"/>
            </bottom>
            <diagonal style="thin">
              <color auto="1"/>
            </diagonal>
            <vertical/>
            <horizontal/>
          </border>
        </dxf>
        <dxf>
          <font>
            <color rgb="FF959595"/>
          </font>
          <fill>
            <patternFill patternType="solid">
              <fgColor rgb="FFDFDFDF"/>
              <bgColor rgb="FFDFDFDF"/>
            </patternFill>
          </fill>
          <border>
            <left style="thin">
              <color auto="1"/>
            </left>
            <right style="thin">
              <color auto="1"/>
            </right>
            <top style="thin">
              <color auto="1"/>
            </top>
            <bottom style="thin">
              <color auto="1"/>
            </bottom>
            <vertical/>
            <horizontal/>
          </border>
        </dxf>
        <dxf>
          <font>
            <color rgb="FF000000"/>
          </font>
          <fill>
            <patternFill patternType="solid">
              <fgColor rgb="FFC0C0C0"/>
              <bgColor rgb="FFC0C0C0"/>
            </patternFill>
          </fill>
          <border>
            <left style="thin">
              <color auto="1"/>
            </left>
            <right style="thin">
              <color auto="1"/>
            </right>
            <top style="thin">
              <color auto="1"/>
            </top>
            <bottom style="thin">
              <color auto="1"/>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theme="0"/>
          </font>
          <fill>
            <patternFill patternType="solid">
              <fgColor theme="9" tint="0.59999389629810485"/>
              <bgColor rgb="FFD7EEEA"/>
            </patternFill>
          </fill>
          <border diagonalDown="1">
            <left style="thin">
              <color rgb="FF00AA94"/>
            </left>
            <right style="thin">
              <color rgb="FF00AA94"/>
            </right>
            <top style="thin">
              <color rgb="FF00AA94"/>
            </top>
            <bottom style="thin">
              <color rgb="FF00AA94"/>
            </bottom>
            <diagonal style="thin">
              <color rgb="FF00AA94"/>
            </diagonal>
            <vertical/>
            <horizontal/>
          </border>
        </dxf>
        <dxf>
          <font>
            <color theme="0"/>
          </font>
          <fill>
            <patternFill patternType="solid">
              <fgColor theme="9"/>
              <bgColor rgb="FF00AA94"/>
            </patternFill>
          </fill>
          <border>
            <left style="thin">
              <color rgb="FF00AA94"/>
            </left>
            <right style="thin">
              <color rgb="FF00AA94"/>
            </right>
            <top style="thin">
              <color rgb="FF00AA94"/>
            </top>
            <bottom style="thin">
              <color rgb="FF00AA94"/>
            </bottom>
            <vertical/>
            <horizontal/>
          </border>
        </dxf>
        <dxf>
          <font>
            <color rgb="FF959595"/>
          </font>
          <fill>
            <patternFill patternType="solid">
              <fgColor rgb="FFDFDFDF"/>
              <bgColor rgb="FFDFDFDF"/>
            </patternFill>
          </fill>
          <border>
            <left style="thin">
              <color rgb="FFDFDFDF"/>
            </left>
            <right style="thin">
              <color rgb="FFDFDFDF"/>
            </right>
            <top style="thin">
              <color rgb="FFDFDFDF"/>
            </top>
            <bottom style="thin">
              <color rgb="FFDFDFDF"/>
            </bottom>
            <vertical/>
            <horizontal/>
          </border>
        </dxf>
        <dxf>
          <font>
            <color rgb="FF000000"/>
          </font>
          <fill>
            <patternFill patternType="solid">
              <fgColor rgb="FFC0C0C0"/>
              <bgColor rgb="FFC0C0C0"/>
            </patternFill>
          </fill>
          <border>
            <left style="thin">
              <color rgb="FFC0C0C0"/>
            </left>
            <right style="thin">
              <color rgb="FFC0C0C0"/>
            </right>
            <top style="thin">
              <color rgb="FFC0C0C0"/>
            </top>
            <bottom style="thin">
              <color rgb="FFC0C0C0"/>
            </bottom>
            <vertical/>
            <horizontal/>
          </border>
        </dxf>
      </x14:dxfs>
    </ext>
    <ext xmlns:x14="http://schemas.microsoft.com/office/spreadsheetml/2009/9/main" uri="{EB79DEF2-80B8-43e5-95BD-54CBDDF9020C}">
      <x14:slicerStyles defaultSlicerStyle="SlicerStyleLight1">
        <x14:slicerStyle name="QualitySlicer">
          <x14:slicerStyleElements>
            <x14:slicerStyleElement type="unselectedItemWithData" dxfId="23"/>
            <x14:slicerStyleElement type="unselectedItemWithNoData" dxfId="22"/>
            <x14:slicerStyleElement type="selectedItemWithData" dxfId="21"/>
            <x14:slicerStyleElement type="selectedItemWithNoData" dxfId="20"/>
            <x14:slicerStyleElement type="hoveredUnselectedItemWithData" dxfId="19"/>
            <x14:slicerStyleElement type="hoveredSelectedItemWithData" dxfId="18"/>
            <x14:slicerStyleElement type="hoveredUnselectedItemWithNoData" dxfId="17"/>
            <x14:slicerStyleElement type="hoveredSelectedItemWithNoData" dxfId="16"/>
          </x14:slicerStyleElements>
        </x14:slicerStyle>
        <x14:slicerStyle name="QualitySlicerTurq">
          <x14:slicerStyleElements>
            <x14:slicerStyleElement type="unselectedItemWithData" dxfId="15"/>
            <x14:slicerStyleElement type="unselectedItemWithNoData" dxfId="14"/>
            <x14:slicerStyleElement type="selectedItemWithData" dxfId="13"/>
            <x14:slicerStyleElement type="selectedItemWithNoData" dxfId="12"/>
            <x14:slicerStyleElement type="hoveredUnselectedItemWithData" dxfId="11"/>
            <x14:slicerStyleElement type="hoveredSelectedItemWithData" dxfId="10"/>
            <x14:slicerStyleElement type="hoveredUnselectedItemWithNoData" dxfId="9"/>
            <x14:slicerStyleElement type="hoveredSelectedItemWithNoData" dxfId="8"/>
          </x14:slicerStyleElements>
        </x14:slicerStyle>
        <x14:slicerStyle name="QualitySlicerTurq 2">
          <x14:slicerStyleElements>
            <x14:slicerStyleElement type="unselectedItemWithData" dxfId="7"/>
            <x14:slicerStyleElement type="unselectedItemWithNoData" dxfId="6"/>
            <x14:slicerStyleElement type="selectedItemWithData" dxfId="5"/>
            <x14:slicerStyleElement type="selectedItemWithNoData" dxfId="4"/>
            <x14:slicerStyleElement type="hoveredUnselectedItemWithData" dxfId="3"/>
            <x14:slicerStyleElement type="hoveredSelectedItemWithData" dxfId="2"/>
            <x14:slicerStyleElement type="hoveredUnselectedItemWithNoData" dxfId="1"/>
            <x14:slicerStyleElement type="hoveredSelectedItemWithNoData" dxfId="0"/>
          </x14:slicerStyleElements>
        </x14:slicerStyle>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13" Type="http://schemas.microsoft.com/office/2017/10/relationships/person" Target="persons/person.xml"/><Relationship Id="rId18" Type="http://schemas.openxmlformats.org/officeDocument/2006/relationships/customXml" Target="../customXml/item4.xml"/><Relationship Id="rId3" Type="http://schemas.openxmlformats.org/officeDocument/2006/relationships/worksheet" Target="worksheets/sheet3.xml"/><Relationship Id="rId21" Type="http://schemas.openxmlformats.org/officeDocument/2006/relationships/customXml" Target="../customXml/item7.xml"/><Relationship Id="rId7" Type="http://schemas.microsoft.com/office/2007/relationships/slicerCache" Target="slicerCaches/slicerCache4.xml"/><Relationship Id="rId12" Type="http://schemas.openxmlformats.org/officeDocument/2006/relationships/sheetMetadata" Target="metadata.xml"/><Relationship Id="rId17" Type="http://schemas.openxmlformats.org/officeDocument/2006/relationships/customXml" Target="../customXml/item3.xml"/><Relationship Id="rId2" Type="http://schemas.openxmlformats.org/officeDocument/2006/relationships/worksheet" Target="worksheets/sheet2.xml"/><Relationship Id="rId16" Type="http://schemas.openxmlformats.org/officeDocument/2006/relationships/customXml" Target="../customXml/item2.xml"/><Relationship Id="rId20" Type="http://schemas.openxmlformats.org/officeDocument/2006/relationships/customXml" Target="../customXml/item6.xml"/><Relationship Id="rId1" Type="http://schemas.openxmlformats.org/officeDocument/2006/relationships/worksheet" Target="worksheets/sheet1.xml"/><Relationship Id="rId6" Type="http://schemas.microsoft.com/office/2007/relationships/slicerCache" Target="slicerCaches/slicerCache3.xml"/><Relationship Id="rId11" Type="http://schemas.openxmlformats.org/officeDocument/2006/relationships/sharedStrings" Target="sharedStrings.xml"/><Relationship Id="rId5" Type="http://schemas.microsoft.com/office/2007/relationships/slicerCache" Target="slicerCaches/slicerCache2.xml"/><Relationship Id="rId15" Type="http://schemas.openxmlformats.org/officeDocument/2006/relationships/customXml" Target="../customXml/item1.xml"/><Relationship Id="rId10" Type="http://schemas.openxmlformats.org/officeDocument/2006/relationships/styles" Target="styles.xml"/><Relationship Id="rId19" Type="http://schemas.openxmlformats.org/officeDocument/2006/relationships/customXml" Target="../customXml/item5.xml"/><Relationship Id="rId4" Type="http://schemas.microsoft.com/office/2007/relationships/slicerCache" Target="slicerCaches/slicerCache1.xml"/><Relationship Id="rId9" Type="http://schemas.openxmlformats.org/officeDocument/2006/relationships/connections" Target="connections.xml"/><Relationship Id="rId14" Type="http://schemas.openxmlformats.org/officeDocument/2006/relationships/calcChain" Target="calcChain.xml"/></Relationships>
</file>

<file path=xl/drawings/drawing1.xml><?xml version="1.0" encoding="utf-8"?>
<xdr:wsDr xmlns:xdr="http://schemas.openxmlformats.org/drawingml/2006/spreadsheetDrawing" xmlns:a="http://schemas.openxmlformats.org/drawingml/2006/main">
  <xdr:twoCellAnchor editAs="absolute">
    <xdr:from>
      <xdr:col>0</xdr:col>
      <xdr:colOff>0</xdr:colOff>
      <xdr:row>0</xdr:row>
      <xdr:rowOff>0</xdr:rowOff>
    </xdr:from>
    <xdr:to>
      <xdr:col>7</xdr:col>
      <xdr:colOff>9805</xdr:colOff>
      <xdr:row>1</xdr:row>
      <xdr:rowOff>1400</xdr:rowOff>
    </xdr:to>
    <mc:AlternateContent xmlns:mc="http://schemas.openxmlformats.org/markup-compatibility/2006" xmlns:sle15="http://schemas.microsoft.com/office/drawing/2012/slicer">
      <mc:Choice Requires="sle15">
        <xdr:graphicFrame macro="">
          <xdr:nvGraphicFramePr>
            <xdr:cNvPr id="37" name="User 1">
              <a:extLst>
                <a:ext uri="{FF2B5EF4-FFF2-40B4-BE49-F238E27FC236}">
                  <a16:creationId xmlns:a16="http://schemas.microsoft.com/office/drawing/2014/main" id="{484F07A9-EB21-432A-988A-89E997A0F511}"/>
                </a:ext>
              </a:extLst>
            </xdr:cNvPr>
            <xdr:cNvGraphicFramePr>
              <a:graphicFrameLocks noMove="1" noResize="1"/>
            </xdr:cNvGraphicFramePr>
          </xdr:nvGraphicFramePr>
          <xdr:xfrm>
            <a:off x="0" y="0"/>
            <a:ext cx="0" cy="0"/>
          </xdr:xfrm>
          <a:graphic>
            <a:graphicData uri="http://schemas.microsoft.com/office/drawing/2010/slicer">
              <sle:slicer xmlns:sle="http://schemas.microsoft.com/office/drawing/2010/slicer" name="User 1"/>
            </a:graphicData>
          </a:graphic>
        </xdr:graphicFrame>
      </mc:Choice>
      <mc:Fallback xmlns="">
        <xdr:sp macro="" textlink="">
          <xdr:nvSpPr>
            <xdr:cNvPr id="0" name=""/>
            <xdr:cNvSpPr>
              <a:spLocks noTextEdit="1"/>
            </xdr:cNvSpPr>
          </xdr:nvSpPr>
          <xdr:spPr>
            <a:xfrm>
              <a:off x="0" y="0"/>
              <a:ext cx="4224618" cy="1120588"/>
            </a:xfrm>
            <a:prstGeom prst="rect">
              <a:avLst/>
            </a:prstGeom>
            <a:solidFill>
              <a:prstClr val="white"/>
            </a:solidFill>
            <a:ln w="1">
              <a:solidFill>
                <a:prstClr val="green"/>
              </a:solidFill>
            </a:ln>
          </xdr:spPr>
          <xdr:txBody>
            <a:bodyPr vertOverflow="clip" horzOverflow="clip"/>
            <a:lstStyle/>
            <a:p>
              <a:r>
                <a:rPr lang="en-NZ" sz="1100"/>
                <a:t>This shape represents a table slicer. Table slicers are not supported in this version of Excel.
If the shape was modified in an earlier version of Excel, or if the workbook was saved in Excel 2007 or earlier, the slicer can't be used.</a:t>
              </a:r>
            </a:p>
          </xdr:txBody>
        </xdr:sp>
      </mc:Fallback>
    </mc:AlternateContent>
    <xdr:clientData/>
  </xdr:twoCellAnchor>
  <xdr:twoCellAnchor editAs="absolute">
    <xdr:from>
      <xdr:col>0</xdr:col>
      <xdr:colOff>0</xdr:colOff>
      <xdr:row>36871</xdr:row>
      <xdr:rowOff>68964</xdr:rowOff>
    </xdr:from>
    <xdr:to>
      <xdr:col>0</xdr:col>
      <xdr:colOff>3962400</xdr:colOff>
      <xdr:row>37065</xdr:row>
      <xdr:rowOff>40397</xdr:rowOff>
    </xdr:to>
    <mc:AlternateContent xmlns:mc="http://schemas.openxmlformats.org/markup-compatibility/2006" xmlns:sle15="http://schemas.microsoft.com/office/drawing/2012/slicer">
      <mc:Choice Requires="sle15">
        <xdr:graphicFrame macro="">
          <xdr:nvGraphicFramePr>
            <xdr:cNvPr id="10" name="Checklist 1">
              <a:extLst>
                <a:ext uri="{FF2B5EF4-FFF2-40B4-BE49-F238E27FC236}">
                  <a16:creationId xmlns:a16="http://schemas.microsoft.com/office/drawing/2014/main" id="{B51230AD-3C82-4638-A347-35956E238639}"/>
                </a:ext>
              </a:extLst>
            </xdr:cNvPr>
            <xdr:cNvGraphicFramePr/>
          </xdr:nvGraphicFramePr>
          <xdr:xfrm>
            <a:off x="0" y="0"/>
            <a:ext cx="0" cy="0"/>
          </xdr:xfrm>
          <a:graphic>
            <a:graphicData uri="http://schemas.microsoft.com/office/drawing/2010/slicer">
              <sle:slicer xmlns:sle="http://schemas.microsoft.com/office/drawing/2010/slicer" name="Checklist 1"/>
            </a:graphicData>
          </a:graphic>
        </xdr:graphicFrame>
      </mc:Choice>
      <mc:Fallback xmlns="">
        <xdr:sp macro="" textlink="">
          <xdr:nvSpPr>
            <xdr:cNvPr id="0" name=""/>
            <xdr:cNvSpPr>
              <a:spLocks noTextEdit="1"/>
            </xdr:cNvSpPr>
          </xdr:nvSpPr>
          <xdr:spPr>
            <a:xfrm>
              <a:off x="0" y="2947893"/>
              <a:ext cx="3962400" cy="7053357"/>
            </a:xfrm>
            <a:prstGeom prst="rect">
              <a:avLst/>
            </a:prstGeom>
            <a:solidFill>
              <a:prstClr val="white"/>
            </a:solidFill>
            <a:ln w="1">
              <a:solidFill>
                <a:prstClr val="green"/>
              </a:solidFill>
            </a:ln>
          </xdr:spPr>
          <xdr:txBody>
            <a:bodyPr vertOverflow="clip" horzOverflow="clip"/>
            <a:lstStyle/>
            <a:p>
              <a:r>
                <a:rPr lang="en-US" sz="1100"/>
                <a:t>This shape represents a table slicer. Table slicers are not supported in this version of Excel.
If the shape was modified in an earlier version of Excel, or if the workbook was saved in Excel 2007 or earlier, the slicer can't be used.</a:t>
              </a:r>
            </a:p>
          </xdr:txBody>
        </xdr:sp>
      </mc:Fallback>
    </mc:AlternateContent>
    <xdr:clientData/>
  </xdr:twoCellAnchor>
  <xdr:twoCellAnchor>
    <xdr:from>
      <xdr:col>1</xdr:col>
      <xdr:colOff>0</xdr:colOff>
      <xdr:row>0</xdr:row>
      <xdr:rowOff>0</xdr:rowOff>
    </xdr:from>
    <xdr:to>
      <xdr:col>13</xdr:col>
      <xdr:colOff>0</xdr:colOff>
      <xdr:row>1</xdr:row>
      <xdr:rowOff>0</xdr:rowOff>
    </xdr:to>
    <mc:AlternateContent xmlns:mc="http://schemas.openxmlformats.org/markup-compatibility/2006" xmlns:sle15="http://schemas.microsoft.com/office/drawing/2012/slicer">
      <mc:Choice Requires="sle15">
        <xdr:graphicFrame macro="">
          <xdr:nvGraphicFramePr>
            <xdr:cNvPr id="12" name="Site">
              <a:extLst>
                <a:ext uri="{FF2B5EF4-FFF2-40B4-BE49-F238E27FC236}">
                  <a16:creationId xmlns:a16="http://schemas.microsoft.com/office/drawing/2014/main" id="{0A4FACB4-BFC4-40A1-BEE3-B78D6CE00B3B}"/>
                </a:ext>
              </a:extLst>
            </xdr:cNvPr>
            <xdr:cNvGraphicFramePr>
              <a:graphicFrameLocks/>
            </xdr:cNvGraphicFramePr>
          </xdr:nvGraphicFramePr>
          <xdr:xfrm>
            <a:off x="0" y="0"/>
            <a:ext cx="0" cy="0"/>
          </xdr:xfrm>
          <a:graphic>
            <a:graphicData uri="http://schemas.microsoft.com/office/drawing/2010/slicer">
              <sle:slicer xmlns:sle="http://schemas.microsoft.com/office/drawing/2010/slicer" name="Site"/>
            </a:graphicData>
          </a:graphic>
        </xdr:graphicFrame>
      </mc:Choice>
      <mc:Fallback xmlns="">
        <xdr:sp macro="" textlink="">
          <xdr:nvSpPr>
            <xdr:cNvPr id="0" name=""/>
            <xdr:cNvSpPr>
              <a:spLocks noTextEdit="1"/>
            </xdr:cNvSpPr>
          </xdr:nvSpPr>
          <xdr:spPr>
            <a:xfrm>
              <a:off x="3966882" y="0"/>
              <a:ext cx="15083118" cy="1232647"/>
            </a:xfrm>
            <a:prstGeom prst="rect">
              <a:avLst/>
            </a:prstGeom>
            <a:solidFill>
              <a:prstClr val="white"/>
            </a:solidFill>
            <a:ln w="1">
              <a:solidFill>
                <a:prstClr val="green"/>
              </a:solidFill>
            </a:ln>
          </xdr:spPr>
          <xdr:txBody>
            <a:bodyPr vertOverflow="clip" horzOverflow="clip"/>
            <a:lstStyle/>
            <a:p>
              <a:r>
                <a:rPr lang="en-US" sz="1100"/>
                <a:t>This shape represents a table slicer. Table slicers are not supported in this version of Excel.
If the shape was modified in an earlier version of Excel, or if the workbook was saved in Excel 2007 or earlier, the slicer can't be used.</a:t>
              </a:r>
            </a:p>
          </xdr:txBody>
        </xdr:sp>
      </mc:Fallback>
    </mc:AlternateContent>
    <xdr:clientData/>
  </xdr:twoCellAnchor>
  <xdr:twoCellAnchor editAs="absolute">
    <xdr:from>
      <xdr:col>0</xdr:col>
      <xdr:colOff>1</xdr:colOff>
      <xdr:row>1</xdr:row>
      <xdr:rowOff>1400</xdr:rowOff>
    </xdr:from>
    <xdr:to>
      <xdr:col>7</xdr:col>
      <xdr:colOff>9805</xdr:colOff>
      <xdr:row>13</xdr:row>
      <xdr:rowOff>115699</xdr:rowOff>
    </xdr:to>
    <mc:AlternateContent xmlns:mc="http://schemas.openxmlformats.org/markup-compatibility/2006" xmlns:sle15="http://schemas.microsoft.com/office/drawing/2012/slicer">
      <mc:Choice Requires="sle15">
        <xdr:graphicFrame macro="">
          <xdr:nvGraphicFramePr>
            <xdr:cNvPr id="38" name="Discipline 1">
              <a:extLst>
                <a:ext uri="{FF2B5EF4-FFF2-40B4-BE49-F238E27FC236}">
                  <a16:creationId xmlns:a16="http://schemas.microsoft.com/office/drawing/2014/main" id="{CF70A935-C713-43C5-8470-3E9974DB4593}"/>
                </a:ext>
                <a:ext uri="{147F2762-F138-4A5C-976F-8EAC2B608ADB}">
                  <a16:predDERef xmlns:a16="http://schemas.microsoft.com/office/drawing/2014/main" pred="{0A4FACB4-BFC4-40A1-BEE3-B78D6CE00B3B}"/>
                </a:ext>
              </a:extLst>
            </xdr:cNvPr>
            <xdr:cNvGraphicFramePr>
              <a:graphicFrameLocks noMove="1" noResize="1"/>
            </xdr:cNvGraphicFramePr>
          </xdr:nvGraphicFramePr>
          <xdr:xfrm>
            <a:off x="0" y="0"/>
            <a:ext cx="0" cy="0"/>
          </xdr:xfrm>
          <a:graphic>
            <a:graphicData uri="http://schemas.microsoft.com/office/drawing/2010/slicer">
              <sle:slicer xmlns:sle="http://schemas.microsoft.com/office/drawing/2010/slicer" name="Discipline 1"/>
            </a:graphicData>
          </a:graphic>
        </xdr:graphicFrame>
      </mc:Choice>
      <mc:Fallback xmlns="">
        <xdr:sp macro="" textlink="">
          <xdr:nvSpPr>
            <xdr:cNvPr id="0" name=""/>
            <xdr:cNvSpPr>
              <a:spLocks noTextEdit="1"/>
            </xdr:cNvSpPr>
          </xdr:nvSpPr>
          <xdr:spPr>
            <a:xfrm>
              <a:off x="1" y="1120588"/>
              <a:ext cx="4224617" cy="2285999"/>
            </a:xfrm>
            <a:prstGeom prst="rect">
              <a:avLst/>
            </a:prstGeom>
            <a:solidFill>
              <a:prstClr val="white"/>
            </a:solidFill>
            <a:ln w="1">
              <a:solidFill>
                <a:prstClr val="green"/>
              </a:solidFill>
            </a:ln>
          </xdr:spPr>
          <xdr:txBody>
            <a:bodyPr vertOverflow="clip" horzOverflow="clip"/>
            <a:lstStyle/>
            <a:p>
              <a:r>
                <a:rPr lang="en-NZ" sz="1100"/>
                <a:t>This shape represents a table slicer. Table slicers are not supported in this version of Excel.
If the shape was modified in an earlier version of Excel, or if the workbook was saved in Excel 2007 or earlier, the slicer can't be used.</a:t>
              </a:r>
            </a:p>
          </xdr:txBody>
        </xdr:sp>
      </mc:Fallback>
    </mc:AlternateContent>
    <xdr:clientData/>
  </xdr:twoCellAnchor>
  <xdr:twoCellAnchor editAs="absolute">
    <xdr:from>
      <xdr:col>0</xdr:col>
      <xdr:colOff>0</xdr:colOff>
      <xdr:row>32731</xdr:row>
      <xdr:rowOff>96275</xdr:rowOff>
    </xdr:from>
    <xdr:to>
      <xdr:col>0</xdr:col>
      <xdr:colOff>3962400</xdr:colOff>
      <xdr:row>32804</xdr:row>
      <xdr:rowOff>39117</xdr:rowOff>
    </xdr:to>
    <mc:AlternateContent xmlns:mc="http://schemas.openxmlformats.org/markup-compatibility/2006" xmlns:sle15="http://schemas.microsoft.com/office/drawing/2012/slicer">
      <mc:Choice Requires="sle15">
        <xdr:graphicFrame macro="">
          <xdr:nvGraphicFramePr>
            <xdr:cNvPr id="13" name="Checklist 2">
              <a:extLst>
                <a:ext uri="{FF2B5EF4-FFF2-40B4-BE49-F238E27FC236}">
                  <a16:creationId xmlns:a16="http://schemas.microsoft.com/office/drawing/2014/main" id="{6F17D4F1-CB47-4F7C-9629-246FC1094543}"/>
                </a:ext>
              </a:extLst>
            </xdr:cNvPr>
            <xdr:cNvGraphicFramePr/>
          </xdr:nvGraphicFramePr>
          <xdr:xfrm>
            <a:off x="0" y="0"/>
            <a:ext cx="0" cy="0"/>
          </xdr:xfrm>
          <a:graphic>
            <a:graphicData uri="http://schemas.microsoft.com/office/drawing/2010/slicer">
              <sle:slicer xmlns:sle="http://schemas.microsoft.com/office/drawing/2010/slicer" name="Checklist 2"/>
            </a:graphicData>
          </a:graphic>
        </xdr:graphicFrame>
      </mc:Choice>
      <mc:Fallback xmlns="">
        <xdr:sp macro="" textlink="">
          <xdr:nvSpPr>
            <xdr:cNvPr id="0" name=""/>
            <xdr:cNvSpPr>
              <a:spLocks noTextEdit="1"/>
            </xdr:cNvSpPr>
          </xdr:nvSpPr>
          <xdr:spPr>
            <a:xfrm>
              <a:off x="0" y="4538382"/>
              <a:ext cx="3966882" cy="14522824"/>
            </a:xfrm>
            <a:prstGeom prst="rect">
              <a:avLst/>
            </a:prstGeom>
            <a:solidFill>
              <a:prstClr val="white"/>
            </a:solidFill>
            <a:ln w="1">
              <a:solidFill>
                <a:prstClr val="green"/>
              </a:solidFill>
            </a:ln>
          </xdr:spPr>
          <xdr:txBody>
            <a:bodyPr vertOverflow="clip" horzOverflow="clip"/>
            <a:lstStyle/>
            <a:p>
              <a:r>
                <a:rPr lang="en-US" sz="1100"/>
                <a:t>This shape represents a table slicer. Table slicers are not supported in this version of Excel.
If the shape was modified in an earlier version of Excel, or if the workbook was saved in Excel 2007 or earlier, the slicer can't be used.</a:t>
              </a:r>
            </a:p>
          </xdr:txBody>
        </xdr:sp>
      </mc:Fallback>
    </mc:AlternateContent>
    <xdr:clientData/>
  </xdr:twoCellAnchor>
  <xdr:twoCellAnchor editAs="absolute">
    <xdr:from>
      <xdr:col>0</xdr:col>
      <xdr:colOff>0</xdr:colOff>
      <xdr:row>5744</xdr:row>
      <xdr:rowOff>96207</xdr:rowOff>
    </xdr:from>
    <xdr:to>
      <xdr:col>0</xdr:col>
      <xdr:colOff>3962400</xdr:colOff>
      <xdr:row>5788</xdr:row>
      <xdr:rowOff>10347</xdr:rowOff>
    </xdr:to>
    <mc:AlternateContent xmlns:mc="http://schemas.openxmlformats.org/markup-compatibility/2006" xmlns:sle15="http://schemas.microsoft.com/office/drawing/2012/slicer">
      <mc:Choice Requires="sle15">
        <xdr:graphicFrame macro="">
          <xdr:nvGraphicFramePr>
            <xdr:cNvPr id="26" name="Checklist 3">
              <a:extLst>
                <a:ext uri="{FF2B5EF4-FFF2-40B4-BE49-F238E27FC236}">
                  <a16:creationId xmlns:a16="http://schemas.microsoft.com/office/drawing/2014/main" id="{082F21EA-B6BC-46C5-8CB7-5313ABE88421}"/>
                </a:ext>
              </a:extLst>
            </xdr:cNvPr>
            <xdr:cNvGraphicFramePr>
              <a:graphicFrameLocks noMove="1" noResize="1"/>
            </xdr:cNvGraphicFramePr>
          </xdr:nvGraphicFramePr>
          <xdr:xfrm>
            <a:off x="0" y="0"/>
            <a:ext cx="0" cy="0"/>
          </xdr:xfrm>
          <a:graphic>
            <a:graphicData uri="http://schemas.microsoft.com/office/drawing/2010/slicer">
              <sle:slicer xmlns:sle="http://schemas.microsoft.com/office/drawing/2010/slicer" name="Checklist 3"/>
            </a:graphicData>
          </a:graphic>
        </xdr:graphicFrame>
      </mc:Choice>
      <mc:Fallback xmlns="">
        <xdr:sp macro="" textlink="">
          <xdr:nvSpPr>
            <xdr:cNvPr id="0" name=""/>
            <xdr:cNvSpPr>
              <a:spLocks noTextEdit="1"/>
            </xdr:cNvSpPr>
          </xdr:nvSpPr>
          <xdr:spPr>
            <a:xfrm>
              <a:off x="0" y="4313464"/>
              <a:ext cx="3959679" cy="8585385"/>
            </a:xfrm>
            <a:prstGeom prst="rect">
              <a:avLst/>
            </a:prstGeom>
            <a:solidFill>
              <a:prstClr val="white"/>
            </a:solidFill>
            <a:ln w="1">
              <a:solidFill>
                <a:prstClr val="green"/>
              </a:solidFill>
            </a:ln>
          </xdr:spPr>
          <xdr:txBody>
            <a:bodyPr vertOverflow="clip" horzOverflow="clip"/>
            <a:lstStyle/>
            <a:p>
              <a:r>
                <a:rPr lang="en-US" sz="1100"/>
                <a:t>This shape represents a table slicer. Table slicers are not supported in this version of Excel.
If the shape was modified in an earlier version of Excel, or if the workbook was saved in Excel 2007 or earlier, the slicer can't be used.</a:t>
              </a:r>
            </a:p>
          </xdr:txBody>
        </xdr:sp>
      </mc:Fallback>
    </mc:AlternateContent>
    <xdr:clientData/>
  </xdr:twoCellAnchor>
  <xdr:twoCellAnchor editAs="absolute">
    <xdr:from>
      <xdr:col>0</xdr:col>
      <xdr:colOff>1</xdr:colOff>
      <xdr:row>13</xdr:row>
      <xdr:rowOff>115700</xdr:rowOff>
    </xdr:from>
    <xdr:to>
      <xdr:col>1</xdr:col>
      <xdr:colOff>0</xdr:colOff>
      <xdr:row>60</xdr:row>
      <xdr:rowOff>46504</xdr:rowOff>
    </xdr:to>
    <mc:AlternateContent xmlns:mc="http://schemas.openxmlformats.org/markup-compatibility/2006" xmlns:sle15="http://schemas.microsoft.com/office/drawing/2012/slicer">
      <mc:Choice Requires="sle15">
        <xdr:graphicFrame macro="">
          <xdr:nvGraphicFramePr>
            <xdr:cNvPr id="39" name="Checklist 4">
              <a:extLst>
                <a:ext uri="{FF2B5EF4-FFF2-40B4-BE49-F238E27FC236}">
                  <a16:creationId xmlns:a16="http://schemas.microsoft.com/office/drawing/2014/main" id="{2BDC2EAB-2186-4F55-BFE8-0DE620191DB7}"/>
                </a:ext>
              </a:extLst>
            </xdr:cNvPr>
            <xdr:cNvGraphicFramePr>
              <a:graphicFrameLocks noMove="1" noResize="1"/>
            </xdr:cNvGraphicFramePr>
          </xdr:nvGraphicFramePr>
          <xdr:xfrm>
            <a:off x="0" y="0"/>
            <a:ext cx="0" cy="0"/>
          </xdr:xfrm>
          <a:graphic>
            <a:graphicData uri="http://schemas.microsoft.com/office/drawing/2010/slicer">
              <sle:slicer xmlns:sle="http://schemas.microsoft.com/office/drawing/2010/slicer" name="Checklist 4"/>
            </a:graphicData>
          </a:graphic>
        </xdr:graphicFrame>
      </mc:Choice>
      <mc:Fallback xmlns="">
        <xdr:sp macro="" textlink="">
          <xdr:nvSpPr>
            <xdr:cNvPr id="0" name=""/>
            <xdr:cNvSpPr>
              <a:spLocks noTextEdit="1"/>
            </xdr:cNvSpPr>
          </xdr:nvSpPr>
          <xdr:spPr>
            <a:xfrm>
              <a:off x="1" y="3406588"/>
              <a:ext cx="4222516" cy="8441391"/>
            </a:xfrm>
            <a:prstGeom prst="rect">
              <a:avLst/>
            </a:prstGeom>
            <a:solidFill>
              <a:prstClr val="white"/>
            </a:solidFill>
            <a:ln w="1">
              <a:solidFill>
                <a:prstClr val="green"/>
              </a:solidFill>
            </a:ln>
          </xdr:spPr>
          <xdr:txBody>
            <a:bodyPr vertOverflow="clip" horzOverflow="clip"/>
            <a:lstStyle/>
            <a:p>
              <a:r>
                <a:rPr lang="en-NZ" sz="1100"/>
                <a:t>This shape represents a table slicer. Table slicers are not supported in this version of Excel.
If the shape was modified in an earlier version of Excel, or if the workbook was saved in Excel 2007 or earlier, the slicer can't be used.</a:t>
              </a:r>
            </a:p>
          </xdr:txBody>
        </xdr:sp>
      </mc:Fallback>
    </mc:AlternateContent>
    <xdr:clientData/>
  </xdr:twoCellAnchor>
</xdr:wsDr>
</file>

<file path=xl/namedSheetViews/namedSheetView1.xml><?xml version="1.0" encoding="utf-8"?>
<namedSheetViews xmlns="http://schemas.microsoft.com/office/spreadsheetml/2019/namedsheetviews" xmlns:x="http://schemas.openxmlformats.org/spreadsheetml/2006/main" xmlns:mc="http://schemas.openxmlformats.org/markup-compatibility/2006" xmlns:x14="http://schemas.microsoft.com/office/spreadsheetml/2009/9/main" mc:Ignorable="x14">
  <namedSheetView name="Mike M" id="{938780D3-D302-4744-8358-D62A981A2DD1}">
    <nsvFilter filterId="{A9466BAB-6DFC-44DD-B47E-995263BB7360}" ref="B2:M4019" tableId="8">
      <columnFilter colId="5" id="{3B36343B-F55C-415F-9A4A-3A9B89988ACC}">
        <filter colId="5">
          <x:filters>
            <x:filter val="Façade"/>
          </x:filters>
        </filter>
      </columnFilter>
      <columnFilter colId="6" id="{F1D86EFB-5862-4DB0-9DA0-5AFBE3CBACE6}">
        <filter colId="6">
          <x:filters>
            <x:filter val="Subcontractor"/>
          </x:filters>
        </filter>
      </columnFilter>
      <sortRules>
        <sortRule colId="0" id="{046C59FE-9EBA-4FEA-B087-BC470D8BA0D4}">
          <sortCondition ref="B2:B4019"/>
        </sortRule>
      </sortRules>
    </nsvFilter>
  </namedSheetView>
</namedSheetViews>
</file>

<file path=xl/namedSheetViews/namedSheetView2.xml><?xml version="1.0" encoding="utf-8"?>
<namedSheetViews xmlns="http://schemas.microsoft.com/office/spreadsheetml/2019/namedsheetviews" xmlns:x="http://schemas.openxmlformats.org/spreadsheetml/2006/main" xmlns:mc="http://schemas.openxmlformats.org/markup-compatibility/2006" xmlns:x14="http://schemas.microsoft.com/office/spreadsheetml/2009/9/main" mc:Ignorable="x14">
  <namedSheetView name="Michael" id="{719C47FF-A1FD-46F1-9D5B-9A53C1887380}">
    <nsvFilter filterId="{5107892B-DFFB-4F08-B65D-6C564FF13530}" ref="A3:N2719" tableId="4">
      <sortRules>
        <sortRule colId="2" id="{7F09548F-F10A-4574-8FF0-F15823B6BD9E}">
          <sortCondition ref="C3:C2719"/>
        </sortRule>
      </sortRules>
    </nsvFilter>
  </namedSheetView>
  <namedSheetView name="Review" id="{B7CD09CD-5E88-41D0-9E4A-7E349DDE61C9}">
    <nsvFilter filterId="{5107892B-DFFB-4F08-B65D-6C564FF13530}" ref="A3:N2719" tableId="4">
      <columnFilter colId="0" id="{7A6EA507-0124-4D7C-8BF2-9294A0C01867}">
        <filter colId="0">
          <x:filters>
            <x:filter val="Approved"/>
            <x:filter val="Processing"/>
          </x:filters>
        </filter>
      </columnFilter>
      <sortRules>
        <sortRule colId="2" id="{7F09548F-F10A-4574-8FF0-F15823B6BD9E}">
          <sortCondition ref="C3:C2719"/>
        </sortRule>
      </sortRules>
    </nsvFilter>
  </namedSheetView>
</namedSheetViews>
</file>

<file path=xl/persons/person.xml><?xml version="1.0" encoding="utf-8"?>
<personList xmlns="http://schemas.microsoft.com/office/spreadsheetml/2018/threadedcomments" xmlns:x="http://schemas.openxmlformats.org/spreadsheetml/2006/main">
  <person displayName="Will Craine" id="{263D812E-924C-4F61-87E6-70B086C1F8B7}" userId="Will.Craine@rymanhealthcare.com" providerId="PeoplePicker"/>
  <person displayName="Heather Swan" id="{087CC717-D20E-47D7-8864-529CD1E44454}" userId="Heather.Swan@rymanhealthcare.com" providerId="PeoplePicker"/>
  <person displayName="Colin Alderson" id="{8418D7D3-AB16-42EF-BE4B-77F7C7B2313D}" userId="Colin.Alderson@rymanhealthcare.com" providerId="PeoplePicker"/>
  <person displayName="Michael Mitchelson" id="{F18318C6-F8ED-4149-B670-BA2AE5316AEB}" userId="Michael.Mitchelson@rymanhealthcare.com" providerId="PeoplePicker"/>
  <person displayName="Heather Swan" id="{1AAB8DC3-4B4B-4BB3-B675-500C480E2C84}" userId="S::heather.swan@rymanhealthcare.com::05c4acf3-7b27-4547-aff8-cf9f821a7cd3" providerId="AD"/>
  <person displayName="Colin Alderson" id="{6AFE597A-1303-47BA-9BCA-45E322102DF3}" userId="S::Colin.Alderson@rymanhealthcare.com::9b9d0470-cbd9-4a10-a907-e34c1b27d065" providerId="AD"/>
  <person displayName="Chris MacDonell" id="{702CD7D8-F504-4DFF-9724-3C90DB4B3C54}" userId="S::chris.macdonell@rymanhealthcare.com::39d3de4a-35f6-4313-a8eb-cef62a3fc775" providerId="AD"/>
  <person displayName="Michael Mitchelson" id="{36FFED0A-50AF-4B47-9B1A-91660FDF4EAF}" userId="S::Michael.Mitchelson@rymanhealthcare.com::25345b30-19a4-4827-b86b-276c05f5407f" providerId="AD"/>
</personList>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2" xr16:uid="{17C04A92-237E-49C2-8941-4337E2B0A81D}" autoFormatId="16" applyNumberFormats="0" applyBorderFormats="0" applyFontFormats="0" applyPatternFormats="0" applyAlignmentFormats="0" applyWidthHeightFormats="0">
  <queryTableRefresh nextId="25">
    <queryTableFields count="12">
      <queryTableField id="13" name="ID" tableColumnId="13"/>
      <queryTableField id="14" name="ChecklistID" tableColumnId="14"/>
      <queryTableField id="15" name="Order" tableColumnId="15"/>
      <queryTableField id="16" name="ChecklistOrder" tableColumnId="16"/>
      <queryTableField id="17" name="Version" tableColumnId="17"/>
      <queryTableField id="18" name="Discipline" tableColumnId="18"/>
      <queryTableField id="19" name="User" tableColumnId="19"/>
      <queryTableField id="20" name="Checklist" tableColumnId="20"/>
      <queryTableField id="21" name="Type" tableColumnId="21"/>
      <queryTableField id="22" name="Name" tableColumnId="22"/>
      <queryTableField id="23" name="Value" tableColumnId="23"/>
      <queryTableField id="24" name="Site" tableColumnId="24"/>
    </queryTableFields>
  </queryTableRefresh>
</queryTable>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User1" xr10:uid="{C0702332-BE5A-43C7-BC2D-C0E46996E61A}" sourceName="User">
  <extLst>
    <x:ext xmlns:x15="http://schemas.microsoft.com/office/spreadsheetml/2010/11/main" uri="{2F2917AC-EB37-4324-AD4E-5DD8C200BD13}">
      <x15:tableSlicerCache tableId="8" column="19"/>
    </x:ext>
  </extLst>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Checklist1" xr10:uid="{FEE8E8E0-96D8-4BC7-96C6-6649BC3A4896}" sourceName="Checklist">
  <extLst>
    <x:ext xmlns:x15="http://schemas.microsoft.com/office/spreadsheetml/2010/11/main" uri="{2F2917AC-EB37-4324-AD4E-5DD8C200BD13}">
      <x15:tableSlicerCache tableId="8" column="20"/>
    </x:ext>
  </extLst>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Site" xr10:uid="{394D57D8-D131-4905-84E4-2A306BFE85C0}" sourceName="Site">
  <extLst>
    <x:ext xmlns:x15="http://schemas.microsoft.com/office/spreadsheetml/2010/11/main" uri="{2F2917AC-EB37-4324-AD4E-5DD8C200BD13}">
      <x15:tableSlicerCache tableId="8" column="24"/>
    </x:ext>
  </extLst>
</slicerCacheDefinition>
</file>

<file path=xl/slicerCaches/slicerCache4.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Discipline1" xr10:uid="{2128ADE2-44BA-4F88-BC79-AB44B355EDDD}" sourceName="Discipline">
  <extLst>
    <x:ext xmlns:x15="http://schemas.microsoft.com/office/spreadsheetml/2010/11/main" uri="{2F2917AC-EB37-4324-AD4E-5DD8C200BD13}">
      <x15:tableSlicerCache tableId="8" column="18"/>
    </x:ext>
  </extLst>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User 1" xr10:uid="{69196660-AFB0-4814-A9ED-2CB418E58D92}" cache="Slicer_User1" caption="User" columnCount="2" style="QualitySlicerTurq 2" lockedPosition="1" rowHeight="241300"/>
  <slicer name="Checklist 1" xr10:uid="{FA3A8F0D-ADA7-44C1-91D1-C7E27656499D}" cache="Slicer_Checklist1" caption="Checklist" style="QualitySlicerTurq 2" rowHeight="241300"/>
  <slicer name="Checklist 2" xr10:uid="{3C219EB8-28AD-4678-A05E-2B7675A5C5F0}" cache="Slicer_Checklist1" caption="Checklist" startItem="78" style="QualitySlicerTurq 2" rowHeight="241300"/>
  <slicer name="Checklist 3" xr10:uid="{7901234C-703A-4015-88FE-BCA39EC9DE64}" cache="Slicer_Checklist1" caption="Checklist" startItem="48" style="QualitySlicerTurq 2" lockedPosition="1" rowHeight="241300"/>
  <slicer name="Checklist 4" xr10:uid="{A5A9F619-C65E-4596-A633-F2C0CD6BA73C}" cache="Slicer_Checklist1" caption="Checklist" style="QualitySlicerTurq 2" lockedPosition="1" rowHeight="241300"/>
  <slicer name="Site" xr10:uid="{401B5247-CDF6-4240-ADAC-10BEF14026D7}" cache="Slicer_Site" caption="Site" columnCount="3" style="QualitySlicerTurq 2" rowHeight="241300"/>
  <slicer name="Discipline 1" xr10:uid="{C79287D5-5085-45D3-B315-ADF6CB0B687B}" cache="Slicer_Discipline1" caption="Discipline" columnCount="2" style="QualitySlicerTurq 2" lockedPosition="1" rowHeight="241300"/>
</slicers>
</file>

<file path=xl/tables/_rels/table6.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D7D36402-BFA9-4AE0-92D0-255C5764B586}" name="Table6" displayName="Table6" ref="D1:D16" totalsRowShown="0">
  <autoFilter ref="D1:D16" xr:uid="{38DC4956-180A-4F52-9BC9-BA0C9A1CB65F}"/>
  <tableColumns count="1">
    <tableColumn id="1" xr3:uid="{CE53192C-A175-4E19-BE09-6220D7616349}" name="Sites"/>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5C9C7DDE-F37A-46B5-B5CF-B97380986EBA}" name="Table9" displayName="Table9" ref="F1:F10" totalsRowShown="0">
  <autoFilter ref="F1:F10" xr:uid="{FF85FB13-1DD7-4542-B8A6-24E1EBCCE45B}"/>
  <tableColumns count="1">
    <tableColumn id="1" xr3:uid="{DDD99486-C335-433D-9BEA-FA4A5DE72C41}" name="Discipline"/>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0517436A-82AF-4C92-9AC7-C5BD873E2443}" name="Table5" displayName="Table5" ref="H1:H3" totalsRowShown="0">
  <autoFilter ref="H1:H3" xr:uid="{3EF4C5A3-93DD-48C4-BD78-8219221AB768}"/>
  <tableColumns count="1">
    <tableColumn id="1" xr3:uid="{1CE95A2A-F0D6-4B92-88A9-805D80998ED3}" name="User"/>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EE27FF94-C9D6-411F-8851-B50E2BFD6636}" name="Table7" displayName="Table7" ref="J1:J6" totalsRowShown="0">
  <autoFilter ref="J1:J6" xr:uid="{C23C7112-1ABA-46C0-8A72-DC580891F975}"/>
  <tableColumns count="1">
    <tableColumn id="1" xr3:uid="{EBD37A7C-6B5C-4D8F-B61F-5F31467C5E3D}" name="Change Type"/>
  </tableColumns>
  <tableStyleInfo name="TableStyleMedium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6ADFA8B3-B8D4-4E35-B4AE-F814CFFFDDE3}" name="Table10" displayName="Table10" ref="L1:L6" totalsRowShown="0">
  <autoFilter ref="L1:L6" xr:uid="{64DB3FF2-A21C-4A95-93F5-A5F7DF1D2D21}"/>
  <tableColumns count="1">
    <tableColumn id="1" xr3:uid="{3AB7879B-8D8D-4357-9321-159E3E5E8C53}" name="Status"/>
  </tableColumns>
  <tableStyleInfo name="TableStyleMedium2"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A9466BAB-6DFC-44DD-B47E-995263BB7360}" name="Checklists" displayName="Checklists" ref="B2:M4019" tableType="queryTable" totalsRowShown="0" headerRowCellStyle="Normal 2" dataCellStyle="Normal 2">
  <autoFilter ref="B2:M4019" xr:uid="{A9466BAB-6DFC-44DD-B47E-995263BB7360}"/>
  <sortState xmlns:xlrd2="http://schemas.microsoft.com/office/spreadsheetml/2017/richdata2" ref="B3:M4019">
    <sortCondition ref="B2:B4019"/>
  </sortState>
  <tableColumns count="12">
    <tableColumn id="13" xr3:uid="{046C59FE-9EBA-4FEA-B087-BC470D8BA0D4}" uniqueName="13" name="ID" queryTableFieldId="13" dataCellStyle="Normal 2"/>
    <tableColumn id="14" xr3:uid="{093AE7B5-6292-4F64-AE41-3A24BF83B349}" uniqueName="14" name="ChecklistID" queryTableFieldId="14" dataCellStyle="Normal 2"/>
    <tableColumn id="15" xr3:uid="{6A5410E2-0565-4047-AFD3-CCD08F86319E}" uniqueName="15" name="Order" queryTableFieldId="15" dataCellStyle="Normal 2"/>
    <tableColumn id="16" xr3:uid="{2B85ABE5-9FA0-4D4E-957F-00F6B0E5D86B}" uniqueName="16" name="ChecklistOrder" queryTableFieldId="16" dataCellStyle="Normal 2"/>
    <tableColumn id="17" xr3:uid="{E49284B5-EC62-46A3-B7D2-50A1600F1335}" uniqueName="17" name="Version" queryTableFieldId="17" dataCellStyle="Normal 2"/>
    <tableColumn id="18" xr3:uid="{3B36343B-F55C-415F-9A4A-3A9B89988ACC}" uniqueName="18" name="Discipline" queryTableFieldId="18" dataCellStyle="Normal 2"/>
    <tableColumn id="19" xr3:uid="{F1D86EFB-5862-4DB0-9DA0-5AFBE3CBACE6}" uniqueName="19" name="User" queryTableFieldId="19" dataCellStyle="Normal 2"/>
    <tableColumn id="20" xr3:uid="{5B1FEAD7-99B9-4074-8645-16E362AA0816}" uniqueName="20" name="Checklist" queryTableFieldId="20" dataCellStyle="Normal 2"/>
    <tableColumn id="21" xr3:uid="{D3536977-DF20-48C9-A300-5CF7551A4DF2}" uniqueName="21" name="Type" queryTableFieldId="21" dataCellStyle="Normal 2"/>
    <tableColumn id="22" xr3:uid="{E598DE7D-6994-45FE-B839-B06C7BD8D137}" uniqueName="22" name="Name" queryTableFieldId="22" dataCellStyle="Normal 2"/>
    <tableColumn id="23" xr3:uid="{5341F0C7-3084-4EDB-BE3E-B89C3ED6123C}" uniqueName="23" name="Value" queryTableFieldId="23" dataCellStyle="Normal 2"/>
    <tableColumn id="24" xr3:uid="{6518A8EA-BDF5-49BC-82FB-EC963F3830E5}" uniqueName="24" name="Site" queryTableFieldId="24" dataCellStyle="Normal 2"/>
  </tableColumns>
  <tableStyleInfo name="TableQuality"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432FDE1A-3D89-4FCB-A39C-876B151751A1}" name="changes" displayName="changes" ref="A3:N2719" totalsRowShown="0">
  <autoFilter ref="A3:N2719" xr:uid="{5107892B-DFFB-4F08-B65D-6C564FF13530}"/>
  <sortState xmlns:xlrd2="http://schemas.microsoft.com/office/spreadsheetml/2017/richdata2" ref="A2325:N2719">
    <sortCondition ref="C3:C2719"/>
  </sortState>
  <tableColumns count="14">
    <tableColumn id="5" xr3:uid="{7A6EA507-0124-4D7C-8BF2-9294A0C01867}" name="Status"/>
    <tableColumn id="8" xr3:uid="{A06F51D6-C158-4F07-871B-DB6849DCF26D}" name="Version" dataDxfId="10">
      <calculatedColumnFormula>IF(OR(changes[[#This Row],[Type]]="Checklist",changes[[#This Row],[Type]]="checklist-flat"),1+IF(changes[[#This Row],[Type of change]] = "Edit",COUNTIFS($I$4:changes[[#This Row],[Name]],changes[[#This Row],[Name]], $E$4:changes[[#This Row],[Type of change]], "Edit")),B3)</calculatedColumnFormula>
    </tableColumn>
    <tableColumn id="10" xr3:uid="{7F09548F-F10A-4574-8FF0-F15823B6BD9E}" name="Date of Request" dataDxfId="9"/>
    <tableColumn id="1" xr3:uid="{E7D81716-5795-461C-94B8-2A890C961FF1}" name="Requested by" dataDxfId="8"/>
    <tableColumn id="14" xr3:uid="{C7C28D55-E951-4A46-8BDA-590ABA0FCA1F}" name="Type of change" dataDxfId="7"/>
    <tableColumn id="9" xr3:uid="{B2A75A5A-418A-4ABC-AA44-E2790F30915F}" name="User" dataDxfId="6"/>
    <tableColumn id="11" xr3:uid="{B661BA25-3C21-48CC-9875-68B7CD3E4D93}" name="checklist" dataDxfId="5"/>
    <tableColumn id="2" xr3:uid="{1C13723C-E2C3-4254-9D0E-F7422C8A7C17}" name="Type" dataDxfId="4"/>
    <tableColumn id="3" xr3:uid="{A6D1C91A-2F8C-4E4A-AA4E-EECF5FB22D9F}" name="Name" dataDxfId="3"/>
    <tableColumn id="4" xr3:uid="{03264C10-8747-4939-90F8-C533DF7974B0}" name="Value" dataDxfId="2"/>
    <tableColumn id="6" xr3:uid="{82FA7CEC-56CE-4A40-BAB9-5197737A52CA}" name="Project" dataDxfId="1"/>
    <tableColumn id="12" xr3:uid="{81818E84-AA6A-4A1A-AB9F-C0E9B7AC6D71}" name="Trade"/>
    <tableColumn id="7" xr3:uid="{A7E413E6-2B8A-4395-B885-B9CB9E603C71}" name="Edited Checklist Comments" dataDxfId="0"/>
    <tableColumn id="13" xr3:uid="{DD7A76CD-4FB6-4AD3-A76C-0ABB27DD37C1}" name="Rewiew Comments"/>
  </tableColumns>
  <tableStyleInfo name="TableQuality"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threadedComments/threadedComment1.xml><?xml version="1.0" encoding="utf-8"?>
<ThreadedComments xmlns="http://schemas.microsoft.com/office/spreadsheetml/2018/threadedcomments" xmlns:x="http://schemas.openxmlformats.org/spreadsheetml/2006/main">
  <threadedComment ref="A1" dT="2022-04-07T22:34:48.78" personId="{36FFED0A-50AF-4B47-9B1A-91660FDF4EAF}" id="{36B4644B-152E-46AB-AAB2-EFFCB52E053B}">
    <text>This is a weak link. need to find a better way</text>
  </threadedComment>
</ThreadedComments>
</file>

<file path=xl/threadedComments/threadedComment2.xml><?xml version="1.0" encoding="utf-8"?>
<ThreadedComments xmlns="http://schemas.microsoft.com/office/spreadsheetml/2018/threadedcomments" xmlns:x="http://schemas.openxmlformats.org/spreadsheetml/2006/main">
  <threadedComment ref="K2136" dT="2023-03-15T22:32:40.90" personId="{702CD7D8-F504-4DFF-9724-3C90DB4B3C54}" id="{B1B6FA7C-4BE8-4EFD-AC52-9E6726D590B2}">
    <text>Not on  ConQA</text>
  </threadedComment>
  <threadedComment ref="J3547" dT="2023-12-17T22:24:22.86" personId="{36FFED0A-50AF-4B47-9B1A-91660FDF4EAF}" id="{E29E7D76-57FC-4185-A808-CA850E9D1989}">
    <text xml:space="preserve">Might need to shift this line somewhere else
</text>
  </threadedComment>
</ThreadedComments>
</file>

<file path=xl/threadedComments/threadedComment3.xml><?xml version="1.0" encoding="utf-8"?>
<ThreadedComments xmlns="http://schemas.microsoft.com/office/spreadsheetml/2018/threadedcomments" xmlns:x="http://schemas.openxmlformats.org/spreadsheetml/2006/main">
  <threadedComment ref="M1325" dT="2022-04-07T20:58:04.01" personId="{36FFED0A-50AF-4B47-9B1A-91660FDF4EAF}" id="{4EDD4AE8-B802-4F1B-9A1A-7D681DAC1AA1}">
    <text>@Colin Alderson</text>
    <mentions>
      <mention mentionpersonId="{8418D7D3-AB16-42EF-BE4B-77F7C7B2313D}" mentionId="{EEAFD8C0-9A92-443A-882D-5EF08BF3C2E9}" startIndex="0" length="15"/>
    </mentions>
  </threadedComment>
  <threadedComment ref="M1325" dT="2022-12-01T01:10:25.83" personId="{6AFE597A-1303-47BA-9BCA-45E322102DF3}" id="{DA324CF7-905B-44BE-9631-65978FE7F577}" parentId="{4EDD4AE8-B802-4F1B-9A1A-7D681DAC1AA1}">
    <text>@Michael Mitchelson I entered this for Leshani so let's make it Kevin Hickman only</text>
    <mentions>
      <mention mentionpersonId="{F18318C6-F8ED-4149-B670-BA2AE5316AEB}" mentionId="{3C3FAA8B-6A62-44A1-8BD2-C7901DCF2A2F}" startIndex="0" length="19"/>
    </mentions>
  </threadedComment>
  <threadedComment ref="M1788" dT="2022-08-11T01:01:58.08" personId="{36FFED0A-50AF-4B47-9B1A-91660FDF4EAF}" id="{4035E6A3-85F7-43DD-BCEB-7493800B2510}">
    <text>Building B
1.	East elevation (grid K)
2.	South Elevation</text>
  </threadedComment>
  <threadedComment ref="M1788" dT="2022-08-11T01:02:14.02" personId="{36FFED0A-50AF-4B47-9B1A-91660FDF4EAF}" id="{951AC443-055F-4D6A-929C-B01C14B76ED8}" parentId="{4035E6A3-85F7-43DD-BCEB-7493800B2510}">
    <text>addition of new checklist for Ryman Project</text>
  </threadedComment>
  <threadedComment ref="L2217" dT="2022-10-11T19:03:51.40" personId="{36FFED0A-50AF-4B47-9B1A-91660FDF4EAF}" id="{926286FD-4CB8-4E5C-BD1F-E35777B3CB63}">
    <text>@Heather Swan this is for CLL, correct?</text>
    <mentions>
      <mention mentionpersonId="{087CC717-D20E-47D7-8864-529CD1E44454}" mentionId="{B674A82A-22F3-45A6-8B66-47D03D5E31A5}" startIndex="0" length="13"/>
    </mentions>
  </threadedComment>
  <threadedComment ref="L2217" dT="2022-10-11T19:11:03.12" personId="{1AAB8DC3-4B4B-4BB3-B675-500C480E2C84}" id="{D0675B19-E173-4978-8C50-C0CD0471028D}" parentId="{926286FD-4CB8-4E5C-BD1F-E35777B3CB63}">
    <text xml:space="preserve">No this is for Johnston Civil </text>
  </threadedComment>
  <threadedComment ref="N2318" dT="2022-12-01T01:04:35.28" personId="{36FFED0A-50AF-4B47-9B1A-91660FDF4EAF}" id="{31C0E7C7-2D67-4060-86DA-A578388D9D0F}">
    <text>@Colin Alderson is this still necessary?</text>
    <mentions>
      <mention mentionpersonId="{8418D7D3-AB16-42EF-BE4B-77F7C7B2313D}" mentionId="{018346C3-FD15-4E50-8F19-18887B69C4EC}" startIndex="0" length="15"/>
    </mentions>
  </threadedComment>
  <threadedComment ref="N2445" dT="2022-12-01T01:12:18.16" personId="{6AFE597A-1303-47BA-9BCA-45E322102DF3}" id="{5235AAD7-0B60-42D9-903D-FFBAF80A2431}">
    <text>@Michael Mitchelson @Will Craine Can you please issue this checklist, it needs implementing and any additional testing will mean further adjustments.  The Kevin Hickman queries can be accounted for under this checklist structure.  Happy to discuss further if required.</text>
    <mentions>
      <mention mentionpersonId="{F18318C6-F8ED-4149-B670-BA2AE5316AEB}" mentionId="{9B729077-1933-4265-9973-6B7FF5387165}" startIndex="0" length="19"/>
      <mention mentionpersonId="{263D812E-924C-4F61-87E6-70B086C1F8B7}" mentionId="{38531FDF-E279-4FD7-AC0D-506898AE9B9F}" startIndex="20" length="12"/>
    </mentions>
  </threadedComment>
</ThreadedComments>
</file>

<file path=xl/worksheets/_rels/sheet1.xml.rels><?xml version="1.0" encoding="UTF-8" standalone="yes"?>
<Relationships xmlns="http://schemas.openxmlformats.org/package/2006/relationships"><Relationship Id="rId8" Type="http://schemas.microsoft.com/office/2017/10/relationships/threadedComment" Target="../threadedComments/threadedComment1.xml"/><Relationship Id="rId3" Type="http://schemas.openxmlformats.org/officeDocument/2006/relationships/table" Target="../tables/table2.xml"/><Relationship Id="rId7" Type="http://schemas.openxmlformats.org/officeDocument/2006/relationships/comments" Target="../comments1.xml"/><Relationship Id="rId2" Type="http://schemas.openxmlformats.org/officeDocument/2006/relationships/table" Target="../tables/table1.xml"/><Relationship Id="rId1" Type="http://schemas.openxmlformats.org/officeDocument/2006/relationships/vmlDrawing" Target="../drawings/vmlDrawing1.vml"/><Relationship Id="rId6" Type="http://schemas.openxmlformats.org/officeDocument/2006/relationships/table" Target="../tables/table5.xml"/><Relationship Id="rId5" Type="http://schemas.openxmlformats.org/officeDocument/2006/relationships/table" Target="../tables/table4.xml"/><Relationship Id="rId4" Type="http://schemas.openxmlformats.org/officeDocument/2006/relationships/table" Target="../tables/table3.xml"/></Relationships>
</file>

<file path=xl/worksheets/_rels/sheet2.xml.rels><?xml version="1.0" encoding="UTF-8" standalone="yes"?>
<Relationships xmlns="http://schemas.openxmlformats.org/package/2006/relationships"><Relationship Id="rId8" Type="http://schemas.microsoft.com/office/2019/04/relationships/namedSheetView" Target="../namedSheetViews/namedSheetView1.xml"/><Relationship Id="rId3" Type="http://schemas.openxmlformats.org/officeDocument/2006/relationships/vmlDrawing" Target="../drawings/vmlDrawing2.vml"/><Relationship Id="rId7" Type="http://schemas.microsoft.com/office/2017/10/relationships/threadedComment" Target="../threadedComments/threadedComment2.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omments" Target="../comments2.xml"/><Relationship Id="rId5" Type="http://schemas.microsoft.com/office/2007/relationships/slicer" Target="../slicers/slicer1.xml"/><Relationship Id="rId4" Type="http://schemas.openxmlformats.org/officeDocument/2006/relationships/table" Target="../tables/table6.xml"/></Relationships>
</file>

<file path=xl/worksheets/_rels/sheet3.xml.rels><?xml version="1.0" encoding="UTF-8" standalone="yes"?>
<Relationships xmlns="http://schemas.openxmlformats.org/package/2006/relationships"><Relationship Id="rId3" Type="http://schemas.openxmlformats.org/officeDocument/2006/relationships/table" Target="../tables/table7.xml"/><Relationship Id="rId2" Type="http://schemas.openxmlformats.org/officeDocument/2006/relationships/vmlDrawing" Target="../drawings/vmlDrawing3.vml"/><Relationship Id="rId1" Type="http://schemas.openxmlformats.org/officeDocument/2006/relationships/printerSettings" Target="../printerSettings/printerSettings2.bin"/><Relationship Id="rId6" Type="http://schemas.microsoft.com/office/2019/04/relationships/namedSheetView" Target="../namedSheetViews/namedSheetView2.xml"/><Relationship Id="rId5" Type="http://schemas.microsoft.com/office/2017/10/relationships/threadedComment" Target="../threadedComments/threadedComment3.xml"/><Relationship Id="rId4" Type="http://schemas.openxmlformats.org/officeDocument/2006/relationships/comments" Target="../comments3.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7C3A2D5-A309-48A6-B1C4-65B2313EB943}">
  <sheetPr codeName="Sheet2"/>
  <dimension ref="A1:P481"/>
  <sheetViews>
    <sheetView workbookViewId="0"/>
  </sheetViews>
  <sheetFormatPr defaultRowHeight="13.5"/>
  <cols>
    <col min="1" max="1" width="47.25" customWidth="1"/>
    <col min="2" max="2" width="9" customWidth="1"/>
    <col min="3" max="3" width="4.625" customWidth="1"/>
    <col min="4" max="4" width="20.75" customWidth="1"/>
    <col min="5" max="5" width="4.25" customWidth="1"/>
    <col min="6" max="6" width="20.375" customWidth="1"/>
    <col min="7" max="7" width="3.875" customWidth="1"/>
    <col min="8" max="8" width="14.375" bestFit="1" customWidth="1"/>
    <col min="9" max="9" width="3.125" customWidth="1"/>
    <col min="10" max="10" width="16.5" customWidth="1"/>
    <col min="11" max="11" width="2.875" customWidth="1"/>
    <col min="12" max="12" width="15.25" customWidth="1"/>
    <col min="13" max="13" width="3" customWidth="1"/>
    <col min="16" max="16" width="20.625" customWidth="1"/>
  </cols>
  <sheetData>
    <row r="1" spans="1:16" ht="13.9">
      <c r="A1" s="4" t="s">
        <v>0</v>
      </c>
      <c r="B1" s="4">
        <v>0</v>
      </c>
      <c r="C1" s="5"/>
      <c r="D1" t="s">
        <v>1</v>
      </c>
      <c r="F1" t="s">
        <v>2</v>
      </c>
      <c r="H1" t="s">
        <v>3</v>
      </c>
      <c r="J1" t="s">
        <v>4</v>
      </c>
      <c r="L1" t="s">
        <v>5</v>
      </c>
      <c r="P1" t="s">
        <v>6</v>
      </c>
    </row>
    <row r="2" spans="1:16">
      <c r="A2" s="3" t="e" cm="1">
        <f t="array" ref="A2">_xlfn.UNIQUE(#REF!)</f>
        <v>#REF!</v>
      </c>
      <c r="B2">
        <f>IF(NOT(ISBLANK(A2)), B1+1,)</f>
        <v>1</v>
      </c>
      <c r="D2" t="s">
        <v>7</v>
      </c>
      <c r="F2" t="s">
        <v>8</v>
      </c>
      <c r="H2" t="s">
        <v>9</v>
      </c>
      <c r="J2" t="s">
        <v>10</v>
      </c>
      <c r="L2" t="s">
        <v>11</v>
      </c>
      <c r="P2" s="12" t="s">
        <v>7</v>
      </c>
    </row>
    <row r="3" spans="1:16" ht="13.9" thickBot="1">
      <c r="B3">
        <f t="shared" ref="B3:B66" si="0">IF(NOT(ISBLANK(A3)), B2+1,)</f>
        <v>0</v>
      </c>
      <c r="D3" t="s">
        <v>12</v>
      </c>
      <c r="F3" t="s">
        <v>13</v>
      </c>
      <c r="H3" t="s">
        <v>14</v>
      </c>
      <c r="J3" t="s">
        <v>15</v>
      </c>
      <c r="L3" t="s">
        <v>16</v>
      </c>
      <c r="P3" s="3" t="s">
        <v>12</v>
      </c>
    </row>
    <row r="4" spans="1:16" ht="14.65" thickBot="1">
      <c r="B4">
        <f t="shared" si="0"/>
        <v>0</v>
      </c>
      <c r="D4" s="6" t="s">
        <v>17</v>
      </c>
      <c r="F4" t="s">
        <v>18</v>
      </c>
      <c r="J4" t="s">
        <v>19</v>
      </c>
      <c r="L4" t="s">
        <v>20</v>
      </c>
      <c r="P4" s="13" t="s">
        <v>17</v>
      </c>
    </row>
    <row r="5" spans="1:16" ht="14.65" thickBot="1">
      <c r="B5">
        <f t="shared" si="0"/>
        <v>0</v>
      </c>
      <c r="D5" s="6" t="s">
        <v>21</v>
      </c>
      <c r="F5" t="s">
        <v>22</v>
      </c>
      <c r="J5" t="s">
        <v>23</v>
      </c>
      <c r="L5" t="s">
        <v>24</v>
      </c>
      <c r="P5" s="6" t="s">
        <v>21</v>
      </c>
    </row>
    <row r="6" spans="1:16" ht="14.65" thickBot="1">
      <c r="B6">
        <f t="shared" si="0"/>
        <v>0</v>
      </c>
      <c r="D6" s="6" t="s">
        <v>25</v>
      </c>
      <c r="F6" t="s">
        <v>26</v>
      </c>
      <c r="J6" t="s">
        <v>27</v>
      </c>
      <c r="L6" s="3" t="s">
        <v>28</v>
      </c>
      <c r="P6" s="13" t="s">
        <v>25</v>
      </c>
    </row>
    <row r="7" spans="1:16" ht="14.65" thickBot="1">
      <c r="B7">
        <f t="shared" si="0"/>
        <v>0</v>
      </c>
      <c r="D7" s="6" t="s">
        <v>29</v>
      </c>
      <c r="F7" t="s">
        <v>30</v>
      </c>
      <c r="P7" s="6" t="s">
        <v>29</v>
      </c>
    </row>
    <row r="8" spans="1:16" ht="14.65" thickBot="1">
      <c r="B8">
        <f t="shared" si="0"/>
        <v>0</v>
      </c>
      <c r="D8" s="7" t="s">
        <v>31</v>
      </c>
      <c r="F8" t="s">
        <v>32</v>
      </c>
      <c r="P8" s="14" t="s">
        <v>31</v>
      </c>
    </row>
    <row r="9" spans="1:16" ht="14.65" thickBot="1">
      <c r="B9">
        <f t="shared" si="0"/>
        <v>0</v>
      </c>
      <c r="D9" s="6" t="s">
        <v>33</v>
      </c>
      <c r="F9" t="s">
        <v>34</v>
      </c>
      <c r="P9" s="6" t="s">
        <v>33</v>
      </c>
    </row>
    <row r="10" spans="1:16" ht="14.65" thickBot="1">
      <c r="B10">
        <f t="shared" si="0"/>
        <v>0</v>
      </c>
      <c r="D10" s="6" t="s">
        <v>35</v>
      </c>
      <c r="F10" t="s">
        <v>36</v>
      </c>
      <c r="P10" s="13" t="s">
        <v>35</v>
      </c>
    </row>
    <row r="11" spans="1:16" ht="14.65" thickBot="1">
      <c r="B11">
        <f t="shared" si="0"/>
        <v>0</v>
      </c>
      <c r="D11" s="8" t="s">
        <v>37</v>
      </c>
      <c r="P11" s="15" t="s">
        <v>37</v>
      </c>
    </row>
    <row r="12" spans="1:16" ht="14.65" thickBot="1">
      <c r="B12">
        <f t="shared" si="0"/>
        <v>0</v>
      </c>
      <c r="D12" s="6" t="s">
        <v>38</v>
      </c>
      <c r="P12" s="13" t="s">
        <v>38</v>
      </c>
    </row>
    <row r="13" spans="1:16" ht="14.65" thickBot="1">
      <c r="B13">
        <f t="shared" si="0"/>
        <v>0</v>
      </c>
      <c r="D13" s="6" t="s">
        <v>39</v>
      </c>
      <c r="P13" s="6" t="s">
        <v>39</v>
      </c>
    </row>
    <row r="14" spans="1:16" ht="14.65" thickBot="1">
      <c r="B14">
        <f t="shared" si="0"/>
        <v>0</v>
      </c>
      <c r="D14" s="6" t="s">
        <v>40</v>
      </c>
      <c r="L14" s="3"/>
      <c r="P14" s="13" t="s">
        <v>40</v>
      </c>
    </row>
    <row r="15" spans="1:16" ht="14.65" thickBot="1">
      <c r="B15">
        <f t="shared" si="0"/>
        <v>0</v>
      </c>
      <c r="D15" s="6" t="s">
        <v>41</v>
      </c>
      <c r="P15" s="6" t="s">
        <v>41</v>
      </c>
    </row>
    <row r="16" spans="1:16">
      <c r="B16">
        <f t="shared" si="0"/>
        <v>0</v>
      </c>
      <c r="D16" t="s">
        <v>6</v>
      </c>
    </row>
    <row r="17" spans="2:2">
      <c r="B17">
        <f t="shared" si="0"/>
        <v>0</v>
      </c>
    </row>
    <row r="18" spans="2:2">
      <c r="B18">
        <f t="shared" si="0"/>
        <v>0</v>
      </c>
    </row>
    <row r="19" spans="2:2">
      <c r="B19">
        <f t="shared" si="0"/>
        <v>0</v>
      </c>
    </row>
    <row r="20" spans="2:2">
      <c r="B20">
        <f t="shared" si="0"/>
        <v>0</v>
      </c>
    </row>
    <row r="21" spans="2:2">
      <c r="B21">
        <f t="shared" si="0"/>
        <v>0</v>
      </c>
    </row>
    <row r="22" spans="2:2">
      <c r="B22">
        <f t="shared" si="0"/>
        <v>0</v>
      </c>
    </row>
    <row r="23" spans="2:2">
      <c r="B23">
        <f t="shared" si="0"/>
        <v>0</v>
      </c>
    </row>
    <row r="24" spans="2:2">
      <c r="B24">
        <f t="shared" si="0"/>
        <v>0</v>
      </c>
    </row>
    <row r="25" spans="2:2">
      <c r="B25">
        <f t="shared" si="0"/>
        <v>0</v>
      </c>
    </row>
    <row r="26" spans="2:2">
      <c r="B26">
        <f t="shared" si="0"/>
        <v>0</v>
      </c>
    </row>
    <row r="27" spans="2:2">
      <c r="B27">
        <f t="shared" si="0"/>
        <v>0</v>
      </c>
    </row>
    <row r="28" spans="2:2">
      <c r="B28">
        <f t="shared" si="0"/>
        <v>0</v>
      </c>
    </row>
    <row r="29" spans="2:2">
      <c r="B29">
        <f t="shared" si="0"/>
        <v>0</v>
      </c>
    </row>
    <row r="30" spans="2:2">
      <c r="B30">
        <f t="shared" si="0"/>
        <v>0</v>
      </c>
    </row>
    <row r="31" spans="2:2">
      <c r="B31">
        <f t="shared" si="0"/>
        <v>0</v>
      </c>
    </row>
    <row r="32" spans="2:2">
      <c r="B32">
        <f t="shared" si="0"/>
        <v>0</v>
      </c>
    </row>
    <row r="33" spans="2:2">
      <c r="B33">
        <f t="shared" si="0"/>
        <v>0</v>
      </c>
    </row>
    <row r="34" spans="2:2">
      <c r="B34">
        <f t="shared" si="0"/>
        <v>0</v>
      </c>
    </row>
    <row r="35" spans="2:2">
      <c r="B35">
        <f t="shared" si="0"/>
        <v>0</v>
      </c>
    </row>
    <row r="36" spans="2:2">
      <c r="B36">
        <f t="shared" si="0"/>
        <v>0</v>
      </c>
    </row>
    <row r="37" spans="2:2">
      <c r="B37">
        <f t="shared" si="0"/>
        <v>0</v>
      </c>
    </row>
    <row r="38" spans="2:2">
      <c r="B38">
        <f t="shared" si="0"/>
        <v>0</v>
      </c>
    </row>
    <row r="39" spans="2:2">
      <c r="B39">
        <f t="shared" si="0"/>
        <v>0</v>
      </c>
    </row>
    <row r="40" spans="2:2">
      <c r="B40">
        <f t="shared" si="0"/>
        <v>0</v>
      </c>
    </row>
    <row r="41" spans="2:2">
      <c r="B41">
        <f t="shared" si="0"/>
        <v>0</v>
      </c>
    </row>
    <row r="42" spans="2:2">
      <c r="B42">
        <f t="shared" si="0"/>
        <v>0</v>
      </c>
    </row>
    <row r="43" spans="2:2">
      <c r="B43">
        <f t="shared" si="0"/>
        <v>0</v>
      </c>
    </row>
    <row r="44" spans="2:2">
      <c r="B44">
        <f t="shared" si="0"/>
        <v>0</v>
      </c>
    </row>
    <row r="45" spans="2:2">
      <c r="B45">
        <f t="shared" si="0"/>
        <v>0</v>
      </c>
    </row>
    <row r="46" spans="2:2">
      <c r="B46">
        <f t="shared" si="0"/>
        <v>0</v>
      </c>
    </row>
    <row r="47" spans="2:2">
      <c r="B47">
        <f t="shared" si="0"/>
        <v>0</v>
      </c>
    </row>
    <row r="48" spans="2:2">
      <c r="B48">
        <f t="shared" si="0"/>
        <v>0</v>
      </c>
    </row>
    <row r="49" spans="2:2">
      <c r="B49">
        <f t="shared" si="0"/>
        <v>0</v>
      </c>
    </row>
    <row r="50" spans="2:2">
      <c r="B50">
        <f t="shared" si="0"/>
        <v>0</v>
      </c>
    </row>
    <row r="51" spans="2:2">
      <c r="B51">
        <f t="shared" si="0"/>
        <v>0</v>
      </c>
    </row>
    <row r="52" spans="2:2">
      <c r="B52">
        <f t="shared" si="0"/>
        <v>0</v>
      </c>
    </row>
    <row r="53" spans="2:2">
      <c r="B53">
        <f t="shared" si="0"/>
        <v>0</v>
      </c>
    </row>
    <row r="54" spans="2:2">
      <c r="B54">
        <f t="shared" si="0"/>
        <v>0</v>
      </c>
    </row>
    <row r="55" spans="2:2">
      <c r="B55">
        <f t="shared" si="0"/>
        <v>0</v>
      </c>
    </row>
    <row r="56" spans="2:2">
      <c r="B56">
        <f t="shared" si="0"/>
        <v>0</v>
      </c>
    </row>
    <row r="57" spans="2:2">
      <c r="B57">
        <f t="shared" si="0"/>
        <v>0</v>
      </c>
    </row>
    <row r="58" spans="2:2">
      <c r="B58">
        <f t="shared" si="0"/>
        <v>0</v>
      </c>
    </row>
    <row r="59" spans="2:2">
      <c r="B59">
        <f t="shared" si="0"/>
        <v>0</v>
      </c>
    </row>
    <row r="60" spans="2:2">
      <c r="B60">
        <f t="shared" si="0"/>
        <v>0</v>
      </c>
    </row>
    <row r="61" spans="2:2">
      <c r="B61">
        <f t="shared" si="0"/>
        <v>0</v>
      </c>
    </row>
    <row r="62" spans="2:2">
      <c r="B62">
        <f t="shared" si="0"/>
        <v>0</v>
      </c>
    </row>
    <row r="63" spans="2:2">
      <c r="B63">
        <f t="shared" si="0"/>
        <v>0</v>
      </c>
    </row>
    <row r="64" spans="2:2">
      <c r="B64">
        <f t="shared" si="0"/>
        <v>0</v>
      </c>
    </row>
    <row r="65" spans="2:2">
      <c r="B65">
        <f t="shared" si="0"/>
        <v>0</v>
      </c>
    </row>
    <row r="66" spans="2:2">
      <c r="B66">
        <f t="shared" si="0"/>
        <v>0</v>
      </c>
    </row>
    <row r="67" spans="2:2">
      <c r="B67">
        <f t="shared" ref="B67:B130" si="1">IF(NOT(ISBLANK(A67)), B66+1,)</f>
        <v>0</v>
      </c>
    </row>
    <row r="68" spans="2:2">
      <c r="B68">
        <f t="shared" si="1"/>
        <v>0</v>
      </c>
    </row>
    <row r="69" spans="2:2">
      <c r="B69">
        <f t="shared" si="1"/>
        <v>0</v>
      </c>
    </row>
    <row r="70" spans="2:2">
      <c r="B70">
        <f t="shared" si="1"/>
        <v>0</v>
      </c>
    </row>
    <row r="71" spans="2:2">
      <c r="B71">
        <f t="shared" si="1"/>
        <v>0</v>
      </c>
    </row>
    <row r="72" spans="2:2">
      <c r="B72">
        <f t="shared" si="1"/>
        <v>0</v>
      </c>
    </row>
    <row r="73" spans="2:2">
      <c r="B73">
        <f t="shared" si="1"/>
        <v>0</v>
      </c>
    </row>
    <row r="74" spans="2:2">
      <c r="B74">
        <f t="shared" si="1"/>
        <v>0</v>
      </c>
    </row>
    <row r="75" spans="2:2">
      <c r="B75">
        <f t="shared" si="1"/>
        <v>0</v>
      </c>
    </row>
    <row r="76" spans="2:2">
      <c r="B76">
        <f t="shared" si="1"/>
        <v>0</v>
      </c>
    </row>
    <row r="77" spans="2:2">
      <c r="B77">
        <f t="shared" si="1"/>
        <v>0</v>
      </c>
    </row>
    <row r="78" spans="2:2">
      <c r="B78">
        <f t="shared" si="1"/>
        <v>0</v>
      </c>
    </row>
    <row r="79" spans="2:2">
      <c r="B79">
        <f t="shared" si="1"/>
        <v>0</v>
      </c>
    </row>
    <row r="80" spans="2:2">
      <c r="B80">
        <f t="shared" si="1"/>
        <v>0</v>
      </c>
    </row>
    <row r="81" spans="2:2">
      <c r="B81">
        <f t="shared" si="1"/>
        <v>0</v>
      </c>
    </row>
    <row r="82" spans="2:2">
      <c r="B82">
        <f t="shared" si="1"/>
        <v>0</v>
      </c>
    </row>
    <row r="83" spans="2:2">
      <c r="B83">
        <f t="shared" si="1"/>
        <v>0</v>
      </c>
    </row>
    <row r="84" spans="2:2">
      <c r="B84">
        <f t="shared" si="1"/>
        <v>0</v>
      </c>
    </row>
    <row r="85" spans="2:2">
      <c r="B85">
        <f t="shared" si="1"/>
        <v>0</v>
      </c>
    </row>
    <row r="86" spans="2:2">
      <c r="B86">
        <f t="shared" si="1"/>
        <v>0</v>
      </c>
    </row>
    <row r="87" spans="2:2">
      <c r="B87">
        <f t="shared" si="1"/>
        <v>0</v>
      </c>
    </row>
    <row r="88" spans="2:2">
      <c r="B88">
        <f t="shared" si="1"/>
        <v>0</v>
      </c>
    </row>
    <row r="89" spans="2:2">
      <c r="B89">
        <f t="shared" si="1"/>
        <v>0</v>
      </c>
    </row>
    <row r="90" spans="2:2">
      <c r="B90">
        <f t="shared" si="1"/>
        <v>0</v>
      </c>
    </row>
    <row r="91" spans="2:2">
      <c r="B91">
        <f t="shared" si="1"/>
        <v>0</v>
      </c>
    </row>
    <row r="92" spans="2:2">
      <c r="B92">
        <f t="shared" si="1"/>
        <v>0</v>
      </c>
    </row>
    <row r="93" spans="2:2">
      <c r="B93">
        <f t="shared" si="1"/>
        <v>0</v>
      </c>
    </row>
    <row r="94" spans="2:2">
      <c r="B94">
        <f t="shared" si="1"/>
        <v>0</v>
      </c>
    </row>
    <row r="95" spans="2:2">
      <c r="B95">
        <f t="shared" si="1"/>
        <v>0</v>
      </c>
    </row>
    <row r="96" spans="2:2">
      <c r="B96">
        <f t="shared" si="1"/>
        <v>0</v>
      </c>
    </row>
    <row r="97" spans="2:2">
      <c r="B97">
        <f t="shared" si="1"/>
        <v>0</v>
      </c>
    </row>
    <row r="98" spans="2:2">
      <c r="B98">
        <f t="shared" si="1"/>
        <v>0</v>
      </c>
    </row>
    <row r="99" spans="2:2">
      <c r="B99">
        <f t="shared" si="1"/>
        <v>0</v>
      </c>
    </row>
    <row r="100" spans="2:2">
      <c r="B100">
        <f t="shared" si="1"/>
        <v>0</v>
      </c>
    </row>
    <row r="101" spans="2:2">
      <c r="B101">
        <f t="shared" si="1"/>
        <v>0</v>
      </c>
    </row>
    <row r="102" spans="2:2">
      <c r="B102">
        <f t="shared" si="1"/>
        <v>0</v>
      </c>
    </row>
    <row r="103" spans="2:2">
      <c r="B103">
        <f t="shared" si="1"/>
        <v>0</v>
      </c>
    </row>
    <row r="104" spans="2:2">
      <c r="B104">
        <f t="shared" si="1"/>
        <v>0</v>
      </c>
    </row>
    <row r="105" spans="2:2">
      <c r="B105">
        <f t="shared" si="1"/>
        <v>0</v>
      </c>
    </row>
    <row r="106" spans="2:2">
      <c r="B106">
        <f t="shared" si="1"/>
        <v>0</v>
      </c>
    </row>
    <row r="107" spans="2:2">
      <c r="B107">
        <f t="shared" si="1"/>
        <v>0</v>
      </c>
    </row>
    <row r="108" spans="2:2">
      <c r="B108">
        <f t="shared" si="1"/>
        <v>0</v>
      </c>
    </row>
    <row r="109" spans="2:2">
      <c r="B109">
        <f t="shared" si="1"/>
        <v>0</v>
      </c>
    </row>
    <row r="110" spans="2:2">
      <c r="B110">
        <f t="shared" si="1"/>
        <v>0</v>
      </c>
    </row>
    <row r="111" spans="2:2">
      <c r="B111">
        <f t="shared" si="1"/>
        <v>0</v>
      </c>
    </row>
    <row r="112" spans="2:2">
      <c r="B112">
        <f t="shared" si="1"/>
        <v>0</v>
      </c>
    </row>
    <row r="113" spans="2:2">
      <c r="B113">
        <f t="shared" si="1"/>
        <v>0</v>
      </c>
    </row>
    <row r="114" spans="2:2">
      <c r="B114">
        <f t="shared" si="1"/>
        <v>0</v>
      </c>
    </row>
    <row r="115" spans="2:2">
      <c r="B115">
        <f t="shared" si="1"/>
        <v>0</v>
      </c>
    </row>
    <row r="116" spans="2:2">
      <c r="B116">
        <f t="shared" si="1"/>
        <v>0</v>
      </c>
    </row>
    <row r="117" spans="2:2">
      <c r="B117">
        <f t="shared" si="1"/>
        <v>0</v>
      </c>
    </row>
    <row r="118" spans="2:2">
      <c r="B118">
        <f t="shared" si="1"/>
        <v>0</v>
      </c>
    </row>
    <row r="119" spans="2:2">
      <c r="B119">
        <f t="shared" si="1"/>
        <v>0</v>
      </c>
    </row>
    <row r="120" spans="2:2">
      <c r="B120">
        <f t="shared" si="1"/>
        <v>0</v>
      </c>
    </row>
    <row r="121" spans="2:2">
      <c r="B121">
        <f t="shared" si="1"/>
        <v>0</v>
      </c>
    </row>
    <row r="122" spans="2:2">
      <c r="B122">
        <f t="shared" si="1"/>
        <v>0</v>
      </c>
    </row>
    <row r="123" spans="2:2">
      <c r="B123">
        <f t="shared" si="1"/>
        <v>0</v>
      </c>
    </row>
    <row r="124" spans="2:2">
      <c r="B124">
        <f t="shared" si="1"/>
        <v>0</v>
      </c>
    </row>
    <row r="125" spans="2:2">
      <c r="B125">
        <f t="shared" si="1"/>
        <v>0</v>
      </c>
    </row>
    <row r="126" spans="2:2">
      <c r="B126">
        <f t="shared" si="1"/>
        <v>0</v>
      </c>
    </row>
    <row r="127" spans="2:2">
      <c r="B127">
        <f t="shared" si="1"/>
        <v>0</v>
      </c>
    </row>
    <row r="128" spans="2:2">
      <c r="B128">
        <f t="shared" si="1"/>
        <v>0</v>
      </c>
    </row>
    <row r="129" spans="2:2">
      <c r="B129">
        <f t="shared" si="1"/>
        <v>0</v>
      </c>
    </row>
    <row r="130" spans="2:2">
      <c r="B130">
        <f t="shared" si="1"/>
        <v>0</v>
      </c>
    </row>
    <row r="131" spans="2:2">
      <c r="B131">
        <f t="shared" ref="B131:B194" si="2">IF(NOT(ISBLANK(A131)), B130+1,)</f>
        <v>0</v>
      </c>
    </row>
    <row r="132" spans="2:2">
      <c r="B132">
        <f t="shared" si="2"/>
        <v>0</v>
      </c>
    </row>
    <row r="133" spans="2:2">
      <c r="B133">
        <f t="shared" si="2"/>
        <v>0</v>
      </c>
    </row>
    <row r="134" spans="2:2">
      <c r="B134">
        <f t="shared" si="2"/>
        <v>0</v>
      </c>
    </row>
    <row r="135" spans="2:2">
      <c r="B135">
        <f t="shared" si="2"/>
        <v>0</v>
      </c>
    </row>
    <row r="136" spans="2:2">
      <c r="B136">
        <f t="shared" si="2"/>
        <v>0</v>
      </c>
    </row>
    <row r="137" spans="2:2">
      <c r="B137">
        <f t="shared" si="2"/>
        <v>0</v>
      </c>
    </row>
    <row r="138" spans="2:2">
      <c r="B138">
        <f t="shared" si="2"/>
        <v>0</v>
      </c>
    </row>
    <row r="139" spans="2:2">
      <c r="B139">
        <f t="shared" si="2"/>
        <v>0</v>
      </c>
    </row>
    <row r="140" spans="2:2">
      <c r="B140">
        <f t="shared" si="2"/>
        <v>0</v>
      </c>
    </row>
    <row r="141" spans="2:2">
      <c r="B141">
        <f t="shared" si="2"/>
        <v>0</v>
      </c>
    </row>
    <row r="142" spans="2:2">
      <c r="B142">
        <f t="shared" si="2"/>
        <v>0</v>
      </c>
    </row>
    <row r="143" spans="2:2">
      <c r="B143">
        <f t="shared" si="2"/>
        <v>0</v>
      </c>
    </row>
    <row r="144" spans="2:2">
      <c r="B144">
        <f t="shared" si="2"/>
        <v>0</v>
      </c>
    </row>
    <row r="145" spans="2:2">
      <c r="B145">
        <f t="shared" si="2"/>
        <v>0</v>
      </c>
    </row>
    <row r="146" spans="2:2">
      <c r="B146">
        <f t="shared" si="2"/>
        <v>0</v>
      </c>
    </row>
    <row r="147" spans="2:2">
      <c r="B147">
        <f t="shared" si="2"/>
        <v>0</v>
      </c>
    </row>
    <row r="148" spans="2:2">
      <c r="B148">
        <f t="shared" si="2"/>
        <v>0</v>
      </c>
    </row>
    <row r="149" spans="2:2">
      <c r="B149">
        <f t="shared" si="2"/>
        <v>0</v>
      </c>
    </row>
    <row r="150" spans="2:2">
      <c r="B150">
        <f t="shared" si="2"/>
        <v>0</v>
      </c>
    </row>
    <row r="151" spans="2:2">
      <c r="B151">
        <f t="shared" si="2"/>
        <v>0</v>
      </c>
    </row>
    <row r="152" spans="2:2">
      <c r="B152">
        <f t="shared" si="2"/>
        <v>0</v>
      </c>
    </row>
    <row r="153" spans="2:2">
      <c r="B153">
        <f t="shared" si="2"/>
        <v>0</v>
      </c>
    </row>
    <row r="154" spans="2:2">
      <c r="B154">
        <f t="shared" si="2"/>
        <v>0</v>
      </c>
    </row>
    <row r="155" spans="2:2">
      <c r="B155">
        <f t="shared" si="2"/>
        <v>0</v>
      </c>
    </row>
    <row r="156" spans="2:2">
      <c r="B156">
        <f t="shared" si="2"/>
        <v>0</v>
      </c>
    </row>
    <row r="157" spans="2:2">
      <c r="B157">
        <f t="shared" si="2"/>
        <v>0</v>
      </c>
    </row>
    <row r="158" spans="2:2">
      <c r="B158">
        <f t="shared" si="2"/>
        <v>0</v>
      </c>
    </row>
    <row r="159" spans="2:2">
      <c r="B159">
        <f t="shared" si="2"/>
        <v>0</v>
      </c>
    </row>
    <row r="160" spans="2:2">
      <c r="B160">
        <f t="shared" si="2"/>
        <v>0</v>
      </c>
    </row>
    <row r="161" spans="2:2">
      <c r="B161">
        <f t="shared" si="2"/>
        <v>0</v>
      </c>
    </row>
    <row r="162" spans="2:2">
      <c r="B162">
        <f t="shared" si="2"/>
        <v>0</v>
      </c>
    </row>
    <row r="163" spans="2:2">
      <c r="B163">
        <f t="shared" si="2"/>
        <v>0</v>
      </c>
    </row>
    <row r="164" spans="2:2">
      <c r="B164">
        <f t="shared" si="2"/>
        <v>0</v>
      </c>
    </row>
    <row r="165" spans="2:2">
      <c r="B165">
        <f t="shared" si="2"/>
        <v>0</v>
      </c>
    </row>
    <row r="166" spans="2:2">
      <c r="B166">
        <f t="shared" si="2"/>
        <v>0</v>
      </c>
    </row>
    <row r="167" spans="2:2">
      <c r="B167">
        <f t="shared" si="2"/>
        <v>0</v>
      </c>
    </row>
    <row r="168" spans="2:2">
      <c r="B168">
        <f t="shared" si="2"/>
        <v>0</v>
      </c>
    </row>
    <row r="169" spans="2:2">
      <c r="B169">
        <f t="shared" si="2"/>
        <v>0</v>
      </c>
    </row>
    <row r="170" spans="2:2">
      <c r="B170">
        <f t="shared" si="2"/>
        <v>0</v>
      </c>
    </row>
    <row r="171" spans="2:2">
      <c r="B171">
        <f t="shared" si="2"/>
        <v>0</v>
      </c>
    </row>
    <row r="172" spans="2:2">
      <c r="B172">
        <f t="shared" si="2"/>
        <v>0</v>
      </c>
    </row>
    <row r="173" spans="2:2">
      <c r="B173">
        <f t="shared" si="2"/>
        <v>0</v>
      </c>
    </row>
    <row r="174" spans="2:2">
      <c r="B174">
        <f t="shared" si="2"/>
        <v>0</v>
      </c>
    </row>
    <row r="175" spans="2:2">
      <c r="B175">
        <f t="shared" si="2"/>
        <v>0</v>
      </c>
    </row>
    <row r="176" spans="2:2">
      <c r="B176">
        <f t="shared" si="2"/>
        <v>0</v>
      </c>
    </row>
    <row r="177" spans="2:2">
      <c r="B177">
        <f t="shared" si="2"/>
        <v>0</v>
      </c>
    </row>
    <row r="178" spans="2:2">
      <c r="B178">
        <f t="shared" si="2"/>
        <v>0</v>
      </c>
    </row>
    <row r="179" spans="2:2">
      <c r="B179">
        <f t="shared" si="2"/>
        <v>0</v>
      </c>
    </row>
    <row r="180" spans="2:2">
      <c r="B180">
        <f t="shared" si="2"/>
        <v>0</v>
      </c>
    </row>
    <row r="181" spans="2:2">
      <c r="B181">
        <f t="shared" si="2"/>
        <v>0</v>
      </c>
    </row>
    <row r="182" spans="2:2">
      <c r="B182">
        <f t="shared" si="2"/>
        <v>0</v>
      </c>
    </row>
    <row r="183" spans="2:2">
      <c r="B183">
        <f t="shared" si="2"/>
        <v>0</v>
      </c>
    </row>
    <row r="184" spans="2:2">
      <c r="B184">
        <f t="shared" si="2"/>
        <v>0</v>
      </c>
    </row>
    <row r="185" spans="2:2">
      <c r="B185">
        <f t="shared" si="2"/>
        <v>0</v>
      </c>
    </row>
    <row r="186" spans="2:2">
      <c r="B186">
        <f t="shared" si="2"/>
        <v>0</v>
      </c>
    </row>
    <row r="187" spans="2:2">
      <c r="B187">
        <f t="shared" si="2"/>
        <v>0</v>
      </c>
    </row>
    <row r="188" spans="2:2">
      <c r="B188">
        <f t="shared" si="2"/>
        <v>0</v>
      </c>
    </row>
    <row r="189" spans="2:2">
      <c r="B189">
        <f t="shared" si="2"/>
        <v>0</v>
      </c>
    </row>
    <row r="190" spans="2:2">
      <c r="B190">
        <f t="shared" si="2"/>
        <v>0</v>
      </c>
    </row>
    <row r="191" spans="2:2">
      <c r="B191">
        <f t="shared" si="2"/>
        <v>0</v>
      </c>
    </row>
    <row r="192" spans="2:2">
      <c r="B192">
        <f t="shared" si="2"/>
        <v>0</v>
      </c>
    </row>
    <row r="193" spans="2:2">
      <c r="B193">
        <f t="shared" si="2"/>
        <v>0</v>
      </c>
    </row>
    <row r="194" spans="2:2">
      <c r="B194">
        <f t="shared" si="2"/>
        <v>0</v>
      </c>
    </row>
    <row r="195" spans="2:2">
      <c r="B195">
        <f t="shared" ref="B195:B258" si="3">IF(NOT(ISBLANK(A195)), B194+1,)</f>
        <v>0</v>
      </c>
    </row>
    <row r="196" spans="2:2">
      <c r="B196">
        <f t="shared" si="3"/>
        <v>0</v>
      </c>
    </row>
    <row r="197" spans="2:2">
      <c r="B197">
        <f t="shared" si="3"/>
        <v>0</v>
      </c>
    </row>
    <row r="198" spans="2:2">
      <c r="B198">
        <f t="shared" si="3"/>
        <v>0</v>
      </c>
    </row>
    <row r="199" spans="2:2">
      <c r="B199">
        <f t="shared" si="3"/>
        <v>0</v>
      </c>
    </row>
    <row r="200" spans="2:2">
      <c r="B200">
        <f t="shared" si="3"/>
        <v>0</v>
      </c>
    </row>
    <row r="201" spans="2:2">
      <c r="B201">
        <f t="shared" si="3"/>
        <v>0</v>
      </c>
    </row>
    <row r="202" spans="2:2">
      <c r="B202">
        <f t="shared" si="3"/>
        <v>0</v>
      </c>
    </row>
    <row r="203" spans="2:2">
      <c r="B203">
        <f t="shared" si="3"/>
        <v>0</v>
      </c>
    </row>
    <row r="204" spans="2:2">
      <c r="B204">
        <f t="shared" si="3"/>
        <v>0</v>
      </c>
    </row>
    <row r="205" spans="2:2">
      <c r="B205">
        <f t="shared" si="3"/>
        <v>0</v>
      </c>
    </row>
    <row r="206" spans="2:2">
      <c r="B206">
        <f t="shared" si="3"/>
        <v>0</v>
      </c>
    </row>
    <row r="207" spans="2:2">
      <c r="B207">
        <f t="shared" si="3"/>
        <v>0</v>
      </c>
    </row>
    <row r="208" spans="2:2">
      <c r="B208">
        <f t="shared" si="3"/>
        <v>0</v>
      </c>
    </row>
    <row r="209" spans="2:2">
      <c r="B209">
        <f t="shared" si="3"/>
        <v>0</v>
      </c>
    </row>
    <row r="210" spans="2:2">
      <c r="B210">
        <f t="shared" si="3"/>
        <v>0</v>
      </c>
    </row>
    <row r="211" spans="2:2">
      <c r="B211">
        <f t="shared" si="3"/>
        <v>0</v>
      </c>
    </row>
    <row r="212" spans="2:2">
      <c r="B212">
        <f t="shared" si="3"/>
        <v>0</v>
      </c>
    </row>
    <row r="213" spans="2:2">
      <c r="B213">
        <f t="shared" si="3"/>
        <v>0</v>
      </c>
    </row>
    <row r="214" spans="2:2">
      <c r="B214">
        <f t="shared" si="3"/>
        <v>0</v>
      </c>
    </row>
    <row r="215" spans="2:2">
      <c r="B215">
        <f t="shared" si="3"/>
        <v>0</v>
      </c>
    </row>
    <row r="216" spans="2:2">
      <c r="B216">
        <f t="shared" si="3"/>
        <v>0</v>
      </c>
    </row>
    <row r="217" spans="2:2">
      <c r="B217">
        <f t="shared" si="3"/>
        <v>0</v>
      </c>
    </row>
    <row r="218" spans="2:2">
      <c r="B218">
        <f t="shared" si="3"/>
        <v>0</v>
      </c>
    </row>
    <row r="219" spans="2:2">
      <c r="B219">
        <f t="shared" si="3"/>
        <v>0</v>
      </c>
    </row>
    <row r="220" spans="2:2">
      <c r="B220">
        <f t="shared" si="3"/>
        <v>0</v>
      </c>
    </row>
    <row r="221" spans="2:2">
      <c r="B221">
        <f t="shared" si="3"/>
        <v>0</v>
      </c>
    </row>
    <row r="222" spans="2:2">
      <c r="B222">
        <f t="shared" si="3"/>
        <v>0</v>
      </c>
    </row>
    <row r="223" spans="2:2">
      <c r="B223">
        <f t="shared" si="3"/>
        <v>0</v>
      </c>
    </row>
    <row r="224" spans="2:2">
      <c r="B224">
        <f t="shared" si="3"/>
        <v>0</v>
      </c>
    </row>
    <row r="225" spans="2:2">
      <c r="B225">
        <f t="shared" si="3"/>
        <v>0</v>
      </c>
    </row>
    <row r="226" spans="2:2">
      <c r="B226">
        <f t="shared" si="3"/>
        <v>0</v>
      </c>
    </row>
    <row r="227" spans="2:2">
      <c r="B227">
        <f t="shared" si="3"/>
        <v>0</v>
      </c>
    </row>
    <row r="228" spans="2:2">
      <c r="B228">
        <f t="shared" si="3"/>
        <v>0</v>
      </c>
    </row>
    <row r="229" spans="2:2">
      <c r="B229">
        <f t="shared" si="3"/>
        <v>0</v>
      </c>
    </row>
    <row r="230" spans="2:2">
      <c r="B230">
        <f t="shared" si="3"/>
        <v>0</v>
      </c>
    </row>
    <row r="231" spans="2:2">
      <c r="B231">
        <f t="shared" si="3"/>
        <v>0</v>
      </c>
    </row>
    <row r="232" spans="2:2">
      <c r="B232">
        <f t="shared" si="3"/>
        <v>0</v>
      </c>
    </row>
    <row r="233" spans="2:2">
      <c r="B233">
        <f t="shared" si="3"/>
        <v>0</v>
      </c>
    </row>
    <row r="234" spans="2:2">
      <c r="B234">
        <f t="shared" si="3"/>
        <v>0</v>
      </c>
    </row>
    <row r="235" spans="2:2">
      <c r="B235">
        <f t="shared" si="3"/>
        <v>0</v>
      </c>
    </row>
    <row r="236" spans="2:2">
      <c r="B236">
        <f t="shared" si="3"/>
        <v>0</v>
      </c>
    </row>
    <row r="237" spans="2:2">
      <c r="B237">
        <f t="shared" si="3"/>
        <v>0</v>
      </c>
    </row>
    <row r="238" spans="2:2">
      <c r="B238">
        <f t="shared" si="3"/>
        <v>0</v>
      </c>
    </row>
    <row r="239" spans="2:2">
      <c r="B239">
        <f t="shared" si="3"/>
        <v>0</v>
      </c>
    </row>
    <row r="240" spans="2:2">
      <c r="B240">
        <f t="shared" si="3"/>
        <v>0</v>
      </c>
    </row>
    <row r="241" spans="2:2">
      <c r="B241">
        <f t="shared" si="3"/>
        <v>0</v>
      </c>
    </row>
    <row r="242" spans="2:2">
      <c r="B242">
        <f t="shared" si="3"/>
        <v>0</v>
      </c>
    </row>
    <row r="243" spans="2:2">
      <c r="B243">
        <f t="shared" si="3"/>
        <v>0</v>
      </c>
    </row>
    <row r="244" spans="2:2">
      <c r="B244">
        <f t="shared" si="3"/>
        <v>0</v>
      </c>
    </row>
    <row r="245" spans="2:2">
      <c r="B245">
        <f t="shared" si="3"/>
        <v>0</v>
      </c>
    </row>
    <row r="246" spans="2:2">
      <c r="B246">
        <f t="shared" si="3"/>
        <v>0</v>
      </c>
    </row>
    <row r="247" spans="2:2">
      <c r="B247">
        <f t="shared" si="3"/>
        <v>0</v>
      </c>
    </row>
    <row r="248" spans="2:2">
      <c r="B248">
        <f t="shared" si="3"/>
        <v>0</v>
      </c>
    </row>
    <row r="249" spans="2:2">
      <c r="B249">
        <f t="shared" si="3"/>
        <v>0</v>
      </c>
    </row>
    <row r="250" spans="2:2">
      <c r="B250">
        <f t="shared" si="3"/>
        <v>0</v>
      </c>
    </row>
    <row r="251" spans="2:2">
      <c r="B251">
        <f t="shared" si="3"/>
        <v>0</v>
      </c>
    </row>
    <row r="252" spans="2:2">
      <c r="B252">
        <f t="shared" si="3"/>
        <v>0</v>
      </c>
    </row>
    <row r="253" spans="2:2">
      <c r="B253">
        <f t="shared" si="3"/>
        <v>0</v>
      </c>
    </row>
    <row r="254" spans="2:2">
      <c r="B254">
        <f t="shared" si="3"/>
        <v>0</v>
      </c>
    </row>
    <row r="255" spans="2:2">
      <c r="B255">
        <f t="shared" si="3"/>
        <v>0</v>
      </c>
    </row>
    <row r="256" spans="2:2">
      <c r="B256">
        <f t="shared" si="3"/>
        <v>0</v>
      </c>
    </row>
    <row r="257" spans="2:2">
      <c r="B257">
        <f t="shared" si="3"/>
        <v>0</v>
      </c>
    </row>
    <row r="258" spans="2:2">
      <c r="B258">
        <f t="shared" si="3"/>
        <v>0</v>
      </c>
    </row>
    <row r="259" spans="2:2">
      <c r="B259">
        <f t="shared" ref="B259:B322" si="4">IF(NOT(ISBLANK(A259)), B258+1,)</f>
        <v>0</v>
      </c>
    </row>
    <row r="260" spans="2:2">
      <c r="B260">
        <f t="shared" si="4"/>
        <v>0</v>
      </c>
    </row>
    <row r="261" spans="2:2">
      <c r="B261">
        <f t="shared" si="4"/>
        <v>0</v>
      </c>
    </row>
    <row r="262" spans="2:2">
      <c r="B262">
        <f t="shared" si="4"/>
        <v>0</v>
      </c>
    </row>
    <row r="263" spans="2:2">
      <c r="B263">
        <f t="shared" si="4"/>
        <v>0</v>
      </c>
    </row>
    <row r="264" spans="2:2">
      <c r="B264">
        <f t="shared" si="4"/>
        <v>0</v>
      </c>
    </row>
    <row r="265" spans="2:2">
      <c r="B265">
        <f t="shared" si="4"/>
        <v>0</v>
      </c>
    </row>
    <row r="266" spans="2:2">
      <c r="B266">
        <f t="shared" si="4"/>
        <v>0</v>
      </c>
    </row>
    <row r="267" spans="2:2">
      <c r="B267">
        <f t="shared" si="4"/>
        <v>0</v>
      </c>
    </row>
    <row r="268" spans="2:2">
      <c r="B268">
        <f t="shared" si="4"/>
        <v>0</v>
      </c>
    </row>
    <row r="269" spans="2:2">
      <c r="B269">
        <f t="shared" si="4"/>
        <v>0</v>
      </c>
    </row>
    <row r="270" spans="2:2">
      <c r="B270">
        <f t="shared" si="4"/>
        <v>0</v>
      </c>
    </row>
    <row r="271" spans="2:2">
      <c r="B271">
        <f t="shared" si="4"/>
        <v>0</v>
      </c>
    </row>
    <row r="272" spans="2:2">
      <c r="B272">
        <f t="shared" si="4"/>
        <v>0</v>
      </c>
    </row>
    <row r="273" spans="2:2">
      <c r="B273">
        <f t="shared" si="4"/>
        <v>0</v>
      </c>
    </row>
    <row r="274" spans="2:2">
      <c r="B274">
        <f t="shared" si="4"/>
        <v>0</v>
      </c>
    </row>
    <row r="275" spans="2:2">
      <c r="B275">
        <f t="shared" si="4"/>
        <v>0</v>
      </c>
    </row>
    <row r="276" spans="2:2">
      <c r="B276">
        <f t="shared" si="4"/>
        <v>0</v>
      </c>
    </row>
    <row r="277" spans="2:2">
      <c r="B277">
        <f t="shared" si="4"/>
        <v>0</v>
      </c>
    </row>
    <row r="278" spans="2:2">
      <c r="B278">
        <f t="shared" si="4"/>
        <v>0</v>
      </c>
    </row>
    <row r="279" spans="2:2">
      <c r="B279">
        <f t="shared" si="4"/>
        <v>0</v>
      </c>
    </row>
    <row r="280" spans="2:2">
      <c r="B280">
        <f t="shared" si="4"/>
        <v>0</v>
      </c>
    </row>
    <row r="281" spans="2:2">
      <c r="B281">
        <f t="shared" si="4"/>
        <v>0</v>
      </c>
    </row>
    <row r="282" spans="2:2">
      <c r="B282">
        <f t="shared" si="4"/>
        <v>0</v>
      </c>
    </row>
    <row r="283" spans="2:2">
      <c r="B283">
        <f t="shared" si="4"/>
        <v>0</v>
      </c>
    </row>
    <row r="284" spans="2:2">
      <c r="B284">
        <f t="shared" si="4"/>
        <v>0</v>
      </c>
    </row>
    <row r="285" spans="2:2">
      <c r="B285">
        <f t="shared" si="4"/>
        <v>0</v>
      </c>
    </row>
    <row r="286" spans="2:2">
      <c r="B286">
        <f t="shared" si="4"/>
        <v>0</v>
      </c>
    </row>
    <row r="287" spans="2:2">
      <c r="B287">
        <f t="shared" si="4"/>
        <v>0</v>
      </c>
    </row>
    <row r="288" spans="2:2">
      <c r="B288">
        <f t="shared" si="4"/>
        <v>0</v>
      </c>
    </row>
    <row r="289" spans="2:2">
      <c r="B289">
        <f t="shared" si="4"/>
        <v>0</v>
      </c>
    </row>
    <row r="290" spans="2:2">
      <c r="B290">
        <f t="shared" si="4"/>
        <v>0</v>
      </c>
    </row>
    <row r="291" spans="2:2">
      <c r="B291">
        <f t="shared" si="4"/>
        <v>0</v>
      </c>
    </row>
    <row r="292" spans="2:2">
      <c r="B292">
        <f t="shared" si="4"/>
        <v>0</v>
      </c>
    </row>
    <row r="293" spans="2:2">
      <c r="B293">
        <f t="shared" si="4"/>
        <v>0</v>
      </c>
    </row>
    <row r="294" spans="2:2">
      <c r="B294">
        <f t="shared" si="4"/>
        <v>0</v>
      </c>
    </row>
    <row r="295" spans="2:2">
      <c r="B295">
        <f t="shared" si="4"/>
        <v>0</v>
      </c>
    </row>
    <row r="296" spans="2:2">
      <c r="B296">
        <f t="shared" si="4"/>
        <v>0</v>
      </c>
    </row>
    <row r="297" spans="2:2">
      <c r="B297">
        <f t="shared" si="4"/>
        <v>0</v>
      </c>
    </row>
    <row r="298" spans="2:2">
      <c r="B298">
        <f t="shared" si="4"/>
        <v>0</v>
      </c>
    </row>
    <row r="299" spans="2:2">
      <c r="B299">
        <f t="shared" si="4"/>
        <v>0</v>
      </c>
    </row>
    <row r="300" spans="2:2">
      <c r="B300">
        <f t="shared" si="4"/>
        <v>0</v>
      </c>
    </row>
    <row r="301" spans="2:2">
      <c r="B301">
        <f t="shared" si="4"/>
        <v>0</v>
      </c>
    </row>
    <row r="302" spans="2:2">
      <c r="B302">
        <f t="shared" si="4"/>
        <v>0</v>
      </c>
    </row>
    <row r="303" spans="2:2">
      <c r="B303">
        <f t="shared" si="4"/>
        <v>0</v>
      </c>
    </row>
    <row r="304" spans="2:2">
      <c r="B304">
        <f t="shared" si="4"/>
        <v>0</v>
      </c>
    </row>
    <row r="305" spans="2:2">
      <c r="B305">
        <f t="shared" si="4"/>
        <v>0</v>
      </c>
    </row>
    <row r="306" spans="2:2">
      <c r="B306">
        <f t="shared" si="4"/>
        <v>0</v>
      </c>
    </row>
    <row r="307" spans="2:2">
      <c r="B307">
        <f t="shared" si="4"/>
        <v>0</v>
      </c>
    </row>
    <row r="308" spans="2:2">
      <c r="B308">
        <f t="shared" si="4"/>
        <v>0</v>
      </c>
    </row>
    <row r="309" spans="2:2">
      <c r="B309">
        <f t="shared" si="4"/>
        <v>0</v>
      </c>
    </row>
    <row r="310" spans="2:2">
      <c r="B310">
        <f t="shared" si="4"/>
        <v>0</v>
      </c>
    </row>
    <row r="311" spans="2:2">
      <c r="B311">
        <f t="shared" si="4"/>
        <v>0</v>
      </c>
    </row>
    <row r="312" spans="2:2">
      <c r="B312">
        <f t="shared" si="4"/>
        <v>0</v>
      </c>
    </row>
    <row r="313" spans="2:2">
      <c r="B313">
        <f t="shared" si="4"/>
        <v>0</v>
      </c>
    </row>
    <row r="314" spans="2:2">
      <c r="B314">
        <f t="shared" si="4"/>
        <v>0</v>
      </c>
    </row>
    <row r="315" spans="2:2">
      <c r="B315">
        <f t="shared" si="4"/>
        <v>0</v>
      </c>
    </row>
    <row r="316" spans="2:2">
      <c r="B316">
        <f t="shared" si="4"/>
        <v>0</v>
      </c>
    </row>
    <row r="317" spans="2:2">
      <c r="B317">
        <f t="shared" si="4"/>
        <v>0</v>
      </c>
    </row>
    <row r="318" spans="2:2">
      <c r="B318">
        <f t="shared" si="4"/>
        <v>0</v>
      </c>
    </row>
    <row r="319" spans="2:2">
      <c r="B319">
        <f t="shared" si="4"/>
        <v>0</v>
      </c>
    </row>
    <row r="320" spans="2:2">
      <c r="B320">
        <f t="shared" si="4"/>
        <v>0</v>
      </c>
    </row>
    <row r="321" spans="2:2">
      <c r="B321">
        <f t="shared" si="4"/>
        <v>0</v>
      </c>
    </row>
    <row r="322" spans="2:2">
      <c r="B322">
        <f t="shared" si="4"/>
        <v>0</v>
      </c>
    </row>
    <row r="323" spans="2:2">
      <c r="B323">
        <f t="shared" ref="B323:B386" si="5">IF(NOT(ISBLANK(A323)), B322+1,)</f>
        <v>0</v>
      </c>
    </row>
    <row r="324" spans="2:2">
      <c r="B324">
        <f t="shared" si="5"/>
        <v>0</v>
      </c>
    </row>
    <row r="325" spans="2:2">
      <c r="B325">
        <f t="shared" si="5"/>
        <v>0</v>
      </c>
    </row>
    <row r="326" spans="2:2">
      <c r="B326">
        <f t="shared" si="5"/>
        <v>0</v>
      </c>
    </row>
    <row r="327" spans="2:2">
      <c r="B327">
        <f t="shared" si="5"/>
        <v>0</v>
      </c>
    </row>
    <row r="328" spans="2:2">
      <c r="B328">
        <f t="shared" si="5"/>
        <v>0</v>
      </c>
    </row>
    <row r="329" spans="2:2">
      <c r="B329">
        <f t="shared" si="5"/>
        <v>0</v>
      </c>
    </row>
    <row r="330" spans="2:2">
      <c r="B330">
        <f t="shared" si="5"/>
        <v>0</v>
      </c>
    </row>
    <row r="331" spans="2:2">
      <c r="B331">
        <f t="shared" si="5"/>
        <v>0</v>
      </c>
    </row>
    <row r="332" spans="2:2">
      <c r="B332">
        <f t="shared" si="5"/>
        <v>0</v>
      </c>
    </row>
    <row r="333" spans="2:2">
      <c r="B333">
        <f t="shared" si="5"/>
        <v>0</v>
      </c>
    </row>
    <row r="334" spans="2:2">
      <c r="B334">
        <f t="shared" si="5"/>
        <v>0</v>
      </c>
    </row>
    <row r="335" spans="2:2">
      <c r="B335">
        <f t="shared" si="5"/>
        <v>0</v>
      </c>
    </row>
    <row r="336" spans="2:2">
      <c r="B336">
        <f t="shared" si="5"/>
        <v>0</v>
      </c>
    </row>
    <row r="337" spans="2:2">
      <c r="B337">
        <f t="shared" si="5"/>
        <v>0</v>
      </c>
    </row>
    <row r="338" spans="2:2">
      <c r="B338">
        <f t="shared" si="5"/>
        <v>0</v>
      </c>
    </row>
    <row r="339" spans="2:2">
      <c r="B339">
        <f t="shared" si="5"/>
        <v>0</v>
      </c>
    </row>
    <row r="340" spans="2:2">
      <c r="B340">
        <f t="shared" si="5"/>
        <v>0</v>
      </c>
    </row>
    <row r="341" spans="2:2">
      <c r="B341">
        <f t="shared" si="5"/>
        <v>0</v>
      </c>
    </row>
    <row r="342" spans="2:2">
      <c r="B342">
        <f t="shared" si="5"/>
        <v>0</v>
      </c>
    </row>
    <row r="343" spans="2:2">
      <c r="B343">
        <f t="shared" si="5"/>
        <v>0</v>
      </c>
    </row>
    <row r="344" spans="2:2">
      <c r="B344">
        <f t="shared" si="5"/>
        <v>0</v>
      </c>
    </row>
    <row r="345" spans="2:2">
      <c r="B345">
        <f t="shared" si="5"/>
        <v>0</v>
      </c>
    </row>
    <row r="346" spans="2:2">
      <c r="B346">
        <f t="shared" si="5"/>
        <v>0</v>
      </c>
    </row>
    <row r="347" spans="2:2">
      <c r="B347">
        <f t="shared" si="5"/>
        <v>0</v>
      </c>
    </row>
    <row r="348" spans="2:2">
      <c r="B348">
        <f t="shared" si="5"/>
        <v>0</v>
      </c>
    </row>
    <row r="349" spans="2:2">
      <c r="B349">
        <f t="shared" si="5"/>
        <v>0</v>
      </c>
    </row>
    <row r="350" spans="2:2">
      <c r="B350">
        <f t="shared" si="5"/>
        <v>0</v>
      </c>
    </row>
    <row r="351" spans="2:2">
      <c r="B351">
        <f t="shared" si="5"/>
        <v>0</v>
      </c>
    </row>
    <row r="352" spans="2:2">
      <c r="B352">
        <f t="shared" si="5"/>
        <v>0</v>
      </c>
    </row>
    <row r="353" spans="2:2">
      <c r="B353">
        <f t="shared" si="5"/>
        <v>0</v>
      </c>
    </row>
    <row r="354" spans="2:2">
      <c r="B354">
        <f t="shared" si="5"/>
        <v>0</v>
      </c>
    </row>
    <row r="355" spans="2:2">
      <c r="B355">
        <f t="shared" si="5"/>
        <v>0</v>
      </c>
    </row>
    <row r="356" spans="2:2">
      <c r="B356">
        <f t="shared" si="5"/>
        <v>0</v>
      </c>
    </row>
    <row r="357" spans="2:2">
      <c r="B357">
        <f t="shared" si="5"/>
        <v>0</v>
      </c>
    </row>
    <row r="358" spans="2:2">
      <c r="B358">
        <f t="shared" si="5"/>
        <v>0</v>
      </c>
    </row>
    <row r="359" spans="2:2">
      <c r="B359">
        <f t="shared" si="5"/>
        <v>0</v>
      </c>
    </row>
    <row r="360" spans="2:2">
      <c r="B360">
        <f t="shared" si="5"/>
        <v>0</v>
      </c>
    </row>
    <row r="361" spans="2:2">
      <c r="B361">
        <f t="shared" si="5"/>
        <v>0</v>
      </c>
    </row>
    <row r="362" spans="2:2">
      <c r="B362">
        <f t="shared" si="5"/>
        <v>0</v>
      </c>
    </row>
    <row r="363" spans="2:2">
      <c r="B363">
        <f t="shared" si="5"/>
        <v>0</v>
      </c>
    </row>
    <row r="364" spans="2:2">
      <c r="B364">
        <f t="shared" si="5"/>
        <v>0</v>
      </c>
    </row>
    <row r="365" spans="2:2">
      <c r="B365">
        <f t="shared" si="5"/>
        <v>0</v>
      </c>
    </row>
    <row r="366" spans="2:2">
      <c r="B366">
        <f t="shared" si="5"/>
        <v>0</v>
      </c>
    </row>
    <row r="367" spans="2:2">
      <c r="B367">
        <f t="shared" si="5"/>
        <v>0</v>
      </c>
    </row>
    <row r="368" spans="2:2">
      <c r="B368">
        <f t="shared" si="5"/>
        <v>0</v>
      </c>
    </row>
    <row r="369" spans="2:2">
      <c r="B369">
        <f t="shared" si="5"/>
        <v>0</v>
      </c>
    </row>
    <row r="370" spans="2:2">
      <c r="B370">
        <f t="shared" si="5"/>
        <v>0</v>
      </c>
    </row>
    <row r="371" spans="2:2">
      <c r="B371">
        <f t="shared" si="5"/>
        <v>0</v>
      </c>
    </row>
    <row r="372" spans="2:2">
      <c r="B372">
        <f t="shared" si="5"/>
        <v>0</v>
      </c>
    </row>
    <row r="373" spans="2:2">
      <c r="B373">
        <f t="shared" si="5"/>
        <v>0</v>
      </c>
    </row>
    <row r="374" spans="2:2">
      <c r="B374">
        <f t="shared" si="5"/>
        <v>0</v>
      </c>
    </row>
    <row r="375" spans="2:2">
      <c r="B375">
        <f t="shared" si="5"/>
        <v>0</v>
      </c>
    </row>
    <row r="376" spans="2:2">
      <c r="B376">
        <f t="shared" si="5"/>
        <v>0</v>
      </c>
    </row>
    <row r="377" spans="2:2">
      <c r="B377">
        <f t="shared" si="5"/>
        <v>0</v>
      </c>
    </row>
    <row r="378" spans="2:2">
      <c r="B378">
        <f t="shared" si="5"/>
        <v>0</v>
      </c>
    </row>
    <row r="379" spans="2:2">
      <c r="B379">
        <f t="shared" si="5"/>
        <v>0</v>
      </c>
    </row>
    <row r="380" spans="2:2">
      <c r="B380">
        <f t="shared" si="5"/>
        <v>0</v>
      </c>
    </row>
    <row r="381" spans="2:2">
      <c r="B381">
        <f t="shared" si="5"/>
        <v>0</v>
      </c>
    </row>
    <row r="382" spans="2:2">
      <c r="B382">
        <f t="shared" si="5"/>
        <v>0</v>
      </c>
    </row>
    <row r="383" spans="2:2">
      <c r="B383">
        <f t="shared" si="5"/>
        <v>0</v>
      </c>
    </row>
    <row r="384" spans="2:2">
      <c r="B384">
        <f t="shared" si="5"/>
        <v>0</v>
      </c>
    </row>
    <row r="385" spans="2:2">
      <c r="B385">
        <f t="shared" si="5"/>
        <v>0</v>
      </c>
    </row>
    <row r="386" spans="2:2">
      <c r="B386">
        <f t="shared" si="5"/>
        <v>0</v>
      </c>
    </row>
    <row r="387" spans="2:2">
      <c r="B387">
        <f t="shared" ref="B387:B450" si="6">IF(NOT(ISBLANK(A387)), B386+1,)</f>
        <v>0</v>
      </c>
    </row>
    <row r="388" spans="2:2">
      <c r="B388">
        <f t="shared" si="6"/>
        <v>0</v>
      </c>
    </row>
    <row r="389" spans="2:2">
      <c r="B389">
        <f t="shared" si="6"/>
        <v>0</v>
      </c>
    </row>
    <row r="390" spans="2:2">
      <c r="B390">
        <f t="shared" si="6"/>
        <v>0</v>
      </c>
    </row>
    <row r="391" spans="2:2">
      <c r="B391">
        <f t="shared" si="6"/>
        <v>0</v>
      </c>
    </row>
    <row r="392" spans="2:2">
      <c r="B392">
        <f t="shared" si="6"/>
        <v>0</v>
      </c>
    </row>
    <row r="393" spans="2:2">
      <c r="B393">
        <f t="shared" si="6"/>
        <v>0</v>
      </c>
    </row>
    <row r="394" spans="2:2">
      <c r="B394">
        <f t="shared" si="6"/>
        <v>0</v>
      </c>
    </row>
    <row r="395" spans="2:2">
      <c r="B395">
        <f t="shared" si="6"/>
        <v>0</v>
      </c>
    </row>
    <row r="396" spans="2:2">
      <c r="B396">
        <f t="shared" si="6"/>
        <v>0</v>
      </c>
    </row>
    <row r="397" spans="2:2">
      <c r="B397">
        <f t="shared" si="6"/>
        <v>0</v>
      </c>
    </row>
    <row r="398" spans="2:2">
      <c r="B398">
        <f t="shared" si="6"/>
        <v>0</v>
      </c>
    </row>
    <row r="399" spans="2:2">
      <c r="B399">
        <f t="shared" si="6"/>
        <v>0</v>
      </c>
    </row>
    <row r="400" spans="2:2">
      <c r="B400">
        <f t="shared" si="6"/>
        <v>0</v>
      </c>
    </row>
    <row r="401" spans="2:2">
      <c r="B401">
        <f t="shared" si="6"/>
        <v>0</v>
      </c>
    </row>
    <row r="402" spans="2:2">
      <c r="B402">
        <f t="shared" si="6"/>
        <v>0</v>
      </c>
    </row>
    <row r="403" spans="2:2">
      <c r="B403">
        <f t="shared" si="6"/>
        <v>0</v>
      </c>
    </row>
    <row r="404" spans="2:2">
      <c r="B404">
        <f t="shared" si="6"/>
        <v>0</v>
      </c>
    </row>
    <row r="405" spans="2:2">
      <c r="B405">
        <f t="shared" si="6"/>
        <v>0</v>
      </c>
    </row>
    <row r="406" spans="2:2">
      <c r="B406">
        <f t="shared" si="6"/>
        <v>0</v>
      </c>
    </row>
    <row r="407" spans="2:2">
      <c r="B407">
        <f t="shared" si="6"/>
        <v>0</v>
      </c>
    </row>
    <row r="408" spans="2:2">
      <c r="B408">
        <f t="shared" si="6"/>
        <v>0</v>
      </c>
    </row>
    <row r="409" spans="2:2">
      <c r="B409">
        <f t="shared" si="6"/>
        <v>0</v>
      </c>
    </row>
    <row r="410" spans="2:2">
      <c r="B410">
        <f t="shared" si="6"/>
        <v>0</v>
      </c>
    </row>
    <row r="411" spans="2:2">
      <c r="B411">
        <f t="shared" si="6"/>
        <v>0</v>
      </c>
    </row>
    <row r="412" spans="2:2">
      <c r="B412">
        <f t="shared" si="6"/>
        <v>0</v>
      </c>
    </row>
    <row r="413" spans="2:2">
      <c r="B413">
        <f t="shared" si="6"/>
        <v>0</v>
      </c>
    </row>
    <row r="414" spans="2:2">
      <c r="B414">
        <f t="shared" si="6"/>
        <v>0</v>
      </c>
    </row>
    <row r="415" spans="2:2">
      <c r="B415">
        <f t="shared" si="6"/>
        <v>0</v>
      </c>
    </row>
    <row r="416" spans="2:2">
      <c r="B416">
        <f t="shared" si="6"/>
        <v>0</v>
      </c>
    </row>
    <row r="417" spans="2:2">
      <c r="B417">
        <f t="shared" si="6"/>
        <v>0</v>
      </c>
    </row>
    <row r="418" spans="2:2">
      <c r="B418">
        <f t="shared" si="6"/>
        <v>0</v>
      </c>
    </row>
    <row r="419" spans="2:2">
      <c r="B419">
        <f t="shared" si="6"/>
        <v>0</v>
      </c>
    </row>
    <row r="420" spans="2:2">
      <c r="B420">
        <f t="shared" si="6"/>
        <v>0</v>
      </c>
    </row>
    <row r="421" spans="2:2">
      <c r="B421">
        <f t="shared" si="6"/>
        <v>0</v>
      </c>
    </row>
    <row r="422" spans="2:2">
      <c r="B422">
        <f t="shared" si="6"/>
        <v>0</v>
      </c>
    </row>
    <row r="423" spans="2:2">
      <c r="B423">
        <f t="shared" si="6"/>
        <v>0</v>
      </c>
    </row>
    <row r="424" spans="2:2">
      <c r="B424">
        <f t="shared" si="6"/>
        <v>0</v>
      </c>
    </row>
    <row r="425" spans="2:2">
      <c r="B425">
        <f t="shared" si="6"/>
        <v>0</v>
      </c>
    </row>
    <row r="426" spans="2:2">
      <c r="B426">
        <f t="shared" si="6"/>
        <v>0</v>
      </c>
    </row>
    <row r="427" spans="2:2">
      <c r="B427">
        <f t="shared" si="6"/>
        <v>0</v>
      </c>
    </row>
    <row r="428" spans="2:2">
      <c r="B428">
        <f t="shared" si="6"/>
        <v>0</v>
      </c>
    </row>
    <row r="429" spans="2:2">
      <c r="B429">
        <f t="shared" si="6"/>
        <v>0</v>
      </c>
    </row>
    <row r="430" spans="2:2">
      <c r="B430">
        <f t="shared" si="6"/>
        <v>0</v>
      </c>
    </row>
    <row r="431" spans="2:2">
      <c r="B431">
        <f t="shared" si="6"/>
        <v>0</v>
      </c>
    </row>
    <row r="432" spans="2:2">
      <c r="B432">
        <f t="shared" si="6"/>
        <v>0</v>
      </c>
    </row>
    <row r="433" spans="2:2">
      <c r="B433">
        <f t="shared" si="6"/>
        <v>0</v>
      </c>
    </row>
    <row r="434" spans="2:2">
      <c r="B434">
        <f t="shared" si="6"/>
        <v>0</v>
      </c>
    </row>
    <row r="435" spans="2:2">
      <c r="B435">
        <f t="shared" si="6"/>
        <v>0</v>
      </c>
    </row>
    <row r="436" spans="2:2">
      <c r="B436">
        <f t="shared" si="6"/>
        <v>0</v>
      </c>
    </row>
    <row r="437" spans="2:2">
      <c r="B437">
        <f t="shared" si="6"/>
        <v>0</v>
      </c>
    </row>
    <row r="438" spans="2:2">
      <c r="B438">
        <f t="shared" si="6"/>
        <v>0</v>
      </c>
    </row>
    <row r="439" spans="2:2">
      <c r="B439">
        <f t="shared" si="6"/>
        <v>0</v>
      </c>
    </row>
    <row r="440" spans="2:2">
      <c r="B440">
        <f t="shared" si="6"/>
        <v>0</v>
      </c>
    </row>
    <row r="441" spans="2:2">
      <c r="B441">
        <f t="shared" si="6"/>
        <v>0</v>
      </c>
    </row>
    <row r="442" spans="2:2">
      <c r="B442">
        <f t="shared" si="6"/>
        <v>0</v>
      </c>
    </row>
    <row r="443" spans="2:2">
      <c r="B443">
        <f t="shared" si="6"/>
        <v>0</v>
      </c>
    </row>
    <row r="444" spans="2:2">
      <c r="B444">
        <f t="shared" si="6"/>
        <v>0</v>
      </c>
    </row>
    <row r="445" spans="2:2">
      <c r="B445">
        <f t="shared" si="6"/>
        <v>0</v>
      </c>
    </row>
    <row r="446" spans="2:2">
      <c r="B446">
        <f t="shared" si="6"/>
        <v>0</v>
      </c>
    </row>
    <row r="447" spans="2:2">
      <c r="B447">
        <f t="shared" si="6"/>
        <v>0</v>
      </c>
    </row>
    <row r="448" spans="2:2">
      <c r="B448">
        <f t="shared" si="6"/>
        <v>0</v>
      </c>
    </row>
    <row r="449" spans="2:2">
      <c r="B449">
        <f t="shared" si="6"/>
        <v>0</v>
      </c>
    </row>
    <row r="450" spans="2:2">
      <c r="B450">
        <f t="shared" si="6"/>
        <v>0</v>
      </c>
    </row>
    <row r="451" spans="2:2">
      <c r="B451">
        <f t="shared" ref="B451:B481" si="7">IF(NOT(ISBLANK(A451)), B450+1,)</f>
        <v>0</v>
      </c>
    </row>
    <row r="452" spans="2:2">
      <c r="B452">
        <f t="shared" si="7"/>
        <v>0</v>
      </c>
    </row>
    <row r="453" spans="2:2">
      <c r="B453">
        <f t="shared" si="7"/>
        <v>0</v>
      </c>
    </row>
    <row r="454" spans="2:2">
      <c r="B454">
        <f t="shared" si="7"/>
        <v>0</v>
      </c>
    </row>
    <row r="455" spans="2:2">
      <c r="B455">
        <f t="shared" si="7"/>
        <v>0</v>
      </c>
    </row>
    <row r="456" spans="2:2">
      <c r="B456">
        <f t="shared" si="7"/>
        <v>0</v>
      </c>
    </row>
    <row r="457" spans="2:2">
      <c r="B457">
        <f t="shared" si="7"/>
        <v>0</v>
      </c>
    </row>
    <row r="458" spans="2:2">
      <c r="B458">
        <f t="shared" si="7"/>
        <v>0</v>
      </c>
    </row>
    <row r="459" spans="2:2">
      <c r="B459">
        <f t="shared" si="7"/>
        <v>0</v>
      </c>
    </row>
    <row r="460" spans="2:2">
      <c r="B460">
        <f t="shared" si="7"/>
        <v>0</v>
      </c>
    </row>
    <row r="461" spans="2:2">
      <c r="B461">
        <f t="shared" si="7"/>
        <v>0</v>
      </c>
    </row>
    <row r="462" spans="2:2">
      <c r="B462">
        <f t="shared" si="7"/>
        <v>0</v>
      </c>
    </row>
    <row r="463" spans="2:2">
      <c r="B463">
        <f t="shared" si="7"/>
        <v>0</v>
      </c>
    </row>
    <row r="464" spans="2:2">
      <c r="B464">
        <f t="shared" si="7"/>
        <v>0</v>
      </c>
    </row>
    <row r="465" spans="2:2">
      <c r="B465">
        <f t="shared" si="7"/>
        <v>0</v>
      </c>
    </row>
    <row r="466" spans="2:2">
      <c r="B466">
        <f t="shared" si="7"/>
        <v>0</v>
      </c>
    </row>
    <row r="467" spans="2:2">
      <c r="B467">
        <f t="shared" si="7"/>
        <v>0</v>
      </c>
    </row>
    <row r="468" spans="2:2">
      <c r="B468">
        <f t="shared" si="7"/>
        <v>0</v>
      </c>
    </row>
    <row r="469" spans="2:2">
      <c r="B469">
        <f t="shared" si="7"/>
        <v>0</v>
      </c>
    </row>
    <row r="470" spans="2:2">
      <c r="B470">
        <f t="shared" si="7"/>
        <v>0</v>
      </c>
    </row>
    <row r="471" spans="2:2">
      <c r="B471">
        <f t="shared" si="7"/>
        <v>0</v>
      </c>
    </row>
    <row r="472" spans="2:2">
      <c r="B472">
        <f t="shared" si="7"/>
        <v>0</v>
      </c>
    </row>
    <row r="473" spans="2:2">
      <c r="B473">
        <f t="shared" si="7"/>
        <v>0</v>
      </c>
    </row>
    <row r="474" spans="2:2">
      <c r="B474">
        <f t="shared" si="7"/>
        <v>0</v>
      </c>
    </row>
    <row r="475" spans="2:2">
      <c r="B475">
        <f t="shared" si="7"/>
        <v>0</v>
      </c>
    </row>
    <row r="476" spans="2:2">
      <c r="B476">
        <f t="shared" si="7"/>
        <v>0</v>
      </c>
    </row>
    <row r="477" spans="2:2">
      <c r="B477">
        <f t="shared" si="7"/>
        <v>0</v>
      </c>
    </row>
    <row r="478" spans="2:2">
      <c r="B478">
        <f t="shared" si="7"/>
        <v>0</v>
      </c>
    </row>
    <row r="479" spans="2:2">
      <c r="B479">
        <f t="shared" si="7"/>
        <v>0</v>
      </c>
    </row>
    <row r="480" spans="2:2">
      <c r="B480">
        <f t="shared" si="7"/>
        <v>0</v>
      </c>
    </row>
    <row r="481" spans="2:2">
      <c r="B481">
        <f t="shared" si="7"/>
        <v>0</v>
      </c>
    </row>
  </sheetData>
  <sheetProtection algorithmName="SHA-512" hashValue="ciwlPZccAyuJYrzDRt2HA++uMR/JXBCLw4mvx743DhFz04r+iqZk/aZ/3lTZ+dE6d8DUejcA02LhHW5rQIIB1Q==" saltValue="SNqoIYKgPz89Tc/ZaD5spg==" spinCount="100000" sheet="1" selectLockedCells="1" selectUnlockedCells="1"/>
  <pageMargins left="0.7" right="0.7" top="0.75" bottom="0.75" header="0.3" footer="0.3"/>
  <legacyDrawing r:id="rId1"/>
  <tableParts count="5">
    <tablePart r:id="rId2"/>
    <tablePart r:id="rId3"/>
    <tablePart r:id="rId4"/>
    <tablePart r:id="rId5"/>
    <tablePart r:id="rId6"/>
  </tablePart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553D55F-DC5F-4F60-810F-A97D4112AC92}">
  <dimension ref="B1:M5681"/>
  <sheetViews>
    <sheetView tabSelected="1" zoomScaleNormal="100" workbookViewId="0">
      <selection activeCell="J3989" sqref="J3989"/>
    </sheetView>
  </sheetViews>
  <sheetFormatPr defaultColWidth="52.5" defaultRowHeight="14.25"/>
  <cols>
    <col min="1" max="1" width="55.375" style="69" customWidth="1"/>
    <col min="2" max="2" width="13" style="69" hidden="1" customWidth="1"/>
    <col min="3" max="3" width="16.625" style="69" hidden="1" customWidth="1"/>
    <col min="4" max="4" width="15.375" style="69" hidden="1" customWidth="1"/>
    <col min="5" max="5" width="15.625" style="69" hidden="1" customWidth="1"/>
    <col min="6" max="6" width="11.125" style="69" hidden="1" customWidth="1"/>
    <col min="7" max="7" width="11.625" style="69" hidden="1" customWidth="1"/>
    <col min="8" max="8" width="24.875" style="69" customWidth="1"/>
    <col min="9" max="9" width="19.375" style="69" customWidth="1"/>
    <col min="10" max="10" width="18.125" style="69" bestFit="1" customWidth="1"/>
    <col min="11" max="12" width="81" style="69" bestFit="1" customWidth="1"/>
    <col min="13" max="13" width="15.625" style="69" bestFit="1" customWidth="1"/>
    <col min="14" max="16384" width="52.5" style="69"/>
  </cols>
  <sheetData>
    <row r="1" spans="2:13" ht="88.5" customHeight="1"/>
    <row r="2" spans="2:13">
      <c r="B2" s="69" t="s">
        <v>42</v>
      </c>
      <c r="C2" s="69" t="s">
        <v>43</v>
      </c>
      <c r="D2" s="69" t="s">
        <v>44</v>
      </c>
      <c r="E2" s="69" t="s">
        <v>45</v>
      </c>
      <c r="F2" s="69" t="s">
        <v>46</v>
      </c>
      <c r="G2" s="69" t="s">
        <v>2</v>
      </c>
      <c r="H2" s="69" t="s">
        <v>3</v>
      </c>
      <c r="I2" s="69" t="s">
        <v>47</v>
      </c>
      <c r="J2" s="69" t="s">
        <v>48</v>
      </c>
      <c r="K2" s="69" t="s">
        <v>49</v>
      </c>
      <c r="L2" s="69" t="s">
        <v>50</v>
      </c>
      <c r="M2" s="69" t="s">
        <v>51</v>
      </c>
    </row>
    <row r="3" spans="2:13">
      <c r="B3" s="69">
        <v>1</v>
      </c>
      <c r="C3" s="69">
        <v>1</v>
      </c>
      <c r="D3" s="69">
        <v>5</v>
      </c>
      <c r="E3" s="69">
        <v>0</v>
      </c>
      <c r="F3" s="69">
        <v>0</v>
      </c>
      <c r="G3" s="69" t="s">
        <v>8</v>
      </c>
      <c r="H3" s="69" t="s">
        <v>52</v>
      </c>
      <c r="I3" s="69" t="s">
        <v>53</v>
      </c>
      <c r="J3" s="69" t="s">
        <v>54</v>
      </c>
      <c r="K3" s="69" t="s">
        <v>53</v>
      </c>
      <c r="M3" s="69" t="s">
        <v>6</v>
      </c>
    </row>
    <row r="4" spans="2:13">
      <c r="B4" s="69">
        <v>2</v>
      </c>
      <c r="C4" s="69">
        <v>1</v>
      </c>
      <c r="D4" s="69">
        <v>5</v>
      </c>
      <c r="E4" s="69">
        <v>1</v>
      </c>
      <c r="F4" s="69">
        <v>0</v>
      </c>
      <c r="G4" s="69" t="s">
        <v>8</v>
      </c>
      <c r="H4" s="69" t="s">
        <v>52</v>
      </c>
      <c r="I4" s="69" t="s">
        <v>53</v>
      </c>
      <c r="J4" s="69" t="s">
        <v>55</v>
      </c>
      <c r="K4" s="69" t="s">
        <v>56</v>
      </c>
      <c r="M4" s="69" t="s">
        <v>6</v>
      </c>
    </row>
    <row r="5" spans="2:13">
      <c r="B5" s="69">
        <v>3</v>
      </c>
      <c r="C5" s="69">
        <v>1</v>
      </c>
      <c r="D5" s="69">
        <v>5</v>
      </c>
      <c r="E5" s="69">
        <v>2</v>
      </c>
      <c r="F5" s="69">
        <v>0</v>
      </c>
      <c r="G5" s="69" t="s">
        <v>8</v>
      </c>
      <c r="H5" s="69" t="s">
        <v>52</v>
      </c>
      <c r="I5" s="69" t="s">
        <v>53</v>
      </c>
      <c r="J5" s="69" t="s">
        <v>55</v>
      </c>
      <c r="K5" s="69" t="s">
        <v>57</v>
      </c>
      <c r="M5" s="69" t="s">
        <v>6</v>
      </c>
    </row>
    <row r="6" spans="2:13">
      <c r="B6" s="69">
        <v>4</v>
      </c>
      <c r="C6" s="69">
        <v>1</v>
      </c>
      <c r="D6" s="69">
        <v>5</v>
      </c>
      <c r="E6" s="69">
        <v>3</v>
      </c>
      <c r="F6" s="69">
        <v>0</v>
      </c>
      <c r="G6" s="69" t="s">
        <v>8</v>
      </c>
      <c r="H6" s="69" t="s">
        <v>52</v>
      </c>
      <c r="I6" s="69" t="s">
        <v>53</v>
      </c>
      <c r="J6" s="69" t="s">
        <v>55</v>
      </c>
      <c r="K6" s="69" t="s">
        <v>58</v>
      </c>
      <c r="M6" s="69" t="s">
        <v>6</v>
      </c>
    </row>
    <row r="7" spans="2:13">
      <c r="B7" s="69">
        <v>5</v>
      </c>
      <c r="C7" s="69">
        <v>1</v>
      </c>
      <c r="D7" s="69">
        <v>5</v>
      </c>
      <c r="E7" s="69">
        <v>4</v>
      </c>
      <c r="F7" s="69">
        <v>0</v>
      </c>
      <c r="G7" s="69" t="s">
        <v>8</v>
      </c>
      <c r="H7" s="69" t="s">
        <v>52</v>
      </c>
      <c r="I7" s="69" t="s">
        <v>53</v>
      </c>
      <c r="J7" s="69" t="s">
        <v>55</v>
      </c>
      <c r="K7" s="69" t="s">
        <v>59</v>
      </c>
      <c r="M7" s="69" t="s">
        <v>6</v>
      </c>
    </row>
    <row r="8" spans="2:13">
      <c r="B8" s="69">
        <v>6</v>
      </c>
      <c r="C8" s="69">
        <v>1</v>
      </c>
      <c r="D8" s="69">
        <v>5</v>
      </c>
      <c r="E8" s="69">
        <v>5</v>
      </c>
      <c r="F8" s="69">
        <v>0</v>
      </c>
      <c r="G8" s="69" t="s">
        <v>8</v>
      </c>
      <c r="H8" s="69" t="s">
        <v>52</v>
      </c>
      <c r="I8" s="69" t="s">
        <v>53</v>
      </c>
      <c r="J8" s="69" t="s">
        <v>55</v>
      </c>
      <c r="K8" s="69" t="s">
        <v>60</v>
      </c>
      <c r="M8" s="69" t="s">
        <v>6</v>
      </c>
    </row>
    <row r="9" spans="2:13">
      <c r="B9" s="69">
        <v>7</v>
      </c>
      <c r="C9" s="69">
        <v>2</v>
      </c>
      <c r="D9" s="69">
        <v>4</v>
      </c>
      <c r="E9" s="69">
        <v>0</v>
      </c>
      <c r="F9" s="69">
        <v>0</v>
      </c>
      <c r="G9" s="69" t="s">
        <v>8</v>
      </c>
      <c r="H9" s="69" t="s">
        <v>52</v>
      </c>
      <c r="I9" s="69" t="s">
        <v>61</v>
      </c>
      <c r="J9" s="69" t="s">
        <v>54</v>
      </c>
      <c r="K9" s="69" t="s">
        <v>61</v>
      </c>
      <c r="M9" s="69" t="s">
        <v>6</v>
      </c>
    </row>
    <row r="10" spans="2:13">
      <c r="B10" s="69">
        <v>8</v>
      </c>
      <c r="C10" s="69">
        <v>2</v>
      </c>
      <c r="D10" s="69">
        <v>4</v>
      </c>
      <c r="E10" s="69">
        <v>1</v>
      </c>
      <c r="F10" s="69">
        <v>0</v>
      </c>
      <c r="G10" s="69" t="s">
        <v>8</v>
      </c>
      <c r="H10" s="69" t="s">
        <v>52</v>
      </c>
      <c r="I10" s="69" t="s">
        <v>61</v>
      </c>
      <c r="J10" s="69" t="s">
        <v>55</v>
      </c>
      <c r="K10" s="69" t="s">
        <v>62</v>
      </c>
      <c r="M10" s="69" t="s">
        <v>6</v>
      </c>
    </row>
    <row r="11" spans="2:13">
      <c r="B11" s="69">
        <v>9</v>
      </c>
      <c r="C11" s="69">
        <v>2</v>
      </c>
      <c r="D11" s="69">
        <v>4</v>
      </c>
      <c r="E11" s="69">
        <v>2</v>
      </c>
      <c r="F11" s="69">
        <v>0</v>
      </c>
      <c r="G11" s="69" t="s">
        <v>8</v>
      </c>
      <c r="H11" s="69" t="s">
        <v>52</v>
      </c>
      <c r="I11" s="69" t="s">
        <v>61</v>
      </c>
      <c r="J11" s="69" t="s">
        <v>55</v>
      </c>
      <c r="K11" s="69" t="s">
        <v>63</v>
      </c>
      <c r="M11" s="69" t="s">
        <v>6</v>
      </c>
    </row>
    <row r="12" spans="2:13">
      <c r="B12" s="69">
        <v>10</v>
      </c>
      <c r="C12" s="69">
        <v>2</v>
      </c>
      <c r="D12" s="69">
        <v>4</v>
      </c>
      <c r="E12" s="69">
        <v>3</v>
      </c>
      <c r="F12" s="69">
        <v>0</v>
      </c>
      <c r="G12" s="69" t="s">
        <v>8</v>
      </c>
      <c r="H12" s="69" t="s">
        <v>52</v>
      </c>
      <c r="I12" s="69" t="s">
        <v>61</v>
      </c>
      <c r="J12" s="69" t="s">
        <v>64</v>
      </c>
      <c r="K12" s="69" t="s">
        <v>65</v>
      </c>
      <c r="M12" s="69" t="s">
        <v>6</v>
      </c>
    </row>
    <row r="13" spans="2:13">
      <c r="B13" s="69">
        <v>11</v>
      </c>
      <c r="C13" s="69">
        <v>2</v>
      </c>
      <c r="D13" s="69">
        <v>4</v>
      </c>
      <c r="E13" s="69">
        <v>4</v>
      </c>
      <c r="F13" s="69">
        <v>0</v>
      </c>
      <c r="G13" s="69" t="s">
        <v>8</v>
      </c>
      <c r="H13" s="69" t="s">
        <v>52</v>
      </c>
      <c r="I13" s="69" t="s">
        <v>61</v>
      </c>
      <c r="J13" s="69" t="s">
        <v>55</v>
      </c>
      <c r="K13" s="69" t="s">
        <v>66</v>
      </c>
      <c r="M13" s="69" t="s">
        <v>6</v>
      </c>
    </row>
    <row r="14" spans="2:13">
      <c r="B14" s="69">
        <v>12</v>
      </c>
      <c r="C14" s="69">
        <v>3</v>
      </c>
      <c r="D14" s="69">
        <v>3</v>
      </c>
      <c r="E14" s="69">
        <v>0</v>
      </c>
      <c r="F14" s="69">
        <v>0</v>
      </c>
      <c r="G14" s="69" t="s">
        <v>8</v>
      </c>
      <c r="H14" s="69" t="s">
        <v>52</v>
      </c>
      <c r="I14" s="69" t="s">
        <v>67</v>
      </c>
      <c r="J14" s="69" t="s">
        <v>54</v>
      </c>
      <c r="K14" s="69" t="s">
        <v>67</v>
      </c>
      <c r="M14" s="69" t="s">
        <v>6</v>
      </c>
    </row>
    <row r="15" spans="2:13">
      <c r="B15" s="69">
        <v>13</v>
      </c>
      <c r="C15" s="69">
        <v>3</v>
      </c>
      <c r="D15" s="69">
        <v>3</v>
      </c>
      <c r="E15" s="69">
        <v>1</v>
      </c>
      <c r="F15" s="69">
        <v>0</v>
      </c>
      <c r="G15" s="69" t="s">
        <v>8</v>
      </c>
      <c r="H15" s="69" t="s">
        <v>52</v>
      </c>
      <c r="I15" s="69" t="s">
        <v>67</v>
      </c>
      <c r="J15" s="69" t="s">
        <v>55</v>
      </c>
      <c r="K15" s="69" t="s">
        <v>68</v>
      </c>
      <c r="M15" s="69" t="s">
        <v>6</v>
      </c>
    </row>
    <row r="16" spans="2:13">
      <c r="B16" s="69">
        <v>14</v>
      </c>
      <c r="C16" s="69">
        <v>3</v>
      </c>
      <c r="D16" s="69">
        <v>3</v>
      </c>
      <c r="E16" s="69">
        <v>2</v>
      </c>
      <c r="F16" s="69">
        <v>0</v>
      </c>
      <c r="G16" s="69" t="s">
        <v>8</v>
      </c>
      <c r="H16" s="69" t="s">
        <v>52</v>
      </c>
      <c r="I16" s="69" t="s">
        <v>67</v>
      </c>
      <c r="J16" s="69" t="s">
        <v>55</v>
      </c>
      <c r="K16" s="69" t="s">
        <v>69</v>
      </c>
      <c r="M16" s="69" t="s">
        <v>6</v>
      </c>
    </row>
    <row r="17" spans="2:13">
      <c r="B17" s="69">
        <v>15</v>
      </c>
      <c r="C17" s="69">
        <v>3</v>
      </c>
      <c r="D17" s="69">
        <v>3</v>
      </c>
      <c r="E17" s="69">
        <v>3</v>
      </c>
      <c r="F17" s="69">
        <v>0</v>
      </c>
      <c r="G17" s="69" t="s">
        <v>8</v>
      </c>
      <c r="H17" s="69" t="s">
        <v>52</v>
      </c>
      <c r="I17" s="69" t="s">
        <v>67</v>
      </c>
      <c r="J17" s="69" t="s">
        <v>55</v>
      </c>
      <c r="K17" s="69" t="s">
        <v>70</v>
      </c>
      <c r="M17" s="69" t="s">
        <v>6</v>
      </c>
    </row>
    <row r="18" spans="2:13">
      <c r="B18" s="69">
        <v>16</v>
      </c>
      <c r="C18" s="69">
        <v>4</v>
      </c>
      <c r="D18" s="69">
        <v>4</v>
      </c>
      <c r="E18" s="69">
        <v>0</v>
      </c>
      <c r="F18" s="69">
        <v>0</v>
      </c>
      <c r="G18" s="69" t="s">
        <v>8</v>
      </c>
      <c r="H18" s="69" t="s">
        <v>52</v>
      </c>
      <c r="I18" s="69" t="s">
        <v>71</v>
      </c>
      <c r="J18" s="69" t="s">
        <v>54</v>
      </c>
      <c r="K18" s="69" t="s">
        <v>71</v>
      </c>
      <c r="M18" s="69" t="s">
        <v>6</v>
      </c>
    </row>
    <row r="19" spans="2:13">
      <c r="B19" s="69">
        <v>17</v>
      </c>
      <c r="C19" s="69">
        <v>4</v>
      </c>
      <c r="D19" s="69">
        <v>4</v>
      </c>
      <c r="E19" s="69">
        <v>1</v>
      </c>
      <c r="F19" s="69">
        <v>0</v>
      </c>
      <c r="G19" s="69" t="s">
        <v>8</v>
      </c>
      <c r="H19" s="69" t="s">
        <v>52</v>
      </c>
      <c r="I19" s="69" t="s">
        <v>71</v>
      </c>
      <c r="J19" s="69" t="s">
        <v>55</v>
      </c>
      <c r="K19" s="69" t="s">
        <v>62</v>
      </c>
      <c r="M19" s="69" t="s">
        <v>6</v>
      </c>
    </row>
    <row r="20" spans="2:13">
      <c r="B20" s="69">
        <v>18</v>
      </c>
      <c r="C20" s="69">
        <v>4</v>
      </c>
      <c r="D20" s="69">
        <v>4</v>
      </c>
      <c r="E20" s="69">
        <v>2</v>
      </c>
      <c r="F20" s="69">
        <v>0</v>
      </c>
      <c r="G20" s="69" t="s">
        <v>8</v>
      </c>
      <c r="H20" s="69" t="s">
        <v>52</v>
      </c>
      <c r="I20" s="69" t="s">
        <v>71</v>
      </c>
      <c r="J20" s="69" t="s">
        <v>55</v>
      </c>
      <c r="K20" s="69" t="s">
        <v>63</v>
      </c>
      <c r="M20" s="69" t="s">
        <v>6</v>
      </c>
    </row>
    <row r="21" spans="2:13">
      <c r="B21" s="69">
        <v>19</v>
      </c>
      <c r="C21" s="69">
        <v>4</v>
      </c>
      <c r="D21" s="69">
        <v>4</v>
      </c>
      <c r="E21" s="69">
        <v>3</v>
      </c>
      <c r="F21" s="69">
        <v>0</v>
      </c>
      <c r="G21" s="69" t="s">
        <v>8</v>
      </c>
      <c r="H21" s="69" t="s">
        <v>52</v>
      </c>
      <c r="I21" s="69" t="s">
        <v>71</v>
      </c>
      <c r="J21" s="69" t="s">
        <v>64</v>
      </c>
      <c r="K21" s="69" t="s">
        <v>65</v>
      </c>
      <c r="M21" s="69" t="s">
        <v>6</v>
      </c>
    </row>
    <row r="22" spans="2:13">
      <c r="B22" s="69">
        <v>20</v>
      </c>
      <c r="C22" s="69">
        <v>4</v>
      </c>
      <c r="D22" s="69">
        <v>4</v>
      </c>
      <c r="E22" s="69">
        <v>4</v>
      </c>
      <c r="F22" s="69">
        <v>0</v>
      </c>
      <c r="G22" s="69" t="s">
        <v>8</v>
      </c>
      <c r="H22" s="69" t="s">
        <v>52</v>
      </c>
      <c r="I22" s="69" t="s">
        <v>71</v>
      </c>
      <c r="J22" s="69" t="s">
        <v>55</v>
      </c>
      <c r="K22" s="69" t="s">
        <v>72</v>
      </c>
      <c r="M22" s="69" t="s">
        <v>6</v>
      </c>
    </row>
    <row r="23" spans="2:13">
      <c r="B23" s="69">
        <v>21</v>
      </c>
      <c r="C23" s="69">
        <v>5</v>
      </c>
      <c r="D23" s="69">
        <v>4</v>
      </c>
      <c r="E23" s="69">
        <v>0</v>
      </c>
      <c r="F23" s="69">
        <v>0</v>
      </c>
      <c r="G23" s="69" t="s">
        <v>8</v>
      </c>
      <c r="H23" s="69" t="s">
        <v>52</v>
      </c>
      <c r="I23" s="69" t="s">
        <v>73</v>
      </c>
      <c r="J23" s="69" t="s">
        <v>54</v>
      </c>
      <c r="K23" s="69" t="s">
        <v>73</v>
      </c>
      <c r="M23" s="69" t="s">
        <v>6</v>
      </c>
    </row>
    <row r="24" spans="2:13">
      <c r="B24" s="69">
        <v>22</v>
      </c>
      <c r="C24" s="69">
        <v>5</v>
      </c>
      <c r="D24" s="69">
        <v>4</v>
      </c>
      <c r="E24" s="69">
        <v>1</v>
      </c>
      <c r="F24" s="69">
        <v>0</v>
      </c>
      <c r="G24" s="69" t="s">
        <v>8</v>
      </c>
      <c r="H24" s="69" t="s">
        <v>52</v>
      </c>
      <c r="I24" s="69" t="s">
        <v>73</v>
      </c>
      <c r="J24" s="69" t="s">
        <v>55</v>
      </c>
      <c r="K24" s="69" t="s">
        <v>62</v>
      </c>
      <c r="M24" s="69" t="s">
        <v>6</v>
      </c>
    </row>
    <row r="25" spans="2:13">
      <c r="B25" s="69">
        <v>23</v>
      </c>
      <c r="C25" s="69">
        <v>5</v>
      </c>
      <c r="D25" s="69">
        <v>4</v>
      </c>
      <c r="E25" s="69">
        <v>2</v>
      </c>
      <c r="F25" s="69">
        <v>0</v>
      </c>
      <c r="G25" s="69" t="s">
        <v>8</v>
      </c>
      <c r="H25" s="69" t="s">
        <v>52</v>
      </c>
      <c r="I25" s="69" t="s">
        <v>73</v>
      </c>
      <c r="J25" s="69" t="s">
        <v>55</v>
      </c>
      <c r="K25" s="69" t="s">
        <v>63</v>
      </c>
      <c r="M25" s="69" t="s">
        <v>6</v>
      </c>
    </row>
    <row r="26" spans="2:13">
      <c r="B26" s="69">
        <v>24</v>
      </c>
      <c r="C26" s="69">
        <v>5</v>
      </c>
      <c r="D26" s="69">
        <v>4</v>
      </c>
      <c r="E26" s="69">
        <v>3</v>
      </c>
      <c r="F26" s="69">
        <v>0</v>
      </c>
      <c r="G26" s="69" t="s">
        <v>8</v>
      </c>
      <c r="H26" s="69" t="s">
        <v>52</v>
      </c>
      <c r="I26" s="69" t="s">
        <v>73</v>
      </c>
      <c r="J26" s="69" t="s">
        <v>64</v>
      </c>
      <c r="K26" s="69" t="s">
        <v>65</v>
      </c>
      <c r="M26" s="69" t="s">
        <v>6</v>
      </c>
    </row>
    <row r="27" spans="2:13">
      <c r="B27" s="69">
        <v>25</v>
      </c>
      <c r="C27" s="69">
        <v>5</v>
      </c>
      <c r="D27" s="69">
        <v>4</v>
      </c>
      <c r="E27" s="69">
        <v>4</v>
      </c>
      <c r="F27" s="69">
        <v>0</v>
      </c>
      <c r="G27" s="69" t="s">
        <v>8</v>
      </c>
      <c r="H27" s="69" t="s">
        <v>52</v>
      </c>
      <c r="I27" s="69" t="s">
        <v>73</v>
      </c>
      <c r="J27" s="69" t="s">
        <v>55</v>
      </c>
      <c r="K27" s="69" t="s">
        <v>66</v>
      </c>
      <c r="M27" s="69" t="s">
        <v>6</v>
      </c>
    </row>
    <row r="28" spans="2:13">
      <c r="B28" s="69">
        <v>26</v>
      </c>
      <c r="C28" s="69">
        <v>6</v>
      </c>
      <c r="D28" s="69">
        <v>4</v>
      </c>
      <c r="E28" s="69">
        <v>0</v>
      </c>
      <c r="F28" s="69">
        <v>0</v>
      </c>
      <c r="G28" s="69" t="s">
        <v>8</v>
      </c>
      <c r="H28" s="69" t="s">
        <v>52</v>
      </c>
      <c r="I28" s="69" t="s">
        <v>74</v>
      </c>
      <c r="J28" s="69" t="s">
        <v>54</v>
      </c>
      <c r="K28" s="69" t="s">
        <v>74</v>
      </c>
      <c r="M28" s="69" t="s">
        <v>6</v>
      </c>
    </row>
    <row r="29" spans="2:13">
      <c r="B29" s="69">
        <v>27</v>
      </c>
      <c r="C29" s="69">
        <v>6</v>
      </c>
      <c r="D29" s="69">
        <v>4</v>
      </c>
      <c r="E29" s="69">
        <v>1</v>
      </c>
      <c r="F29" s="69">
        <v>0</v>
      </c>
      <c r="G29" s="69" t="s">
        <v>8</v>
      </c>
      <c r="H29" s="69" t="s">
        <v>52</v>
      </c>
      <c r="I29" s="69" t="s">
        <v>74</v>
      </c>
      <c r="J29" s="69" t="s">
        <v>55</v>
      </c>
      <c r="K29" s="69" t="s">
        <v>62</v>
      </c>
      <c r="M29" s="69" t="s">
        <v>6</v>
      </c>
    </row>
    <row r="30" spans="2:13">
      <c r="B30" s="69">
        <v>28</v>
      </c>
      <c r="C30" s="69">
        <v>6</v>
      </c>
      <c r="D30" s="69">
        <v>4</v>
      </c>
      <c r="E30" s="69">
        <v>2</v>
      </c>
      <c r="F30" s="69">
        <v>0</v>
      </c>
      <c r="G30" s="69" t="s">
        <v>8</v>
      </c>
      <c r="H30" s="69" t="s">
        <v>52</v>
      </c>
      <c r="I30" s="69" t="s">
        <v>74</v>
      </c>
      <c r="J30" s="69" t="s">
        <v>55</v>
      </c>
      <c r="K30" s="69" t="s">
        <v>63</v>
      </c>
      <c r="M30" s="69" t="s">
        <v>6</v>
      </c>
    </row>
    <row r="31" spans="2:13">
      <c r="B31" s="69">
        <v>29</v>
      </c>
      <c r="C31" s="69">
        <v>6</v>
      </c>
      <c r="D31" s="69">
        <v>4</v>
      </c>
      <c r="E31" s="69">
        <v>3</v>
      </c>
      <c r="F31" s="69">
        <v>0</v>
      </c>
      <c r="G31" s="69" t="s">
        <v>8</v>
      </c>
      <c r="H31" s="69" t="s">
        <v>52</v>
      </c>
      <c r="I31" s="69" t="s">
        <v>74</v>
      </c>
      <c r="J31" s="69" t="s">
        <v>64</v>
      </c>
      <c r="K31" s="69" t="s">
        <v>65</v>
      </c>
      <c r="M31" s="69" t="s">
        <v>6</v>
      </c>
    </row>
    <row r="32" spans="2:13">
      <c r="B32" s="69">
        <v>30</v>
      </c>
      <c r="C32" s="69">
        <v>6</v>
      </c>
      <c r="D32" s="69">
        <v>4</v>
      </c>
      <c r="E32" s="69">
        <v>4</v>
      </c>
      <c r="F32" s="69">
        <v>0</v>
      </c>
      <c r="G32" s="69" t="s">
        <v>8</v>
      </c>
      <c r="H32" s="69" t="s">
        <v>52</v>
      </c>
      <c r="I32" s="69" t="s">
        <v>74</v>
      </c>
      <c r="J32" s="69" t="s">
        <v>55</v>
      </c>
      <c r="K32" s="69" t="s">
        <v>75</v>
      </c>
      <c r="M32" s="69" t="s">
        <v>6</v>
      </c>
    </row>
    <row r="33" spans="2:13">
      <c r="B33" s="69">
        <v>31</v>
      </c>
      <c r="C33" s="69">
        <v>7</v>
      </c>
      <c r="D33" s="69">
        <v>4</v>
      </c>
      <c r="E33" s="69">
        <v>0</v>
      </c>
      <c r="F33" s="69">
        <v>0</v>
      </c>
      <c r="G33" s="69" t="s">
        <v>8</v>
      </c>
      <c r="H33" s="69" t="s">
        <v>52</v>
      </c>
      <c r="I33" s="69" t="s">
        <v>76</v>
      </c>
      <c r="J33" s="69" t="s">
        <v>54</v>
      </c>
      <c r="K33" s="69" t="s">
        <v>76</v>
      </c>
      <c r="M33" s="69" t="s">
        <v>6</v>
      </c>
    </row>
    <row r="34" spans="2:13">
      <c r="B34" s="69">
        <v>32</v>
      </c>
      <c r="C34" s="69">
        <v>7</v>
      </c>
      <c r="D34" s="69">
        <v>4</v>
      </c>
      <c r="E34" s="69">
        <v>1</v>
      </c>
      <c r="F34" s="69">
        <v>0</v>
      </c>
      <c r="G34" s="69" t="s">
        <v>8</v>
      </c>
      <c r="H34" s="69" t="s">
        <v>52</v>
      </c>
      <c r="I34" s="69" t="s">
        <v>76</v>
      </c>
      <c r="J34" s="69" t="s">
        <v>55</v>
      </c>
      <c r="K34" s="69" t="s">
        <v>62</v>
      </c>
      <c r="M34" s="69" t="s">
        <v>6</v>
      </c>
    </row>
    <row r="35" spans="2:13">
      <c r="B35" s="69">
        <v>33</v>
      </c>
      <c r="C35" s="69">
        <v>7</v>
      </c>
      <c r="D35" s="69">
        <v>4</v>
      </c>
      <c r="E35" s="69">
        <v>2</v>
      </c>
      <c r="F35" s="69">
        <v>0</v>
      </c>
      <c r="G35" s="69" t="s">
        <v>8</v>
      </c>
      <c r="H35" s="69" t="s">
        <v>52</v>
      </c>
      <c r="I35" s="69" t="s">
        <v>76</v>
      </c>
      <c r="J35" s="69" t="s">
        <v>55</v>
      </c>
      <c r="K35" s="69" t="s">
        <v>63</v>
      </c>
      <c r="M35" s="69" t="s">
        <v>6</v>
      </c>
    </row>
    <row r="36" spans="2:13">
      <c r="B36" s="69">
        <v>34</v>
      </c>
      <c r="C36" s="69">
        <v>7</v>
      </c>
      <c r="D36" s="69">
        <v>4</v>
      </c>
      <c r="E36" s="69">
        <v>3</v>
      </c>
      <c r="F36" s="69">
        <v>0</v>
      </c>
      <c r="G36" s="69" t="s">
        <v>8</v>
      </c>
      <c r="H36" s="69" t="s">
        <v>52</v>
      </c>
      <c r="I36" s="69" t="s">
        <v>76</v>
      </c>
      <c r="J36" s="69" t="s">
        <v>64</v>
      </c>
      <c r="K36" s="69" t="s">
        <v>65</v>
      </c>
      <c r="M36" s="69" t="s">
        <v>6</v>
      </c>
    </row>
    <row r="37" spans="2:13">
      <c r="B37" s="69">
        <v>35</v>
      </c>
      <c r="C37" s="69">
        <v>7</v>
      </c>
      <c r="D37" s="69">
        <v>4</v>
      </c>
      <c r="E37" s="69">
        <v>4</v>
      </c>
      <c r="F37" s="69">
        <v>0</v>
      </c>
      <c r="G37" s="69" t="s">
        <v>8</v>
      </c>
      <c r="H37" s="69" t="s">
        <v>52</v>
      </c>
      <c r="I37" s="69" t="s">
        <v>76</v>
      </c>
      <c r="J37" s="69" t="s">
        <v>55</v>
      </c>
      <c r="K37" s="69" t="s">
        <v>77</v>
      </c>
      <c r="M37" s="69" t="s">
        <v>6</v>
      </c>
    </row>
    <row r="38" spans="2:13">
      <c r="B38" s="69">
        <v>36</v>
      </c>
      <c r="C38" s="69">
        <v>8</v>
      </c>
      <c r="D38" s="69">
        <v>4</v>
      </c>
      <c r="E38" s="69">
        <v>0</v>
      </c>
      <c r="F38" s="69">
        <v>0</v>
      </c>
      <c r="G38" s="69" t="s">
        <v>8</v>
      </c>
      <c r="H38" s="69" t="s">
        <v>52</v>
      </c>
      <c r="I38" s="69" t="s">
        <v>78</v>
      </c>
      <c r="J38" s="69" t="s">
        <v>54</v>
      </c>
      <c r="K38" s="69" t="s">
        <v>78</v>
      </c>
      <c r="M38" s="69" t="s">
        <v>6</v>
      </c>
    </row>
    <row r="39" spans="2:13">
      <c r="B39" s="69">
        <v>37</v>
      </c>
      <c r="C39" s="69">
        <v>8</v>
      </c>
      <c r="D39" s="69">
        <v>4</v>
      </c>
      <c r="E39" s="69">
        <v>1</v>
      </c>
      <c r="F39" s="69">
        <v>0</v>
      </c>
      <c r="G39" s="69" t="s">
        <v>8</v>
      </c>
      <c r="H39" s="69" t="s">
        <v>52</v>
      </c>
      <c r="I39" s="69" t="s">
        <v>78</v>
      </c>
      <c r="J39" s="69" t="s">
        <v>55</v>
      </c>
      <c r="K39" s="69" t="s">
        <v>62</v>
      </c>
      <c r="M39" s="69" t="s">
        <v>6</v>
      </c>
    </row>
    <row r="40" spans="2:13">
      <c r="B40" s="69">
        <v>38</v>
      </c>
      <c r="C40" s="69">
        <v>8</v>
      </c>
      <c r="D40" s="69">
        <v>4</v>
      </c>
      <c r="E40" s="69">
        <v>2</v>
      </c>
      <c r="F40" s="69">
        <v>0</v>
      </c>
      <c r="G40" s="69" t="s">
        <v>8</v>
      </c>
      <c r="H40" s="69" t="s">
        <v>52</v>
      </c>
      <c r="I40" s="69" t="s">
        <v>78</v>
      </c>
      <c r="J40" s="69" t="s">
        <v>55</v>
      </c>
      <c r="K40" s="69" t="s">
        <v>63</v>
      </c>
      <c r="M40" s="69" t="s">
        <v>6</v>
      </c>
    </row>
    <row r="41" spans="2:13">
      <c r="B41" s="69">
        <v>39</v>
      </c>
      <c r="C41" s="69">
        <v>8</v>
      </c>
      <c r="D41" s="69">
        <v>4</v>
      </c>
      <c r="E41" s="69">
        <v>3</v>
      </c>
      <c r="F41" s="69">
        <v>0</v>
      </c>
      <c r="G41" s="69" t="s">
        <v>8</v>
      </c>
      <c r="H41" s="69" t="s">
        <v>52</v>
      </c>
      <c r="I41" s="69" t="s">
        <v>78</v>
      </c>
      <c r="J41" s="69" t="s">
        <v>64</v>
      </c>
      <c r="K41" s="69" t="s">
        <v>65</v>
      </c>
      <c r="M41" s="69" t="s">
        <v>6</v>
      </c>
    </row>
    <row r="42" spans="2:13">
      <c r="B42" s="69">
        <v>40</v>
      </c>
      <c r="C42" s="69">
        <v>8</v>
      </c>
      <c r="D42" s="69">
        <v>4</v>
      </c>
      <c r="E42" s="69">
        <v>4</v>
      </c>
      <c r="F42" s="69">
        <v>0</v>
      </c>
      <c r="G42" s="69" t="s">
        <v>8</v>
      </c>
      <c r="H42" s="69" t="s">
        <v>52</v>
      </c>
      <c r="I42" s="69" t="s">
        <v>78</v>
      </c>
      <c r="J42" s="69" t="s">
        <v>55</v>
      </c>
      <c r="K42" s="69" t="s">
        <v>79</v>
      </c>
      <c r="M42" s="69" t="s">
        <v>6</v>
      </c>
    </row>
    <row r="43" spans="2:13">
      <c r="B43" s="69">
        <v>41</v>
      </c>
      <c r="C43" s="69">
        <v>10</v>
      </c>
      <c r="D43" s="69">
        <v>4</v>
      </c>
      <c r="E43" s="69">
        <v>0</v>
      </c>
      <c r="F43" s="69">
        <v>0</v>
      </c>
      <c r="G43" s="69" t="s">
        <v>8</v>
      </c>
      <c r="H43" s="69" t="s">
        <v>52</v>
      </c>
      <c r="I43" s="69" t="s">
        <v>80</v>
      </c>
      <c r="J43" s="69" t="s">
        <v>54</v>
      </c>
      <c r="K43" s="69" t="s">
        <v>80</v>
      </c>
      <c r="M43" s="69" t="s">
        <v>6</v>
      </c>
    </row>
    <row r="44" spans="2:13">
      <c r="B44" s="69">
        <v>42</v>
      </c>
      <c r="C44" s="69">
        <v>10</v>
      </c>
      <c r="D44" s="69">
        <v>4</v>
      </c>
      <c r="E44" s="69">
        <v>1</v>
      </c>
      <c r="F44" s="69">
        <v>0</v>
      </c>
      <c r="G44" s="69" t="s">
        <v>8</v>
      </c>
      <c r="H44" s="69" t="s">
        <v>52</v>
      </c>
      <c r="I44" s="69" t="s">
        <v>80</v>
      </c>
      <c r="J44" s="69" t="s">
        <v>55</v>
      </c>
      <c r="K44" s="69" t="s">
        <v>62</v>
      </c>
      <c r="M44" s="69" t="s">
        <v>6</v>
      </c>
    </row>
    <row r="45" spans="2:13">
      <c r="B45" s="69">
        <v>43</v>
      </c>
      <c r="C45" s="69">
        <v>10</v>
      </c>
      <c r="D45" s="69">
        <v>4</v>
      </c>
      <c r="E45" s="69">
        <v>2</v>
      </c>
      <c r="F45" s="69">
        <v>0</v>
      </c>
      <c r="G45" s="69" t="s">
        <v>8</v>
      </c>
      <c r="H45" s="69" t="s">
        <v>52</v>
      </c>
      <c r="I45" s="69" t="s">
        <v>80</v>
      </c>
      <c r="J45" s="69" t="s">
        <v>55</v>
      </c>
      <c r="K45" s="69" t="s">
        <v>63</v>
      </c>
      <c r="M45" s="69" t="s">
        <v>6</v>
      </c>
    </row>
    <row r="46" spans="2:13">
      <c r="B46" s="69">
        <v>44</v>
      </c>
      <c r="C46" s="69">
        <v>10</v>
      </c>
      <c r="D46" s="69">
        <v>4</v>
      </c>
      <c r="E46" s="69">
        <v>3</v>
      </c>
      <c r="F46" s="69">
        <v>0</v>
      </c>
      <c r="G46" s="69" t="s">
        <v>8</v>
      </c>
      <c r="H46" s="69" t="s">
        <v>52</v>
      </c>
      <c r="I46" s="69" t="s">
        <v>80</v>
      </c>
      <c r="J46" s="69" t="s">
        <v>64</v>
      </c>
      <c r="K46" s="69" t="s">
        <v>65</v>
      </c>
      <c r="M46" s="69" t="s">
        <v>6</v>
      </c>
    </row>
    <row r="47" spans="2:13">
      <c r="B47" s="69">
        <v>45</v>
      </c>
      <c r="C47" s="69">
        <v>10</v>
      </c>
      <c r="D47" s="69">
        <v>4</v>
      </c>
      <c r="E47" s="69">
        <v>4</v>
      </c>
      <c r="F47" s="69">
        <v>0</v>
      </c>
      <c r="G47" s="69" t="s">
        <v>8</v>
      </c>
      <c r="H47" s="69" t="s">
        <v>52</v>
      </c>
      <c r="I47" s="69" t="s">
        <v>80</v>
      </c>
      <c r="J47" s="69" t="s">
        <v>55</v>
      </c>
      <c r="K47" s="69" t="s">
        <v>81</v>
      </c>
      <c r="M47" s="69" t="s">
        <v>6</v>
      </c>
    </row>
    <row r="48" spans="2:13">
      <c r="B48" s="69">
        <v>46</v>
      </c>
      <c r="C48" s="69">
        <v>11</v>
      </c>
      <c r="D48" s="69">
        <v>4</v>
      </c>
      <c r="E48" s="69">
        <v>0</v>
      </c>
      <c r="F48" s="69">
        <v>0</v>
      </c>
      <c r="G48" s="69" t="s">
        <v>8</v>
      </c>
      <c r="H48" s="69" t="s">
        <v>52</v>
      </c>
      <c r="I48" s="69" t="s">
        <v>82</v>
      </c>
      <c r="J48" s="69" t="s">
        <v>54</v>
      </c>
      <c r="K48" s="69" t="s">
        <v>82</v>
      </c>
      <c r="M48" s="69" t="s">
        <v>6</v>
      </c>
    </row>
    <row r="49" spans="2:13">
      <c r="B49" s="69">
        <v>47</v>
      </c>
      <c r="C49" s="69">
        <v>11</v>
      </c>
      <c r="D49" s="69">
        <v>4</v>
      </c>
      <c r="E49" s="69">
        <v>1</v>
      </c>
      <c r="F49" s="69">
        <v>0</v>
      </c>
      <c r="G49" s="69" t="s">
        <v>8</v>
      </c>
      <c r="H49" s="69" t="s">
        <v>52</v>
      </c>
      <c r="I49" s="69" t="s">
        <v>82</v>
      </c>
      <c r="J49" s="69" t="s">
        <v>55</v>
      </c>
      <c r="K49" s="69" t="s">
        <v>62</v>
      </c>
      <c r="M49" s="69" t="s">
        <v>6</v>
      </c>
    </row>
    <row r="50" spans="2:13">
      <c r="B50" s="69">
        <v>48</v>
      </c>
      <c r="C50" s="69">
        <v>11</v>
      </c>
      <c r="D50" s="69">
        <v>4</v>
      </c>
      <c r="E50" s="69">
        <v>2</v>
      </c>
      <c r="F50" s="69">
        <v>0</v>
      </c>
      <c r="G50" s="69" t="s">
        <v>8</v>
      </c>
      <c r="H50" s="69" t="s">
        <v>52</v>
      </c>
      <c r="I50" s="69" t="s">
        <v>82</v>
      </c>
      <c r="J50" s="69" t="s">
        <v>55</v>
      </c>
      <c r="K50" s="69" t="s">
        <v>63</v>
      </c>
      <c r="M50" s="69" t="s">
        <v>6</v>
      </c>
    </row>
    <row r="51" spans="2:13">
      <c r="B51" s="69">
        <v>49</v>
      </c>
      <c r="C51" s="69">
        <v>11</v>
      </c>
      <c r="D51" s="69">
        <v>4</v>
      </c>
      <c r="E51" s="69">
        <v>3</v>
      </c>
      <c r="F51" s="69">
        <v>0</v>
      </c>
      <c r="G51" s="69" t="s">
        <v>8</v>
      </c>
      <c r="H51" s="69" t="s">
        <v>52</v>
      </c>
      <c r="I51" s="69" t="s">
        <v>82</v>
      </c>
      <c r="J51" s="69" t="s">
        <v>64</v>
      </c>
      <c r="K51" s="69" t="s">
        <v>65</v>
      </c>
      <c r="M51" s="69" t="s">
        <v>6</v>
      </c>
    </row>
    <row r="52" spans="2:13">
      <c r="B52" s="69">
        <v>50</v>
      </c>
      <c r="C52" s="69">
        <v>11</v>
      </c>
      <c r="D52" s="69">
        <v>4</v>
      </c>
      <c r="E52" s="69">
        <v>4</v>
      </c>
      <c r="F52" s="69">
        <v>0</v>
      </c>
      <c r="G52" s="69" t="s">
        <v>8</v>
      </c>
      <c r="H52" s="69" t="s">
        <v>52</v>
      </c>
      <c r="I52" s="69" t="s">
        <v>82</v>
      </c>
      <c r="J52" s="69" t="s">
        <v>55</v>
      </c>
      <c r="K52" s="69" t="s">
        <v>83</v>
      </c>
      <c r="M52" s="69" t="s">
        <v>6</v>
      </c>
    </row>
    <row r="53" spans="2:13">
      <c r="B53" s="69">
        <v>51</v>
      </c>
      <c r="C53" s="69">
        <v>12</v>
      </c>
      <c r="D53" s="69">
        <v>11</v>
      </c>
      <c r="E53" s="69">
        <v>0</v>
      </c>
      <c r="F53" s="69">
        <v>0</v>
      </c>
      <c r="G53" s="69" t="s">
        <v>8</v>
      </c>
      <c r="H53" s="69" t="s">
        <v>9</v>
      </c>
      <c r="I53" s="69" t="s">
        <v>84</v>
      </c>
      <c r="J53" s="69" t="s">
        <v>54</v>
      </c>
      <c r="K53" s="69" t="s">
        <v>84</v>
      </c>
      <c r="M53" s="69" t="s">
        <v>6</v>
      </c>
    </row>
    <row r="54" spans="2:13">
      <c r="B54" s="69">
        <v>52</v>
      </c>
      <c r="C54" s="69">
        <v>12</v>
      </c>
      <c r="D54" s="69">
        <v>11</v>
      </c>
      <c r="E54" s="69">
        <v>1</v>
      </c>
      <c r="F54" s="69">
        <v>0</v>
      </c>
      <c r="G54" s="69" t="s">
        <v>8</v>
      </c>
      <c r="H54" s="69" t="s">
        <v>9</v>
      </c>
      <c r="I54" s="69" t="s">
        <v>84</v>
      </c>
      <c r="J54" s="69" t="s">
        <v>55</v>
      </c>
      <c r="K54" s="69" t="s">
        <v>85</v>
      </c>
      <c r="M54" s="69" t="s">
        <v>6</v>
      </c>
    </row>
    <row r="55" spans="2:13">
      <c r="B55" s="69">
        <v>53</v>
      </c>
      <c r="C55" s="69">
        <v>12</v>
      </c>
      <c r="D55" s="69">
        <v>11</v>
      </c>
      <c r="E55" s="69">
        <v>2</v>
      </c>
      <c r="F55" s="69">
        <v>0</v>
      </c>
      <c r="G55" s="69" t="s">
        <v>8</v>
      </c>
      <c r="H55" s="69" t="s">
        <v>9</v>
      </c>
      <c r="I55" s="69" t="s">
        <v>84</v>
      </c>
      <c r="J55" s="69" t="s">
        <v>55</v>
      </c>
      <c r="K55" s="69" t="s">
        <v>86</v>
      </c>
      <c r="M55" s="69" t="s">
        <v>6</v>
      </c>
    </row>
    <row r="56" spans="2:13">
      <c r="B56" s="69">
        <v>54</v>
      </c>
      <c r="C56" s="69">
        <v>12</v>
      </c>
      <c r="D56" s="69">
        <v>11</v>
      </c>
      <c r="E56" s="69">
        <v>3</v>
      </c>
      <c r="F56" s="69">
        <v>0</v>
      </c>
      <c r="G56" s="69" t="s">
        <v>8</v>
      </c>
      <c r="H56" s="69" t="s">
        <v>9</v>
      </c>
      <c r="I56" s="69" t="s">
        <v>84</v>
      </c>
      <c r="J56" s="69" t="s">
        <v>55</v>
      </c>
      <c r="K56" s="69" t="s">
        <v>87</v>
      </c>
      <c r="M56" s="69" t="s">
        <v>6</v>
      </c>
    </row>
    <row r="57" spans="2:13">
      <c r="B57" s="69">
        <v>55</v>
      </c>
      <c r="C57" s="69">
        <v>12</v>
      </c>
      <c r="D57" s="69">
        <v>11</v>
      </c>
      <c r="E57" s="69">
        <v>4</v>
      </c>
      <c r="F57" s="69">
        <v>0</v>
      </c>
      <c r="G57" s="69" t="s">
        <v>8</v>
      </c>
      <c r="H57" s="69" t="s">
        <v>9</v>
      </c>
      <c r="I57" s="69" t="s">
        <v>84</v>
      </c>
      <c r="J57" s="69" t="s">
        <v>55</v>
      </c>
      <c r="K57" s="69" t="s">
        <v>88</v>
      </c>
      <c r="M57" s="69" t="s">
        <v>6</v>
      </c>
    </row>
    <row r="58" spans="2:13">
      <c r="B58" s="69">
        <v>56</v>
      </c>
      <c r="C58" s="69">
        <v>12</v>
      </c>
      <c r="D58" s="69">
        <v>11</v>
      </c>
      <c r="E58" s="69">
        <v>5</v>
      </c>
      <c r="F58" s="69">
        <v>0</v>
      </c>
      <c r="G58" s="69" t="s">
        <v>8</v>
      </c>
      <c r="H58" s="69" t="s">
        <v>9</v>
      </c>
      <c r="I58" s="69" t="s">
        <v>84</v>
      </c>
      <c r="J58" s="69" t="s">
        <v>55</v>
      </c>
      <c r="K58" s="69" t="s">
        <v>89</v>
      </c>
      <c r="M58" s="69" t="s">
        <v>6</v>
      </c>
    </row>
    <row r="59" spans="2:13">
      <c r="B59" s="69">
        <v>57</v>
      </c>
      <c r="C59" s="69">
        <v>12</v>
      </c>
      <c r="D59" s="69">
        <v>11</v>
      </c>
      <c r="E59" s="69">
        <v>6</v>
      </c>
      <c r="F59" s="69">
        <v>0</v>
      </c>
      <c r="G59" s="69" t="s">
        <v>8</v>
      </c>
      <c r="H59" s="69" t="s">
        <v>9</v>
      </c>
      <c r="I59" s="69" t="s">
        <v>84</v>
      </c>
      <c r="J59" s="69" t="s">
        <v>55</v>
      </c>
      <c r="K59" s="69" t="s">
        <v>90</v>
      </c>
      <c r="M59" s="69" t="s">
        <v>6</v>
      </c>
    </row>
    <row r="60" spans="2:13">
      <c r="B60" s="69">
        <v>58</v>
      </c>
      <c r="C60" s="69">
        <v>12</v>
      </c>
      <c r="D60" s="69">
        <v>11</v>
      </c>
      <c r="E60" s="69">
        <v>7</v>
      </c>
      <c r="F60" s="69">
        <v>0</v>
      </c>
      <c r="G60" s="69" t="s">
        <v>8</v>
      </c>
      <c r="H60" s="69" t="s">
        <v>9</v>
      </c>
      <c r="I60" s="69" t="s">
        <v>84</v>
      </c>
      <c r="J60" s="69" t="s">
        <v>55</v>
      </c>
      <c r="K60" s="69" t="s">
        <v>91</v>
      </c>
      <c r="M60" s="69" t="s">
        <v>6</v>
      </c>
    </row>
    <row r="61" spans="2:13">
      <c r="B61" s="69">
        <v>59</v>
      </c>
      <c r="C61" s="69">
        <v>12</v>
      </c>
      <c r="D61" s="69">
        <v>11</v>
      </c>
      <c r="E61" s="69">
        <v>8</v>
      </c>
      <c r="F61" s="69">
        <v>0</v>
      </c>
      <c r="G61" s="69" t="s">
        <v>8</v>
      </c>
      <c r="H61" s="69" t="s">
        <v>9</v>
      </c>
      <c r="I61" s="69" t="s">
        <v>84</v>
      </c>
      <c r="J61" s="69" t="s">
        <v>55</v>
      </c>
      <c r="K61" s="69" t="s">
        <v>92</v>
      </c>
      <c r="M61" s="69" t="s">
        <v>6</v>
      </c>
    </row>
    <row r="62" spans="2:13">
      <c r="B62" s="69">
        <v>60</v>
      </c>
      <c r="C62" s="69">
        <v>12</v>
      </c>
      <c r="D62" s="69">
        <v>11</v>
      </c>
      <c r="E62" s="69">
        <v>9</v>
      </c>
      <c r="F62" s="69">
        <v>0</v>
      </c>
      <c r="G62" s="69" t="s">
        <v>8</v>
      </c>
      <c r="H62" s="69" t="s">
        <v>9</v>
      </c>
      <c r="I62" s="69" t="s">
        <v>84</v>
      </c>
      <c r="J62" s="69" t="s">
        <v>55</v>
      </c>
      <c r="K62" s="69" t="s">
        <v>66</v>
      </c>
      <c r="M62" s="69" t="s">
        <v>6</v>
      </c>
    </row>
    <row r="63" spans="2:13">
      <c r="B63" s="69">
        <v>61</v>
      </c>
      <c r="C63" s="69">
        <v>12</v>
      </c>
      <c r="D63" s="69">
        <v>11</v>
      </c>
      <c r="E63" s="69">
        <v>10</v>
      </c>
      <c r="F63" s="69">
        <v>0</v>
      </c>
      <c r="G63" s="69" t="s">
        <v>8</v>
      </c>
      <c r="H63" s="69" t="s">
        <v>9</v>
      </c>
      <c r="I63" s="69" t="s">
        <v>84</v>
      </c>
      <c r="J63" s="69" t="s">
        <v>55</v>
      </c>
      <c r="K63" s="69" t="s">
        <v>93</v>
      </c>
      <c r="M63" s="69" t="s">
        <v>6</v>
      </c>
    </row>
    <row r="64" spans="2:13">
      <c r="B64" s="69">
        <v>62</v>
      </c>
      <c r="C64" s="69">
        <v>12</v>
      </c>
      <c r="D64" s="69">
        <v>11</v>
      </c>
      <c r="E64" s="69">
        <v>11</v>
      </c>
      <c r="F64" s="69">
        <v>0</v>
      </c>
      <c r="G64" s="69" t="s">
        <v>8</v>
      </c>
      <c r="H64" s="69" t="s">
        <v>9</v>
      </c>
      <c r="I64" s="69" t="s">
        <v>84</v>
      </c>
      <c r="J64" s="69" t="s">
        <v>64</v>
      </c>
      <c r="K64" s="69" t="s">
        <v>94</v>
      </c>
      <c r="M64" s="69" t="s">
        <v>6</v>
      </c>
    </row>
    <row r="65" spans="2:13">
      <c r="B65" s="69">
        <v>63</v>
      </c>
      <c r="C65" s="69">
        <v>13</v>
      </c>
      <c r="D65" s="69">
        <v>11</v>
      </c>
      <c r="E65" s="69">
        <v>0</v>
      </c>
      <c r="F65" s="69">
        <v>0</v>
      </c>
      <c r="G65" s="69" t="s">
        <v>8</v>
      </c>
      <c r="H65" s="69" t="s">
        <v>9</v>
      </c>
      <c r="I65" s="69" t="s">
        <v>95</v>
      </c>
      <c r="J65" s="69" t="s">
        <v>54</v>
      </c>
      <c r="K65" s="69" t="s">
        <v>95</v>
      </c>
      <c r="M65" s="69" t="s">
        <v>6</v>
      </c>
    </row>
    <row r="66" spans="2:13">
      <c r="B66" s="69">
        <v>64</v>
      </c>
      <c r="C66" s="69">
        <v>13</v>
      </c>
      <c r="D66" s="69">
        <v>11</v>
      </c>
      <c r="E66" s="69">
        <v>1</v>
      </c>
      <c r="F66" s="69">
        <v>0</v>
      </c>
      <c r="G66" s="69" t="s">
        <v>8</v>
      </c>
      <c r="H66" s="69" t="s">
        <v>9</v>
      </c>
      <c r="I66" s="69" t="s">
        <v>95</v>
      </c>
      <c r="J66" s="69" t="s">
        <v>55</v>
      </c>
      <c r="K66" s="69" t="s">
        <v>96</v>
      </c>
      <c r="M66" s="69" t="s">
        <v>6</v>
      </c>
    </row>
    <row r="67" spans="2:13">
      <c r="B67" s="69">
        <v>65</v>
      </c>
      <c r="C67" s="69">
        <v>13</v>
      </c>
      <c r="D67" s="69">
        <v>11</v>
      </c>
      <c r="E67" s="69">
        <v>2</v>
      </c>
      <c r="F67" s="69">
        <v>0</v>
      </c>
      <c r="G67" s="69" t="s">
        <v>8</v>
      </c>
      <c r="H67" s="69" t="s">
        <v>9</v>
      </c>
      <c r="I67" s="69" t="s">
        <v>95</v>
      </c>
      <c r="J67" s="69" t="s">
        <v>55</v>
      </c>
      <c r="K67" s="69" t="s">
        <v>97</v>
      </c>
      <c r="M67" s="69" t="s">
        <v>6</v>
      </c>
    </row>
    <row r="68" spans="2:13">
      <c r="B68" s="69">
        <v>66</v>
      </c>
      <c r="C68" s="69">
        <v>13</v>
      </c>
      <c r="D68" s="69">
        <v>11</v>
      </c>
      <c r="E68" s="69">
        <v>3</v>
      </c>
      <c r="F68" s="69">
        <v>0</v>
      </c>
      <c r="G68" s="69" t="s">
        <v>8</v>
      </c>
      <c r="H68" s="69" t="s">
        <v>9</v>
      </c>
      <c r="I68" s="69" t="s">
        <v>95</v>
      </c>
      <c r="J68" s="69" t="s">
        <v>55</v>
      </c>
      <c r="K68" s="69" t="s">
        <v>98</v>
      </c>
      <c r="M68" s="69" t="s">
        <v>6</v>
      </c>
    </row>
    <row r="69" spans="2:13">
      <c r="B69" s="69">
        <v>67</v>
      </c>
      <c r="C69" s="69">
        <v>13</v>
      </c>
      <c r="D69" s="69">
        <v>11</v>
      </c>
      <c r="E69" s="69">
        <v>4</v>
      </c>
      <c r="F69" s="69">
        <v>0</v>
      </c>
      <c r="G69" s="69" t="s">
        <v>8</v>
      </c>
      <c r="H69" s="69" t="s">
        <v>9</v>
      </c>
      <c r="I69" s="69" t="s">
        <v>95</v>
      </c>
      <c r="J69" s="69" t="s">
        <v>99</v>
      </c>
      <c r="K69" s="69" t="s">
        <v>100</v>
      </c>
      <c r="M69" s="69" t="s">
        <v>6</v>
      </c>
    </row>
    <row r="70" spans="2:13">
      <c r="B70" s="69">
        <v>68</v>
      </c>
      <c r="C70" s="69">
        <v>13</v>
      </c>
      <c r="D70" s="69">
        <v>11</v>
      </c>
      <c r="E70" s="69">
        <v>5</v>
      </c>
      <c r="F70" s="69">
        <v>0</v>
      </c>
      <c r="G70" s="69" t="s">
        <v>8</v>
      </c>
      <c r="H70" s="69" t="s">
        <v>9</v>
      </c>
      <c r="I70" s="69" t="s">
        <v>95</v>
      </c>
      <c r="J70" s="69" t="s">
        <v>99</v>
      </c>
      <c r="K70" s="69" t="s">
        <v>101</v>
      </c>
      <c r="M70" s="69" t="s">
        <v>6</v>
      </c>
    </row>
    <row r="71" spans="2:13">
      <c r="B71" s="69">
        <v>69</v>
      </c>
      <c r="C71" s="69">
        <v>13</v>
      </c>
      <c r="D71" s="69">
        <v>11</v>
      </c>
      <c r="E71" s="69">
        <v>6</v>
      </c>
      <c r="F71" s="69">
        <v>0</v>
      </c>
      <c r="G71" s="69" t="s">
        <v>8</v>
      </c>
      <c r="H71" s="69" t="s">
        <v>9</v>
      </c>
      <c r="I71" s="69" t="s">
        <v>95</v>
      </c>
      <c r="J71" s="69" t="s">
        <v>99</v>
      </c>
      <c r="K71" s="69" t="s">
        <v>102</v>
      </c>
      <c r="M71" s="69" t="s">
        <v>6</v>
      </c>
    </row>
    <row r="72" spans="2:13">
      <c r="B72" s="69">
        <v>70</v>
      </c>
      <c r="C72" s="69">
        <v>13</v>
      </c>
      <c r="D72" s="69">
        <v>11</v>
      </c>
      <c r="E72" s="69">
        <v>7</v>
      </c>
      <c r="F72" s="69">
        <v>0</v>
      </c>
      <c r="G72" s="69" t="s">
        <v>8</v>
      </c>
      <c r="H72" s="69" t="s">
        <v>9</v>
      </c>
      <c r="I72" s="69" t="s">
        <v>95</v>
      </c>
      <c r="J72" s="69" t="s">
        <v>99</v>
      </c>
      <c r="K72" s="69" t="s">
        <v>103</v>
      </c>
      <c r="M72" s="69" t="s">
        <v>6</v>
      </c>
    </row>
    <row r="73" spans="2:13">
      <c r="B73" s="69">
        <v>71</v>
      </c>
      <c r="C73" s="69">
        <v>13</v>
      </c>
      <c r="D73" s="69">
        <v>11</v>
      </c>
      <c r="E73" s="69">
        <v>8</v>
      </c>
      <c r="F73" s="69">
        <v>0</v>
      </c>
      <c r="G73" s="69" t="s">
        <v>8</v>
      </c>
      <c r="H73" s="69" t="s">
        <v>9</v>
      </c>
      <c r="I73" s="69" t="s">
        <v>95</v>
      </c>
      <c r="J73" s="69" t="s">
        <v>55</v>
      </c>
      <c r="K73" s="69" t="s">
        <v>104</v>
      </c>
      <c r="M73" s="69" t="s">
        <v>6</v>
      </c>
    </row>
    <row r="74" spans="2:13">
      <c r="B74" s="69">
        <v>72</v>
      </c>
      <c r="C74" s="69">
        <v>13</v>
      </c>
      <c r="D74" s="69">
        <v>11</v>
      </c>
      <c r="E74" s="69">
        <v>9</v>
      </c>
      <c r="F74" s="69">
        <v>0</v>
      </c>
      <c r="G74" s="69" t="s">
        <v>8</v>
      </c>
      <c r="H74" s="69" t="s">
        <v>9</v>
      </c>
      <c r="I74" s="69" t="s">
        <v>95</v>
      </c>
      <c r="J74" s="69" t="s">
        <v>55</v>
      </c>
      <c r="K74" s="69" t="s">
        <v>105</v>
      </c>
      <c r="M74" s="69" t="s">
        <v>6</v>
      </c>
    </row>
    <row r="75" spans="2:13">
      <c r="B75" s="69">
        <v>73</v>
      </c>
      <c r="C75" s="69">
        <v>13</v>
      </c>
      <c r="D75" s="69">
        <v>11</v>
      </c>
      <c r="E75" s="69">
        <v>10</v>
      </c>
      <c r="F75" s="69">
        <v>0</v>
      </c>
      <c r="G75" s="69" t="s">
        <v>8</v>
      </c>
      <c r="H75" s="69" t="s">
        <v>9</v>
      </c>
      <c r="I75" s="69" t="s">
        <v>95</v>
      </c>
      <c r="J75" s="69" t="s">
        <v>55</v>
      </c>
      <c r="K75" s="69" t="s">
        <v>93</v>
      </c>
      <c r="M75" s="69" t="s">
        <v>6</v>
      </c>
    </row>
    <row r="76" spans="2:13">
      <c r="B76" s="69">
        <v>74</v>
      </c>
      <c r="C76" s="69">
        <v>13</v>
      </c>
      <c r="D76" s="69">
        <v>11</v>
      </c>
      <c r="E76" s="69">
        <v>11</v>
      </c>
      <c r="F76" s="69">
        <v>0</v>
      </c>
      <c r="G76" s="69" t="s">
        <v>8</v>
      </c>
      <c r="H76" s="69" t="s">
        <v>9</v>
      </c>
      <c r="I76" s="69" t="s">
        <v>95</v>
      </c>
      <c r="J76" s="69" t="s">
        <v>64</v>
      </c>
      <c r="K76" s="69" t="s">
        <v>94</v>
      </c>
      <c r="M76" s="69" t="s">
        <v>6</v>
      </c>
    </row>
    <row r="77" spans="2:13">
      <c r="B77" s="69">
        <v>75</v>
      </c>
      <c r="C77" s="69">
        <v>14</v>
      </c>
      <c r="D77" s="69">
        <v>20</v>
      </c>
      <c r="E77" s="69">
        <v>0</v>
      </c>
      <c r="F77" s="69">
        <v>0</v>
      </c>
      <c r="G77" s="69" t="s">
        <v>8</v>
      </c>
      <c r="H77" s="69" t="s">
        <v>9</v>
      </c>
      <c r="I77" s="69" t="s">
        <v>106</v>
      </c>
      <c r="J77" s="69" t="s">
        <v>54</v>
      </c>
      <c r="K77" s="69" t="s">
        <v>106</v>
      </c>
      <c r="M77" s="69" t="s">
        <v>6</v>
      </c>
    </row>
    <row r="78" spans="2:13">
      <c r="B78" s="69">
        <v>76</v>
      </c>
      <c r="C78" s="69">
        <v>14</v>
      </c>
      <c r="D78" s="69">
        <v>20</v>
      </c>
      <c r="E78" s="69">
        <v>1</v>
      </c>
      <c r="F78" s="69">
        <v>0</v>
      </c>
      <c r="G78" s="69" t="s">
        <v>8</v>
      </c>
      <c r="H78" s="69" t="s">
        <v>9</v>
      </c>
      <c r="I78" s="69" t="s">
        <v>106</v>
      </c>
      <c r="J78" s="69" t="s">
        <v>55</v>
      </c>
      <c r="K78" s="69" t="s">
        <v>107</v>
      </c>
      <c r="M78" s="69" t="s">
        <v>6</v>
      </c>
    </row>
    <row r="79" spans="2:13">
      <c r="B79" s="69">
        <v>77</v>
      </c>
      <c r="C79" s="69">
        <v>14</v>
      </c>
      <c r="D79" s="69">
        <v>20</v>
      </c>
      <c r="E79" s="69">
        <v>2</v>
      </c>
      <c r="F79" s="69">
        <v>0</v>
      </c>
      <c r="G79" s="69" t="s">
        <v>8</v>
      </c>
      <c r="H79" s="69" t="s">
        <v>9</v>
      </c>
      <c r="I79" s="69" t="s">
        <v>106</v>
      </c>
      <c r="J79" s="69" t="s">
        <v>55</v>
      </c>
      <c r="K79" s="69" t="s">
        <v>108</v>
      </c>
      <c r="M79" s="69" t="s">
        <v>6</v>
      </c>
    </row>
    <row r="80" spans="2:13">
      <c r="B80" s="69">
        <v>78</v>
      </c>
      <c r="C80" s="69">
        <v>14</v>
      </c>
      <c r="D80" s="69">
        <v>20</v>
      </c>
      <c r="E80" s="69">
        <v>3</v>
      </c>
      <c r="F80" s="69">
        <v>0</v>
      </c>
      <c r="G80" s="69" t="s">
        <v>8</v>
      </c>
      <c r="H80" s="69" t="s">
        <v>9</v>
      </c>
      <c r="I80" s="69" t="s">
        <v>106</v>
      </c>
      <c r="J80" s="69" t="s">
        <v>55</v>
      </c>
      <c r="K80" s="69" t="s">
        <v>109</v>
      </c>
      <c r="M80" s="69" t="s">
        <v>6</v>
      </c>
    </row>
    <row r="81" spans="2:13">
      <c r="B81" s="69">
        <v>79</v>
      </c>
      <c r="C81" s="69">
        <v>14</v>
      </c>
      <c r="D81" s="69">
        <v>20</v>
      </c>
      <c r="E81" s="69">
        <v>4</v>
      </c>
      <c r="F81" s="69">
        <v>0</v>
      </c>
      <c r="G81" s="69" t="s">
        <v>8</v>
      </c>
      <c r="H81" s="69" t="s">
        <v>9</v>
      </c>
      <c r="I81" s="69" t="s">
        <v>106</v>
      </c>
      <c r="J81" s="69" t="s">
        <v>55</v>
      </c>
      <c r="K81" s="69" t="s">
        <v>110</v>
      </c>
      <c r="M81" s="69" t="s">
        <v>6</v>
      </c>
    </row>
    <row r="82" spans="2:13">
      <c r="B82" s="69">
        <v>80</v>
      </c>
      <c r="C82" s="69">
        <v>14</v>
      </c>
      <c r="D82" s="69">
        <v>20</v>
      </c>
      <c r="E82" s="69">
        <v>5</v>
      </c>
      <c r="F82" s="69">
        <v>0</v>
      </c>
      <c r="G82" s="69" t="s">
        <v>8</v>
      </c>
      <c r="H82" s="69" t="s">
        <v>9</v>
      </c>
      <c r="I82" s="69" t="s">
        <v>106</v>
      </c>
      <c r="J82" s="69" t="s">
        <v>55</v>
      </c>
      <c r="K82" s="69" t="s">
        <v>111</v>
      </c>
      <c r="M82" s="69" t="s">
        <v>6</v>
      </c>
    </row>
    <row r="83" spans="2:13">
      <c r="B83" s="69">
        <v>81</v>
      </c>
      <c r="C83" s="69">
        <v>14</v>
      </c>
      <c r="D83" s="69">
        <v>20</v>
      </c>
      <c r="E83" s="69">
        <v>6</v>
      </c>
      <c r="F83" s="69">
        <v>0</v>
      </c>
      <c r="G83" s="69" t="s">
        <v>8</v>
      </c>
      <c r="H83" s="69" t="s">
        <v>9</v>
      </c>
      <c r="I83" s="69" t="s">
        <v>106</v>
      </c>
      <c r="J83" s="69" t="s">
        <v>99</v>
      </c>
      <c r="K83" s="69" t="s">
        <v>112</v>
      </c>
      <c r="M83" s="69" t="s">
        <v>6</v>
      </c>
    </row>
    <row r="84" spans="2:13">
      <c r="B84" s="69">
        <v>82</v>
      </c>
      <c r="C84" s="69">
        <v>14</v>
      </c>
      <c r="D84" s="69">
        <v>20</v>
      </c>
      <c r="E84" s="69">
        <v>7</v>
      </c>
      <c r="F84" s="69">
        <v>0</v>
      </c>
      <c r="G84" s="69" t="s">
        <v>8</v>
      </c>
      <c r="H84" s="69" t="s">
        <v>9</v>
      </c>
      <c r="I84" s="69" t="s">
        <v>106</v>
      </c>
      <c r="J84" s="69" t="s">
        <v>99</v>
      </c>
      <c r="K84" s="69" t="s">
        <v>113</v>
      </c>
      <c r="M84" s="69" t="s">
        <v>6</v>
      </c>
    </row>
    <row r="85" spans="2:13">
      <c r="B85" s="69">
        <v>83</v>
      </c>
      <c r="C85" s="69">
        <v>14</v>
      </c>
      <c r="D85" s="69">
        <v>20</v>
      </c>
      <c r="E85" s="69">
        <v>8</v>
      </c>
      <c r="F85" s="69">
        <v>0</v>
      </c>
      <c r="G85" s="69" t="s">
        <v>8</v>
      </c>
      <c r="H85" s="69" t="s">
        <v>9</v>
      </c>
      <c r="I85" s="69" t="s">
        <v>106</v>
      </c>
      <c r="J85" s="69" t="s">
        <v>99</v>
      </c>
      <c r="K85" s="69" t="s">
        <v>114</v>
      </c>
      <c r="M85" s="69" t="s">
        <v>6</v>
      </c>
    </row>
    <row r="86" spans="2:13">
      <c r="B86" s="69">
        <v>84</v>
      </c>
      <c r="C86" s="69">
        <v>14</v>
      </c>
      <c r="D86" s="69">
        <v>20</v>
      </c>
      <c r="E86" s="69">
        <v>9</v>
      </c>
      <c r="F86" s="69">
        <v>0</v>
      </c>
      <c r="G86" s="69" t="s">
        <v>8</v>
      </c>
      <c r="H86" s="69" t="s">
        <v>9</v>
      </c>
      <c r="I86" s="69" t="s">
        <v>106</v>
      </c>
      <c r="J86" s="69" t="s">
        <v>55</v>
      </c>
      <c r="K86" s="69" t="s">
        <v>115</v>
      </c>
      <c r="M86" s="69" t="s">
        <v>6</v>
      </c>
    </row>
    <row r="87" spans="2:13">
      <c r="B87" s="69">
        <v>85</v>
      </c>
      <c r="C87" s="69">
        <v>14</v>
      </c>
      <c r="D87" s="69">
        <v>20</v>
      </c>
      <c r="E87" s="69">
        <v>10</v>
      </c>
      <c r="F87" s="69">
        <v>0</v>
      </c>
      <c r="G87" s="69" t="s">
        <v>8</v>
      </c>
      <c r="H87" s="69" t="s">
        <v>9</v>
      </c>
      <c r="I87" s="69" t="s">
        <v>106</v>
      </c>
      <c r="J87" s="69" t="s">
        <v>55</v>
      </c>
      <c r="K87" s="69" t="s">
        <v>116</v>
      </c>
      <c r="M87" s="69" t="s">
        <v>6</v>
      </c>
    </row>
    <row r="88" spans="2:13">
      <c r="B88" s="69">
        <v>86</v>
      </c>
      <c r="C88" s="69">
        <v>14</v>
      </c>
      <c r="D88" s="69">
        <v>20</v>
      </c>
      <c r="E88" s="69">
        <v>11</v>
      </c>
      <c r="F88" s="69">
        <v>0</v>
      </c>
      <c r="G88" s="69" t="s">
        <v>8</v>
      </c>
      <c r="H88" s="69" t="s">
        <v>9</v>
      </c>
      <c r="I88" s="69" t="s">
        <v>106</v>
      </c>
      <c r="J88" s="69" t="s">
        <v>55</v>
      </c>
      <c r="K88" s="69" t="s">
        <v>117</v>
      </c>
      <c r="M88" s="69" t="s">
        <v>6</v>
      </c>
    </row>
    <row r="89" spans="2:13">
      <c r="B89" s="69">
        <v>87</v>
      </c>
      <c r="C89" s="69">
        <v>14</v>
      </c>
      <c r="D89" s="69">
        <v>20</v>
      </c>
      <c r="E89" s="69">
        <v>12</v>
      </c>
      <c r="F89" s="69">
        <v>0</v>
      </c>
      <c r="G89" s="69" t="s">
        <v>8</v>
      </c>
      <c r="H89" s="69" t="s">
        <v>9</v>
      </c>
      <c r="I89" s="69" t="s">
        <v>106</v>
      </c>
      <c r="J89" s="69" t="s">
        <v>55</v>
      </c>
      <c r="K89" s="69" t="s">
        <v>118</v>
      </c>
      <c r="M89" s="69" t="s">
        <v>6</v>
      </c>
    </row>
    <row r="90" spans="2:13">
      <c r="B90" s="69">
        <v>88</v>
      </c>
      <c r="C90" s="69">
        <v>14</v>
      </c>
      <c r="D90" s="69">
        <v>20</v>
      </c>
      <c r="E90" s="69">
        <v>13</v>
      </c>
      <c r="F90" s="69">
        <v>0</v>
      </c>
      <c r="G90" s="69" t="s">
        <v>8</v>
      </c>
      <c r="H90" s="69" t="s">
        <v>9</v>
      </c>
      <c r="I90" s="69" t="s">
        <v>106</v>
      </c>
      <c r="J90" s="69" t="s">
        <v>55</v>
      </c>
      <c r="K90" s="69" t="s">
        <v>119</v>
      </c>
      <c r="M90" s="69" t="s">
        <v>6</v>
      </c>
    </row>
    <row r="91" spans="2:13">
      <c r="B91" s="69">
        <v>89</v>
      </c>
      <c r="C91" s="69">
        <v>14</v>
      </c>
      <c r="D91" s="69">
        <v>20</v>
      </c>
      <c r="E91" s="69">
        <v>14</v>
      </c>
      <c r="F91" s="69">
        <v>0</v>
      </c>
      <c r="G91" s="69" t="s">
        <v>8</v>
      </c>
      <c r="H91" s="69" t="s">
        <v>9</v>
      </c>
      <c r="I91" s="69" t="s">
        <v>106</v>
      </c>
      <c r="J91" s="69" t="s">
        <v>55</v>
      </c>
      <c r="K91" s="69" t="s">
        <v>120</v>
      </c>
      <c r="M91" s="69" t="s">
        <v>6</v>
      </c>
    </row>
    <row r="92" spans="2:13">
      <c r="B92" s="69">
        <v>90</v>
      </c>
      <c r="C92" s="69">
        <v>14</v>
      </c>
      <c r="D92" s="69">
        <v>20</v>
      </c>
      <c r="E92" s="69">
        <v>15</v>
      </c>
      <c r="F92" s="69">
        <v>0</v>
      </c>
      <c r="G92" s="69" t="s">
        <v>8</v>
      </c>
      <c r="H92" s="69" t="s">
        <v>9</v>
      </c>
      <c r="I92" s="69" t="s">
        <v>106</v>
      </c>
      <c r="J92" s="69" t="s">
        <v>121</v>
      </c>
      <c r="K92" s="69" t="s">
        <v>122</v>
      </c>
      <c r="M92" s="69" t="s">
        <v>6</v>
      </c>
    </row>
    <row r="93" spans="2:13">
      <c r="B93" s="69">
        <v>91</v>
      </c>
      <c r="C93" s="69">
        <v>14</v>
      </c>
      <c r="D93" s="69">
        <v>20</v>
      </c>
      <c r="E93" s="69">
        <v>16</v>
      </c>
      <c r="F93" s="69">
        <v>0</v>
      </c>
      <c r="G93" s="69" t="s">
        <v>8</v>
      </c>
      <c r="H93" s="69" t="s">
        <v>9</v>
      </c>
      <c r="I93" s="69" t="s">
        <v>106</v>
      </c>
      <c r="J93" s="69" t="s">
        <v>55</v>
      </c>
      <c r="K93" s="69" t="s">
        <v>123</v>
      </c>
      <c r="M93" s="69" t="s">
        <v>6</v>
      </c>
    </row>
    <row r="94" spans="2:13">
      <c r="B94" s="69">
        <v>92</v>
      </c>
      <c r="C94" s="69">
        <v>14</v>
      </c>
      <c r="D94" s="69">
        <v>20</v>
      </c>
      <c r="E94" s="69">
        <v>17</v>
      </c>
      <c r="F94" s="69">
        <v>0</v>
      </c>
      <c r="G94" s="69" t="s">
        <v>8</v>
      </c>
      <c r="H94" s="69" t="s">
        <v>9</v>
      </c>
      <c r="I94" s="69" t="s">
        <v>106</v>
      </c>
      <c r="J94" s="69" t="s">
        <v>55</v>
      </c>
      <c r="K94" s="69" t="s">
        <v>124</v>
      </c>
      <c r="M94" s="69" t="s">
        <v>6</v>
      </c>
    </row>
    <row r="95" spans="2:13">
      <c r="B95" s="69">
        <v>93</v>
      </c>
      <c r="C95" s="69">
        <v>14</v>
      </c>
      <c r="D95" s="69">
        <v>20</v>
      </c>
      <c r="E95" s="69">
        <v>18</v>
      </c>
      <c r="F95" s="69">
        <v>0</v>
      </c>
      <c r="G95" s="69" t="s">
        <v>8</v>
      </c>
      <c r="H95" s="69" t="s">
        <v>9</v>
      </c>
      <c r="I95" s="69" t="s">
        <v>106</v>
      </c>
      <c r="J95" s="69" t="s">
        <v>55</v>
      </c>
      <c r="K95" s="69" t="s">
        <v>125</v>
      </c>
      <c r="M95" s="69" t="s">
        <v>6</v>
      </c>
    </row>
    <row r="96" spans="2:13">
      <c r="B96" s="69">
        <v>94</v>
      </c>
      <c r="C96" s="69">
        <v>14</v>
      </c>
      <c r="D96" s="69">
        <v>20</v>
      </c>
      <c r="E96" s="69">
        <v>19</v>
      </c>
      <c r="F96" s="69">
        <v>0</v>
      </c>
      <c r="G96" s="69" t="s">
        <v>8</v>
      </c>
      <c r="H96" s="69" t="s">
        <v>9</v>
      </c>
      <c r="I96" s="69" t="s">
        <v>106</v>
      </c>
      <c r="J96" s="69" t="s">
        <v>55</v>
      </c>
      <c r="K96" s="69" t="s">
        <v>93</v>
      </c>
      <c r="M96" s="69" t="s">
        <v>6</v>
      </c>
    </row>
    <row r="97" spans="2:13">
      <c r="B97" s="69">
        <v>95</v>
      </c>
      <c r="C97" s="69">
        <v>14</v>
      </c>
      <c r="D97" s="69">
        <v>20</v>
      </c>
      <c r="E97" s="69">
        <v>20</v>
      </c>
      <c r="F97" s="69">
        <v>0</v>
      </c>
      <c r="G97" s="69" t="s">
        <v>8</v>
      </c>
      <c r="H97" s="69" t="s">
        <v>9</v>
      </c>
      <c r="I97" s="69" t="s">
        <v>106</v>
      </c>
      <c r="J97" s="69" t="s">
        <v>64</v>
      </c>
      <c r="K97" s="69" t="s">
        <v>94</v>
      </c>
      <c r="M97" s="69" t="s">
        <v>6</v>
      </c>
    </row>
    <row r="98" spans="2:13">
      <c r="B98" s="69">
        <v>96</v>
      </c>
      <c r="C98" s="69">
        <v>15</v>
      </c>
      <c r="D98" s="69">
        <v>7</v>
      </c>
      <c r="E98" s="69">
        <v>0</v>
      </c>
      <c r="F98" s="69">
        <v>0</v>
      </c>
      <c r="G98" s="69" t="s">
        <v>8</v>
      </c>
      <c r="H98" s="69" t="s">
        <v>9</v>
      </c>
      <c r="I98" s="69" t="s">
        <v>126</v>
      </c>
      <c r="J98" s="69" t="s">
        <v>54</v>
      </c>
      <c r="K98" s="69" t="s">
        <v>126</v>
      </c>
      <c r="M98" s="69" t="s">
        <v>6</v>
      </c>
    </row>
    <row r="99" spans="2:13">
      <c r="B99" s="69">
        <v>97</v>
      </c>
      <c r="C99" s="69">
        <v>15</v>
      </c>
      <c r="D99" s="69">
        <v>7</v>
      </c>
      <c r="E99" s="69">
        <v>1</v>
      </c>
      <c r="F99" s="69">
        <v>0</v>
      </c>
      <c r="G99" s="69" t="s">
        <v>8</v>
      </c>
      <c r="H99" s="69" t="s">
        <v>9</v>
      </c>
      <c r="I99" s="69" t="s">
        <v>126</v>
      </c>
      <c r="J99" s="69" t="s">
        <v>55</v>
      </c>
      <c r="K99" s="69" t="s">
        <v>127</v>
      </c>
      <c r="M99" s="69" t="s">
        <v>6</v>
      </c>
    </row>
    <row r="100" spans="2:13">
      <c r="B100" s="69">
        <v>98</v>
      </c>
      <c r="C100" s="69">
        <v>15</v>
      </c>
      <c r="D100" s="69">
        <v>7</v>
      </c>
      <c r="E100" s="69">
        <v>2</v>
      </c>
      <c r="F100" s="69">
        <v>0</v>
      </c>
      <c r="G100" s="69" t="s">
        <v>8</v>
      </c>
      <c r="H100" s="69" t="s">
        <v>9</v>
      </c>
      <c r="I100" s="69" t="s">
        <v>126</v>
      </c>
      <c r="J100" s="69" t="s">
        <v>55</v>
      </c>
      <c r="K100" s="69" t="s">
        <v>128</v>
      </c>
      <c r="M100" s="69" t="s">
        <v>6</v>
      </c>
    </row>
    <row r="101" spans="2:13">
      <c r="B101" s="69">
        <v>99</v>
      </c>
      <c r="C101" s="69">
        <v>15</v>
      </c>
      <c r="D101" s="69">
        <v>7</v>
      </c>
      <c r="E101" s="69">
        <v>3</v>
      </c>
      <c r="F101" s="69">
        <v>0</v>
      </c>
      <c r="G101" s="69" t="s">
        <v>8</v>
      </c>
      <c r="H101" s="69" t="s">
        <v>9</v>
      </c>
      <c r="I101" s="69" t="s">
        <v>126</v>
      </c>
      <c r="J101" s="69" t="s">
        <v>55</v>
      </c>
      <c r="K101" s="69" t="s">
        <v>129</v>
      </c>
      <c r="M101" s="69" t="s">
        <v>6</v>
      </c>
    </row>
    <row r="102" spans="2:13">
      <c r="B102" s="69">
        <v>100</v>
      </c>
      <c r="C102" s="69">
        <v>15</v>
      </c>
      <c r="D102" s="69">
        <v>7</v>
      </c>
      <c r="E102" s="69">
        <v>4</v>
      </c>
      <c r="F102" s="69">
        <v>0</v>
      </c>
      <c r="G102" s="69" t="s">
        <v>8</v>
      </c>
      <c r="H102" s="69" t="s">
        <v>9</v>
      </c>
      <c r="I102" s="69" t="s">
        <v>126</v>
      </c>
      <c r="J102" s="69" t="s">
        <v>55</v>
      </c>
      <c r="K102" s="69" t="s">
        <v>130</v>
      </c>
      <c r="M102" s="69" t="s">
        <v>6</v>
      </c>
    </row>
    <row r="103" spans="2:13">
      <c r="B103" s="69">
        <v>101</v>
      </c>
      <c r="C103" s="69">
        <v>15</v>
      </c>
      <c r="D103" s="69">
        <v>7</v>
      </c>
      <c r="E103" s="69">
        <v>5</v>
      </c>
      <c r="F103" s="69">
        <v>0</v>
      </c>
      <c r="G103" s="69" t="s">
        <v>8</v>
      </c>
      <c r="H103" s="69" t="s">
        <v>9</v>
      </c>
      <c r="I103" s="69" t="s">
        <v>126</v>
      </c>
      <c r="J103" s="69" t="s">
        <v>55</v>
      </c>
      <c r="K103" s="69" t="s">
        <v>131</v>
      </c>
      <c r="M103" s="69" t="s">
        <v>6</v>
      </c>
    </row>
    <row r="104" spans="2:13">
      <c r="B104" s="69">
        <v>102</v>
      </c>
      <c r="C104" s="69">
        <v>15</v>
      </c>
      <c r="D104" s="69">
        <v>7</v>
      </c>
      <c r="E104" s="69">
        <v>6</v>
      </c>
      <c r="F104" s="69">
        <v>0</v>
      </c>
      <c r="G104" s="69" t="s">
        <v>8</v>
      </c>
      <c r="H104" s="69" t="s">
        <v>9</v>
      </c>
      <c r="I104" s="69" t="s">
        <v>126</v>
      </c>
      <c r="J104" s="69" t="s">
        <v>55</v>
      </c>
      <c r="K104" s="69" t="s">
        <v>93</v>
      </c>
      <c r="M104" s="69" t="s">
        <v>6</v>
      </c>
    </row>
    <row r="105" spans="2:13">
      <c r="B105" s="69">
        <v>103</v>
      </c>
      <c r="C105" s="69">
        <v>15</v>
      </c>
      <c r="D105" s="69">
        <v>7</v>
      </c>
      <c r="E105" s="69">
        <v>7</v>
      </c>
      <c r="F105" s="69">
        <v>0</v>
      </c>
      <c r="G105" s="69" t="s">
        <v>8</v>
      </c>
      <c r="H105" s="69" t="s">
        <v>9</v>
      </c>
      <c r="I105" s="69" t="s">
        <v>126</v>
      </c>
      <c r="J105" s="69" t="s">
        <v>64</v>
      </c>
      <c r="K105" s="69" t="s">
        <v>94</v>
      </c>
      <c r="M105" s="69" t="s">
        <v>6</v>
      </c>
    </row>
    <row r="106" spans="2:13">
      <c r="B106" s="69">
        <v>104</v>
      </c>
      <c r="C106" s="69">
        <v>16</v>
      </c>
      <c r="D106" s="69">
        <v>12</v>
      </c>
      <c r="E106" s="69">
        <v>0</v>
      </c>
      <c r="F106" s="69">
        <v>0</v>
      </c>
      <c r="G106" s="69" t="s">
        <v>8</v>
      </c>
      <c r="H106" s="69" t="s">
        <v>9</v>
      </c>
      <c r="I106" s="69" t="s">
        <v>132</v>
      </c>
      <c r="J106" s="69" t="s">
        <v>54</v>
      </c>
      <c r="K106" s="69" t="s">
        <v>132</v>
      </c>
      <c r="M106" s="69" t="s">
        <v>6</v>
      </c>
    </row>
    <row r="107" spans="2:13">
      <c r="B107" s="69">
        <v>105</v>
      </c>
      <c r="C107" s="69">
        <v>16</v>
      </c>
      <c r="D107" s="69">
        <v>12</v>
      </c>
      <c r="E107" s="69">
        <v>1</v>
      </c>
      <c r="F107" s="69">
        <v>0</v>
      </c>
      <c r="G107" s="69" t="s">
        <v>8</v>
      </c>
      <c r="H107" s="69" t="s">
        <v>9</v>
      </c>
      <c r="I107" s="69" t="s">
        <v>132</v>
      </c>
      <c r="J107" s="69" t="s">
        <v>55</v>
      </c>
      <c r="K107" s="69" t="s">
        <v>127</v>
      </c>
      <c r="M107" s="69" t="s">
        <v>6</v>
      </c>
    </row>
    <row r="108" spans="2:13">
      <c r="B108" s="69">
        <v>106</v>
      </c>
      <c r="C108" s="69">
        <v>16</v>
      </c>
      <c r="D108" s="69">
        <v>12</v>
      </c>
      <c r="E108" s="69">
        <v>2</v>
      </c>
      <c r="F108" s="69">
        <v>0</v>
      </c>
      <c r="G108" s="69" t="s">
        <v>8</v>
      </c>
      <c r="H108" s="69" t="s">
        <v>9</v>
      </c>
      <c r="I108" s="69" t="s">
        <v>132</v>
      </c>
      <c r="J108" s="69" t="s">
        <v>55</v>
      </c>
      <c r="K108" s="69" t="s">
        <v>128</v>
      </c>
      <c r="M108" s="69" t="s">
        <v>6</v>
      </c>
    </row>
    <row r="109" spans="2:13">
      <c r="B109" s="69">
        <v>107</v>
      </c>
      <c r="C109" s="69">
        <v>16</v>
      </c>
      <c r="D109" s="69">
        <v>12</v>
      </c>
      <c r="E109" s="69">
        <v>3</v>
      </c>
      <c r="F109" s="69">
        <v>0</v>
      </c>
      <c r="G109" s="69" t="s">
        <v>8</v>
      </c>
      <c r="H109" s="69" t="s">
        <v>9</v>
      </c>
      <c r="I109" s="69" t="s">
        <v>132</v>
      </c>
      <c r="J109" s="69" t="s">
        <v>55</v>
      </c>
      <c r="K109" s="69" t="s">
        <v>129</v>
      </c>
      <c r="M109" s="69" t="s">
        <v>6</v>
      </c>
    </row>
    <row r="110" spans="2:13">
      <c r="B110" s="69">
        <v>108</v>
      </c>
      <c r="C110" s="69">
        <v>16</v>
      </c>
      <c r="D110" s="69">
        <v>12</v>
      </c>
      <c r="E110" s="69">
        <v>4</v>
      </c>
      <c r="F110" s="69">
        <v>0</v>
      </c>
      <c r="G110" s="69" t="s">
        <v>8</v>
      </c>
      <c r="H110" s="69" t="s">
        <v>9</v>
      </c>
      <c r="I110" s="69" t="s">
        <v>132</v>
      </c>
      <c r="J110" s="69" t="s">
        <v>55</v>
      </c>
      <c r="K110" s="69" t="s">
        <v>133</v>
      </c>
      <c r="M110" s="69" t="s">
        <v>6</v>
      </c>
    </row>
    <row r="111" spans="2:13">
      <c r="B111" s="69">
        <v>109</v>
      </c>
      <c r="C111" s="69">
        <v>16</v>
      </c>
      <c r="D111" s="69">
        <v>12</v>
      </c>
      <c r="E111" s="69">
        <v>5</v>
      </c>
      <c r="F111" s="69">
        <v>0</v>
      </c>
      <c r="G111" s="69" t="s">
        <v>8</v>
      </c>
      <c r="H111" s="69" t="s">
        <v>9</v>
      </c>
      <c r="I111" s="69" t="s">
        <v>132</v>
      </c>
      <c r="J111" s="69" t="s">
        <v>55</v>
      </c>
      <c r="K111" s="69" t="s">
        <v>134</v>
      </c>
      <c r="M111" s="69" t="s">
        <v>6</v>
      </c>
    </row>
    <row r="112" spans="2:13">
      <c r="B112" s="69">
        <v>110</v>
      </c>
      <c r="C112" s="69">
        <v>16</v>
      </c>
      <c r="D112" s="69">
        <v>12</v>
      </c>
      <c r="E112" s="69">
        <v>6</v>
      </c>
      <c r="F112" s="69">
        <v>0</v>
      </c>
      <c r="G112" s="69" t="s">
        <v>8</v>
      </c>
      <c r="H112" s="69" t="s">
        <v>9</v>
      </c>
      <c r="I112" s="69" t="s">
        <v>132</v>
      </c>
      <c r="J112" s="69" t="s">
        <v>55</v>
      </c>
      <c r="K112" s="69" t="s">
        <v>135</v>
      </c>
      <c r="M112" s="69" t="s">
        <v>6</v>
      </c>
    </row>
    <row r="113" spans="2:13">
      <c r="B113" s="69">
        <v>111</v>
      </c>
      <c r="C113" s="69">
        <v>16</v>
      </c>
      <c r="D113" s="69">
        <v>12</v>
      </c>
      <c r="E113" s="69">
        <v>7</v>
      </c>
      <c r="F113" s="69">
        <v>0</v>
      </c>
      <c r="G113" s="69" t="s">
        <v>8</v>
      </c>
      <c r="H113" s="69" t="s">
        <v>9</v>
      </c>
      <c r="I113" s="69" t="s">
        <v>132</v>
      </c>
      <c r="J113" s="69" t="s">
        <v>55</v>
      </c>
      <c r="K113" s="69" t="s">
        <v>136</v>
      </c>
      <c r="M113" s="69" t="s">
        <v>6</v>
      </c>
    </row>
    <row r="114" spans="2:13">
      <c r="B114" s="69">
        <v>112</v>
      </c>
      <c r="C114" s="69">
        <v>16</v>
      </c>
      <c r="D114" s="69">
        <v>12</v>
      </c>
      <c r="E114" s="69">
        <v>8</v>
      </c>
      <c r="F114" s="69">
        <v>0</v>
      </c>
      <c r="G114" s="69" t="s">
        <v>8</v>
      </c>
      <c r="H114" s="69" t="s">
        <v>9</v>
      </c>
      <c r="I114" s="69" t="s">
        <v>132</v>
      </c>
      <c r="J114" s="69" t="s">
        <v>55</v>
      </c>
      <c r="K114" s="69" t="s">
        <v>137</v>
      </c>
      <c r="M114" s="69" t="s">
        <v>6</v>
      </c>
    </row>
    <row r="115" spans="2:13">
      <c r="B115" s="69">
        <v>113</v>
      </c>
      <c r="C115" s="69">
        <v>16</v>
      </c>
      <c r="D115" s="69">
        <v>12</v>
      </c>
      <c r="E115" s="69">
        <v>9</v>
      </c>
      <c r="F115" s="69">
        <v>0</v>
      </c>
      <c r="G115" s="69" t="s">
        <v>8</v>
      </c>
      <c r="H115" s="69" t="s">
        <v>9</v>
      </c>
      <c r="I115" s="69" t="s">
        <v>132</v>
      </c>
      <c r="J115" s="69" t="s">
        <v>55</v>
      </c>
      <c r="K115" s="69" t="s">
        <v>138</v>
      </c>
      <c r="M115" s="69" t="s">
        <v>6</v>
      </c>
    </row>
    <row r="116" spans="2:13">
      <c r="B116" s="69">
        <v>114</v>
      </c>
      <c r="C116" s="69">
        <v>16</v>
      </c>
      <c r="D116" s="69">
        <v>12</v>
      </c>
      <c r="E116" s="69">
        <v>10</v>
      </c>
      <c r="F116" s="69">
        <v>0</v>
      </c>
      <c r="G116" s="69" t="s">
        <v>8</v>
      </c>
      <c r="H116" s="69" t="s">
        <v>9</v>
      </c>
      <c r="I116" s="69" t="s">
        <v>132</v>
      </c>
      <c r="J116" s="69" t="s">
        <v>55</v>
      </c>
      <c r="K116" s="69" t="s">
        <v>139</v>
      </c>
      <c r="M116" s="69" t="s">
        <v>6</v>
      </c>
    </row>
    <row r="117" spans="2:13">
      <c r="B117" s="69">
        <v>115</v>
      </c>
      <c r="C117" s="69">
        <v>16</v>
      </c>
      <c r="D117" s="69">
        <v>12</v>
      </c>
      <c r="E117" s="69">
        <v>11</v>
      </c>
      <c r="F117" s="69">
        <v>0</v>
      </c>
      <c r="G117" s="69" t="s">
        <v>8</v>
      </c>
      <c r="H117" s="69" t="s">
        <v>9</v>
      </c>
      <c r="I117" s="69" t="s">
        <v>132</v>
      </c>
      <c r="J117" s="69" t="s">
        <v>55</v>
      </c>
      <c r="K117" s="69" t="s">
        <v>93</v>
      </c>
      <c r="M117" s="69" t="s">
        <v>6</v>
      </c>
    </row>
    <row r="118" spans="2:13">
      <c r="B118" s="69">
        <v>116</v>
      </c>
      <c r="C118" s="69">
        <v>16</v>
      </c>
      <c r="D118" s="69">
        <v>12</v>
      </c>
      <c r="E118" s="69">
        <v>12</v>
      </c>
      <c r="F118" s="69">
        <v>0</v>
      </c>
      <c r="G118" s="69" t="s">
        <v>8</v>
      </c>
      <c r="H118" s="69" t="s">
        <v>9</v>
      </c>
      <c r="I118" s="69" t="s">
        <v>132</v>
      </c>
      <c r="J118" s="69" t="s">
        <v>64</v>
      </c>
      <c r="K118" s="69" t="s">
        <v>94</v>
      </c>
      <c r="M118" s="69" t="s">
        <v>6</v>
      </c>
    </row>
    <row r="119" spans="2:13">
      <c r="B119" s="69">
        <v>117</v>
      </c>
      <c r="C119" s="69">
        <v>20</v>
      </c>
      <c r="D119" s="69">
        <v>12</v>
      </c>
      <c r="E119" s="69">
        <v>0</v>
      </c>
      <c r="F119" s="69">
        <v>0</v>
      </c>
      <c r="G119" s="69" t="s">
        <v>8</v>
      </c>
      <c r="H119" s="69" t="s">
        <v>9</v>
      </c>
      <c r="I119" s="69" t="s">
        <v>140</v>
      </c>
      <c r="J119" s="69" t="s">
        <v>54</v>
      </c>
      <c r="K119" s="69" t="s">
        <v>140</v>
      </c>
      <c r="M119" s="69" t="s">
        <v>6</v>
      </c>
    </row>
    <row r="120" spans="2:13">
      <c r="B120" s="69">
        <v>118</v>
      </c>
      <c r="C120" s="69">
        <v>20</v>
      </c>
      <c r="D120" s="69">
        <v>12</v>
      </c>
      <c r="E120" s="69">
        <v>1</v>
      </c>
      <c r="F120" s="69">
        <v>0</v>
      </c>
      <c r="G120" s="69" t="s">
        <v>8</v>
      </c>
      <c r="H120" s="69" t="s">
        <v>9</v>
      </c>
      <c r="I120" s="69" t="s">
        <v>140</v>
      </c>
      <c r="J120" s="69" t="s">
        <v>55</v>
      </c>
      <c r="K120" s="69" t="s">
        <v>141</v>
      </c>
      <c r="M120" s="69" t="s">
        <v>6</v>
      </c>
    </row>
    <row r="121" spans="2:13">
      <c r="B121" s="69">
        <v>119</v>
      </c>
      <c r="C121" s="69">
        <v>20</v>
      </c>
      <c r="D121" s="69">
        <v>12</v>
      </c>
      <c r="E121" s="69">
        <v>2</v>
      </c>
      <c r="F121" s="69">
        <v>0</v>
      </c>
      <c r="G121" s="69" t="s">
        <v>8</v>
      </c>
      <c r="H121" s="69" t="s">
        <v>9</v>
      </c>
      <c r="I121" s="69" t="s">
        <v>140</v>
      </c>
      <c r="J121" s="69" t="s">
        <v>55</v>
      </c>
      <c r="K121" s="69" t="s">
        <v>142</v>
      </c>
      <c r="M121" s="69" t="s">
        <v>6</v>
      </c>
    </row>
    <row r="122" spans="2:13">
      <c r="B122" s="69">
        <v>120</v>
      </c>
      <c r="C122" s="69">
        <v>20</v>
      </c>
      <c r="D122" s="69">
        <v>12</v>
      </c>
      <c r="E122" s="69">
        <v>3</v>
      </c>
      <c r="F122" s="69">
        <v>0</v>
      </c>
      <c r="G122" s="69" t="s">
        <v>8</v>
      </c>
      <c r="H122" s="69" t="s">
        <v>9</v>
      </c>
      <c r="I122" s="69" t="s">
        <v>140</v>
      </c>
      <c r="J122" s="69" t="s">
        <v>55</v>
      </c>
      <c r="K122" s="69" t="s">
        <v>143</v>
      </c>
      <c r="M122" s="69" t="s">
        <v>6</v>
      </c>
    </row>
    <row r="123" spans="2:13">
      <c r="B123" s="69">
        <v>121</v>
      </c>
      <c r="C123" s="69">
        <v>20</v>
      </c>
      <c r="D123" s="69">
        <v>12</v>
      </c>
      <c r="E123" s="69">
        <v>4</v>
      </c>
      <c r="F123" s="69">
        <v>0</v>
      </c>
      <c r="G123" s="69" t="s">
        <v>8</v>
      </c>
      <c r="H123" s="69" t="s">
        <v>9</v>
      </c>
      <c r="I123" s="69" t="s">
        <v>140</v>
      </c>
      <c r="J123" s="69" t="s">
        <v>55</v>
      </c>
      <c r="K123" s="69" t="s">
        <v>144</v>
      </c>
      <c r="M123" s="69" t="s">
        <v>6</v>
      </c>
    </row>
    <row r="124" spans="2:13">
      <c r="B124" s="69">
        <v>122</v>
      </c>
      <c r="C124" s="69">
        <v>20</v>
      </c>
      <c r="D124" s="69">
        <v>12</v>
      </c>
      <c r="E124" s="69">
        <v>5</v>
      </c>
      <c r="F124" s="69">
        <v>0</v>
      </c>
      <c r="G124" s="69" t="s">
        <v>8</v>
      </c>
      <c r="H124" s="69" t="s">
        <v>9</v>
      </c>
      <c r="I124" s="69" t="s">
        <v>140</v>
      </c>
      <c r="J124" s="69" t="s">
        <v>55</v>
      </c>
      <c r="K124" s="69" t="s">
        <v>145</v>
      </c>
      <c r="M124" s="69" t="s">
        <v>6</v>
      </c>
    </row>
    <row r="125" spans="2:13">
      <c r="B125" s="69">
        <v>123</v>
      </c>
      <c r="C125" s="69">
        <v>20</v>
      </c>
      <c r="D125" s="69">
        <v>12</v>
      </c>
      <c r="E125" s="69">
        <v>6</v>
      </c>
      <c r="F125" s="69">
        <v>0</v>
      </c>
      <c r="G125" s="69" t="s">
        <v>8</v>
      </c>
      <c r="H125" s="69" t="s">
        <v>9</v>
      </c>
      <c r="I125" s="69" t="s">
        <v>140</v>
      </c>
      <c r="J125" s="69" t="s">
        <v>55</v>
      </c>
      <c r="K125" s="69" t="s">
        <v>146</v>
      </c>
      <c r="M125" s="69" t="s">
        <v>6</v>
      </c>
    </row>
    <row r="126" spans="2:13">
      <c r="B126" s="69">
        <v>124</v>
      </c>
      <c r="C126" s="69">
        <v>20</v>
      </c>
      <c r="D126" s="69">
        <v>12</v>
      </c>
      <c r="E126" s="69">
        <v>7</v>
      </c>
      <c r="F126" s="69">
        <v>0</v>
      </c>
      <c r="G126" s="69" t="s">
        <v>8</v>
      </c>
      <c r="H126" s="69" t="s">
        <v>9</v>
      </c>
      <c r="I126" s="69" t="s">
        <v>140</v>
      </c>
      <c r="J126" s="69" t="s">
        <v>55</v>
      </c>
      <c r="K126" s="69" t="s">
        <v>147</v>
      </c>
      <c r="M126" s="69" t="s">
        <v>6</v>
      </c>
    </row>
    <row r="127" spans="2:13">
      <c r="B127" s="69">
        <v>125</v>
      </c>
      <c r="C127" s="69">
        <v>20</v>
      </c>
      <c r="D127" s="69">
        <v>12</v>
      </c>
      <c r="E127" s="69">
        <v>8</v>
      </c>
      <c r="F127" s="69">
        <v>0</v>
      </c>
      <c r="G127" s="69" t="s">
        <v>8</v>
      </c>
      <c r="H127" s="69" t="s">
        <v>9</v>
      </c>
      <c r="I127" s="69" t="s">
        <v>140</v>
      </c>
      <c r="J127" s="69" t="s">
        <v>55</v>
      </c>
      <c r="K127" s="69" t="s">
        <v>148</v>
      </c>
      <c r="M127" s="69" t="s">
        <v>6</v>
      </c>
    </row>
    <row r="128" spans="2:13">
      <c r="B128" s="69">
        <v>126</v>
      </c>
      <c r="C128" s="69">
        <v>20</v>
      </c>
      <c r="D128" s="69">
        <v>12</v>
      </c>
      <c r="E128" s="69">
        <v>9</v>
      </c>
      <c r="F128" s="69">
        <v>0</v>
      </c>
      <c r="G128" s="69" t="s">
        <v>8</v>
      </c>
      <c r="H128" s="69" t="s">
        <v>9</v>
      </c>
      <c r="I128" s="69" t="s">
        <v>140</v>
      </c>
      <c r="J128" s="69" t="s">
        <v>55</v>
      </c>
      <c r="K128" s="69" t="s">
        <v>149</v>
      </c>
      <c r="M128" s="69" t="s">
        <v>6</v>
      </c>
    </row>
    <row r="129" spans="2:13">
      <c r="B129" s="69">
        <v>127</v>
      </c>
      <c r="C129" s="69">
        <v>20</v>
      </c>
      <c r="D129" s="69">
        <v>12</v>
      </c>
      <c r="E129" s="69">
        <v>10</v>
      </c>
      <c r="F129" s="69">
        <v>0</v>
      </c>
      <c r="G129" s="69" t="s">
        <v>8</v>
      </c>
      <c r="H129" s="69" t="s">
        <v>9</v>
      </c>
      <c r="I129" s="69" t="s">
        <v>140</v>
      </c>
      <c r="J129" s="69" t="s">
        <v>55</v>
      </c>
      <c r="K129" s="69" t="s">
        <v>150</v>
      </c>
      <c r="M129" s="69" t="s">
        <v>6</v>
      </c>
    </row>
    <row r="130" spans="2:13">
      <c r="B130" s="69">
        <v>128</v>
      </c>
      <c r="C130" s="69">
        <v>20</v>
      </c>
      <c r="D130" s="69">
        <v>12</v>
      </c>
      <c r="E130" s="69">
        <v>11</v>
      </c>
      <c r="F130" s="69">
        <v>0</v>
      </c>
      <c r="G130" s="69" t="s">
        <v>8</v>
      </c>
      <c r="H130" s="69" t="s">
        <v>9</v>
      </c>
      <c r="I130" s="69" t="s">
        <v>140</v>
      </c>
      <c r="J130" s="69" t="s">
        <v>55</v>
      </c>
      <c r="K130" s="69" t="s">
        <v>93</v>
      </c>
      <c r="M130" s="69" t="s">
        <v>6</v>
      </c>
    </row>
    <row r="131" spans="2:13">
      <c r="B131" s="69">
        <v>129</v>
      </c>
      <c r="C131" s="69">
        <v>20</v>
      </c>
      <c r="D131" s="69">
        <v>12</v>
      </c>
      <c r="E131" s="69">
        <v>12</v>
      </c>
      <c r="F131" s="69">
        <v>0</v>
      </c>
      <c r="G131" s="69" t="s">
        <v>8</v>
      </c>
      <c r="H131" s="69" t="s">
        <v>9</v>
      </c>
      <c r="I131" s="69" t="s">
        <v>140</v>
      </c>
      <c r="J131" s="69" t="s">
        <v>64</v>
      </c>
      <c r="K131" s="69" t="s">
        <v>94</v>
      </c>
      <c r="M131" s="69" t="s">
        <v>6</v>
      </c>
    </row>
    <row r="132" spans="2:13">
      <c r="B132" s="69">
        <v>130</v>
      </c>
      <c r="C132" s="69">
        <v>21</v>
      </c>
      <c r="D132" s="69">
        <v>7</v>
      </c>
      <c r="E132" s="69">
        <v>0</v>
      </c>
      <c r="F132" s="69">
        <v>0</v>
      </c>
      <c r="G132" s="69" t="s">
        <v>8</v>
      </c>
      <c r="H132" s="69" t="s">
        <v>9</v>
      </c>
      <c r="I132" s="69" t="s">
        <v>151</v>
      </c>
      <c r="J132" s="69" t="s">
        <v>54</v>
      </c>
      <c r="K132" s="69" t="s">
        <v>151</v>
      </c>
      <c r="M132" s="69" t="s">
        <v>6</v>
      </c>
    </row>
    <row r="133" spans="2:13">
      <c r="B133" s="69">
        <v>131</v>
      </c>
      <c r="C133" s="69">
        <v>21</v>
      </c>
      <c r="D133" s="69">
        <v>7</v>
      </c>
      <c r="E133" s="69">
        <v>1</v>
      </c>
      <c r="F133" s="69">
        <v>0</v>
      </c>
      <c r="G133" s="69" t="s">
        <v>8</v>
      </c>
      <c r="H133" s="69" t="s">
        <v>9</v>
      </c>
      <c r="I133" s="69" t="s">
        <v>151</v>
      </c>
      <c r="J133" s="69" t="s">
        <v>55</v>
      </c>
      <c r="K133" s="69" t="s">
        <v>127</v>
      </c>
      <c r="M133" s="69" t="s">
        <v>6</v>
      </c>
    </row>
    <row r="134" spans="2:13">
      <c r="B134" s="69">
        <v>132</v>
      </c>
      <c r="C134" s="69">
        <v>21</v>
      </c>
      <c r="D134" s="69">
        <v>7</v>
      </c>
      <c r="E134" s="69">
        <v>2</v>
      </c>
      <c r="F134" s="69">
        <v>0</v>
      </c>
      <c r="G134" s="69" t="s">
        <v>8</v>
      </c>
      <c r="H134" s="69" t="s">
        <v>9</v>
      </c>
      <c r="I134" s="69" t="s">
        <v>151</v>
      </c>
      <c r="J134" s="69" t="s">
        <v>55</v>
      </c>
      <c r="K134" s="69" t="s">
        <v>152</v>
      </c>
      <c r="M134" s="69" t="s">
        <v>6</v>
      </c>
    </row>
    <row r="135" spans="2:13">
      <c r="B135" s="69">
        <v>133</v>
      </c>
      <c r="C135" s="69">
        <v>21</v>
      </c>
      <c r="D135" s="69">
        <v>7</v>
      </c>
      <c r="E135" s="69">
        <v>3</v>
      </c>
      <c r="F135" s="69">
        <v>0</v>
      </c>
      <c r="G135" s="69" t="s">
        <v>8</v>
      </c>
      <c r="H135" s="69" t="s">
        <v>9</v>
      </c>
      <c r="I135" s="69" t="s">
        <v>151</v>
      </c>
      <c r="J135" s="69" t="s">
        <v>99</v>
      </c>
      <c r="K135" s="69" t="s">
        <v>153</v>
      </c>
      <c r="M135" s="69" t="s">
        <v>6</v>
      </c>
    </row>
    <row r="136" spans="2:13">
      <c r="B136" s="69">
        <v>134</v>
      </c>
      <c r="C136" s="69">
        <v>21</v>
      </c>
      <c r="D136" s="69">
        <v>7</v>
      </c>
      <c r="E136" s="69">
        <v>4</v>
      </c>
      <c r="F136" s="69">
        <v>0</v>
      </c>
      <c r="G136" s="69" t="s">
        <v>8</v>
      </c>
      <c r="H136" s="69" t="s">
        <v>9</v>
      </c>
      <c r="I136" s="69" t="s">
        <v>151</v>
      </c>
      <c r="J136" s="69" t="s">
        <v>99</v>
      </c>
      <c r="K136" s="69" t="s">
        <v>154</v>
      </c>
      <c r="M136" s="69" t="s">
        <v>6</v>
      </c>
    </row>
    <row r="137" spans="2:13">
      <c r="B137" s="69">
        <v>135</v>
      </c>
      <c r="C137" s="69">
        <v>21</v>
      </c>
      <c r="D137" s="69">
        <v>7</v>
      </c>
      <c r="E137" s="69">
        <v>5</v>
      </c>
      <c r="F137" s="69">
        <v>0</v>
      </c>
      <c r="G137" s="69" t="s">
        <v>8</v>
      </c>
      <c r="H137" s="69" t="s">
        <v>9</v>
      </c>
      <c r="I137" s="69" t="s">
        <v>151</v>
      </c>
      <c r="J137" s="69" t="s">
        <v>99</v>
      </c>
      <c r="K137" s="69" t="s">
        <v>155</v>
      </c>
      <c r="M137" s="69" t="s">
        <v>6</v>
      </c>
    </row>
    <row r="138" spans="2:13">
      <c r="B138" s="69">
        <v>136</v>
      </c>
      <c r="C138" s="69">
        <v>21</v>
      </c>
      <c r="D138" s="69">
        <v>7</v>
      </c>
      <c r="E138" s="69">
        <v>6</v>
      </c>
      <c r="F138" s="69">
        <v>0</v>
      </c>
      <c r="G138" s="69" t="s">
        <v>8</v>
      </c>
      <c r="H138" s="69" t="s">
        <v>9</v>
      </c>
      <c r="I138" s="69" t="s">
        <v>151</v>
      </c>
      <c r="J138" s="69" t="s">
        <v>55</v>
      </c>
      <c r="K138" s="69" t="s">
        <v>93</v>
      </c>
      <c r="M138" s="69" t="s">
        <v>6</v>
      </c>
    </row>
    <row r="139" spans="2:13">
      <c r="B139" s="69">
        <v>137</v>
      </c>
      <c r="C139" s="69">
        <v>21</v>
      </c>
      <c r="D139" s="69">
        <v>7</v>
      </c>
      <c r="E139" s="69">
        <v>7</v>
      </c>
      <c r="F139" s="69">
        <v>0</v>
      </c>
      <c r="G139" s="69" t="s">
        <v>8</v>
      </c>
      <c r="H139" s="69" t="s">
        <v>9</v>
      </c>
      <c r="I139" s="69" t="s">
        <v>151</v>
      </c>
      <c r="J139" s="69" t="s">
        <v>64</v>
      </c>
      <c r="K139" s="69" t="s">
        <v>94</v>
      </c>
      <c r="M139" s="69" t="s">
        <v>6</v>
      </c>
    </row>
    <row r="140" spans="2:13">
      <c r="B140" s="69">
        <v>138</v>
      </c>
      <c r="C140" s="69">
        <v>22</v>
      </c>
      <c r="D140" s="69">
        <v>9</v>
      </c>
      <c r="E140" s="69">
        <v>0</v>
      </c>
      <c r="F140" s="69">
        <v>0</v>
      </c>
      <c r="G140" s="69" t="s">
        <v>8</v>
      </c>
      <c r="H140" s="69" t="s">
        <v>9</v>
      </c>
      <c r="I140" s="69" t="s">
        <v>156</v>
      </c>
      <c r="J140" s="69" t="s">
        <v>54</v>
      </c>
      <c r="K140" s="69" t="s">
        <v>156</v>
      </c>
      <c r="M140" s="69" t="s">
        <v>6</v>
      </c>
    </row>
    <row r="141" spans="2:13">
      <c r="B141" s="69">
        <v>139</v>
      </c>
      <c r="C141" s="69">
        <v>22</v>
      </c>
      <c r="D141" s="69">
        <v>9</v>
      </c>
      <c r="E141" s="69">
        <v>1</v>
      </c>
      <c r="F141" s="69">
        <v>0</v>
      </c>
      <c r="G141" s="69" t="s">
        <v>8</v>
      </c>
      <c r="H141" s="69" t="s">
        <v>9</v>
      </c>
      <c r="I141" s="69" t="s">
        <v>156</v>
      </c>
      <c r="J141" s="69" t="s">
        <v>55</v>
      </c>
      <c r="K141" s="69" t="s">
        <v>128</v>
      </c>
      <c r="M141" s="69" t="s">
        <v>6</v>
      </c>
    </row>
    <row r="142" spans="2:13">
      <c r="B142" s="69">
        <v>140</v>
      </c>
      <c r="C142" s="69">
        <v>22</v>
      </c>
      <c r="D142" s="69">
        <v>9</v>
      </c>
      <c r="E142" s="69">
        <v>2</v>
      </c>
      <c r="F142" s="69">
        <v>0</v>
      </c>
      <c r="G142" s="69" t="s">
        <v>8</v>
      </c>
      <c r="H142" s="69" t="s">
        <v>9</v>
      </c>
      <c r="I142" s="69" t="s">
        <v>156</v>
      </c>
      <c r="J142" s="69" t="s">
        <v>55</v>
      </c>
      <c r="K142" s="69" t="s">
        <v>157</v>
      </c>
      <c r="M142" s="69" t="s">
        <v>6</v>
      </c>
    </row>
    <row r="143" spans="2:13">
      <c r="B143" s="69">
        <v>141</v>
      </c>
      <c r="C143" s="69">
        <v>22</v>
      </c>
      <c r="D143" s="69">
        <v>9</v>
      </c>
      <c r="E143" s="69">
        <v>3</v>
      </c>
      <c r="F143" s="69">
        <v>0</v>
      </c>
      <c r="G143" s="69" t="s">
        <v>8</v>
      </c>
      <c r="H143" s="69" t="s">
        <v>9</v>
      </c>
      <c r="I143" s="69" t="s">
        <v>156</v>
      </c>
      <c r="J143" s="69" t="s">
        <v>55</v>
      </c>
      <c r="K143" s="69" t="s">
        <v>158</v>
      </c>
      <c r="M143" s="69" t="s">
        <v>6</v>
      </c>
    </row>
    <row r="144" spans="2:13">
      <c r="B144" s="69">
        <v>142</v>
      </c>
      <c r="C144" s="69">
        <v>22</v>
      </c>
      <c r="D144" s="69">
        <v>9</v>
      </c>
      <c r="E144" s="69">
        <v>4</v>
      </c>
      <c r="F144" s="69">
        <v>0</v>
      </c>
      <c r="G144" s="69" t="s">
        <v>8</v>
      </c>
      <c r="H144" s="69" t="s">
        <v>9</v>
      </c>
      <c r="I144" s="69" t="s">
        <v>156</v>
      </c>
      <c r="J144" s="69" t="s">
        <v>55</v>
      </c>
      <c r="K144" s="69" t="s">
        <v>159</v>
      </c>
      <c r="M144" s="69" t="s">
        <v>6</v>
      </c>
    </row>
    <row r="145" spans="2:13">
      <c r="B145" s="69">
        <v>143</v>
      </c>
      <c r="C145" s="69">
        <v>22</v>
      </c>
      <c r="D145" s="69">
        <v>9</v>
      </c>
      <c r="E145" s="69">
        <v>5</v>
      </c>
      <c r="F145" s="69">
        <v>0</v>
      </c>
      <c r="G145" s="69" t="s">
        <v>8</v>
      </c>
      <c r="H145" s="69" t="s">
        <v>9</v>
      </c>
      <c r="I145" s="69" t="s">
        <v>156</v>
      </c>
      <c r="J145" s="69" t="s">
        <v>55</v>
      </c>
      <c r="K145" s="69" t="s">
        <v>160</v>
      </c>
      <c r="M145" s="69" t="s">
        <v>6</v>
      </c>
    </row>
    <row r="146" spans="2:13">
      <c r="B146" s="69">
        <v>144</v>
      </c>
      <c r="C146" s="69">
        <v>22</v>
      </c>
      <c r="D146" s="69">
        <v>9</v>
      </c>
      <c r="E146" s="69">
        <v>6</v>
      </c>
      <c r="F146" s="69">
        <v>0</v>
      </c>
      <c r="G146" s="69" t="s">
        <v>8</v>
      </c>
      <c r="H146" s="69" t="s">
        <v>9</v>
      </c>
      <c r="I146" s="69" t="s">
        <v>156</v>
      </c>
      <c r="J146" s="69" t="s">
        <v>55</v>
      </c>
      <c r="K146" s="69" t="s">
        <v>161</v>
      </c>
      <c r="M146" s="69" t="s">
        <v>6</v>
      </c>
    </row>
    <row r="147" spans="2:13">
      <c r="B147" s="69">
        <v>145</v>
      </c>
      <c r="C147" s="69">
        <v>22</v>
      </c>
      <c r="D147" s="69">
        <v>9</v>
      </c>
      <c r="E147" s="69">
        <v>7</v>
      </c>
      <c r="F147" s="69">
        <v>0</v>
      </c>
      <c r="G147" s="69" t="s">
        <v>8</v>
      </c>
      <c r="H147" s="69" t="s">
        <v>9</v>
      </c>
      <c r="I147" s="69" t="s">
        <v>156</v>
      </c>
      <c r="J147" s="69" t="s">
        <v>55</v>
      </c>
      <c r="K147" s="69" t="s">
        <v>139</v>
      </c>
      <c r="M147" s="69" t="s">
        <v>6</v>
      </c>
    </row>
    <row r="148" spans="2:13">
      <c r="B148" s="69">
        <v>146</v>
      </c>
      <c r="C148" s="69">
        <v>22</v>
      </c>
      <c r="D148" s="69">
        <v>9</v>
      </c>
      <c r="E148" s="69">
        <v>8</v>
      </c>
      <c r="F148" s="69">
        <v>0</v>
      </c>
      <c r="G148" s="69" t="s">
        <v>8</v>
      </c>
      <c r="H148" s="69" t="s">
        <v>9</v>
      </c>
      <c r="I148" s="69" t="s">
        <v>156</v>
      </c>
      <c r="J148" s="69" t="s">
        <v>55</v>
      </c>
      <c r="K148" s="69" t="s">
        <v>93</v>
      </c>
      <c r="M148" s="69" t="s">
        <v>6</v>
      </c>
    </row>
    <row r="149" spans="2:13">
      <c r="B149" s="69">
        <v>147</v>
      </c>
      <c r="C149" s="69">
        <v>22</v>
      </c>
      <c r="D149" s="69">
        <v>9</v>
      </c>
      <c r="E149" s="69">
        <v>9</v>
      </c>
      <c r="F149" s="69">
        <v>0</v>
      </c>
      <c r="G149" s="69" t="s">
        <v>8</v>
      </c>
      <c r="H149" s="69" t="s">
        <v>9</v>
      </c>
      <c r="I149" s="69" t="s">
        <v>156</v>
      </c>
      <c r="J149" s="69" t="s">
        <v>64</v>
      </c>
      <c r="K149" s="69" t="s">
        <v>94</v>
      </c>
      <c r="M149" s="69" t="s">
        <v>6</v>
      </c>
    </row>
    <row r="150" spans="2:13">
      <c r="B150" s="69">
        <v>148</v>
      </c>
      <c r="C150" s="69">
        <v>23</v>
      </c>
      <c r="D150" s="69">
        <v>8</v>
      </c>
      <c r="E150" s="69">
        <v>0</v>
      </c>
      <c r="F150" s="69">
        <v>0</v>
      </c>
      <c r="G150" s="69" t="s">
        <v>8</v>
      </c>
      <c r="H150" s="69" t="s">
        <v>9</v>
      </c>
      <c r="I150" s="69" t="s">
        <v>162</v>
      </c>
      <c r="J150" s="69" t="s">
        <v>54</v>
      </c>
      <c r="K150" s="69" t="s">
        <v>162</v>
      </c>
      <c r="M150" s="69" t="s">
        <v>6</v>
      </c>
    </row>
    <row r="151" spans="2:13">
      <c r="B151" s="69">
        <v>149</v>
      </c>
      <c r="C151" s="69">
        <v>23</v>
      </c>
      <c r="D151" s="69">
        <v>8</v>
      </c>
      <c r="E151" s="69">
        <v>1</v>
      </c>
      <c r="F151" s="69">
        <v>0</v>
      </c>
      <c r="G151" s="69" t="s">
        <v>8</v>
      </c>
      <c r="H151" s="69" t="s">
        <v>9</v>
      </c>
      <c r="I151" s="69" t="s">
        <v>162</v>
      </c>
      <c r="J151" s="69" t="s">
        <v>55</v>
      </c>
      <c r="K151" s="69" t="s">
        <v>128</v>
      </c>
      <c r="M151" s="69" t="s">
        <v>6</v>
      </c>
    </row>
    <row r="152" spans="2:13">
      <c r="B152" s="69">
        <v>150</v>
      </c>
      <c r="C152" s="69">
        <v>23</v>
      </c>
      <c r="D152" s="69">
        <v>8</v>
      </c>
      <c r="E152" s="69">
        <v>2</v>
      </c>
      <c r="F152" s="69">
        <v>0</v>
      </c>
      <c r="G152" s="69" t="s">
        <v>8</v>
      </c>
      <c r="H152" s="69" t="s">
        <v>9</v>
      </c>
      <c r="I152" s="69" t="s">
        <v>162</v>
      </c>
      <c r="J152" s="69" t="s">
        <v>55</v>
      </c>
      <c r="K152" s="69" t="s">
        <v>157</v>
      </c>
      <c r="M152" s="69" t="s">
        <v>6</v>
      </c>
    </row>
    <row r="153" spans="2:13">
      <c r="B153" s="69">
        <v>151</v>
      </c>
      <c r="C153" s="69">
        <v>23</v>
      </c>
      <c r="D153" s="69">
        <v>8</v>
      </c>
      <c r="E153" s="69">
        <v>3</v>
      </c>
      <c r="F153" s="69">
        <v>0</v>
      </c>
      <c r="G153" s="69" t="s">
        <v>8</v>
      </c>
      <c r="H153" s="69" t="s">
        <v>9</v>
      </c>
      <c r="I153" s="69" t="s">
        <v>162</v>
      </c>
      <c r="J153" s="69" t="s">
        <v>55</v>
      </c>
      <c r="K153" s="69" t="s">
        <v>158</v>
      </c>
      <c r="M153" s="69" t="s">
        <v>6</v>
      </c>
    </row>
    <row r="154" spans="2:13">
      <c r="B154" s="69">
        <v>152</v>
      </c>
      <c r="C154" s="69">
        <v>23</v>
      </c>
      <c r="D154" s="69">
        <v>8</v>
      </c>
      <c r="E154" s="69">
        <v>4</v>
      </c>
      <c r="F154" s="69">
        <v>0</v>
      </c>
      <c r="G154" s="69" t="s">
        <v>8</v>
      </c>
      <c r="H154" s="69" t="s">
        <v>9</v>
      </c>
      <c r="I154" s="69" t="s">
        <v>162</v>
      </c>
      <c r="J154" s="69" t="s">
        <v>55</v>
      </c>
      <c r="K154" s="69" t="s">
        <v>163</v>
      </c>
      <c r="M154" s="69" t="s">
        <v>6</v>
      </c>
    </row>
    <row r="155" spans="2:13">
      <c r="B155" s="69">
        <v>153</v>
      </c>
      <c r="C155" s="69">
        <v>23</v>
      </c>
      <c r="D155" s="69">
        <v>8</v>
      </c>
      <c r="E155" s="69">
        <v>5</v>
      </c>
      <c r="F155" s="69">
        <v>0</v>
      </c>
      <c r="G155" s="69" t="s">
        <v>8</v>
      </c>
      <c r="H155" s="69" t="s">
        <v>9</v>
      </c>
      <c r="I155" s="69" t="s">
        <v>162</v>
      </c>
      <c r="J155" s="69" t="s">
        <v>55</v>
      </c>
      <c r="K155" s="69" t="s">
        <v>161</v>
      </c>
      <c r="M155" s="69" t="s">
        <v>6</v>
      </c>
    </row>
    <row r="156" spans="2:13">
      <c r="B156" s="69">
        <v>154</v>
      </c>
      <c r="C156" s="69">
        <v>23</v>
      </c>
      <c r="D156" s="69">
        <v>8</v>
      </c>
      <c r="E156" s="69">
        <v>6</v>
      </c>
      <c r="F156" s="69">
        <v>0</v>
      </c>
      <c r="G156" s="69" t="s">
        <v>8</v>
      </c>
      <c r="H156" s="69" t="s">
        <v>9</v>
      </c>
      <c r="I156" s="69" t="s">
        <v>162</v>
      </c>
      <c r="J156" s="69" t="s">
        <v>55</v>
      </c>
      <c r="K156" s="69" t="s">
        <v>139</v>
      </c>
      <c r="M156" s="69" t="s">
        <v>6</v>
      </c>
    </row>
    <row r="157" spans="2:13">
      <c r="B157" s="69">
        <v>155</v>
      </c>
      <c r="C157" s="69">
        <v>23</v>
      </c>
      <c r="D157" s="69">
        <v>8</v>
      </c>
      <c r="E157" s="69">
        <v>7</v>
      </c>
      <c r="F157" s="69">
        <v>0</v>
      </c>
      <c r="G157" s="69" t="s">
        <v>8</v>
      </c>
      <c r="H157" s="69" t="s">
        <v>9</v>
      </c>
      <c r="I157" s="69" t="s">
        <v>162</v>
      </c>
      <c r="J157" s="69" t="s">
        <v>55</v>
      </c>
      <c r="K157" s="69" t="s">
        <v>93</v>
      </c>
      <c r="M157" s="69" t="s">
        <v>6</v>
      </c>
    </row>
    <row r="158" spans="2:13">
      <c r="B158" s="69">
        <v>156</v>
      </c>
      <c r="C158" s="69">
        <v>23</v>
      </c>
      <c r="D158" s="69">
        <v>8</v>
      </c>
      <c r="E158" s="69">
        <v>8</v>
      </c>
      <c r="F158" s="69">
        <v>0</v>
      </c>
      <c r="G158" s="69" t="s">
        <v>8</v>
      </c>
      <c r="H158" s="69" t="s">
        <v>9</v>
      </c>
      <c r="I158" s="69" t="s">
        <v>162</v>
      </c>
      <c r="J158" s="69" t="s">
        <v>64</v>
      </c>
      <c r="K158" s="69" t="s">
        <v>94</v>
      </c>
      <c r="M158" s="69" t="s">
        <v>6</v>
      </c>
    </row>
    <row r="159" spans="2:13">
      <c r="B159" s="69">
        <v>157</v>
      </c>
      <c r="C159" s="69">
        <v>24</v>
      </c>
      <c r="D159" s="69">
        <v>8</v>
      </c>
      <c r="E159" s="69">
        <v>0</v>
      </c>
      <c r="F159" s="69">
        <v>0</v>
      </c>
      <c r="G159" s="69" t="s">
        <v>8</v>
      </c>
      <c r="H159" s="69" t="s">
        <v>9</v>
      </c>
      <c r="I159" s="69" t="s">
        <v>164</v>
      </c>
      <c r="J159" s="69" t="s">
        <v>54</v>
      </c>
      <c r="K159" s="69" t="s">
        <v>164</v>
      </c>
      <c r="M159" s="69" t="s">
        <v>6</v>
      </c>
    </row>
    <row r="160" spans="2:13">
      <c r="B160" s="69">
        <v>158</v>
      </c>
      <c r="C160" s="69">
        <v>24</v>
      </c>
      <c r="D160" s="69">
        <v>8</v>
      </c>
      <c r="E160" s="69">
        <v>1</v>
      </c>
      <c r="F160" s="69">
        <v>0</v>
      </c>
      <c r="G160" s="69" t="s">
        <v>8</v>
      </c>
      <c r="H160" s="69" t="s">
        <v>9</v>
      </c>
      <c r="I160" s="69" t="s">
        <v>164</v>
      </c>
      <c r="J160" s="69" t="s">
        <v>55</v>
      </c>
      <c r="K160" s="69" t="s">
        <v>127</v>
      </c>
      <c r="M160" s="69" t="s">
        <v>6</v>
      </c>
    </row>
    <row r="161" spans="2:13">
      <c r="B161" s="69">
        <v>159</v>
      </c>
      <c r="C161" s="69">
        <v>24</v>
      </c>
      <c r="D161" s="69">
        <v>8</v>
      </c>
      <c r="E161" s="69">
        <v>2</v>
      </c>
      <c r="F161" s="69">
        <v>0</v>
      </c>
      <c r="G161" s="69" t="s">
        <v>8</v>
      </c>
      <c r="H161" s="69" t="s">
        <v>9</v>
      </c>
      <c r="I161" s="69" t="s">
        <v>164</v>
      </c>
      <c r="J161" s="69" t="s">
        <v>55</v>
      </c>
      <c r="K161" s="69" t="s">
        <v>165</v>
      </c>
      <c r="M161" s="69" t="s">
        <v>6</v>
      </c>
    </row>
    <row r="162" spans="2:13">
      <c r="B162" s="69">
        <v>160</v>
      </c>
      <c r="C162" s="69">
        <v>24</v>
      </c>
      <c r="D162" s="69">
        <v>8</v>
      </c>
      <c r="E162" s="69">
        <v>3</v>
      </c>
      <c r="F162" s="69">
        <v>0</v>
      </c>
      <c r="G162" s="69" t="s">
        <v>8</v>
      </c>
      <c r="H162" s="69" t="s">
        <v>9</v>
      </c>
      <c r="I162" s="69" t="s">
        <v>164</v>
      </c>
      <c r="J162" s="69" t="s">
        <v>55</v>
      </c>
      <c r="K162" s="69" t="s">
        <v>129</v>
      </c>
      <c r="M162" s="69" t="s">
        <v>6</v>
      </c>
    </row>
    <row r="163" spans="2:13">
      <c r="B163" s="69">
        <v>161</v>
      </c>
      <c r="C163" s="69">
        <v>24</v>
      </c>
      <c r="D163" s="69">
        <v>8</v>
      </c>
      <c r="E163" s="69">
        <v>4</v>
      </c>
      <c r="F163" s="69">
        <v>0</v>
      </c>
      <c r="G163" s="69" t="s">
        <v>8</v>
      </c>
      <c r="H163" s="69" t="s">
        <v>9</v>
      </c>
      <c r="I163" s="69" t="s">
        <v>164</v>
      </c>
      <c r="J163" s="69" t="s">
        <v>55</v>
      </c>
      <c r="K163" s="69" t="s">
        <v>166</v>
      </c>
      <c r="M163" s="69" t="s">
        <v>6</v>
      </c>
    </row>
    <row r="164" spans="2:13">
      <c r="B164" s="69">
        <v>162</v>
      </c>
      <c r="C164" s="69">
        <v>24</v>
      </c>
      <c r="D164" s="69">
        <v>8</v>
      </c>
      <c r="E164" s="69">
        <v>5</v>
      </c>
      <c r="F164" s="69">
        <v>0</v>
      </c>
      <c r="G164" s="69" t="s">
        <v>8</v>
      </c>
      <c r="H164" s="69" t="s">
        <v>9</v>
      </c>
      <c r="I164" s="69" t="s">
        <v>164</v>
      </c>
      <c r="J164" s="69" t="s">
        <v>55</v>
      </c>
      <c r="K164" s="69" t="s">
        <v>167</v>
      </c>
      <c r="M164" s="69" t="s">
        <v>6</v>
      </c>
    </row>
    <row r="165" spans="2:13">
      <c r="B165" s="69">
        <v>163</v>
      </c>
      <c r="C165" s="69">
        <v>24</v>
      </c>
      <c r="D165" s="69">
        <v>8</v>
      </c>
      <c r="E165" s="69">
        <v>6</v>
      </c>
      <c r="F165" s="69">
        <v>0</v>
      </c>
      <c r="G165" s="69" t="s">
        <v>8</v>
      </c>
      <c r="H165" s="69" t="s">
        <v>9</v>
      </c>
      <c r="I165" s="69" t="s">
        <v>164</v>
      </c>
      <c r="J165" s="69" t="s">
        <v>55</v>
      </c>
      <c r="K165" s="69" t="s">
        <v>147</v>
      </c>
      <c r="M165" s="69" t="s">
        <v>6</v>
      </c>
    </row>
    <row r="166" spans="2:13">
      <c r="B166" s="69">
        <v>164</v>
      </c>
      <c r="C166" s="69">
        <v>24</v>
      </c>
      <c r="D166" s="69">
        <v>8</v>
      </c>
      <c r="E166" s="69">
        <v>7</v>
      </c>
      <c r="F166" s="69">
        <v>0</v>
      </c>
      <c r="G166" s="69" t="s">
        <v>8</v>
      </c>
      <c r="H166" s="69" t="s">
        <v>9</v>
      </c>
      <c r="I166" s="69" t="s">
        <v>164</v>
      </c>
      <c r="J166" s="69" t="s">
        <v>55</v>
      </c>
      <c r="K166" s="69" t="s">
        <v>93</v>
      </c>
      <c r="M166" s="69" t="s">
        <v>6</v>
      </c>
    </row>
    <row r="167" spans="2:13">
      <c r="B167" s="69">
        <v>165</v>
      </c>
      <c r="C167" s="69">
        <v>24</v>
      </c>
      <c r="D167" s="69">
        <v>8</v>
      </c>
      <c r="E167" s="69">
        <v>8</v>
      </c>
      <c r="F167" s="69">
        <v>0</v>
      </c>
      <c r="G167" s="69" t="s">
        <v>8</v>
      </c>
      <c r="H167" s="69" t="s">
        <v>9</v>
      </c>
      <c r="I167" s="69" t="s">
        <v>164</v>
      </c>
      <c r="J167" s="69" t="s">
        <v>64</v>
      </c>
      <c r="K167" s="69" t="s">
        <v>94</v>
      </c>
      <c r="M167" s="69" t="s">
        <v>6</v>
      </c>
    </row>
    <row r="168" spans="2:13">
      <c r="B168" s="69">
        <v>166</v>
      </c>
      <c r="C168" s="69">
        <v>25</v>
      </c>
      <c r="D168" s="69">
        <v>17</v>
      </c>
      <c r="E168" s="69">
        <v>0</v>
      </c>
      <c r="F168" s="69">
        <v>0</v>
      </c>
      <c r="G168" s="69" t="s">
        <v>8</v>
      </c>
      <c r="H168" s="69" t="s">
        <v>9</v>
      </c>
      <c r="I168" s="69" t="s">
        <v>168</v>
      </c>
      <c r="J168" s="69" t="s">
        <v>54</v>
      </c>
      <c r="K168" s="69" t="s">
        <v>168</v>
      </c>
      <c r="M168" s="69" t="s">
        <v>6</v>
      </c>
    </row>
    <row r="169" spans="2:13">
      <c r="B169" s="69">
        <v>167</v>
      </c>
      <c r="C169" s="69">
        <v>25</v>
      </c>
      <c r="D169" s="69">
        <v>17</v>
      </c>
      <c r="E169" s="69">
        <v>1</v>
      </c>
      <c r="F169" s="69">
        <v>0</v>
      </c>
      <c r="G169" s="69" t="s">
        <v>8</v>
      </c>
      <c r="H169" s="69" t="s">
        <v>9</v>
      </c>
      <c r="I169" s="69" t="s">
        <v>168</v>
      </c>
      <c r="J169" s="69" t="s">
        <v>55</v>
      </c>
      <c r="K169" s="69" t="s">
        <v>169</v>
      </c>
      <c r="M169" s="69" t="s">
        <v>6</v>
      </c>
    </row>
    <row r="170" spans="2:13">
      <c r="B170" s="69">
        <v>168</v>
      </c>
      <c r="C170" s="69">
        <v>25</v>
      </c>
      <c r="D170" s="69">
        <v>17</v>
      </c>
      <c r="E170" s="69">
        <v>2</v>
      </c>
      <c r="F170" s="69">
        <v>0</v>
      </c>
      <c r="G170" s="69" t="s">
        <v>8</v>
      </c>
      <c r="H170" s="69" t="s">
        <v>9</v>
      </c>
      <c r="I170" s="69" t="s">
        <v>168</v>
      </c>
      <c r="J170" s="69" t="s">
        <v>55</v>
      </c>
      <c r="K170" s="69" t="s">
        <v>170</v>
      </c>
      <c r="M170" s="69" t="s">
        <v>6</v>
      </c>
    </row>
    <row r="171" spans="2:13">
      <c r="B171" s="69">
        <v>169</v>
      </c>
      <c r="C171" s="69">
        <v>25</v>
      </c>
      <c r="D171" s="69">
        <v>17</v>
      </c>
      <c r="E171" s="69">
        <v>3</v>
      </c>
      <c r="F171" s="69">
        <v>0</v>
      </c>
      <c r="G171" s="69" t="s">
        <v>8</v>
      </c>
      <c r="H171" s="69" t="s">
        <v>9</v>
      </c>
      <c r="I171" s="69" t="s">
        <v>168</v>
      </c>
      <c r="J171" s="69" t="s">
        <v>55</v>
      </c>
      <c r="K171" s="69" t="s">
        <v>171</v>
      </c>
      <c r="M171" s="69" t="s">
        <v>6</v>
      </c>
    </row>
    <row r="172" spans="2:13">
      <c r="B172" s="69">
        <v>170</v>
      </c>
      <c r="C172" s="69">
        <v>25</v>
      </c>
      <c r="D172" s="69">
        <v>17</v>
      </c>
      <c r="E172" s="69">
        <v>4</v>
      </c>
      <c r="F172" s="69">
        <v>0</v>
      </c>
      <c r="G172" s="69" t="s">
        <v>8</v>
      </c>
      <c r="H172" s="69" t="s">
        <v>9</v>
      </c>
      <c r="I172" s="69" t="s">
        <v>168</v>
      </c>
      <c r="J172" s="69" t="s">
        <v>55</v>
      </c>
      <c r="K172" s="69" t="s">
        <v>172</v>
      </c>
      <c r="M172" s="69" t="s">
        <v>6</v>
      </c>
    </row>
    <row r="173" spans="2:13">
      <c r="B173" s="69">
        <v>171</v>
      </c>
      <c r="C173" s="69">
        <v>25</v>
      </c>
      <c r="D173" s="69">
        <v>17</v>
      </c>
      <c r="E173" s="69">
        <v>5</v>
      </c>
      <c r="F173" s="69">
        <v>0</v>
      </c>
      <c r="G173" s="69" t="s">
        <v>8</v>
      </c>
      <c r="H173" s="69" t="s">
        <v>9</v>
      </c>
      <c r="I173" s="69" t="s">
        <v>168</v>
      </c>
      <c r="J173" s="69" t="s">
        <v>55</v>
      </c>
      <c r="K173" s="69" t="s">
        <v>173</v>
      </c>
      <c r="M173" s="69" t="s">
        <v>6</v>
      </c>
    </row>
    <row r="174" spans="2:13">
      <c r="B174" s="69">
        <v>172</v>
      </c>
      <c r="C174" s="69">
        <v>25</v>
      </c>
      <c r="D174" s="69">
        <v>17</v>
      </c>
      <c r="E174" s="69">
        <v>6</v>
      </c>
      <c r="F174" s="69">
        <v>0</v>
      </c>
      <c r="G174" s="69" t="s">
        <v>8</v>
      </c>
      <c r="H174" s="69" t="s">
        <v>9</v>
      </c>
      <c r="I174" s="69" t="s">
        <v>168</v>
      </c>
      <c r="J174" s="69" t="s">
        <v>55</v>
      </c>
      <c r="K174" s="69" t="s">
        <v>174</v>
      </c>
      <c r="M174" s="69" t="s">
        <v>6</v>
      </c>
    </row>
    <row r="175" spans="2:13">
      <c r="B175" s="69">
        <v>173</v>
      </c>
      <c r="C175" s="69">
        <v>25</v>
      </c>
      <c r="D175" s="69">
        <v>17</v>
      </c>
      <c r="E175" s="69">
        <v>7</v>
      </c>
      <c r="F175" s="69">
        <v>0</v>
      </c>
      <c r="G175" s="69" t="s">
        <v>8</v>
      </c>
      <c r="H175" s="69" t="s">
        <v>9</v>
      </c>
      <c r="I175" s="69" t="s">
        <v>168</v>
      </c>
      <c r="J175" s="69" t="s">
        <v>55</v>
      </c>
      <c r="K175" s="69" t="s">
        <v>175</v>
      </c>
      <c r="M175" s="69" t="s">
        <v>6</v>
      </c>
    </row>
    <row r="176" spans="2:13">
      <c r="B176" s="69">
        <v>174</v>
      </c>
      <c r="C176" s="69">
        <v>25</v>
      </c>
      <c r="D176" s="69">
        <v>17</v>
      </c>
      <c r="E176" s="69">
        <v>8</v>
      </c>
      <c r="F176" s="69">
        <v>0</v>
      </c>
      <c r="G176" s="69" t="s">
        <v>8</v>
      </c>
      <c r="H176" s="69" t="s">
        <v>9</v>
      </c>
      <c r="I176" s="69" t="s">
        <v>168</v>
      </c>
      <c r="J176" s="69" t="s">
        <v>55</v>
      </c>
      <c r="K176" s="69" t="s">
        <v>176</v>
      </c>
      <c r="M176" s="69" t="s">
        <v>6</v>
      </c>
    </row>
    <row r="177" spans="2:13">
      <c r="B177" s="69">
        <v>175</v>
      </c>
      <c r="C177" s="69">
        <v>25</v>
      </c>
      <c r="D177" s="69">
        <v>17</v>
      </c>
      <c r="E177" s="69">
        <v>9</v>
      </c>
      <c r="F177" s="69">
        <v>0</v>
      </c>
      <c r="G177" s="69" t="s">
        <v>8</v>
      </c>
      <c r="H177" s="69" t="s">
        <v>9</v>
      </c>
      <c r="I177" s="69" t="s">
        <v>168</v>
      </c>
      <c r="J177" s="69" t="s">
        <v>55</v>
      </c>
      <c r="K177" s="69" t="s">
        <v>139</v>
      </c>
      <c r="M177" s="69" t="s">
        <v>6</v>
      </c>
    </row>
    <row r="178" spans="2:13">
      <c r="B178" s="69">
        <v>176</v>
      </c>
      <c r="C178" s="69">
        <v>25</v>
      </c>
      <c r="D178" s="69">
        <v>17</v>
      </c>
      <c r="E178" s="69">
        <v>10</v>
      </c>
      <c r="F178" s="69">
        <v>0</v>
      </c>
      <c r="G178" s="69" t="s">
        <v>8</v>
      </c>
      <c r="H178" s="69" t="s">
        <v>9</v>
      </c>
      <c r="I178" s="69" t="s">
        <v>168</v>
      </c>
      <c r="J178" s="69" t="s">
        <v>55</v>
      </c>
      <c r="K178" s="69" t="s">
        <v>177</v>
      </c>
      <c r="M178" s="69" t="s">
        <v>6</v>
      </c>
    </row>
    <row r="179" spans="2:13">
      <c r="B179" s="69">
        <v>177</v>
      </c>
      <c r="C179" s="69">
        <v>25</v>
      </c>
      <c r="D179" s="69">
        <v>17</v>
      </c>
      <c r="E179" s="69">
        <v>11</v>
      </c>
      <c r="F179" s="69">
        <v>0</v>
      </c>
      <c r="G179" s="69" t="s">
        <v>8</v>
      </c>
      <c r="H179" s="69" t="s">
        <v>9</v>
      </c>
      <c r="I179" s="69" t="s">
        <v>168</v>
      </c>
      <c r="J179" s="69" t="s">
        <v>55</v>
      </c>
      <c r="K179" s="69" t="s">
        <v>178</v>
      </c>
      <c r="M179" s="69" t="s">
        <v>6</v>
      </c>
    </row>
    <row r="180" spans="2:13">
      <c r="B180" s="69">
        <v>178</v>
      </c>
      <c r="C180" s="69">
        <v>25</v>
      </c>
      <c r="D180" s="69">
        <v>17</v>
      </c>
      <c r="E180" s="69">
        <v>12</v>
      </c>
      <c r="F180" s="69">
        <v>0</v>
      </c>
      <c r="G180" s="69" t="s">
        <v>8</v>
      </c>
      <c r="H180" s="69" t="s">
        <v>9</v>
      </c>
      <c r="I180" s="69" t="s">
        <v>168</v>
      </c>
      <c r="J180" s="69" t="s">
        <v>55</v>
      </c>
      <c r="K180" s="69" t="s">
        <v>179</v>
      </c>
      <c r="M180" s="69" t="s">
        <v>6</v>
      </c>
    </row>
    <row r="181" spans="2:13">
      <c r="B181" s="69">
        <v>179</v>
      </c>
      <c r="C181" s="69">
        <v>25</v>
      </c>
      <c r="D181" s="69">
        <v>17</v>
      </c>
      <c r="E181" s="69">
        <v>13</v>
      </c>
      <c r="F181" s="69">
        <v>0</v>
      </c>
      <c r="G181" s="69" t="s">
        <v>8</v>
      </c>
      <c r="H181" s="69" t="s">
        <v>9</v>
      </c>
      <c r="I181" s="69" t="s">
        <v>168</v>
      </c>
      <c r="J181" s="69" t="s">
        <v>55</v>
      </c>
      <c r="K181" s="69" t="s">
        <v>180</v>
      </c>
      <c r="M181" s="69" t="s">
        <v>6</v>
      </c>
    </row>
    <row r="182" spans="2:13">
      <c r="B182" s="69">
        <v>180</v>
      </c>
      <c r="C182" s="69">
        <v>25</v>
      </c>
      <c r="D182" s="69">
        <v>17</v>
      </c>
      <c r="E182" s="69">
        <v>14</v>
      </c>
      <c r="F182" s="69">
        <v>0</v>
      </c>
      <c r="G182" s="69" t="s">
        <v>8</v>
      </c>
      <c r="H182" s="69" t="s">
        <v>9</v>
      </c>
      <c r="I182" s="69" t="s">
        <v>168</v>
      </c>
      <c r="J182" s="69" t="s">
        <v>55</v>
      </c>
      <c r="K182" s="69" t="s">
        <v>181</v>
      </c>
      <c r="M182" s="69" t="s">
        <v>6</v>
      </c>
    </row>
    <row r="183" spans="2:13">
      <c r="B183" s="69">
        <v>181</v>
      </c>
      <c r="C183" s="69">
        <v>25</v>
      </c>
      <c r="D183" s="69">
        <v>17</v>
      </c>
      <c r="E183" s="69">
        <v>15</v>
      </c>
      <c r="F183" s="69">
        <v>0</v>
      </c>
      <c r="G183" s="69" t="s">
        <v>8</v>
      </c>
      <c r="H183" s="69" t="s">
        <v>9</v>
      </c>
      <c r="I183" s="69" t="s">
        <v>168</v>
      </c>
      <c r="J183" s="69" t="s">
        <v>55</v>
      </c>
      <c r="K183" s="69" t="s">
        <v>182</v>
      </c>
      <c r="M183" s="69" t="s">
        <v>6</v>
      </c>
    </row>
    <row r="184" spans="2:13">
      <c r="B184" s="69">
        <v>182</v>
      </c>
      <c r="C184" s="69">
        <v>25</v>
      </c>
      <c r="D184" s="69">
        <v>17</v>
      </c>
      <c r="E184" s="69">
        <v>16</v>
      </c>
      <c r="F184" s="69">
        <v>0</v>
      </c>
      <c r="G184" s="69" t="s">
        <v>8</v>
      </c>
      <c r="H184" s="69" t="s">
        <v>9</v>
      </c>
      <c r="I184" s="69" t="s">
        <v>168</v>
      </c>
      <c r="J184" s="69" t="s">
        <v>55</v>
      </c>
      <c r="K184" s="69" t="s">
        <v>93</v>
      </c>
      <c r="M184" s="69" t="s">
        <v>6</v>
      </c>
    </row>
    <row r="185" spans="2:13">
      <c r="B185" s="69">
        <v>183</v>
      </c>
      <c r="C185" s="69">
        <v>25</v>
      </c>
      <c r="D185" s="69">
        <v>17</v>
      </c>
      <c r="E185" s="69">
        <v>17</v>
      </c>
      <c r="F185" s="69">
        <v>0</v>
      </c>
      <c r="G185" s="69" t="s">
        <v>8</v>
      </c>
      <c r="H185" s="69" t="s">
        <v>9</v>
      </c>
      <c r="I185" s="69" t="s">
        <v>168</v>
      </c>
      <c r="J185" s="69" t="s">
        <v>64</v>
      </c>
      <c r="K185" s="69" t="s">
        <v>94</v>
      </c>
      <c r="M185" s="69" t="s">
        <v>6</v>
      </c>
    </row>
    <row r="186" spans="2:13">
      <c r="B186" s="69">
        <v>184</v>
      </c>
      <c r="C186" s="69">
        <v>26</v>
      </c>
      <c r="D186" s="69">
        <v>27</v>
      </c>
      <c r="E186" s="69">
        <v>0</v>
      </c>
      <c r="F186" s="69">
        <v>0</v>
      </c>
      <c r="G186" s="69" t="s">
        <v>183</v>
      </c>
      <c r="H186" s="69" t="s">
        <v>52</v>
      </c>
      <c r="I186" s="69" t="s">
        <v>184</v>
      </c>
      <c r="J186" s="69" t="s">
        <v>54</v>
      </c>
      <c r="K186" s="69" t="s">
        <v>184</v>
      </c>
      <c r="M186" s="69" t="s">
        <v>6</v>
      </c>
    </row>
    <row r="187" spans="2:13">
      <c r="B187" s="69">
        <v>185</v>
      </c>
      <c r="C187" s="69">
        <v>26</v>
      </c>
      <c r="D187" s="69">
        <v>27</v>
      </c>
      <c r="E187" s="69">
        <v>1</v>
      </c>
      <c r="F187" s="69">
        <v>0</v>
      </c>
      <c r="G187" s="69" t="s">
        <v>183</v>
      </c>
      <c r="H187" s="69" t="s">
        <v>52</v>
      </c>
      <c r="I187" s="69" t="s">
        <v>184</v>
      </c>
      <c r="J187" s="69" t="s">
        <v>55</v>
      </c>
      <c r="K187" s="69" t="s">
        <v>185</v>
      </c>
      <c r="M187" s="69" t="s">
        <v>6</v>
      </c>
    </row>
    <row r="188" spans="2:13">
      <c r="B188" s="69">
        <v>186</v>
      </c>
      <c r="C188" s="69">
        <v>26</v>
      </c>
      <c r="D188" s="69">
        <v>27</v>
      </c>
      <c r="E188" s="69">
        <v>2</v>
      </c>
      <c r="F188" s="69">
        <v>0</v>
      </c>
      <c r="G188" s="69" t="s">
        <v>183</v>
      </c>
      <c r="H188" s="69" t="s">
        <v>52</v>
      </c>
      <c r="I188" s="69" t="s">
        <v>184</v>
      </c>
      <c r="J188" s="69" t="s">
        <v>55</v>
      </c>
      <c r="K188" s="69" t="s">
        <v>186</v>
      </c>
      <c r="M188" s="69" t="s">
        <v>6</v>
      </c>
    </row>
    <row r="189" spans="2:13">
      <c r="B189" s="69">
        <v>187</v>
      </c>
      <c r="C189" s="69">
        <v>26</v>
      </c>
      <c r="D189" s="69">
        <v>27</v>
      </c>
      <c r="E189" s="69">
        <v>3</v>
      </c>
      <c r="F189" s="69">
        <v>0</v>
      </c>
      <c r="G189" s="69" t="s">
        <v>183</v>
      </c>
      <c r="H189" s="69" t="s">
        <v>52</v>
      </c>
      <c r="I189" s="69" t="s">
        <v>184</v>
      </c>
      <c r="J189" s="69" t="s">
        <v>55</v>
      </c>
      <c r="K189" s="69" t="s">
        <v>187</v>
      </c>
      <c r="M189" s="69" t="s">
        <v>6</v>
      </c>
    </row>
    <row r="190" spans="2:13">
      <c r="B190" s="69">
        <v>188</v>
      </c>
      <c r="C190" s="69">
        <v>26</v>
      </c>
      <c r="D190" s="69">
        <v>27</v>
      </c>
      <c r="E190" s="69">
        <v>4</v>
      </c>
      <c r="F190" s="69">
        <v>0</v>
      </c>
      <c r="G190" s="69" t="s">
        <v>183</v>
      </c>
      <c r="H190" s="69" t="s">
        <v>52</v>
      </c>
      <c r="I190" s="69" t="s">
        <v>184</v>
      </c>
      <c r="J190" s="69" t="s">
        <v>55</v>
      </c>
      <c r="K190" s="69" t="s">
        <v>188</v>
      </c>
      <c r="M190" s="69" t="s">
        <v>6</v>
      </c>
    </row>
    <row r="191" spans="2:13">
      <c r="B191" s="69">
        <v>189</v>
      </c>
      <c r="C191" s="69">
        <v>26</v>
      </c>
      <c r="D191" s="69">
        <v>27</v>
      </c>
      <c r="E191" s="69">
        <v>5</v>
      </c>
      <c r="F191" s="69">
        <v>0</v>
      </c>
      <c r="G191" s="69" t="s">
        <v>183</v>
      </c>
      <c r="H191" s="69" t="s">
        <v>52</v>
      </c>
      <c r="I191" s="69" t="s">
        <v>184</v>
      </c>
      <c r="J191" s="69" t="s">
        <v>55</v>
      </c>
      <c r="K191" s="69" t="s">
        <v>189</v>
      </c>
      <c r="M191" s="69" t="s">
        <v>6</v>
      </c>
    </row>
    <row r="192" spans="2:13">
      <c r="B192" s="69">
        <v>190</v>
      </c>
      <c r="C192" s="69">
        <v>26</v>
      </c>
      <c r="D192" s="69">
        <v>27</v>
      </c>
      <c r="E192" s="69">
        <v>6</v>
      </c>
      <c r="F192" s="69">
        <v>0</v>
      </c>
      <c r="G192" s="69" t="s">
        <v>183</v>
      </c>
      <c r="H192" s="69" t="s">
        <v>52</v>
      </c>
      <c r="I192" s="69" t="s">
        <v>184</v>
      </c>
      <c r="J192" s="69" t="s">
        <v>99</v>
      </c>
      <c r="K192" s="69" t="s">
        <v>190</v>
      </c>
      <c r="M192" s="69" t="s">
        <v>6</v>
      </c>
    </row>
    <row r="193" spans="2:13">
      <c r="B193" s="69">
        <v>191</v>
      </c>
      <c r="C193" s="69">
        <v>26</v>
      </c>
      <c r="D193" s="69">
        <v>27</v>
      </c>
      <c r="E193" s="69">
        <v>7</v>
      </c>
      <c r="F193" s="69">
        <v>0</v>
      </c>
      <c r="G193" s="69" t="s">
        <v>183</v>
      </c>
      <c r="H193" s="69" t="s">
        <v>52</v>
      </c>
      <c r="I193" s="69" t="s">
        <v>184</v>
      </c>
      <c r="J193" s="69" t="s">
        <v>99</v>
      </c>
      <c r="K193" s="69" t="s">
        <v>191</v>
      </c>
      <c r="M193" s="69" t="s">
        <v>6</v>
      </c>
    </row>
    <row r="194" spans="2:13">
      <c r="B194" s="69">
        <v>192</v>
      </c>
      <c r="C194" s="69">
        <v>26</v>
      </c>
      <c r="D194" s="69">
        <v>27</v>
      </c>
      <c r="E194" s="69">
        <v>8</v>
      </c>
      <c r="F194" s="69">
        <v>0</v>
      </c>
      <c r="G194" s="69" t="s">
        <v>183</v>
      </c>
      <c r="H194" s="69" t="s">
        <v>52</v>
      </c>
      <c r="I194" s="69" t="s">
        <v>184</v>
      </c>
      <c r="J194" s="69" t="s">
        <v>99</v>
      </c>
      <c r="K194" s="69" t="s">
        <v>192</v>
      </c>
      <c r="M194" s="69" t="s">
        <v>6</v>
      </c>
    </row>
    <row r="195" spans="2:13">
      <c r="B195" s="69">
        <v>193</v>
      </c>
      <c r="C195" s="69">
        <v>26</v>
      </c>
      <c r="D195" s="69">
        <v>27</v>
      </c>
      <c r="E195" s="69">
        <v>9</v>
      </c>
      <c r="F195" s="69">
        <v>0</v>
      </c>
      <c r="G195" s="69" t="s">
        <v>183</v>
      </c>
      <c r="H195" s="69" t="s">
        <v>52</v>
      </c>
      <c r="I195" s="69" t="s">
        <v>184</v>
      </c>
      <c r="J195" s="69" t="s">
        <v>99</v>
      </c>
      <c r="K195" s="69" t="s">
        <v>193</v>
      </c>
      <c r="M195" s="69" t="s">
        <v>6</v>
      </c>
    </row>
    <row r="196" spans="2:13">
      <c r="B196" s="69">
        <v>194</v>
      </c>
      <c r="C196" s="69">
        <v>26</v>
      </c>
      <c r="D196" s="69">
        <v>27</v>
      </c>
      <c r="E196" s="69">
        <v>10</v>
      </c>
      <c r="F196" s="69">
        <v>0</v>
      </c>
      <c r="G196" s="69" t="s">
        <v>183</v>
      </c>
      <c r="H196" s="69" t="s">
        <v>52</v>
      </c>
      <c r="I196" s="69" t="s">
        <v>184</v>
      </c>
      <c r="J196" s="69" t="s">
        <v>99</v>
      </c>
      <c r="K196" s="69" t="s">
        <v>194</v>
      </c>
      <c r="M196" s="69" t="s">
        <v>6</v>
      </c>
    </row>
    <row r="197" spans="2:13">
      <c r="B197" s="69">
        <v>195</v>
      </c>
      <c r="C197" s="69">
        <v>26</v>
      </c>
      <c r="D197" s="69">
        <v>27</v>
      </c>
      <c r="E197" s="69">
        <v>11</v>
      </c>
      <c r="F197" s="69">
        <v>0</v>
      </c>
      <c r="G197" s="69" t="s">
        <v>183</v>
      </c>
      <c r="H197" s="69" t="s">
        <v>52</v>
      </c>
      <c r="I197" s="69" t="s">
        <v>184</v>
      </c>
      <c r="J197" s="69" t="s">
        <v>99</v>
      </c>
      <c r="K197" s="69" t="s">
        <v>195</v>
      </c>
      <c r="M197" s="69" t="s">
        <v>6</v>
      </c>
    </row>
    <row r="198" spans="2:13">
      <c r="B198" s="69">
        <v>196</v>
      </c>
      <c r="C198" s="69">
        <v>26</v>
      </c>
      <c r="D198" s="69">
        <v>27</v>
      </c>
      <c r="E198" s="69">
        <v>12</v>
      </c>
      <c r="F198" s="69">
        <v>0</v>
      </c>
      <c r="G198" s="69" t="s">
        <v>183</v>
      </c>
      <c r="H198" s="69" t="s">
        <v>52</v>
      </c>
      <c r="I198" s="69" t="s">
        <v>184</v>
      </c>
      <c r="J198" s="69" t="s">
        <v>99</v>
      </c>
      <c r="K198" s="69" t="s">
        <v>196</v>
      </c>
      <c r="L198" s="69" t="s">
        <v>197</v>
      </c>
      <c r="M198" s="69" t="s">
        <v>6</v>
      </c>
    </row>
    <row r="199" spans="2:13">
      <c r="B199" s="69">
        <v>197</v>
      </c>
      <c r="C199" s="69">
        <v>26</v>
      </c>
      <c r="D199" s="69">
        <v>27</v>
      </c>
      <c r="E199" s="69">
        <v>13</v>
      </c>
      <c r="F199" s="69">
        <v>0</v>
      </c>
      <c r="G199" s="69" t="s">
        <v>183</v>
      </c>
      <c r="H199" s="69" t="s">
        <v>52</v>
      </c>
      <c r="I199" s="69" t="s">
        <v>184</v>
      </c>
      <c r="J199" s="69" t="s">
        <v>55</v>
      </c>
      <c r="K199" s="69" t="s">
        <v>198</v>
      </c>
      <c r="M199" s="69" t="s">
        <v>6</v>
      </c>
    </row>
    <row r="200" spans="2:13">
      <c r="B200" s="69">
        <v>198</v>
      </c>
      <c r="C200" s="69">
        <v>26</v>
      </c>
      <c r="D200" s="69">
        <v>27</v>
      </c>
      <c r="E200" s="69">
        <v>14</v>
      </c>
      <c r="F200" s="69">
        <v>0</v>
      </c>
      <c r="G200" s="69" t="s">
        <v>183</v>
      </c>
      <c r="H200" s="69" t="s">
        <v>52</v>
      </c>
      <c r="I200" s="69" t="s">
        <v>184</v>
      </c>
      <c r="J200" s="69" t="s">
        <v>99</v>
      </c>
      <c r="K200" s="69" t="s">
        <v>199</v>
      </c>
      <c r="M200" s="69" t="s">
        <v>6</v>
      </c>
    </row>
    <row r="201" spans="2:13">
      <c r="B201" s="69">
        <v>199</v>
      </c>
      <c r="C201" s="69">
        <v>26</v>
      </c>
      <c r="D201" s="69">
        <v>27</v>
      </c>
      <c r="E201" s="69">
        <v>15</v>
      </c>
      <c r="F201" s="69">
        <v>0</v>
      </c>
      <c r="G201" s="69" t="s">
        <v>183</v>
      </c>
      <c r="H201" s="69" t="s">
        <v>52</v>
      </c>
      <c r="I201" s="69" t="s">
        <v>184</v>
      </c>
      <c r="J201" s="69" t="s">
        <v>99</v>
      </c>
      <c r="K201" s="69" t="s">
        <v>200</v>
      </c>
      <c r="M201" s="69" t="s">
        <v>6</v>
      </c>
    </row>
    <row r="202" spans="2:13">
      <c r="B202" s="69">
        <v>200</v>
      </c>
      <c r="C202" s="69">
        <v>26</v>
      </c>
      <c r="D202" s="69">
        <v>27</v>
      </c>
      <c r="E202" s="69">
        <v>16</v>
      </c>
      <c r="F202" s="69">
        <v>0</v>
      </c>
      <c r="G202" s="69" t="s">
        <v>183</v>
      </c>
      <c r="H202" s="69" t="s">
        <v>52</v>
      </c>
      <c r="I202" s="69" t="s">
        <v>184</v>
      </c>
      <c r="J202" s="69" t="s">
        <v>99</v>
      </c>
      <c r="K202" s="69" t="s">
        <v>201</v>
      </c>
      <c r="M202" s="69" t="s">
        <v>6</v>
      </c>
    </row>
    <row r="203" spans="2:13">
      <c r="B203" s="69">
        <v>201</v>
      </c>
      <c r="C203" s="69">
        <v>26</v>
      </c>
      <c r="D203" s="69">
        <v>27</v>
      </c>
      <c r="E203" s="69">
        <v>17</v>
      </c>
      <c r="F203" s="69">
        <v>0</v>
      </c>
      <c r="G203" s="69" t="s">
        <v>183</v>
      </c>
      <c r="H203" s="69" t="s">
        <v>52</v>
      </c>
      <c r="I203" s="69" t="s">
        <v>184</v>
      </c>
      <c r="J203" s="69" t="s">
        <v>55</v>
      </c>
      <c r="K203" s="69" t="s">
        <v>202</v>
      </c>
      <c r="M203" s="69" t="s">
        <v>6</v>
      </c>
    </row>
    <row r="204" spans="2:13">
      <c r="B204" s="69">
        <v>202</v>
      </c>
      <c r="C204" s="69">
        <v>26</v>
      </c>
      <c r="D204" s="69">
        <v>27</v>
      </c>
      <c r="E204" s="69">
        <v>18</v>
      </c>
      <c r="F204" s="69">
        <v>0</v>
      </c>
      <c r="G204" s="69" t="s">
        <v>183</v>
      </c>
      <c r="H204" s="69" t="s">
        <v>52</v>
      </c>
      <c r="I204" s="69" t="s">
        <v>184</v>
      </c>
      <c r="J204" s="69" t="s">
        <v>99</v>
      </c>
      <c r="K204" s="69" t="s">
        <v>203</v>
      </c>
      <c r="M204" s="69" t="s">
        <v>6</v>
      </c>
    </row>
    <row r="205" spans="2:13">
      <c r="B205" s="69">
        <v>203</v>
      </c>
      <c r="C205" s="69">
        <v>26</v>
      </c>
      <c r="D205" s="69">
        <v>27</v>
      </c>
      <c r="E205" s="69">
        <v>19</v>
      </c>
      <c r="F205" s="69">
        <v>0</v>
      </c>
      <c r="G205" s="69" t="s">
        <v>183</v>
      </c>
      <c r="H205" s="69" t="s">
        <v>52</v>
      </c>
      <c r="I205" s="69" t="s">
        <v>184</v>
      </c>
      <c r="J205" s="69" t="s">
        <v>99</v>
      </c>
      <c r="K205" s="69" t="s">
        <v>204</v>
      </c>
      <c r="M205" s="69" t="s">
        <v>6</v>
      </c>
    </row>
    <row r="206" spans="2:13">
      <c r="B206" s="69">
        <v>204</v>
      </c>
      <c r="C206" s="69">
        <v>26</v>
      </c>
      <c r="D206" s="69">
        <v>27</v>
      </c>
      <c r="E206" s="69">
        <v>20</v>
      </c>
      <c r="F206" s="69">
        <v>0</v>
      </c>
      <c r="G206" s="69" t="s">
        <v>183</v>
      </c>
      <c r="H206" s="69" t="s">
        <v>52</v>
      </c>
      <c r="I206" s="69" t="s">
        <v>184</v>
      </c>
      <c r="J206" s="69" t="s">
        <v>99</v>
      </c>
      <c r="K206" s="69" t="s">
        <v>205</v>
      </c>
      <c r="M206" s="69" t="s">
        <v>6</v>
      </c>
    </row>
    <row r="207" spans="2:13">
      <c r="B207" s="69">
        <v>205</v>
      </c>
      <c r="C207" s="69">
        <v>26</v>
      </c>
      <c r="D207" s="69">
        <v>27</v>
      </c>
      <c r="E207" s="69">
        <v>21</v>
      </c>
      <c r="F207" s="69">
        <v>0</v>
      </c>
      <c r="G207" s="69" t="s">
        <v>183</v>
      </c>
      <c r="H207" s="69" t="s">
        <v>52</v>
      </c>
      <c r="I207" s="69" t="s">
        <v>184</v>
      </c>
      <c r="J207" s="69" t="s">
        <v>99</v>
      </c>
      <c r="K207" s="69" t="s">
        <v>206</v>
      </c>
      <c r="M207" s="69" t="s">
        <v>6</v>
      </c>
    </row>
    <row r="208" spans="2:13">
      <c r="B208" s="69">
        <v>206</v>
      </c>
      <c r="C208" s="69">
        <v>26</v>
      </c>
      <c r="D208" s="69">
        <v>27</v>
      </c>
      <c r="E208" s="69">
        <v>22</v>
      </c>
      <c r="F208" s="69">
        <v>0</v>
      </c>
      <c r="G208" s="69" t="s">
        <v>183</v>
      </c>
      <c r="H208" s="69" t="s">
        <v>52</v>
      </c>
      <c r="I208" s="69" t="s">
        <v>184</v>
      </c>
      <c r="J208" s="69" t="s">
        <v>55</v>
      </c>
      <c r="K208" s="69" t="s">
        <v>207</v>
      </c>
      <c r="M208" s="69" t="s">
        <v>6</v>
      </c>
    </row>
    <row r="209" spans="2:13">
      <c r="B209" s="69">
        <v>207</v>
      </c>
      <c r="C209" s="69">
        <v>26</v>
      </c>
      <c r="D209" s="69">
        <v>27</v>
      </c>
      <c r="E209" s="69">
        <v>23</v>
      </c>
      <c r="F209" s="69">
        <v>0</v>
      </c>
      <c r="G209" s="69" t="s">
        <v>183</v>
      </c>
      <c r="H209" s="69" t="s">
        <v>52</v>
      </c>
      <c r="I209" s="69" t="s">
        <v>184</v>
      </c>
      <c r="J209" s="69" t="s">
        <v>99</v>
      </c>
      <c r="K209" s="69" t="s">
        <v>208</v>
      </c>
      <c r="M209" s="69" t="s">
        <v>6</v>
      </c>
    </row>
    <row r="210" spans="2:13">
      <c r="B210" s="69">
        <v>208</v>
      </c>
      <c r="C210" s="69">
        <v>26</v>
      </c>
      <c r="D210" s="69">
        <v>27</v>
      </c>
      <c r="E210" s="69">
        <v>24</v>
      </c>
      <c r="F210" s="69">
        <v>0</v>
      </c>
      <c r="G210" s="69" t="s">
        <v>183</v>
      </c>
      <c r="H210" s="69" t="s">
        <v>52</v>
      </c>
      <c r="I210" s="69" t="s">
        <v>184</v>
      </c>
      <c r="J210" s="69" t="s">
        <v>99</v>
      </c>
      <c r="K210" s="69" t="s">
        <v>209</v>
      </c>
      <c r="M210" s="69" t="s">
        <v>6</v>
      </c>
    </row>
    <row r="211" spans="2:13">
      <c r="B211" s="69">
        <v>209</v>
      </c>
      <c r="C211" s="69">
        <v>26</v>
      </c>
      <c r="D211" s="69">
        <v>27</v>
      </c>
      <c r="E211" s="69">
        <v>25</v>
      </c>
      <c r="F211" s="69">
        <v>0</v>
      </c>
      <c r="G211" s="69" t="s">
        <v>183</v>
      </c>
      <c r="H211" s="69" t="s">
        <v>52</v>
      </c>
      <c r="I211" s="69" t="s">
        <v>184</v>
      </c>
      <c r="J211" s="69" t="s">
        <v>55</v>
      </c>
      <c r="K211" s="69" t="s">
        <v>210</v>
      </c>
      <c r="M211" s="69" t="s">
        <v>6</v>
      </c>
    </row>
    <row r="212" spans="2:13">
      <c r="B212" s="69">
        <v>210</v>
      </c>
      <c r="C212" s="69">
        <v>26</v>
      </c>
      <c r="D212" s="69">
        <v>27</v>
      </c>
      <c r="E212" s="69">
        <v>26</v>
      </c>
      <c r="F212" s="69">
        <v>0</v>
      </c>
      <c r="G212" s="69" t="s">
        <v>183</v>
      </c>
      <c r="H212" s="69" t="s">
        <v>52</v>
      </c>
      <c r="I212" s="69" t="s">
        <v>184</v>
      </c>
      <c r="J212" s="69" t="s">
        <v>99</v>
      </c>
      <c r="K212" s="69" t="s">
        <v>211</v>
      </c>
      <c r="M212" s="69" t="s">
        <v>6</v>
      </c>
    </row>
    <row r="213" spans="2:13">
      <c r="B213" s="69">
        <v>211</v>
      </c>
      <c r="C213" s="69">
        <v>26</v>
      </c>
      <c r="D213" s="69">
        <v>27</v>
      </c>
      <c r="E213" s="69">
        <v>27</v>
      </c>
      <c r="F213" s="69">
        <v>0</v>
      </c>
      <c r="G213" s="69" t="s">
        <v>183</v>
      </c>
      <c r="H213" s="69" t="s">
        <v>52</v>
      </c>
      <c r="I213" s="69" t="s">
        <v>184</v>
      </c>
      <c r="J213" s="69" t="s">
        <v>99</v>
      </c>
      <c r="K213" s="69" t="s">
        <v>212</v>
      </c>
      <c r="M213" s="69" t="s">
        <v>6</v>
      </c>
    </row>
    <row r="214" spans="2:13">
      <c r="B214" s="69">
        <v>212</v>
      </c>
      <c r="C214" s="69">
        <v>27</v>
      </c>
      <c r="D214" s="69">
        <v>7</v>
      </c>
      <c r="E214" s="69">
        <v>0</v>
      </c>
      <c r="F214" s="69">
        <v>0</v>
      </c>
      <c r="G214" s="69" t="s">
        <v>183</v>
      </c>
      <c r="H214" s="69" t="s">
        <v>52</v>
      </c>
      <c r="I214" s="69" t="s">
        <v>213</v>
      </c>
      <c r="J214" s="69" t="s">
        <v>54</v>
      </c>
      <c r="K214" s="69" t="s">
        <v>213</v>
      </c>
      <c r="M214" s="69" t="s">
        <v>6</v>
      </c>
    </row>
    <row r="215" spans="2:13">
      <c r="B215" s="69">
        <v>213</v>
      </c>
      <c r="C215" s="69">
        <v>27</v>
      </c>
      <c r="D215" s="69">
        <v>7</v>
      </c>
      <c r="E215" s="69">
        <v>1</v>
      </c>
      <c r="F215" s="69">
        <v>0</v>
      </c>
      <c r="G215" s="69" t="s">
        <v>183</v>
      </c>
      <c r="H215" s="69" t="s">
        <v>52</v>
      </c>
      <c r="I215" s="69" t="s">
        <v>213</v>
      </c>
      <c r="J215" s="69" t="s">
        <v>214</v>
      </c>
      <c r="K215" s="69" t="s">
        <v>215</v>
      </c>
      <c r="M215" s="69" t="s">
        <v>6</v>
      </c>
    </row>
    <row r="216" spans="2:13">
      <c r="B216" s="69">
        <v>214</v>
      </c>
      <c r="C216" s="69">
        <v>27</v>
      </c>
      <c r="D216" s="69">
        <v>7</v>
      </c>
      <c r="E216" s="69">
        <v>2</v>
      </c>
      <c r="F216" s="69">
        <v>0</v>
      </c>
      <c r="G216" s="69" t="s">
        <v>183</v>
      </c>
      <c r="H216" s="69" t="s">
        <v>52</v>
      </c>
      <c r="I216" s="69" t="s">
        <v>213</v>
      </c>
      <c r="J216" s="69" t="s">
        <v>214</v>
      </c>
      <c r="K216" s="69" t="s">
        <v>216</v>
      </c>
      <c r="M216" s="69" t="s">
        <v>6</v>
      </c>
    </row>
    <row r="217" spans="2:13">
      <c r="B217" s="69">
        <v>215</v>
      </c>
      <c r="C217" s="69">
        <v>27</v>
      </c>
      <c r="D217" s="69">
        <v>7</v>
      </c>
      <c r="E217" s="69">
        <v>3</v>
      </c>
      <c r="F217" s="69">
        <v>0</v>
      </c>
      <c r="G217" s="69" t="s">
        <v>183</v>
      </c>
      <c r="H217" s="69" t="s">
        <v>52</v>
      </c>
      <c r="I217" s="69" t="s">
        <v>213</v>
      </c>
      <c r="J217" s="69" t="s">
        <v>214</v>
      </c>
      <c r="K217" s="69" t="s">
        <v>217</v>
      </c>
      <c r="M217" s="69" t="s">
        <v>6</v>
      </c>
    </row>
    <row r="218" spans="2:13">
      <c r="B218" s="69">
        <v>216</v>
      </c>
      <c r="C218" s="69">
        <v>27</v>
      </c>
      <c r="D218" s="69">
        <v>7</v>
      </c>
      <c r="E218" s="69">
        <v>4</v>
      </c>
      <c r="F218" s="69">
        <v>0</v>
      </c>
      <c r="G218" s="69" t="s">
        <v>183</v>
      </c>
      <c r="H218" s="69" t="s">
        <v>52</v>
      </c>
      <c r="I218" s="69" t="s">
        <v>213</v>
      </c>
      <c r="J218" s="69" t="s">
        <v>218</v>
      </c>
      <c r="K218" s="69" t="s">
        <v>219</v>
      </c>
      <c r="L218" s="69" t="s">
        <v>220</v>
      </c>
      <c r="M218" s="69" t="s">
        <v>6</v>
      </c>
    </row>
    <row r="219" spans="2:13">
      <c r="B219" s="69">
        <v>217</v>
      </c>
      <c r="C219" s="69">
        <v>27</v>
      </c>
      <c r="D219" s="69">
        <v>7</v>
      </c>
      <c r="E219" s="69">
        <v>5</v>
      </c>
      <c r="F219" s="69">
        <v>0</v>
      </c>
      <c r="G219" s="69" t="s">
        <v>183</v>
      </c>
      <c r="H219" s="69" t="s">
        <v>52</v>
      </c>
      <c r="I219" s="69" t="s">
        <v>213</v>
      </c>
      <c r="J219" s="69" t="s">
        <v>99</v>
      </c>
      <c r="K219" s="69" t="s">
        <v>221</v>
      </c>
      <c r="M219" s="69" t="s">
        <v>6</v>
      </c>
    </row>
    <row r="220" spans="2:13">
      <c r="B220" s="69">
        <v>218</v>
      </c>
      <c r="C220" s="69">
        <v>27</v>
      </c>
      <c r="D220" s="69">
        <v>7</v>
      </c>
      <c r="E220" s="69">
        <v>6</v>
      </c>
      <c r="F220" s="69">
        <v>0</v>
      </c>
      <c r="G220" s="69" t="s">
        <v>183</v>
      </c>
      <c r="H220" s="69" t="s">
        <v>52</v>
      </c>
      <c r="I220" s="69" t="s">
        <v>213</v>
      </c>
      <c r="J220" s="69" t="s">
        <v>55</v>
      </c>
      <c r="K220" s="69" t="s">
        <v>222</v>
      </c>
      <c r="M220" s="69" t="s">
        <v>6</v>
      </c>
    </row>
    <row r="221" spans="2:13">
      <c r="B221" s="69">
        <v>219</v>
      </c>
      <c r="C221" s="69">
        <v>27</v>
      </c>
      <c r="D221" s="69">
        <v>7</v>
      </c>
      <c r="E221" s="69">
        <v>7</v>
      </c>
      <c r="F221" s="69">
        <v>0</v>
      </c>
      <c r="G221" s="69" t="s">
        <v>183</v>
      </c>
      <c r="H221" s="69" t="s">
        <v>52</v>
      </c>
      <c r="I221" s="69" t="s">
        <v>213</v>
      </c>
      <c r="J221" s="69" t="s">
        <v>214</v>
      </c>
      <c r="K221" s="69" t="s">
        <v>223</v>
      </c>
      <c r="M221" s="69" t="s">
        <v>6</v>
      </c>
    </row>
    <row r="222" spans="2:13">
      <c r="B222" s="69">
        <v>220</v>
      </c>
      <c r="C222" s="69">
        <v>28</v>
      </c>
      <c r="D222" s="69">
        <v>6</v>
      </c>
      <c r="E222" s="69">
        <v>0</v>
      </c>
      <c r="F222" s="69">
        <v>0</v>
      </c>
      <c r="G222" s="69" t="s">
        <v>183</v>
      </c>
      <c r="H222" s="69" t="s">
        <v>52</v>
      </c>
      <c r="I222" s="69" t="s">
        <v>224</v>
      </c>
      <c r="J222" s="69" t="s">
        <v>54</v>
      </c>
      <c r="K222" s="69" t="s">
        <v>224</v>
      </c>
      <c r="M222" s="69" t="s">
        <v>6</v>
      </c>
    </row>
    <row r="223" spans="2:13">
      <c r="B223" s="69">
        <v>221</v>
      </c>
      <c r="C223" s="69">
        <v>28</v>
      </c>
      <c r="D223" s="69">
        <v>6</v>
      </c>
      <c r="E223" s="69">
        <v>1</v>
      </c>
      <c r="F223" s="69">
        <v>0</v>
      </c>
      <c r="G223" s="69" t="s">
        <v>183</v>
      </c>
      <c r="H223" s="69" t="s">
        <v>52</v>
      </c>
      <c r="I223" s="69" t="s">
        <v>224</v>
      </c>
      <c r="J223" s="69" t="s">
        <v>55</v>
      </c>
      <c r="K223" s="69" t="s">
        <v>185</v>
      </c>
      <c r="M223" s="69" t="s">
        <v>6</v>
      </c>
    </row>
    <row r="224" spans="2:13">
      <c r="B224" s="69">
        <v>222</v>
      </c>
      <c r="C224" s="69">
        <v>28</v>
      </c>
      <c r="D224" s="69">
        <v>6</v>
      </c>
      <c r="E224" s="69">
        <v>2</v>
      </c>
      <c r="F224" s="69">
        <v>0</v>
      </c>
      <c r="G224" s="69" t="s">
        <v>183</v>
      </c>
      <c r="H224" s="69" t="s">
        <v>52</v>
      </c>
      <c r="I224" s="69" t="s">
        <v>224</v>
      </c>
      <c r="J224" s="69" t="s">
        <v>55</v>
      </c>
      <c r="K224" s="69" t="s">
        <v>225</v>
      </c>
      <c r="M224" s="69" t="s">
        <v>6</v>
      </c>
    </row>
    <row r="225" spans="2:13">
      <c r="B225" s="69">
        <v>223</v>
      </c>
      <c r="C225" s="69">
        <v>28</v>
      </c>
      <c r="D225" s="69">
        <v>6</v>
      </c>
      <c r="E225" s="69">
        <v>3</v>
      </c>
      <c r="F225" s="69">
        <v>0</v>
      </c>
      <c r="G225" s="69" t="s">
        <v>183</v>
      </c>
      <c r="H225" s="69" t="s">
        <v>52</v>
      </c>
      <c r="I225" s="69" t="s">
        <v>224</v>
      </c>
      <c r="J225" s="69" t="s">
        <v>55</v>
      </c>
      <c r="K225" s="69" t="s">
        <v>226</v>
      </c>
      <c r="M225" s="69" t="s">
        <v>6</v>
      </c>
    </row>
    <row r="226" spans="2:13">
      <c r="B226" s="69">
        <v>224</v>
      </c>
      <c r="C226" s="69">
        <v>28</v>
      </c>
      <c r="D226" s="69">
        <v>6</v>
      </c>
      <c r="E226" s="69">
        <v>4</v>
      </c>
      <c r="F226" s="69">
        <v>0</v>
      </c>
      <c r="G226" s="69" t="s">
        <v>183</v>
      </c>
      <c r="H226" s="69" t="s">
        <v>52</v>
      </c>
      <c r="I226" s="69" t="s">
        <v>224</v>
      </c>
      <c r="J226" s="69" t="s">
        <v>55</v>
      </c>
      <c r="K226" s="69" t="s">
        <v>227</v>
      </c>
      <c r="M226" s="69" t="s">
        <v>6</v>
      </c>
    </row>
    <row r="227" spans="2:13">
      <c r="B227" s="69">
        <v>225</v>
      </c>
      <c r="C227" s="69">
        <v>28</v>
      </c>
      <c r="D227" s="69">
        <v>6</v>
      </c>
      <c r="E227" s="69">
        <v>5</v>
      </c>
      <c r="F227" s="69">
        <v>0</v>
      </c>
      <c r="G227" s="69" t="s">
        <v>183</v>
      </c>
      <c r="H227" s="69" t="s">
        <v>52</v>
      </c>
      <c r="I227" s="69" t="s">
        <v>224</v>
      </c>
      <c r="J227" s="69" t="s">
        <v>55</v>
      </c>
      <c r="K227" s="69" t="s">
        <v>228</v>
      </c>
      <c r="M227" s="69" t="s">
        <v>6</v>
      </c>
    </row>
    <row r="228" spans="2:13">
      <c r="B228" s="69">
        <v>226</v>
      </c>
      <c r="C228" s="69">
        <v>28</v>
      </c>
      <c r="D228" s="69">
        <v>6</v>
      </c>
      <c r="E228" s="69">
        <v>6</v>
      </c>
      <c r="F228" s="69">
        <v>0</v>
      </c>
      <c r="G228" s="69" t="s">
        <v>183</v>
      </c>
      <c r="H228" s="69" t="s">
        <v>52</v>
      </c>
      <c r="I228" s="69" t="s">
        <v>224</v>
      </c>
      <c r="J228" s="69" t="s">
        <v>55</v>
      </c>
      <c r="K228" s="69" t="s">
        <v>229</v>
      </c>
      <c r="M228" s="69" t="s">
        <v>6</v>
      </c>
    </row>
    <row r="229" spans="2:13">
      <c r="B229" s="69">
        <v>227</v>
      </c>
      <c r="C229" s="69">
        <v>29</v>
      </c>
      <c r="D229" s="69">
        <v>28</v>
      </c>
      <c r="E229" s="69">
        <v>0</v>
      </c>
      <c r="F229" s="69">
        <v>0</v>
      </c>
      <c r="G229" s="69" t="s">
        <v>183</v>
      </c>
      <c r="H229" s="69" t="s">
        <v>52</v>
      </c>
      <c r="I229" s="69" t="s">
        <v>230</v>
      </c>
      <c r="J229" s="69" t="s">
        <v>54</v>
      </c>
      <c r="K229" s="69" t="s">
        <v>230</v>
      </c>
      <c r="M229" s="69" t="s">
        <v>6</v>
      </c>
    </row>
    <row r="230" spans="2:13">
      <c r="B230" s="69">
        <v>228</v>
      </c>
      <c r="C230" s="69">
        <v>29</v>
      </c>
      <c r="D230" s="69">
        <v>28</v>
      </c>
      <c r="E230" s="69">
        <v>1</v>
      </c>
      <c r="F230" s="69">
        <v>0</v>
      </c>
      <c r="G230" s="69" t="s">
        <v>183</v>
      </c>
      <c r="H230" s="69" t="s">
        <v>52</v>
      </c>
      <c r="I230" s="69" t="s">
        <v>230</v>
      </c>
      <c r="J230" s="69" t="s">
        <v>55</v>
      </c>
      <c r="K230" s="69" t="s">
        <v>185</v>
      </c>
      <c r="M230" s="69" t="s">
        <v>6</v>
      </c>
    </row>
    <row r="231" spans="2:13">
      <c r="B231" s="69">
        <v>229</v>
      </c>
      <c r="C231" s="69">
        <v>29</v>
      </c>
      <c r="D231" s="69">
        <v>28</v>
      </c>
      <c r="E231" s="69">
        <v>2</v>
      </c>
      <c r="F231" s="69">
        <v>0</v>
      </c>
      <c r="G231" s="69" t="s">
        <v>183</v>
      </c>
      <c r="H231" s="69" t="s">
        <v>52</v>
      </c>
      <c r="I231" s="69" t="s">
        <v>230</v>
      </c>
      <c r="J231" s="69" t="s">
        <v>55</v>
      </c>
      <c r="K231" s="69" t="s">
        <v>186</v>
      </c>
      <c r="M231" s="69" t="s">
        <v>6</v>
      </c>
    </row>
    <row r="232" spans="2:13">
      <c r="B232" s="69">
        <v>230</v>
      </c>
      <c r="C232" s="69">
        <v>29</v>
      </c>
      <c r="D232" s="69">
        <v>28</v>
      </c>
      <c r="E232" s="69">
        <v>3</v>
      </c>
      <c r="F232" s="69">
        <v>0</v>
      </c>
      <c r="G232" s="69" t="s">
        <v>183</v>
      </c>
      <c r="H232" s="69" t="s">
        <v>52</v>
      </c>
      <c r="I232" s="69" t="s">
        <v>230</v>
      </c>
      <c r="J232" s="69" t="s">
        <v>55</v>
      </c>
      <c r="K232" s="69" t="s">
        <v>187</v>
      </c>
      <c r="M232" s="69" t="s">
        <v>6</v>
      </c>
    </row>
    <row r="233" spans="2:13">
      <c r="B233" s="69">
        <v>231</v>
      </c>
      <c r="C233" s="69">
        <v>29</v>
      </c>
      <c r="D233" s="69">
        <v>28</v>
      </c>
      <c r="E233" s="69">
        <v>4</v>
      </c>
      <c r="F233" s="69">
        <v>0</v>
      </c>
      <c r="G233" s="69" t="s">
        <v>183</v>
      </c>
      <c r="H233" s="69" t="s">
        <v>52</v>
      </c>
      <c r="I233" s="69" t="s">
        <v>230</v>
      </c>
      <c r="J233" s="69" t="s">
        <v>55</v>
      </c>
      <c r="K233" s="69" t="s">
        <v>188</v>
      </c>
      <c r="M233" s="69" t="s">
        <v>6</v>
      </c>
    </row>
    <row r="234" spans="2:13">
      <c r="B234" s="69">
        <v>232</v>
      </c>
      <c r="C234" s="69">
        <v>29</v>
      </c>
      <c r="D234" s="69">
        <v>28</v>
      </c>
      <c r="E234" s="69">
        <v>5</v>
      </c>
      <c r="F234" s="69">
        <v>0</v>
      </c>
      <c r="G234" s="69" t="s">
        <v>183</v>
      </c>
      <c r="H234" s="69" t="s">
        <v>52</v>
      </c>
      <c r="I234" s="69" t="s">
        <v>230</v>
      </c>
      <c r="J234" s="69" t="s">
        <v>55</v>
      </c>
      <c r="K234" s="69" t="s">
        <v>231</v>
      </c>
      <c r="M234" s="69" t="s">
        <v>6</v>
      </c>
    </row>
    <row r="235" spans="2:13">
      <c r="B235" s="69">
        <v>233</v>
      </c>
      <c r="C235" s="69">
        <v>29</v>
      </c>
      <c r="D235" s="69">
        <v>28</v>
      </c>
      <c r="E235" s="69">
        <v>6</v>
      </c>
      <c r="F235" s="69">
        <v>0</v>
      </c>
      <c r="G235" s="69" t="s">
        <v>183</v>
      </c>
      <c r="H235" s="69" t="s">
        <v>52</v>
      </c>
      <c r="I235" s="69" t="s">
        <v>230</v>
      </c>
      <c r="J235" s="69" t="s">
        <v>99</v>
      </c>
      <c r="K235" s="69" t="s">
        <v>232</v>
      </c>
      <c r="M235" s="69" t="s">
        <v>6</v>
      </c>
    </row>
    <row r="236" spans="2:13">
      <c r="B236" s="69">
        <v>234</v>
      </c>
      <c r="C236" s="69">
        <v>29</v>
      </c>
      <c r="D236" s="69">
        <v>28</v>
      </c>
      <c r="E236" s="69">
        <v>7</v>
      </c>
      <c r="F236" s="69">
        <v>0</v>
      </c>
      <c r="G236" s="69" t="s">
        <v>183</v>
      </c>
      <c r="H236" s="69" t="s">
        <v>52</v>
      </c>
      <c r="I236" s="69" t="s">
        <v>230</v>
      </c>
      <c r="J236" s="69" t="s">
        <v>99</v>
      </c>
      <c r="K236" s="69" t="s">
        <v>233</v>
      </c>
      <c r="M236" s="69" t="s">
        <v>6</v>
      </c>
    </row>
    <row r="237" spans="2:13">
      <c r="B237" s="69">
        <v>235</v>
      </c>
      <c r="C237" s="69">
        <v>29</v>
      </c>
      <c r="D237" s="69">
        <v>28</v>
      </c>
      <c r="E237" s="69">
        <v>8</v>
      </c>
      <c r="F237" s="69">
        <v>0</v>
      </c>
      <c r="G237" s="69" t="s">
        <v>183</v>
      </c>
      <c r="H237" s="69" t="s">
        <v>52</v>
      </c>
      <c r="I237" s="69" t="s">
        <v>230</v>
      </c>
      <c r="J237" s="69" t="s">
        <v>55</v>
      </c>
      <c r="K237" s="69" t="s">
        <v>234</v>
      </c>
      <c r="M237" s="69" t="s">
        <v>6</v>
      </c>
    </row>
    <row r="238" spans="2:13">
      <c r="B238" s="69">
        <v>236</v>
      </c>
      <c r="C238" s="69">
        <v>29</v>
      </c>
      <c r="D238" s="69">
        <v>28</v>
      </c>
      <c r="E238" s="69">
        <v>9</v>
      </c>
      <c r="F238" s="69">
        <v>0</v>
      </c>
      <c r="G238" s="69" t="s">
        <v>183</v>
      </c>
      <c r="H238" s="69" t="s">
        <v>52</v>
      </c>
      <c r="I238" s="69" t="s">
        <v>230</v>
      </c>
      <c r="J238" s="69" t="s">
        <v>99</v>
      </c>
      <c r="K238" s="69" t="s">
        <v>235</v>
      </c>
      <c r="M238" s="69" t="s">
        <v>6</v>
      </c>
    </row>
    <row r="239" spans="2:13">
      <c r="B239" s="69">
        <v>237</v>
      </c>
      <c r="C239" s="69">
        <v>29</v>
      </c>
      <c r="D239" s="69">
        <v>28</v>
      </c>
      <c r="E239" s="69">
        <v>10</v>
      </c>
      <c r="F239" s="69">
        <v>0</v>
      </c>
      <c r="G239" s="69" t="s">
        <v>183</v>
      </c>
      <c r="H239" s="69" t="s">
        <v>52</v>
      </c>
      <c r="I239" s="69" t="s">
        <v>230</v>
      </c>
      <c r="J239" s="69" t="s">
        <v>99</v>
      </c>
      <c r="K239" s="69" t="s">
        <v>236</v>
      </c>
      <c r="M239" s="69" t="s">
        <v>6</v>
      </c>
    </row>
    <row r="240" spans="2:13">
      <c r="B240" s="69">
        <v>238</v>
      </c>
      <c r="C240" s="69">
        <v>29</v>
      </c>
      <c r="D240" s="69">
        <v>28</v>
      </c>
      <c r="E240" s="69">
        <v>11</v>
      </c>
      <c r="F240" s="69">
        <v>0</v>
      </c>
      <c r="G240" s="69" t="s">
        <v>183</v>
      </c>
      <c r="H240" s="69" t="s">
        <v>52</v>
      </c>
      <c r="I240" s="69" t="s">
        <v>230</v>
      </c>
      <c r="J240" s="69" t="s">
        <v>99</v>
      </c>
      <c r="K240" s="69" t="s">
        <v>237</v>
      </c>
      <c r="M240" s="69" t="s">
        <v>6</v>
      </c>
    </row>
    <row r="241" spans="2:13">
      <c r="B241" s="69">
        <v>239</v>
      </c>
      <c r="C241" s="69">
        <v>29</v>
      </c>
      <c r="D241" s="69">
        <v>28</v>
      </c>
      <c r="E241" s="69">
        <v>12</v>
      </c>
      <c r="F241" s="69">
        <v>0</v>
      </c>
      <c r="G241" s="69" t="s">
        <v>183</v>
      </c>
      <c r="H241" s="69" t="s">
        <v>52</v>
      </c>
      <c r="I241" s="69" t="s">
        <v>230</v>
      </c>
      <c r="J241" s="69" t="s">
        <v>99</v>
      </c>
      <c r="K241" s="69" t="s">
        <v>238</v>
      </c>
      <c r="M241" s="69" t="s">
        <v>6</v>
      </c>
    </row>
    <row r="242" spans="2:13">
      <c r="B242" s="69">
        <v>240</v>
      </c>
      <c r="C242" s="69">
        <v>29</v>
      </c>
      <c r="D242" s="69">
        <v>28</v>
      </c>
      <c r="E242" s="69">
        <v>13</v>
      </c>
      <c r="F242" s="69">
        <v>0</v>
      </c>
      <c r="G242" s="69" t="s">
        <v>183</v>
      </c>
      <c r="H242" s="69" t="s">
        <v>52</v>
      </c>
      <c r="I242" s="69" t="s">
        <v>230</v>
      </c>
      <c r="J242" s="69" t="s">
        <v>55</v>
      </c>
      <c r="K242" s="69" t="s">
        <v>239</v>
      </c>
      <c r="M242" s="69" t="s">
        <v>6</v>
      </c>
    </row>
    <row r="243" spans="2:13">
      <c r="B243" s="69">
        <v>241</v>
      </c>
      <c r="C243" s="69">
        <v>29</v>
      </c>
      <c r="D243" s="69">
        <v>28</v>
      </c>
      <c r="E243" s="69">
        <v>14</v>
      </c>
      <c r="F243" s="69">
        <v>0</v>
      </c>
      <c r="G243" s="69" t="s">
        <v>183</v>
      </c>
      <c r="H243" s="69" t="s">
        <v>52</v>
      </c>
      <c r="I243" s="69" t="s">
        <v>230</v>
      </c>
      <c r="J243" s="69" t="s">
        <v>99</v>
      </c>
      <c r="K243" s="69" t="s">
        <v>240</v>
      </c>
      <c r="M243" s="69" t="s">
        <v>6</v>
      </c>
    </row>
    <row r="244" spans="2:13">
      <c r="B244" s="69">
        <v>242</v>
      </c>
      <c r="C244" s="69">
        <v>29</v>
      </c>
      <c r="D244" s="69">
        <v>28</v>
      </c>
      <c r="E244" s="69">
        <v>15</v>
      </c>
      <c r="F244" s="69">
        <v>0</v>
      </c>
      <c r="G244" s="69" t="s">
        <v>183</v>
      </c>
      <c r="H244" s="69" t="s">
        <v>52</v>
      </c>
      <c r="I244" s="69" t="s">
        <v>230</v>
      </c>
      <c r="J244" s="69" t="s">
        <v>99</v>
      </c>
      <c r="K244" s="69" t="s">
        <v>241</v>
      </c>
      <c r="M244" s="69" t="s">
        <v>6</v>
      </c>
    </row>
    <row r="245" spans="2:13">
      <c r="B245" s="69">
        <v>243</v>
      </c>
      <c r="C245" s="69">
        <v>29</v>
      </c>
      <c r="D245" s="69">
        <v>28</v>
      </c>
      <c r="E245" s="69">
        <v>16</v>
      </c>
      <c r="F245" s="69">
        <v>0</v>
      </c>
      <c r="G245" s="69" t="s">
        <v>183</v>
      </c>
      <c r="H245" s="69" t="s">
        <v>52</v>
      </c>
      <c r="I245" s="69" t="s">
        <v>230</v>
      </c>
      <c r="J245" s="69" t="s">
        <v>99</v>
      </c>
      <c r="K245" s="69" t="s">
        <v>242</v>
      </c>
      <c r="M245" s="69" t="s">
        <v>6</v>
      </c>
    </row>
    <row r="246" spans="2:13">
      <c r="B246" s="69">
        <v>244</v>
      </c>
      <c r="C246" s="69">
        <v>29</v>
      </c>
      <c r="D246" s="69">
        <v>28</v>
      </c>
      <c r="E246" s="69">
        <v>17</v>
      </c>
      <c r="F246" s="69">
        <v>0</v>
      </c>
      <c r="G246" s="69" t="s">
        <v>183</v>
      </c>
      <c r="H246" s="69" t="s">
        <v>52</v>
      </c>
      <c r="I246" s="69" t="s">
        <v>230</v>
      </c>
      <c r="J246" s="69" t="s">
        <v>55</v>
      </c>
      <c r="K246" s="69" t="s">
        <v>243</v>
      </c>
      <c r="M246" s="69" t="s">
        <v>6</v>
      </c>
    </row>
    <row r="247" spans="2:13">
      <c r="B247" s="69">
        <v>245</v>
      </c>
      <c r="C247" s="69">
        <v>29</v>
      </c>
      <c r="D247" s="69">
        <v>28</v>
      </c>
      <c r="E247" s="69">
        <v>18</v>
      </c>
      <c r="F247" s="69">
        <v>0</v>
      </c>
      <c r="G247" s="69" t="s">
        <v>183</v>
      </c>
      <c r="H247" s="69" t="s">
        <v>52</v>
      </c>
      <c r="I247" s="69" t="s">
        <v>230</v>
      </c>
      <c r="J247" s="69" t="s">
        <v>99</v>
      </c>
      <c r="K247" s="69" t="s">
        <v>244</v>
      </c>
      <c r="M247" s="69" t="s">
        <v>6</v>
      </c>
    </row>
    <row r="248" spans="2:13">
      <c r="B248" s="69">
        <v>246</v>
      </c>
      <c r="C248" s="69">
        <v>29</v>
      </c>
      <c r="D248" s="69">
        <v>28</v>
      </c>
      <c r="E248" s="69">
        <v>19</v>
      </c>
      <c r="F248" s="69">
        <v>0</v>
      </c>
      <c r="G248" s="69" t="s">
        <v>183</v>
      </c>
      <c r="H248" s="69" t="s">
        <v>52</v>
      </c>
      <c r="I248" s="69" t="s">
        <v>230</v>
      </c>
      <c r="J248" s="69" t="s">
        <v>99</v>
      </c>
      <c r="K248" s="69" t="s">
        <v>245</v>
      </c>
      <c r="M248" s="69" t="s">
        <v>6</v>
      </c>
    </row>
    <row r="249" spans="2:13">
      <c r="B249" s="69">
        <v>247</v>
      </c>
      <c r="C249" s="69">
        <v>29</v>
      </c>
      <c r="D249" s="69">
        <v>28</v>
      </c>
      <c r="E249" s="69">
        <v>20</v>
      </c>
      <c r="F249" s="69">
        <v>0</v>
      </c>
      <c r="G249" s="69" t="s">
        <v>183</v>
      </c>
      <c r="H249" s="69" t="s">
        <v>52</v>
      </c>
      <c r="I249" s="69" t="s">
        <v>230</v>
      </c>
      <c r="J249" s="69" t="s">
        <v>99</v>
      </c>
      <c r="K249" s="69" t="s">
        <v>246</v>
      </c>
      <c r="M249" s="69" t="s">
        <v>6</v>
      </c>
    </row>
    <row r="250" spans="2:13">
      <c r="B250" s="69">
        <v>248</v>
      </c>
      <c r="C250" s="69">
        <v>29</v>
      </c>
      <c r="D250" s="69">
        <v>28</v>
      </c>
      <c r="E250" s="69">
        <v>21</v>
      </c>
      <c r="F250" s="69">
        <v>0</v>
      </c>
      <c r="G250" s="69" t="s">
        <v>183</v>
      </c>
      <c r="H250" s="69" t="s">
        <v>52</v>
      </c>
      <c r="I250" s="69" t="s">
        <v>230</v>
      </c>
      <c r="J250" s="69" t="s">
        <v>55</v>
      </c>
      <c r="K250" s="69" t="s">
        <v>247</v>
      </c>
      <c r="M250" s="69" t="s">
        <v>6</v>
      </c>
    </row>
    <row r="251" spans="2:13">
      <c r="B251" s="69">
        <v>249</v>
      </c>
      <c r="C251" s="69">
        <v>29</v>
      </c>
      <c r="D251" s="69">
        <v>28</v>
      </c>
      <c r="E251" s="69">
        <v>22</v>
      </c>
      <c r="F251" s="69">
        <v>0</v>
      </c>
      <c r="G251" s="69" t="s">
        <v>183</v>
      </c>
      <c r="H251" s="69" t="s">
        <v>52</v>
      </c>
      <c r="I251" s="69" t="s">
        <v>230</v>
      </c>
      <c r="J251" s="69" t="s">
        <v>99</v>
      </c>
      <c r="K251" s="69" t="s">
        <v>248</v>
      </c>
      <c r="M251" s="69" t="s">
        <v>6</v>
      </c>
    </row>
    <row r="252" spans="2:13">
      <c r="B252" s="69">
        <v>250</v>
      </c>
      <c r="C252" s="69">
        <v>29</v>
      </c>
      <c r="D252" s="69">
        <v>28</v>
      </c>
      <c r="E252" s="69">
        <v>23</v>
      </c>
      <c r="F252" s="69">
        <v>0</v>
      </c>
      <c r="G252" s="69" t="s">
        <v>183</v>
      </c>
      <c r="H252" s="69" t="s">
        <v>52</v>
      </c>
      <c r="I252" s="69" t="s">
        <v>230</v>
      </c>
      <c r="J252" s="69" t="s">
        <v>55</v>
      </c>
      <c r="K252" s="69" t="s">
        <v>249</v>
      </c>
      <c r="M252" s="69" t="s">
        <v>6</v>
      </c>
    </row>
    <row r="253" spans="2:13">
      <c r="B253" s="69">
        <v>251</v>
      </c>
      <c r="C253" s="69">
        <v>29</v>
      </c>
      <c r="D253" s="69">
        <v>28</v>
      </c>
      <c r="E253" s="69">
        <v>24</v>
      </c>
      <c r="F253" s="69">
        <v>0</v>
      </c>
      <c r="G253" s="69" t="s">
        <v>183</v>
      </c>
      <c r="H253" s="69" t="s">
        <v>52</v>
      </c>
      <c r="I253" s="69" t="s">
        <v>230</v>
      </c>
      <c r="J253" s="69" t="s">
        <v>99</v>
      </c>
      <c r="K253" s="69" t="s">
        <v>250</v>
      </c>
      <c r="M253" s="69" t="s">
        <v>6</v>
      </c>
    </row>
    <row r="254" spans="2:13">
      <c r="B254" s="69">
        <v>252</v>
      </c>
      <c r="C254" s="69">
        <v>29</v>
      </c>
      <c r="D254" s="69">
        <v>28</v>
      </c>
      <c r="E254" s="69">
        <v>25</v>
      </c>
      <c r="F254" s="69">
        <v>0</v>
      </c>
      <c r="G254" s="69" t="s">
        <v>183</v>
      </c>
      <c r="H254" s="69" t="s">
        <v>52</v>
      </c>
      <c r="I254" s="69" t="s">
        <v>230</v>
      </c>
      <c r="J254" s="69" t="s">
        <v>99</v>
      </c>
      <c r="K254" s="69" t="s">
        <v>251</v>
      </c>
      <c r="M254" s="69" t="s">
        <v>6</v>
      </c>
    </row>
    <row r="255" spans="2:13">
      <c r="B255" s="69">
        <v>253</v>
      </c>
      <c r="C255" s="69">
        <v>29</v>
      </c>
      <c r="D255" s="69">
        <v>28</v>
      </c>
      <c r="E255" s="69">
        <v>26</v>
      </c>
      <c r="F255" s="69">
        <v>0</v>
      </c>
      <c r="G255" s="69" t="s">
        <v>183</v>
      </c>
      <c r="H255" s="69" t="s">
        <v>52</v>
      </c>
      <c r="I255" s="69" t="s">
        <v>230</v>
      </c>
      <c r="J255" s="69" t="s">
        <v>99</v>
      </c>
      <c r="K255" s="69" t="s">
        <v>252</v>
      </c>
      <c r="M255" s="69" t="s">
        <v>6</v>
      </c>
    </row>
    <row r="256" spans="2:13">
      <c r="B256" s="69">
        <v>254</v>
      </c>
      <c r="C256" s="69">
        <v>29</v>
      </c>
      <c r="D256" s="69">
        <v>28</v>
      </c>
      <c r="E256" s="69">
        <v>27</v>
      </c>
      <c r="F256" s="69">
        <v>0</v>
      </c>
      <c r="G256" s="69" t="s">
        <v>183</v>
      </c>
      <c r="H256" s="69" t="s">
        <v>52</v>
      </c>
      <c r="I256" s="69" t="s">
        <v>230</v>
      </c>
      <c r="J256" s="69" t="s">
        <v>99</v>
      </c>
      <c r="K256" s="69" t="s">
        <v>253</v>
      </c>
      <c r="M256" s="69" t="s">
        <v>6</v>
      </c>
    </row>
    <row r="257" spans="2:13">
      <c r="B257" s="69">
        <v>255</v>
      </c>
      <c r="C257" s="69">
        <v>29</v>
      </c>
      <c r="D257" s="69">
        <v>28</v>
      </c>
      <c r="E257" s="69">
        <v>28</v>
      </c>
      <c r="F257" s="69">
        <v>0</v>
      </c>
      <c r="G257" s="69" t="s">
        <v>183</v>
      </c>
      <c r="H257" s="69" t="s">
        <v>52</v>
      </c>
      <c r="I257" s="69" t="s">
        <v>230</v>
      </c>
      <c r="J257" s="69" t="s">
        <v>99</v>
      </c>
      <c r="K257" s="69" t="s">
        <v>254</v>
      </c>
      <c r="M257" s="69" t="s">
        <v>6</v>
      </c>
    </row>
    <row r="258" spans="2:13">
      <c r="B258" s="69">
        <v>256</v>
      </c>
      <c r="C258" s="69">
        <v>30</v>
      </c>
      <c r="D258" s="69">
        <v>59</v>
      </c>
      <c r="E258" s="69">
        <v>0</v>
      </c>
      <c r="F258" s="69">
        <v>0</v>
      </c>
      <c r="G258" s="69" t="s">
        <v>183</v>
      </c>
      <c r="H258" s="69" t="s">
        <v>52</v>
      </c>
      <c r="I258" s="69" t="s">
        <v>255</v>
      </c>
      <c r="J258" s="69" t="s">
        <v>54</v>
      </c>
      <c r="K258" s="69" t="s">
        <v>255</v>
      </c>
      <c r="M258" s="69" t="s">
        <v>6</v>
      </c>
    </row>
    <row r="259" spans="2:13">
      <c r="B259" s="69">
        <v>257</v>
      </c>
      <c r="C259" s="69">
        <v>30</v>
      </c>
      <c r="D259" s="69">
        <v>59</v>
      </c>
      <c r="E259" s="69">
        <v>1</v>
      </c>
      <c r="F259" s="69">
        <v>0</v>
      </c>
      <c r="G259" s="69" t="s">
        <v>183</v>
      </c>
      <c r="H259" s="69" t="s">
        <v>52</v>
      </c>
      <c r="I259" s="69" t="s">
        <v>255</v>
      </c>
      <c r="J259" s="69" t="s">
        <v>55</v>
      </c>
      <c r="K259" s="69" t="s">
        <v>185</v>
      </c>
      <c r="M259" s="69" t="s">
        <v>6</v>
      </c>
    </row>
    <row r="260" spans="2:13">
      <c r="B260" s="69">
        <v>258</v>
      </c>
      <c r="C260" s="69">
        <v>30</v>
      </c>
      <c r="D260" s="69">
        <v>59</v>
      </c>
      <c r="E260" s="69">
        <v>2</v>
      </c>
      <c r="F260" s="69">
        <v>0</v>
      </c>
      <c r="G260" s="69" t="s">
        <v>183</v>
      </c>
      <c r="H260" s="69" t="s">
        <v>52</v>
      </c>
      <c r="I260" s="69" t="s">
        <v>255</v>
      </c>
      <c r="J260" s="69" t="s">
        <v>55</v>
      </c>
      <c r="K260" s="69" t="s">
        <v>186</v>
      </c>
      <c r="M260" s="69" t="s">
        <v>6</v>
      </c>
    </row>
    <row r="261" spans="2:13">
      <c r="B261" s="69">
        <v>259</v>
      </c>
      <c r="C261" s="69">
        <v>30</v>
      </c>
      <c r="D261" s="69">
        <v>59</v>
      </c>
      <c r="E261" s="69">
        <v>3</v>
      </c>
      <c r="F261" s="69">
        <v>0</v>
      </c>
      <c r="G261" s="69" t="s">
        <v>183</v>
      </c>
      <c r="H261" s="69" t="s">
        <v>52</v>
      </c>
      <c r="I261" s="69" t="s">
        <v>255</v>
      </c>
      <c r="J261" s="69" t="s">
        <v>55</v>
      </c>
      <c r="K261" s="69" t="s">
        <v>187</v>
      </c>
      <c r="M261" s="69" t="s">
        <v>6</v>
      </c>
    </row>
    <row r="262" spans="2:13">
      <c r="B262" s="69">
        <v>260</v>
      </c>
      <c r="C262" s="69">
        <v>30</v>
      </c>
      <c r="D262" s="69">
        <v>59</v>
      </c>
      <c r="E262" s="69">
        <v>4</v>
      </c>
      <c r="F262" s="69">
        <v>0</v>
      </c>
      <c r="G262" s="69" t="s">
        <v>183</v>
      </c>
      <c r="H262" s="69" t="s">
        <v>52</v>
      </c>
      <c r="I262" s="69" t="s">
        <v>255</v>
      </c>
      <c r="J262" s="69" t="s">
        <v>55</v>
      </c>
      <c r="K262" s="69" t="s">
        <v>188</v>
      </c>
      <c r="M262" s="69" t="s">
        <v>6</v>
      </c>
    </row>
    <row r="263" spans="2:13">
      <c r="B263" s="69">
        <v>261</v>
      </c>
      <c r="C263" s="69">
        <v>30</v>
      </c>
      <c r="D263" s="69">
        <v>59</v>
      </c>
      <c r="E263" s="69">
        <v>5</v>
      </c>
      <c r="F263" s="69">
        <v>0</v>
      </c>
      <c r="G263" s="69" t="s">
        <v>183</v>
      </c>
      <c r="H263" s="69" t="s">
        <v>52</v>
      </c>
      <c r="I263" s="69" t="s">
        <v>255</v>
      </c>
      <c r="J263" s="69" t="s">
        <v>55</v>
      </c>
      <c r="K263" s="69" t="s">
        <v>256</v>
      </c>
      <c r="M263" s="69" t="s">
        <v>6</v>
      </c>
    </row>
    <row r="264" spans="2:13">
      <c r="B264" s="69">
        <v>262</v>
      </c>
      <c r="C264" s="69">
        <v>30</v>
      </c>
      <c r="D264" s="69">
        <v>59</v>
      </c>
      <c r="E264" s="69">
        <v>6</v>
      </c>
      <c r="F264" s="69">
        <v>0</v>
      </c>
      <c r="G264" s="69" t="s">
        <v>183</v>
      </c>
      <c r="H264" s="69" t="s">
        <v>52</v>
      </c>
      <c r="I264" s="69" t="s">
        <v>255</v>
      </c>
      <c r="J264" s="69" t="s">
        <v>99</v>
      </c>
      <c r="K264" s="69" t="s">
        <v>257</v>
      </c>
      <c r="M264" s="69" t="s">
        <v>6</v>
      </c>
    </row>
    <row r="265" spans="2:13">
      <c r="B265" s="69">
        <v>263</v>
      </c>
      <c r="C265" s="69">
        <v>30</v>
      </c>
      <c r="D265" s="69">
        <v>59</v>
      </c>
      <c r="E265" s="69">
        <v>7</v>
      </c>
      <c r="F265" s="69">
        <v>0</v>
      </c>
      <c r="G265" s="69" t="s">
        <v>183</v>
      </c>
      <c r="H265" s="69" t="s">
        <v>52</v>
      </c>
      <c r="I265" s="69" t="s">
        <v>255</v>
      </c>
      <c r="J265" s="69" t="s">
        <v>99</v>
      </c>
      <c r="K265" s="69" t="s">
        <v>258</v>
      </c>
      <c r="M265" s="69" t="s">
        <v>6</v>
      </c>
    </row>
    <row r="266" spans="2:13">
      <c r="B266" s="69">
        <v>264</v>
      </c>
      <c r="C266" s="69">
        <v>30</v>
      </c>
      <c r="D266" s="69">
        <v>59</v>
      </c>
      <c r="E266" s="69">
        <v>8</v>
      </c>
      <c r="F266" s="69">
        <v>0</v>
      </c>
      <c r="G266" s="69" t="s">
        <v>183</v>
      </c>
      <c r="H266" s="69" t="s">
        <v>52</v>
      </c>
      <c r="I266" s="69" t="s">
        <v>255</v>
      </c>
      <c r="J266" s="69" t="s">
        <v>55</v>
      </c>
      <c r="K266" s="69" t="s">
        <v>259</v>
      </c>
      <c r="M266" s="69" t="s">
        <v>6</v>
      </c>
    </row>
    <row r="267" spans="2:13">
      <c r="B267" s="69">
        <v>265</v>
      </c>
      <c r="C267" s="69">
        <v>30</v>
      </c>
      <c r="D267" s="69">
        <v>59</v>
      </c>
      <c r="E267" s="69">
        <v>9</v>
      </c>
      <c r="F267" s="69">
        <v>0</v>
      </c>
      <c r="G267" s="69" t="s">
        <v>183</v>
      </c>
      <c r="H267" s="69" t="s">
        <v>52</v>
      </c>
      <c r="I267" s="69" t="s">
        <v>255</v>
      </c>
      <c r="J267" s="69" t="s">
        <v>99</v>
      </c>
      <c r="K267" s="69" t="s">
        <v>260</v>
      </c>
      <c r="M267" s="69" t="s">
        <v>6</v>
      </c>
    </row>
    <row r="268" spans="2:13">
      <c r="B268" s="69">
        <v>266</v>
      </c>
      <c r="C268" s="69">
        <v>30</v>
      </c>
      <c r="D268" s="69">
        <v>59</v>
      </c>
      <c r="E268" s="69">
        <v>10</v>
      </c>
      <c r="F268" s="69">
        <v>0</v>
      </c>
      <c r="G268" s="69" t="s">
        <v>183</v>
      </c>
      <c r="H268" s="69" t="s">
        <v>52</v>
      </c>
      <c r="I268" s="69" t="s">
        <v>255</v>
      </c>
      <c r="J268" s="69" t="s">
        <v>99</v>
      </c>
      <c r="K268" s="69" t="s">
        <v>261</v>
      </c>
      <c r="M268" s="69" t="s">
        <v>6</v>
      </c>
    </row>
    <row r="269" spans="2:13">
      <c r="B269" s="69">
        <v>267</v>
      </c>
      <c r="C269" s="69">
        <v>30</v>
      </c>
      <c r="D269" s="69">
        <v>59</v>
      </c>
      <c r="E269" s="69">
        <v>11</v>
      </c>
      <c r="F269" s="69">
        <v>0</v>
      </c>
      <c r="G269" s="69" t="s">
        <v>183</v>
      </c>
      <c r="H269" s="69" t="s">
        <v>52</v>
      </c>
      <c r="I269" s="69" t="s">
        <v>255</v>
      </c>
      <c r="J269" s="69" t="s">
        <v>99</v>
      </c>
      <c r="K269" s="69" t="s">
        <v>262</v>
      </c>
      <c r="M269" s="69" t="s">
        <v>6</v>
      </c>
    </row>
    <row r="270" spans="2:13">
      <c r="B270" s="69">
        <v>268</v>
      </c>
      <c r="C270" s="69">
        <v>30</v>
      </c>
      <c r="D270" s="69">
        <v>59</v>
      </c>
      <c r="E270" s="69">
        <v>12</v>
      </c>
      <c r="F270" s="69">
        <v>0</v>
      </c>
      <c r="G270" s="69" t="s">
        <v>183</v>
      </c>
      <c r="H270" s="69" t="s">
        <v>52</v>
      </c>
      <c r="I270" s="69" t="s">
        <v>255</v>
      </c>
      <c r="J270" s="69" t="s">
        <v>55</v>
      </c>
      <c r="K270" s="69" t="s">
        <v>263</v>
      </c>
      <c r="M270" s="69" t="s">
        <v>6</v>
      </c>
    </row>
    <row r="271" spans="2:13">
      <c r="B271" s="69">
        <v>269</v>
      </c>
      <c r="C271" s="69">
        <v>30</v>
      </c>
      <c r="D271" s="69">
        <v>59</v>
      </c>
      <c r="E271" s="69">
        <v>13</v>
      </c>
      <c r="F271" s="69">
        <v>0</v>
      </c>
      <c r="G271" s="69" t="s">
        <v>183</v>
      </c>
      <c r="H271" s="69" t="s">
        <v>52</v>
      </c>
      <c r="I271" s="69" t="s">
        <v>255</v>
      </c>
      <c r="J271" s="69" t="s">
        <v>99</v>
      </c>
      <c r="K271" s="69" t="s">
        <v>264</v>
      </c>
      <c r="M271" s="69" t="s">
        <v>6</v>
      </c>
    </row>
    <row r="272" spans="2:13">
      <c r="B272" s="69">
        <v>270</v>
      </c>
      <c r="C272" s="69">
        <v>30</v>
      </c>
      <c r="D272" s="69">
        <v>59</v>
      </c>
      <c r="E272" s="69">
        <v>14</v>
      </c>
      <c r="F272" s="69">
        <v>0</v>
      </c>
      <c r="G272" s="69" t="s">
        <v>183</v>
      </c>
      <c r="H272" s="69" t="s">
        <v>52</v>
      </c>
      <c r="I272" s="69" t="s">
        <v>255</v>
      </c>
      <c r="J272" s="69" t="s">
        <v>99</v>
      </c>
      <c r="K272" s="69" t="s">
        <v>265</v>
      </c>
      <c r="M272" s="69" t="s">
        <v>6</v>
      </c>
    </row>
    <row r="273" spans="2:13">
      <c r="B273" s="69">
        <v>271</v>
      </c>
      <c r="C273" s="69">
        <v>30</v>
      </c>
      <c r="D273" s="69">
        <v>59</v>
      </c>
      <c r="E273" s="69">
        <v>15</v>
      </c>
      <c r="F273" s="69">
        <v>0</v>
      </c>
      <c r="G273" s="69" t="s">
        <v>183</v>
      </c>
      <c r="H273" s="69" t="s">
        <v>52</v>
      </c>
      <c r="I273" s="69" t="s">
        <v>255</v>
      </c>
      <c r="J273" s="69" t="s">
        <v>99</v>
      </c>
      <c r="K273" s="69" t="s">
        <v>266</v>
      </c>
      <c r="M273" s="69" t="s">
        <v>6</v>
      </c>
    </row>
    <row r="274" spans="2:13">
      <c r="B274" s="69">
        <v>272</v>
      </c>
      <c r="C274" s="69">
        <v>30</v>
      </c>
      <c r="D274" s="69">
        <v>59</v>
      </c>
      <c r="E274" s="69">
        <v>16</v>
      </c>
      <c r="F274" s="69">
        <v>0</v>
      </c>
      <c r="G274" s="69" t="s">
        <v>183</v>
      </c>
      <c r="H274" s="69" t="s">
        <v>52</v>
      </c>
      <c r="I274" s="69" t="s">
        <v>255</v>
      </c>
      <c r="J274" s="69" t="s">
        <v>99</v>
      </c>
      <c r="K274" s="69" t="s">
        <v>267</v>
      </c>
      <c r="M274" s="69" t="s">
        <v>6</v>
      </c>
    </row>
    <row r="275" spans="2:13">
      <c r="B275" s="69">
        <v>273</v>
      </c>
      <c r="C275" s="69">
        <v>30</v>
      </c>
      <c r="D275" s="69">
        <v>59</v>
      </c>
      <c r="E275" s="69">
        <v>17</v>
      </c>
      <c r="F275" s="69">
        <v>0</v>
      </c>
      <c r="G275" s="69" t="s">
        <v>183</v>
      </c>
      <c r="H275" s="69" t="s">
        <v>52</v>
      </c>
      <c r="I275" s="69" t="s">
        <v>255</v>
      </c>
      <c r="J275" s="69" t="s">
        <v>99</v>
      </c>
      <c r="K275" s="69" t="s">
        <v>268</v>
      </c>
      <c r="M275" s="69" t="s">
        <v>6</v>
      </c>
    </row>
    <row r="276" spans="2:13">
      <c r="B276" s="69">
        <v>274</v>
      </c>
      <c r="C276" s="69">
        <v>30</v>
      </c>
      <c r="D276" s="69">
        <v>59</v>
      </c>
      <c r="E276" s="69">
        <v>18</v>
      </c>
      <c r="F276" s="69">
        <v>0</v>
      </c>
      <c r="G276" s="69" t="s">
        <v>183</v>
      </c>
      <c r="H276" s="69" t="s">
        <v>52</v>
      </c>
      <c r="I276" s="69" t="s">
        <v>255</v>
      </c>
      <c r="J276" s="69" t="s">
        <v>269</v>
      </c>
      <c r="K276" s="69" t="s">
        <v>270</v>
      </c>
      <c r="M276" s="69" t="s">
        <v>6</v>
      </c>
    </row>
    <row r="277" spans="2:13">
      <c r="B277" s="69">
        <v>275</v>
      </c>
      <c r="C277" s="69">
        <v>30</v>
      </c>
      <c r="D277" s="69">
        <v>59</v>
      </c>
      <c r="E277" s="69">
        <v>19</v>
      </c>
      <c r="F277" s="69">
        <v>0</v>
      </c>
      <c r="G277" s="69" t="s">
        <v>183</v>
      </c>
      <c r="H277" s="69" t="s">
        <v>52</v>
      </c>
      <c r="I277" s="69" t="s">
        <v>255</v>
      </c>
      <c r="J277" s="69" t="s">
        <v>99</v>
      </c>
      <c r="K277" s="69" t="s">
        <v>271</v>
      </c>
      <c r="M277" s="69" t="s">
        <v>6</v>
      </c>
    </row>
    <row r="278" spans="2:13">
      <c r="B278" s="69">
        <v>276</v>
      </c>
      <c r="C278" s="69">
        <v>30</v>
      </c>
      <c r="D278" s="69">
        <v>59</v>
      </c>
      <c r="E278" s="69">
        <v>20</v>
      </c>
      <c r="F278" s="69">
        <v>0</v>
      </c>
      <c r="G278" s="69" t="s">
        <v>183</v>
      </c>
      <c r="H278" s="69" t="s">
        <v>52</v>
      </c>
      <c r="I278" s="69" t="s">
        <v>255</v>
      </c>
      <c r="J278" s="69" t="s">
        <v>99</v>
      </c>
      <c r="K278" s="69" t="s">
        <v>272</v>
      </c>
      <c r="M278" s="69" t="s">
        <v>6</v>
      </c>
    </row>
    <row r="279" spans="2:13">
      <c r="B279" s="69">
        <v>277</v>
      </c>
      <c r="C279" s="69">
        <v>30</v>
      </c>
      <c r="D279" s="69">
        <v>59</v>
      </c>
      <c r="E279" s="69">
        <v>21</v>
      </c>
      <c r="F279" s="69">
        <v>0</v>
      </c>
      <c r="G279" s="69" t="s">
        <v>183</v>
      </c>
      <c r="H279" s="69" t="s">
        <v>52</v>
      </c>
      <c r="I279" s="69" t="s">
        <v>255</v>
      </c>
      <c r="J279" s="69" t="s">
        <v>99</v>
      </c>
      <c r="K279" s="69" t="s">
        <v>273</v>
      </c>
      <c r="M279" s="69" t="s">
        <v>6</v>
      </c>
    </row>
    <row r="280" spans="2:13">
      <c r="B280" s="69">
        <v>278</v>
      </c>
      <c r="C280" s="69">
        <v>30</v>
      </c>
      <c r="D280" s="69">
        <v>59</v>
      </c>
      <c r="E280" s="69">
        <v>22</v>
      </c>
      <c r="F280" s="69">
        <v>0</v>
      </c>
      <c r="G280" s="69" t="s">
        <v>183</v>
      </c>
      <c r="H280" s="69" t="s">
        <v>52</v>
      </c>
      <c r="I280" s="69" t="s">
        <v>255</v>
      </c>
      <c r="J280" s="69" t="s">
        <v>55</v>
      </c>
      <c r="K280" s="69" t="s">
        <v>274</v>
      </c>
      <c r="M280" s="69" t="s">
        <v>6</v>
      </c>
    </row>
    <row r="281" spans="2:13">
      <c r="B281" s="69">
        <v>279</v>
      </c>
      <c r="C281" s="69">
        <v>30</v>
      </c>
      <c r="D281" s="69">
        <v>59</v>
      </c>
      <c r="E281" s="69">
        <v>23</v>
      </c>
      <c r="F281" s="69">
        <v>0</v>
      </c>
      <c r="G281" s="69" t="s">
        <v>183</v>
      </c>
      <c r="H281" s="69" t="s">
        <v>52</v>
      </c>
      <c r="I281" s="69" t="s">
        <v>255</v>
      </c>
      <c r="J281" s="69" t="s">
        <v>99</v>
      </c>
      <c r="K281" s="69" t="s">
        <v>275</v>
      </c>
      <c r="M281" s="69" t="s">
        <v>6</v>
      </c>
    </row>
    <row r="282" spans="2:13">
      <c r="B282" s="69">
        <v>280</v>
      </c>
      <c r="C282" s="69">
        <v>30</v>
      </c>
      <c r="D282" s="69">
        <v>59</v>
      </c>
      <c r="E282" s="69">
        <v>24</v>
      </c>
      <c r="F282" s="69">
        <v>0</v>
      </c>
      <c r="G282" s="69" t="s">
        <v>183</v>
      </c>
      <c r="H282" s="69" t="s">
        <v>52</v>
      </c>
      <c r="I282" s="69" t="s">
        <v>255</v>
      </c>
      <c r="J282" s="69" t="s">
        <v>99</v>
      </c>
      <c r="K282" s="69" t="s">
        <v>276</v>
      </c>
      <c r="M282" s="69" t="s">
        <v>6</v>
      </c>
    </row>
    <row r="283" spans="2:13">
      <c r="B283" s="69">
        <v>281</v>
      </c>
      <c r="C283" s="69">
        <v>30</v>
      </c>
      <c r="D283" s="69">
        <v>59</v>
      </c>
      <c r="E283" s="69">
        <v>25</v>
      </c>
      <c r="F283" s="69">
        <v>0</v>
      </c>
      <c r="G283" s="69" t="s">
        <v>183</v>
      </c>
      <c r="H283" s="69" t="s">
        <v>52</v>
      </c>
      <c r="I283" s="69" t="s">
        <v>255</v>
      </c>
      <c r="J283" s="69" t="s">
        <v>99</v>
      </c>
      <c r="K283" s="69" t="s">
        <v>277</v>
      </c>
      <c r="M283" s="69" t="s">
        <v>6</v>
      </c>
    </row>
    <row r="284" spans="2:13">
      <c r="B284" s="69">
        <v>282</v>
      </c>
      <c r="C284" s="69">
        <v>30</v>
      </c>
      <c r="D284" s="69">
        <v>59</v>
      </c>
      <c r="E284" s="69">
        <v>26</v>
      </c>
      <c r="F284" s="69">
        <v>0</v>
      </c>
      <c r="G284" s="69" t="s">
        <v>183</v>
      </c>
      <c r="H284" s="69" t="s">
        <v>52</v>
      </c>
      <c r="I284" s="69" t="s">
        <v>255</v>
      </c>
      <c r="J284" s="69" t="s">
        <v>55</v>
      </c>
      <c r="K284" s="69" t="s">
        <v>278</v>
      </c>
      <c r="M284" s="69" t="s">
        <v>6</v>
      </c>
    </row>
    <row r="285" spans="2:13">
      <c r="B285" s="69">
        <v>283</v>
      </c>
      <c r="C285" s="69">
        <v>30</v>
      </c>
      <c r="D285" s="69">
        <v>59</v>
      </c>
      <c r="E285" s="69">
        <v>27</v>
      </c>
      <c r="F285" s="69">
        <v>0</v>
      </c>
      <c r="G285" s="69" t="s">
        <v>183</v>
      </c>
      <c r="H285" s="69" t="s">
        <v>52</v>
      </c>
      <c r="I285" s="69" t="s">
        <v>255</v>
      </c>
      <c r="J285" s="69" t="s">
        <v>99</v>
      </c>
      <c r="K285" s="69" t="s">
        <v>279</v>
      </c>
      <c r="M285" s="69" t="s">
        <v>6</v>
      </c>
    </row>
    <row r="286" spans="2:13">
      <c r="B286" s="69">
        <v>284</v>
      </c>
      <c r="C286" s="69">
        <v>30</v>
      </c>
      <c r="D286" s="69">
        <v>59</v>
      </c>
      <c r="E286" s="69">
        <v>28</v>
      </c>
      <c r="F286" s="69">
        <v>0</v>
      </c>
      <c r="G286" s="69" t="s">
        <v>183</v>
      </c>
      <c r="H286" s="69" t="s">
        <v>52</v>
      </c>
      <c r="I286" s="69" t="s">
        <v>255</v>
      </c>
      <c r="J286" s="69" t="s">
        <v>99</v>
      </c>
      <c r="K286" s="69" t="s">
        <v>280</v>
      </c>
      <c r="M286" s="69" t="s">
        <v>6</v>
      </c>
    </row>
    <row r="287" spans="2:13">
      <c r="B287" s="69">
        <v>285</v>
      </c>
      <c r="C287" s="69">
        <v>30</v>
      </c>
      <c r="D287" s="69">
        <v>59</v>
      </c>
      <c r="E287" s="69">
        <v>29</v>
      </c>
      <c r="F287" s="69">
        <v>0</v>
      </c>
      <c r="G287" s="69" t="s">
        <v>183</v>
      </c>
      <c r="H287" s="69" t="s">
        <v>52</v>
      </c>
      <c r="I287" s="69" t="s">
        <v>255</v>
      </c>
      <c r="J287" s="69" t="s">
        <v>99</v>
      </c>
      <c r="K287" s="69" t="s">
        <v>281</v>
      </c>
      <c r="M287" s="69" t="s">
        <v>6</v>
      </c>
    </row>
    <row r="288" spans="2:13">
      <c r="B288" s="69">
        <v>286</v>
      </c>
      <c r="C288" s="69">
        <v>30</v>
      </c>
      <c r="D288" s="69">
        <v>59</v>
      </c>
      <c r="E288" s="69">
        <v>30</v>
      </c>
      <c r="F288" s="69">
        <v>0</v>
      </c>
      <c r="G288" s="69" t="s">
        <v>183</v>
      </c>
      <c r="H288" s="69" t="s">
        <v>52</v>
      </c>
      <c r="I288" s="69" t="s">
        <v>255</v>
      </c>
      <c r="J288" s="69" t="s">
        <v>55</v>
      </c>
      <c r="K288" s="69" t="s">
        <v>282</v>
      </c>
      <c r="M288" s="69" t="s">
        <v>6</v>
      </c>
    </row>
    <row r="289" spans="2:13">
      <c r="B289" s="69">
        <v>287</v>
      </c>
      <c r="C289" s="69">
        <v>30</v>
      </c>
      <c r="D289" s="69">
        <v>59</v>
      </c>
      <c r="E289" s="69">
        <v>31</v>
      </c>
      <c r="F289" s="69">
        <v>0</v>
      </c>
      <c r="G289" s="69" t="s">
        <v>183</v>
      </c>
      <c r="H289" s="69" t="s">
        <v>52</v>
      </c>
      <c r="I289" s="69" t="s">
        <v>255</v>
      </c>
      <c r="J289" s="69" t="s">
        <v>99</v>
      </c>
      <c r="K289" s="69" t="s">
        <v>283</v>
      </c>
      <c r="M289" s="69" t="s">
        <v>6</v>
      </c>
    </row>
    <row r="290" spans="2:13">
      <c r="B290" s="69">
        <v>288</v>
      </c>
      <c r="C290" s="69">
        <v>30</v>
      </c>
      <c r="D290" s="69">
        <v>59</v>
      </c>
      <c r="E290" s="69">
        <v>32</v>
      </c>
      <c r="F290" s="69">
        <v>0</v>
      </c>
      <c r="G290" s="69" t="s">
        <v>183</v>
      </c>
      <c r="H290" s="69" t="s">
        <v>52</v>
      </c>
      <c r="I290" s="69" t="s">
        <v>255</v>
      </c>
      <c r="J290" s="69" t="s">
        <v>99</v>
      </c>
      <c r="K290" s="69" t="s">
        <v>284</v>
      </c>
      <c r="M290" s="69" t="s">
        <v>6</v>
      </c>
    </row>
    <row r="291" spans="2:13">
      <c r="B291" s="69">
        <v>289</v>
      </c>
      <c r="C291" s="69">
        <v>30</v>
      </c>
      <c r="D291" s="69">
        <v>59</v>
      </c>
      <c r="E291" s="69">
        <v>33</v>
      </c>
      <c r="F291" s="69">
        <v>0</v>
      </c>
      <c r="G291" s="69" t="s">
        <v>183</v>
      </c>
      <c r="H291" s="69" t="s">
        <v>52</v>
      </c>
      <c r="I291" s="69" t="s">
        <v>255</v>
      </c>
      <c r="J291" s="69" t="s">
        <v>99</v>
      </c>
      <c r="K291" s="69" t="s">
        <v>285</v>
      </c>
      <c r="M291" s="69" t="s">
        <v>6</v>
      </c>
    </row>
    <row r="292" spans="2:13">
      <c r="B292" s="69">
        <v>290</v>
      </c>
      <c r="C292" s="69">
        <v>30</v>
      </c>
      <c r="D292" s="69">
        <v>59</v>
      </c>
      <c r="E292" s="69">
        <v>34</v>
      </c>
      <c r="F292" s="69">
        <v>0</v>
      </c>
      <c r="G292" s="69" t="s">
        <v>183</v>
      </c>
      <c r="H292" s="69" t="s">
        <v>52</v>
      </c>
      <c r="I292" s="69" t="s">
        <v>255</v>
      </c>
      <c r="J292" s="69" t="s">
        <v>99</v>
      </c>
      <c r="K292" s="69" t="s">
        <v>286</v>
      </c>
      <c r="M292" s="69" t="s">
        <v>6</v>
      </c>
    </row>
    <row r="293" spans="2:13">
      <c r="B293" s="69">
        <v>291</v>
      </c>
      <c r="C293" s="69">
        <v>30</v>
      </c>
      <c r="D293" s="69">
        <v>59</v>
      </c>
      <c r="E293" s="69">
        <v>35</v>
      </c>
      <c r="F293" s="69">
        <v>0</v>
      </c>
      <c r="G293" s="69" t="s">
        <v>183</v>
      </c>
      <c r="H293" s="69" t="s">
        <v>52</v>
      </c>
      <c r="I293" s="69" t="s">
        <v>255</v>
      </c>
      <c r="J293" s="69" t="s">
        <v>99</v>
      </c>
      <c r="K293" s="69" t="s">
        <v>287</v>
      </c>
      <c r="M293" s="69" t="s">
        <v>6</v>
      </c>
    </row>
    <row r="294" spans="2:13">
      <c r="B294" s="69">
        <v>292</v>
      </c>
      <c r="C294" s="69">
        <v>30</v>
      </c>
      <c r="D294" s="69">
        <v>59</v>
      </c>
      <c r="E294" s="69">
        <v>36</v>
      </c>
      <c r="F294" s="69">
        <v>0</v>
      </c>
      <c r="G294" s="69" t="s">
        <v>183</v>
      </c>
      <c r="H294" s="69" t="s">
        <v>52</v>
      </c>
      <c r="I294" s="69" t="s">
        <v>255</v>
      </c>
      <c r="J294" s="69" t="s">
        <v>99</v>
      </c>
      <c r="K294" s="69" t="s">
        <v>288</v>
      </c>
      <c r="M294" s="69" t="s">
        <v>6</v>
      </c>
    </row>
    <row r="295" spans="2:13">
      <c r="B295" s="69">
        <v>293</v>
      </c>
      <c r="C295" s="69">
        <v>30</v>
      </c>
      <c r="D295" s="69">
        <v>59</v>
      </c>
      <c r="E295" s="69">
        <v>37</v>
      </c>
      <c r="F295" s="69">
        <v>0</v>
      </c>
      <c r="G295" s="69" t="s">
        <v>183</v>
      </c>
      <c r="H295" s="69" t="s">
        <v>52</v>
      </c>
      <c r="I295" s="69" t="s">
        <v>255</v>
      </c>
      <c r="J295" s="69" t="s">
        <v>269</v>
      </c>
      <c r="K295" s="69" t="s">
        <v>289</v>
      </c>
      <c r="M295" s="69" t="s">
        <v>6</v>
      </c>
    </row>
    <row r="296" spans="2:13">
      <c r="B296" s="69">
        <v>294</v>
      </c>
      <c r="C296" s="69">
        <v>30</v>
      </c>
      <c r="D296" s="69">
        <v>59</v>
      </c>
      <c r="E296" s="69">
        <v>38</v>
      </c>
      <c r="F296" s="69">
        <v>0</v>
      </c>
      <c r="G296" s="69" t="s">
        <v>183</v>
      </c>
      <c r="H296" s="69" t="s">
        <v>52</v>
      </c>
      <c r="I296" s="69" t="s">
        <v>255</v>
      </c>
      <c r="J296" s="69" t="s">
        <v>99</v>
      </c>
      <c r="K296" s="69" t="s">
        <v>290</v>
      </c>
      <c r="M296" s="69" t="s">
        <v>6</v>
      </c>
    </row>
    <row r="297" spans="2:13">
      <c r="B297" s="69">
        <v>295</v>
      </c>
      <c r="C297" s="69">
        <v>30</v>
      </c>
      <c r="D297" s="69">
        <v>59</v>
      </c>
      <c r="E297" s="69">
        <v>39</v>
      </c>
      <c r="F297" s="69">
        <v>0</v>
      </c>
      <c r="G297" s="69" t="s">
        <v>183</v>
      </c>
      <c r="H297" s="69" t="s">
        <v>52</v>
      </c>
      <c r="I297" s="69" t="s">
        <v>255</v>
      </c>
      <c r="J297" s="69" t="s">
        <v>269</v>
      </c>
      <c r="K297" s="69" t="s">
        <v>291</v>
      </c>
      <c r="M297" s="69" t="s">
        <v>6</v>
      </c>
    </row>
    <row r="298" spans="2:13">
      <c r="B298" s="69">
        <v>296</v>
      </c>
      <c r="C298" s="69">
        <v>30</v>
      </c>
      <c r="D298" s="69">
        <v>59</v>
      </c>
      <c r="E298" s="69">
        <v>40</v>
      </c>
      <c r="F298" s="69">
        <v>0</v>
      </c>
      <c r="G298" s="69" t="s">
        <v>183</v>
      </c>
      <c r="H298" s="69" t="s">
        <v>52</v>
      </c>
      <c r="I298" s="69" t="s">
        <v>255</v>
      </c>
      <c r="J298" s="69" t="s">
        <v>99</v>
      </c>
      <c r="K298" s="69" t="s">
        <v>292</v>
      </c>
      <c r="M298" s="69" t="s">
        <v>6</v>
      </c>
    </row>
    <row r="299" spans="2:13">
      <c r="B299" s="69">
        <v>297</v>
      </c>
      <c r="C299" s="69">
        <v>30</v>
      </c>
      <c r="D299" s="69">
        <v>59</v>
      </c>
      <c r="E299" s="69">
        <v>41</v>
      </c>
      <c r="F299" s="69">
        <v>0</v>
      </c>
      <c r="G299" s="69" t="s">
        <v>183</v>
      </c>
      <c r="H299" s="69" t="s">
        <v>52</v>
      </c>
      <c r="I299" s="69" t="s">
        <v>255</v>
      </c>
      <c r="J299" s="69" t="s">
        <v>269</v>
      </c>
      <c r="K299" s="69" t="s">
        <v>293</v>
      </c>
      <c r="M299" s="69" t="s">
        <v>6</v>
      </c>
    </row>
    <row r="300" spans="2:13">
      <c r="B300" s="69">
        <v>298</v>
      </c>
      <c r="C300" s="69">
        <v>30</v>
      </c>
      <c r="D300" s="69">
        <v>59</v>
      </c>
      <c r="E300" s="69">
        <v>42</v>
      </c>
      <c r="F300" s="69">
        <v>0</v>
      </c>
      <c r="G300" s="69" t="s">
        <v>183</v>
      </c>
      <c r="H300" s="69" t="s">
        <v>52</v>
      </c>
      <c r="I300" s="69" t="s">
        <v>255</v>
      </c>
      <c r="J300" s="69" t="s">
        <v>99</v>
      </c>
      <c r="K300" s="69" t="s">
        <v>294</v>
      </c>
      <c r="M300" s="69" t="s">
        <v>6</v>
      </c>
    </row>
    <row r="301" spans="2:13">
      <c r="B301" s="69">
        <v>299</v>
      </c>
      <c r="C301" s="69">
        <v>30</v>
      </c>
      <c r="D301" s="69">
        <v>59</v>
      </c>
      <c r="E301" s="69">
        <v>43</v>
      </c>
      <c r="F301" s="69">
        <v>0</v>
      </c>
      <c r="G301" s="69" t="s">
        <v>183</v>
      </c>
      <c r="H301" s="69" t="s">
        <v>52</v>
      </c>
      <c r="I301" s="69" t="s">
        <v>255</v>
      </c>
      <c r="J301" s="69" t="s">
        <v>99</v>
      </c>
      <c r="K301" s="69" t="s">
        <v>295</v>
      </c>
      <c r="M301" s="69" t="s">
        <v>6</v>
      </c>
    </row>
    <row r="302" spans="2:13">
      <c r="B302" s="69">
        <v>300</v>
      </c>
      <c r="C302" s="69">
        <v>30</v>
      </c>
      <c r="D302" s="69">
        <v>59</v>
      </c>
      <c r="E302" s="69">
        <v>44</v>
      </c>
      <c r="F302" s="69">
        <v>0</v>
      </c>
      <c r="G302" s="69" t="s">
        <v>183</v>
      </c>
      <c r="H302" s="69" t="s">
        <v>52</v>
      </c>
      <c r="I302" s="69" t="s">
        <v>255</v>
      </c>
      <c r="J302" s="69" t="s">
        <v>55</v>
      </c>
      <c r="K302" s="69" t="s">
        <v>296</v>
      </c>
      <c r="M302" s="69" t="s">
        <v>6</v>
      </c>
    </row>
    <row r="303" spans="2:13">
      <c r="B303" s="69">
        <v>301</v>
      </c>
      <c r="C303" s="69">
        <v>30</v>
      </c>
      <c r="D303" s="69">
        <v>59</v>
      </c>
      <c r="E303" s="69">
        <v>45</v>
      </c>
      <c r="F303" s="69">
        <v>0</v>
      </c>
      <c r="G303" s="69" t="s">
        <v>183</v>
      </c>
      <c r="H303" s="69" t="s">
        <v>52</v>
      </c>
      <c r="I303" s="69" t="s">
        <v>255</v>
      </c>
      <c r="J303" s="69" t="s">
        <v>99</v>
      </c>
      <c r="K303" s="69" t="s">
        <v>297</v>
      </c>
      <c r="M303" s="69" t="s">
        <v>6</v>
      </c>
    </row>
    <row r="304" spans="2:13">
      <c r="B304" s="69">
        <v>302</v>
      </c>
      <c r="C304" s="69">
        <v>30</v>
      </c>
      <c r="D304" s="69">
        <v>59</v>
      </c>
      <c r="E304" s="69">
        <v>46</v>
      </c>
      <c r="F304" s="69">
        <v>0</v>
      </c>
      <c r="G304" s="69" t="s">
        <v>183</v>
      </c>
      <c r="H304" s="69" t="s">
        <v>52</v>
      </c>
      <c r="I304" s="69" t="s">
        <v>255</v>
      </c>
      <c r="J304" s="69" t="s">
        <v>55</v>
      </c>
      <c r="K304" s="69" t="s">
        <v>298</v>
      </c>
      <c r="M304" s="69" t="s">
        <v>6</v>
      </c>
    </row>
    <row r="305" spans="2:13">
      <c r="B305" s="69">
        <v>303</v>
      </c>
      <c r="C305" s="69">
        <v>30</v>
      </c>
      <c r="D305" s="69">
        <v>59</v>
      </c>
      <c r="E305" s="69">
        <v>47</v>
      </c>
      <c r="F305" s="69">
        <v>0</v>
      </c>
      <c r="G305" s="69" t="s">
        <v>183</v>
      </c>
      <c r="H305" s="69" t="s">
        <v>52</v>
      </c>
      <c r="I305" s="69" t="s">
        <v>255</v>
      </c>
      <c r="J305" s="69" t="s">
        <v>99</v>
      </c>
      <c r="K305" s="69" t="s">
        <v>299</v>
      </c>
      <c r="M305" s="69" t="s">
        <v>6</v>
      </c>
    </row>
    <row r="306" spans="2:13">
      <c r="B306" s="69">
        <v>304</v>
      </c>
      <c r="C306" s="69">
        <v>30</v>
      </c>
      <c r="D306" s="69">
        <v>59</v>
      </c>
      <c r="E306" s="69">
        <v>48</v>
      </c>
      <c r="F306" s="69">
        <v>0</v>
      </c>
      <c r="G306" s="69" t="s">
        <v>183</v>
      </c>
      <c r="H306" s="69" t="s">
        <v>52</v>
      </c>
      <c r="I306" s="69" t="s">
        <v>255</v>
      </c>
      <c r="J306" s="69" t="s">
        <v>99</v>
      </c>
      <c r="K306" s="69" t="s">
        <v>300</v>
      </c>
      <c r="M306" s="69" t="s">
        <v>6</v>
      </c>
    </row>
    <row r="307" spans="2:13">
      <c r="B307" s="69">
        <v>305</v>
      </c>
      <c r="C307" s="69">
        <v>30</v>
      </c>
      <c r="D307" s="69">
        <v>59</v>
      </c>
      <c r="E307" s="69">
        <v>49</v>
      </c>
      <c r="F307" s="69">
        <v>0</v>
      </c>
      <c r="G307" s="69" t="s">
        <v>183</v>
      </c>
      <c r="H307" s="69" t="s">
        <v>52</v>
      </c>
      <c r="I307" s="69" t="s">
        <v>255</v>
      </c>
      <c r="J307" s="69" t="s">
        <v>99</v>
      </c>
      <c r="K307" s="69" t="s">
        <v>301</v>
      </c>
      <c r="M307" s="69" t="s">
        <v>6</v>
      </c>
    </row>
    <row r="308" spans="2:13">
      <c r="B308" s="69">
        <v>306</v>
      </c>
      <c r="C308" s="69">
        <v>30</v>
      </c>
      <c r="D308" s="69">
        <v>59</v>
      </c>
      <c r="E308" s="69">
        <v>50</v>
      </c>
      <c r="F308" s="69">
        <v>0</v>
      </c>
      <c r="G308" s="69" t="s">
        <v>183</v>
      </c>
      <c r="H308" s="69" t="s">
        <v>52</v>
      </c>
      <c r="I308" s="69" t="s">
        <v>255</v>
      </c>
      <c r="J308" s="69" t="s">
        <v>99</v>
      </c>
      <c r="K308" s="69" t="s">
        <v>302</v>
      </c>
      <c r="M308" s="69" t="s">
        <v>6</v>
      </c>
    </row>
    <row r="309" spans="2:13">
      <c r="B309" s="69">
        <v>307</v>
      </c>
      <c r="C309" s="69">
        <v>30</v>
      </c>
      <c r="D309" s="69">
        <v>59</v>
      </c>
      <c r="E309" s="69">
        <v>51</v>
      </c>
      <c r="F309" s="69">
        <v>0</v>
      </c>
      <c r="G309" s="69" t="s">
        <v>183</v>
      </c>
      <c r="H309" s="69" t="s">
        <v>52</v>
      </c>
      <c r="I309" s="69" t="s">
        <v>255</v>
      </c>
      <c r="J309" s="69" t="s">
        <v>99</v>
      </c>
      <c r="K309" s="69" t="s">
        <v>303</v>
      </c>
      <c r="M309" s="69" t="s">
        <v>6</v>
      </c>
    </row>
    <row r="310" spans="2:13">
      <c r="B310" s="69">
        <v>308</v>
      </c>
      <c r="C310" s="69">
        <v>30</v>
      </c>
      <c r="D310" s="69">
        <v>59</v>
      </c>
      <c r="E310" s="69">
        <v>52</v>
      </c>
      <c r="F310" s="69">
        <v>0</v>
      </c>
      <c r="G310" s="69" t="s">
        <v>183</v>
      </c>
      <c r="H310" s="69" t="s">
        <v>52</v>
      </c>
      <c r="I310" s="69" t="s">
        <v>255</v>
      </c>
      <c r="J310" s="69" t="s">
        <v>99</v>
      </c>
      <c r="K310" s="69" t="s">
        <v>304</v>
      </c>
      <c r="M310" s="69" t="s">
        <v>6</v>
      </c>
    </row>
    <row r="311" spans="2:13">
      <c r="B311" s="69">
        <v>309</v>
      </c>
      <c r="C311" s="69">
        <v>30</v>
      </c>
      <c r="D311" s="69">
        <v>59</v>
      </c>
      <c r="E311" s="69">
        <v>53</v>
      </c>
      <c r="F311" s="69">
        <v>0</v>
      </c>
      <c r="G311" s="69" t="s">
        <v>183</v>
      </c>
      <c r="H311" s="69" t="s">
        <v>52</v>
      </c>
      <c r="I311" s="69" t="s">
        <v>255</v>
      </c>
      <c r="J311" s="69" t="s">
        <v>99</v>
      </c>
      <c r="K311" s="69" t="s">
        <v>305</v>
      </c>
      <c r="M311" s="69" t="s">
        <v>6</v>
      </c>
    </row>
    <row r="312" spans="2:13">
      <c r="B312" s="69">
        <v>310</v>
      </c>
      <c r="C312" s="69">
        <v>30</v>
      </c>
      <c r="D312" s="69">
        <v>59</v>
      </c>
      <c r="E312" s="69">
        <v>54</v>
      </c>
      <c r="F312" s="69">
        <v>0</v>
      </c>
      <c r="G312" s="69" t="s">
        <v>183</v>
      </c>
      <c r="H312" s="69" t="s">
        <v>52</v>
      </c>
      <c r="I312" s="69" t="s">
        <v>255</v>
      </c>
      <c r="J312" s="69" t="s">
        <v>99</v>
      </c>
      <c r="K312" s="69" t="s">
        <v>306</v>
      </c>
      <c r="M312" s="69" t="s">
        <v>6</v>
      </c>
    </row>
    <row r="313" spans="2:13">
      <c r="B313" s="69">
        <v>311</v>
      </c>
      <c r="C313" s="69">
        <v>30</v>
      </c>
      <c r="D313" s="69">
        <v>59</v>
      </c>
      <c r="E313" s="69">
        <v>55</v>
      </c>
      <c r="F313" s="69">
        <v>0</v>
      </c>
      <c r="G313" s="69" t="s">
        <v>183</v>
      </c>
      <c r="H313" s="69" t="s">
        <v>52</v>
      </c>
      <c r="I313" s="69" t="s">
        <v>255</v>
      </c>
      <c r="J313" s="69" t="s">
        <v>99</v>
      </c>
      <c r="K313" s="69" t="s">
        <v>307</v>
      </c>
      <c r="M313" s="69" t="s">
        <v>6</v>
      </c>
    </row>
    <row r="314" spans="2:13">
      <c r="B314" s="69">
        <v>312</v>
      </c>
      <c r="C314" s="69">
        <v>30</v>
      </c>
      <c r="D314" s="69">
        <v>59</v>
      </c>
      <c r="E314" s="69">
        <v>56</v>
      </c>
      <c r="F314" s="69">
        <v>0</v>
      </c>
      <c r="G314" s="69" t="s">
        <v>183</v>
      </c>
      <c r="H314" s="69" t="s">
        <v>52</v>
      </c>
      <c r="I314" s="69" t="s">
        <v>255</v>
      </c>
      <c r="J314" s="69" t="s">
        <v>55</v>
      </c>
      <c r="K314" s="69" t="s">
        <v>308</v>
      </c>
      <c r="M314" s="69" t="s">
        <v>6</v>
      </c>
    </row>
    <row r="315" spans="2:13">
      <c r="B315" s="69">
        <v>313</v>
      </c>
      <c r="C315" s="69">
        <v>30</v>
      </c>
      <c r="D315" s="69">
        <v>59</v>
      </c>
      <c r="E315" s="69">
        <v>57</v>
      </c>
      <c r="F315" s="69">
        <v>0</v>
      </c>
      <c r="G315" s="69" t="s">
        <v>183</v>
      </c>
      <c r="H315" s="69" t="s">
        <v>52</v>
      </c>
      <c r="I315" s="69" t="s">
        <v>255</v>
      </c>
      <c r="J315" s="69" t="s">
        <v>99</v>
      </c>
      <c r="K315" s="69" t="s">
        <v>309</v>
      </c>
      <c r="M315" s="69" t="s">
        <v>6</v>
      </c>
    </row>
    <row r="316" spans="2:13">
      <c r="B316" s="69">
        <v>314</v>
      </c>
      <c r="C316" s="69">
        <v>30</v>
      </c>
      <c r="D316" s="69">
        <v>59</v>
      </c>
      <c r="E316" s="69">
        <v>58</v>
      </c>
      <c r="F316" s="69">
        <v>0</v>
      </c>
      <c r="G316" s="69" t="s">
        <v>183</v>
      </c>
      <c r="H316" s="69" t="s">
        <v>52</v>
      </c>
      <c r="I316" s="69" t="s">
        <v>255</v>
      </c>
      <c r="J316" s="69" t="s">
        <v>55</v>
      </c>
      <c r="K316" s="69" t="s">
        <v>310</v>
      </c>
      <c r="M316" s="69" t="s">
        <v>6</v>
      </c>
    </row>
    <row r="317" spans="2:13">
      <c r="B317" s="69">
        <v>315</v>
      </c>
      <c r="C317" s="69">
        <v>30</v>
      </c>
      <c r="D317" s="69">
        <v>59</v>
      </c>
      <c r="E317" s="69">
        <v>59</v>
      </c>
      <c r="F317" s="69">
        <v>0</v>
      </c>
      <c r="G317" s="69" t="s">
        <v>183</v>
      </c>
      <c r="H317" s="69" t="s">
        <v>52</v>
      </c>
      <c r="I317" s="69" t="s">
        <v>255</v>
      </c>
      <c r="J317" s="69" t="s">
        <v>55</v>
      </c>
      <c r="K317" s="69" t="s">
        <v>311</v>
      </c>
      <c r="M317" s="69" t="s">
        <v>6</v>
      </c>
    </row>
    <row r="318" spans="2:13">
      <c r="B318" s="69">
        <v>316</v>
      </c>
      <c r="C318" s="69">
        <v>31</v>
      </c>
      <c r="D318" s="69">
        <v>15</v>
      </c>
      <c r="E318" s="69">
        <v>0</v>
      </c>
      <c r="F318" s="69">
        <v>0</v>
      </c>
      <c r="G318" s="69" t="s">
        <v>183</v>
      </c>
      <c r="H318" s="69" t="s">
        <v>52</v>
      </c>
      <c r="I318" s="69" t="s">
        <v>312</v>
      </c>
      <c r="J318" s="69" t="s">
        <v>54</v>
      </c>
      <c r="K318" s="69" t="s">
        <v>312</v>
      </c>
      <c r="M318" s="69" t="s">
        <v>6</v>
      </c>
    </row>
    <row r="319" spans="2:13">
      <c r="B319" s="69">
        <v>317</v>
      </c>
      <c r="C319" s="69">
        <v>31</v>
      </c>
      <c r="D319" s="69">
        <v>15</v>
      </c>
      <c r="E319" s="69">
        <v>1</v>
      </c>
      <c r="F319" s="69">
        <v>0</v>
      </c>
      <c r="G319" s="69" t="s">
        <v>183</v>
      </c>
      <c r="H319" s="69" t="s">
        <v>52</v>
      </c>
      <c r="I319" s="69" t="s">
        <v>312</v>
      </c>
      <c r="J319" s="69" t="s">
        <v>55</v>
      </c>
      <c r="K319" s="69" t="s">
        <v>185</v>
      </c>
      <c r="M319" s="69" t="s">
        <v>6</v>
      </c>
    </row>
    <row r="320" spans="2:13">
      <c r="B320" s="69">
        <v>318</v>
      </c>
      <c r="C320" s="69">
        <v>31</v>
      </c>
      <c r="D320" s="69">
        <v>15</v>
      </c>
      <c r="E320" s="69">
        <v>2</v>
      </c>
      <c r="F320" s="69">
        <v>0</v>
      </c>
      <c r="G320" s="69" t="s">
        <v>183</v>
      </c>
      <c r="H320" s="69" t="s">
        <v>52</v>
      </c>
      <c r="I320" s="69" t="s">
        <v>312</v>
      </c>
      <c r="J320" s="69" t="s">
        <v>55</v>
      </c>
      <c r="K320" s="69" t="s">
        <v>186</v>
      </c>
      <c r="M320" s="69" t="s">
        <v>6</v>
      </c>
    </row>
    <row r="321" spans="2:13">
      <c r="B321" s="69">
        <v>319</v>
      </c>
      <c r="C321" s="69">
        <v>31</v>
      </c>
      <c r="D321" s="69">
        <v>15</v>
      </c>
      <c r="E321" s="69">
        <v>3</v>
      </c>
      <c r="F321" s="69">
        <v>0</v>
      </c>
      <c r="G321" s="69" t="s">
        <v>183</v>
      </c>
      <c r="H321" s="69" t="s">
        <v>52</v>
      </c>
      <c r="I321" s="69" t="s">
        <v>312</v>
      </c>
      <c r="J321" s="69" t="s">
        <v>55</v>
      </c>
      <c r="K321" s="69" t="s">
        <v>187</v>
      </c>
      <c r="M321" s="69" t="s">
        <v>6</v>
      </c>
    </row>
    <row r="322" spans="2:13">
      <c r="B322" s="69">
        <v>320</v>
      </c>
      <c r="C322" s="69">
        <v>31</v>
      </c>
      <c r="D322" s="69">
        <v>15</v>
      </c>
      <c r="E322" s="69">
        <v>4</v>
      </c>
      <c r="F322" s="69">
        <v>0</v>
      </c>
      <c r="G322" s="69" t="s">
        <v>183</v>
      </c>
      <c r="H322" s="69" t="s">
        <v>52</v>
      </c>
      <c r="I322" s="69" t="s">
        <v>312</v>
      </c>
      <c r="J322" s="69" t="s">
        <v>55</v>
      </c>
      <c r="K322" s="69" t="s">
        <v>313</v>
      </c>
      <c r="M322" s="69" t="s">
        <v>6</v>
      </c>
    </row>
    <row r="323" spans="2:13">
      <c r="B323" s="69">
        <v>321</v>
      </c>
      <c r="C323" s="69">
        <v>31</v>
      </c>
      <c r="D323" s="69">
        <v>15</v>
      </c>
      <c r="E323" s="69">
        <v>5</v>
      </c>
      <c r="F323" s="69">
        <v>0</v>
      </c>
      <c r="G323" s="69" t="s">
        <v>183</v>
      </c>
      <c r="H323" s="69" t="s">
        <v>52</v>
      </c>
      <c r="I323" s="69" t="s">
        <v>312</v>
      </c>
      <c r="J323" s="69" t="s">
        <v>55</v>
      </c>
      <c r="K323" s="69" t="s">
        <v>239</v>
      </c>
      <c r="M323" s="69" t="s">
        <v>6</v>
      </c>
    </row>
    <row r="324" spans="2:13">
      <c r="B324" s="69">
        <v>322</v>
      </c>
      <c r="C324" s="69">
        <v>31</v>
      </c>
      <c r="D324" s="69">
        <v>15</v>
      </c>
      <c r="E324" s="69">
        <v>6</v>
      </c>
      <c r="F324" s="69">
        <v>0</v>
      </c>
      <c r="G324" s="69" t="s">
        <v>183</v>
      </c>
      <c r="H324" s="69" t="s">
        <v>52</v>
      </c>
      <c r="I324" s="69" t="s">
        <v>312</v>
      </c>
      <c r="J324" s="69" t="s">
        <v>99</v>
      </c>
      <c r="K324" s="69" t="s">
        <v>314</v>
      </c>
      <c r="M324" s="69" t="s">
        <v>6</v>
      </c>
    </row>
    <row r="325" spans="2:13">
      <c r="B325" s="69">
        <v>323</v>
      </c>
      <c r="C325" s="69">
        <v>31</v>
      </c>
      <c r="D325" s="69">
        <v>15</v>
      </c>
      <c r="E325" s="69">
        <v>7</v>
      </c>
      <c r="F325" s="69">
        <v>0</v>
      </c>
      <c r="G325" s="69" t="s">
        <v>183</v>
      </c>
      <c r="H325" s="69" t="s">
        <v>52</v>
      </c>
      <c r="I325" s="69" t="s">
        <v>312</v>
      </c>
      <c r="J325" s="69" t="s">
        <v>99</v>
      </c>
      <c r="K325" s="69" t="s">
        <v>315</v>
      </c>
      <c r="M325" s="69" t="s">
        <v>6</v>
      </c>
    </row>
    <row r="326" spans="2:13">
      <c r="B326" s="69">
        <v>324</v>
      </c>
      <c r="C326" s="69">
        <v>31</v>
      </c>
      <c r="D326" s="69">
        <v>15</v>
      </c>
      <c r="E326" s="69">
        <v>8</v>
      </c>
      <c r="F326" s="69">
        <v>0</v>
      </c>
      <c r="G326" s="69" t="s">
        <v>183</v>
      </c>
      <c r="H326" s="69" t="s">
        <v>52</v>
      </c>
      <c r="I326" s="69" t="s">
        <v>312</v>
      </c>
      <c r="J326" s="69" t="s">
        <v>55</v>
      </c>
      <c r="K326" s="69" t="s">
        <v>316</v>
      </c>
      <c r="M326" s="69" t="s">
        <v>6</v>
      </c>
    </row>
    <row r="327" spans="2:13">
      <c r="B327" s="69">
        <v>325</v>
      </c>
      <c r="C327" s="69">
        <v>31</v>
      </c>
      <c r="D327" s="69">
        <v>15</v>
      </c>
      <c r="E327" s="69">
        <v>9</v>
      </c>
      <c r="F327" s="69">
        <v>0</v>
      </c>
      <c r="G327" s="69" t="s">
        <v>183</v>
      </c>
      <c r="H327" s="69" t="s">
        <v>52</v>
      </c>
      <c r="I327" s="69" t="s">
        <v>312</v>
      </c>
      <c r="J327" s="69" t="s">
        <v>99</v>
      </c>
      <c r="K327" s="69" t="s">
        <v>317</v>
      </c>
      <c r="M327" s="69" t="s">
        <v>6</v>
      </c>
    </row>
    <row r="328" spans="2:13">
      <c r="B328" s="69">
        <v>326</v>
      </c>
      <c r="C328" s="69">
        <v>31</v>
      </c>
      <c r="D328" s="69">
        <v>15</v>
      </c>
      <c r="E328" s="69">
        <v>10</v>
      </c>
      <c r="F328" s="69">
        <v>0</v>
      </c>
      <c r="G328" s="69" t="s">
        <v>183</v>
      </c>
      <c r="H328" s="69" t="s">
        <v>52</v>
      </c>
      <c r="I328" s="69" t="s">
        <v>312</v>
      </c>
      <c r="J328" s="69" t="s">
        <v>99</v>
      </c>
      <c r="K328" s="69" t="s">
        <v>318</v>
      </c>
      <c r="M328" s="69" t="s">
        <v>6</v>
      </c>
    </row>
    <row r="329" spans="2:13">
      <c r="B329" s="69">
        <v>327</v>
      </c>
      <c r="C329" s="69">
        <v>31</v>
      </c>
      <c r="D329" s="69">
        <v>15</v>
      </c>
      <c r="E329" s="69">
        <v>11</v>
      </c>
      <c r="F329" s="69">
        <v>0</v>
      </c>
      <c r="G329" s="69" t="s">
        <v>183</v>
      </c>
      <c r="H329" s="69" t="s">
        <v>52</v>
      </c>
      <c r="I329" s="69" t="s">
        <v>312</v>
      </c>
      <c r="J329" s="69" t="s">
        <v>55</v>
      </c>
      <c r="K329" s="69" t="s">
        <v>319</v>
      </c>
      <c r="M329" s="69" t="s">
        <v>6</v>
      </c>
    </row>
    <row r="330" spans="2:13">
      <c r="B330" s="69">
        <v>328</v>
      </c>
      <c r="C330" s="69">
        <v>31</v>
      </c>
      <c r="D330" s="69">
        <v>15</v>
      </c>
      <c r="E330" s="69">
        <v>12</v>
      </c>
      <c r="F330" s="69">
        <v>0</v>
      </c>
      <c r="G330" s="69" t="s">
        <v>183</v>
      </c>
      <c r="H330" s="69" t="s">
        <v>52</v>
      </c>
      <c r="I330" s="69" t="s">
        <v>312</v>
      </c>
      <c r="J330" s="69" t="s">
        <v>99</v>
      </c>
      <c r="K330" s="69" t="s">
        <v>320</v>
      </c>
      <c r="M330" s="69" t="s">
        <v>6</v>
      </c>
    </row>
    <row r="331" spans="2:13">
      <c r="B331" s="69">
        <v>329</v>
      </c>
      <c r="C331" s="69">
        <v>31</v>
      </c>
      <c r="D331" s="69">
        <v>15</v>
      </c>
      <c r="E331" s="69">
        <v>13</v>
      </c>
      <c r="F331" s="69">
        <v>0</v>
      </c>
      <c r="G331" s="69" t="s">
        <v>183</v>
      </c>
      <c r="H331" s="69" t="s">
        <v>52</v>
      </c>
      <c r="I331" s="69" t="s">
        <v>312</v>
      </c>
      <c r="J331" s="69" t="s">
        <v>55</v>
      </c>
      <c r="K331" s="69" t="s">
        <v>247</v>
      </c>
      <c r="M331" s="69" t="s">
        <v>6</v>
      </c>
    </row>
    <row r="332" spans="2:13">
      <c r="B332" s="69">
        <v>330</v>
      </c>
      <c r="C332" s="69">
        <v>31</v>
      </c>
      <c r="D332" s="69">
        <v>15</v>
      </c>
      <c r="E332" s="69">
        <v>14</v>
      </c>
      <c r="F332" s="69">
        <v>0</v>
      </c>
      <c r="G332" s="69" t="s">
        <v>183</v>
      </c>
      <c r="H332" s="69" t="s">
        <v>52</v>
      </c>
      <c r="I332" s="69" t="s">
        <v>312</v>
      </c>
      <c r="J332" s="69" t="s">
        <v>99</v>
      </c>
      <c r="K332" s="69" t="s">
        <v>321</v>
      </c>
      <c r="M332" s="69" t="s">
        <v>6</v>
      </c>
    </row>
    <row r="333" spans="2:13">
      <c r="B333" s="69">
        <v>331</v>
      </c>
      <c r="C333" s="69">
        <v>31</v>
      </c>
      <c r="D333" s="69">
        <v>15</v>
      </c>
      <c r="E333" s="69">
        <v>15</v>
      </c>
      <c r="F333" s="69">
        <v>0</v>
      </c>
      <c r="G333" s="69" t="s">
        <v>183</v>
      </c>
      <c r="H333" s="69" t="s">
        <v>52</v>
      </c>
      <c r="I333" s="69" t="s">
        <v>312</v>
      </c>
      <c r="J333" s="69" t="s">
        <v>55</v>
      </c>
      <c r="K333" s="69" t="s">
        <v>322</v>
      </c>
      <c r="M333" s="69" t="s">
        <v>6</v>
      </c>
    </row>
    <row r="334" spans="2:13">
      <c r="B334" s="69">
        <v>332</v>
      </c>
      <c r="C334" s="69">
        <v>32</v>
      </c>
      <c r="D334" s="69">
        <v>17</v>
      </c>
      <c r="E334" s="69">
        <v>0</v>
      </c>
      <c r="F334" s="69">
        <v>0</v>
      </c>
      <c r="G334" s="69" t="s">
        <v>183</v>
      </c>
      <c r="H334" s="69" t="s">
        <v>52</v>
      </c>
      <c r="I334" s="69" t="s">
        <v>323</v>
      </c>
      <c r="J334" s="69" t="s">
        <v>54</v>
      </c>
      <c r="K334" s="69" t="s">
        <v>323</v>
      </c>
      <c r="M334" s="69" t="s">
        <v>6</v>
      </c>
    </row>
    <row r="335" spans="2:13">
      <c r="B335" s="69">
        <v>333</v>
      </c>
      <c r="C335" s="69">
        <v>32</v>
      </c>
      <c r="D335" s="69">
        <v>17</v>
      </c>
      <c r="E335" s="69">
        <v>1</v>
      </c>
      <c r="F335" s="69">
        <v>0</v>
      </c>
      <c r="G335" s="69" t="s">
        <v>183</v>
      </c>
      <c r="H335" s="69" t="s">
        <v>52</v>
      </c>
      <c r="I335" s="69" t="s">
        <v>323</v>
      </c>
      <c r="J335" s="69" t="s">
        <v>55</v>
      </c>
      <c r="K335" s="69" t="s">
        <v>324</v>
      </c>
      <c r="M335" s="69" t="s">
        <v>6</v>
      </c>
    </row>
    <row r="336" spans="2:13">
      <c r="B336" s="69">
        <v>334</v>
      </c>
      <c r="C336" s="69">
        <v>32</v>
      </c>
      <c r="D336" s="69">
        <v>17</v>
      </c>
      <c r="E336" s="69">
        <v>2</v>
      </c>
      <c r="F336" s="69">
        <v>0</v>
      </c>
      <c r="G336" s="69" t="s">
        <v>183</v>
      </c>
      <c r="H336" s="69" t="s">
        <v>52</v>
      </c>
      <c r="I336" s="69" t="s">
        <v>323</v>
      </c>
      <c r="J336" s="69" t="s">
        <v>55</v>
      </c>
      <c r="K336" s="69" t="s">
        <v>186</v>
      </c>
      <c r="M336" s="69" t="s">
        <v>6</v>
      </c>
    </row>
    <row r="337" spans="2:13">
      <c r="B337" s="69">
        <v>335</v>
      </c>
      <c r="C337" s="69">
        <v>32</v>
      </c>
      <c r="D337" s="69">
        <v>17</v>
      </c>
      <c r="E337" s="69">
        <v>3</v>
      </c>
      <c r="F337" s="69">
        <v>0</v>
      </c>
      <c r="G337" s="69" t="s">
        <v>183</v>
      </c>
      <c r="H337" s="69" t="s">
        <v>52</v>
      </c>
      <c r="I337" s="69" t="s">
        <v>323</v>
      </c>
      <c r="J337" s="69" t="s">
        <v>55</v>
      </c>
      <c r="K337" s="69" t="s">
        <v>187</v>
      </c>
      <c r="M337" s="69" t="s">
        <v>6</v>
      </c>
    </row>
    <row r="338" spans="2:13">
      <c r="B338" s="69">
        <v>336</v>
      </c>
      <c r="C338" s="69">
        <v>32</v>
      </c>
      <c r="D338" s="69">
        <v>17</v>
      </c>
      <c r="E338" s="69">
        <v>4</v>
      </c>
      <c r="F338" s="69">
        <v>0</v>
      </c>
      <c r="G338" s="69" t="s">
        <v>183</v>
      </c>
      <c r="H338" s="69" t="s">
        <v>52</v>
      </c>
      <c r="I338" s="69" t="s">
        <v>323</v>
      </c>
      <c r="J338" s="69" t="s">
        <v>55</v>
      </c>
      <c r="K338" s="69" t="s">
        <v>188</v>
      </c>
      <c r="M338" s="69" t="s">
        <v>6</v>
      </c>
    </row>
    <row r="339" spans="2:13">
      <c r="B339" s="69">
        <v>337</v>
      </c>
      <c r="C339" s="69">
        <v>32</v>
      </c>
      <c r="D339" s="69">
        <v>17</v>
      </c>
      <c r="E339" s="69">
        <v>5</v>
      </c>
      <c r="F339" s="69">
        <v>0</v>
      </c>
      <c r="G339" s="69" t="s">
        <v>183</v>
      </c>
      <c r="H339" s="69" t="s">
        <v>52</v>
      </c>
      <c r="I339" s="69" t="s">
        <v>323</v>
      </c>
      <c r="J339" s="69" t="s">
        <v>55</v>
      </c>
      <c r="K339" s="69" t="s">
        <v>325</v>
      </c>
      <c r="M339" s="69" t="s">
        <v>6</v>
      </c>
    </row>
    <row r="340" spans="2:13">
      <c r="B340" s="69">
        <v>338</v>
      </c>
      <c r="C340" s="69">
        <v>32</v>
      </c>
      <c r="D340" s="69">
        <v>17</v>
      </c>
      <c r="E340" s="69">
        <v>6</v>
      </c>
      <c r="F340" s="69">
        <v>0</v>
      </c>
      <c r="G340" s="69" t="s">
        <v>183</v>
      </c>
      <c r="H340" s="69" t="s">
        <v>52</v>
      </c>
      <c r="I340" s="69" t="s">
        <v>323</v>
      </c>
      <c r="J340" s="69" t="s">
        <v>99</v>
      </c>
      <c r="K340" s="69" t="s">
        <v>326</v>
      </c>
      <c r="M340" s="69" t="s">
        <v>6</v>
      </c>
    </row>
    <row r="341" spans="2:13">
      <c r="B341" s="69">
        <v>339</v>
      </c>
      <c r="C341" s="69">
        <v>32</v>
      </c>
      <c r="D341" s="69">
        <v>17</v>
      </c>
      <c r="E341" s="69">
        <v>7</v>
      </c>
      <c r="F341" s="69">
        <v>0</v>
      </c>
      <c r="G341" s="69" t="s">
        <v>183</v>
      </c>
      <c r="H341" s="69" t="s">
        <v>52</v>
      </c>
      <c r="I341" s="69" t="s">
        <v>323</v>
      </c>
      <c r="J341" s="69" t="s">
        <v>99</v>
      </c>
      <c r="K341" s="69" t="s">
        <v>327</v>
      </c>
      <c r="M341" s="69" t="s">
        <v>6</v>
      </c>
    </row>
    <row r="342" spans="2:13">
      <c r="B342" s="69">
        <v>340</v>
      </c>
      <c r="C342" s="69">
        <v>32</v>
      </c>
      <c r="D342" s="69">
        <v>17</v>
      </c>
      <c r="E342" s="69">
        <v>8</v>
      </c>
      <c r="F342" s="69">
        <v>0</v>
      </c>
      <c r="G342" s="69" t="s">
        <v>183</v>
      </c>
      <c r="H342" s="69" t="s">
        <v>52</v>
      </c>
      <c r="I342" s="69" t="s">
        <v>323</v>
      </c>
      <c r="J342" s="69" t="s">
        <v>99</v>
      </c>
      <c r="K342" s="69" t="s">
        <v>328</v>
      </c>
      <c r="M342" s="69" t="s">
        <v>6</v>
      </c>
    </row>
    <row r="343" spans="2:13">
      <c r="B343" s="69">
        <v>341</v>
      </c>
      <c r="C343" s="69">
        <v>32</v>
      </c>
      <c r="D343" s="69">
        <v>17</v>
      </c>
      <c r="E343" s="69">
        <v>9</v>
      </c>
      <c r="F343" s="69">
        <v>0</v>
      </c>
      <c r="G343" s="69" t="s">
        <v>183</v>
      </c>
      <c r="H343" s="69" t="s">
        <v>52</v>
      </c>
      <c r="I343" s="69" t="s">
        <v>323</v>
      </c>
      <c r="J343" s="69" t="s">
        <v>99</v>
      </c>
      <c r="K343" s="69" t="s">
        <v>329</v>
      </c>
      <c r="M343" s="69" t="s">
        <v>6</v>
      </c>
    </row>
    <row r="344" spans="2:13">
      <c r="B344" s="69">
        <v>342</v>
      </c>
      <c r="C344" s="69">
        <v>32</v>
      </c>
      <c r="D344" s="69">
        <v>17</v>
      </c>
      <c r="E344" s="69">
        <v>10</v>
      </c>
      <c r="F344" s="69">
        <v>0</v>
      </c>
      <c r="G344" s="69" t="s">
        <v>183</v>
      </c>
      <c r="H344" s="69" t="s">
        <v>52</v>
      </c>
      <c r="I344" s="69" t="s">
        <v>323</v>
      </c>
      <c r="J344" s="69" t="s">
        <v>55</v>
      </c>
      <c r="K344" s="69" t="s">
        <v>330</v>
      </c>
      <c r="M344" s="69" t="s">
        <v>6</v>
      </c>
    </row>
    <row r="345" spans="2:13">
      <c r="B345" s="69">
        <v>343</v>
      </c>
      <c r="C345" s="69">
        <v>32</v>
      </c>
      <c r="D345" s="69">
        <v>17</v>
      </c>
      <c r="E345" s="69">
        <v>11</v>
      </c>
      <c r="F345" s="69">
        <v>0</v>
      </c>
      <c r="G345" s="69" t="s">
        <v>183</v>
      </c>
      <c r="H345" s="69" t="s">
        <v>52</v>
      </c>
      <c r="I345" s="69" t="s">
        <v>323</v>
      </c>
      <c r="J345" s="69" t="s">
        <v>55</v>
      </c>
      <c r="K345" s="69" t="s">
        <v>239</v>
      </c>
      <c r="M345" s="69" t="s">
        <v>6</v>
      </c>
    </row>
    <row r="346" spans="2:13">
      <c r="B346" s="69">
        <v>344</v>
      </c>
      <c r="C346" s="69">
        <v>32</v>
      </c>
      <c r="D346" s="69">
        <v>17</v>
      </c>
      <c r="E346" s="69">
        <v>12</v>
      </c>
      <c r="F346" s="69">
        <v>0</v>
      </c>
      <c r="G346" s="69" t="s">
        <v>183</v>
      </c>
      <c r="H346" s="69" t="s">
        <v>52</v>
      </c>
      <c r="I346" s="69" t="s">
        <v>323</v>
      </c>
      <c r="J346" s="69" t="s">
        <v>99</v>
      </c>
      <c r="K346" s="69" t="s">
        <v>314</v>
      </c>
      <c r="M346" s="69" t="s">
        <v>6</v>
      </c>
    </row>
    <row r="347" spans="2:13">
      <c r="B347" s="69">
        <v>345</v>
      </c>
      <c r="C347" s="69">
        <v>32</v>
      </c>
      <c r="D347" s="69">
        <v>17</v>
      </c>
      <c r="E347" s="69">
        <v>13</v>
      </c>
      <c r="F347" s="69">
        <v>0</v>
      </c>
      <c r="G347" s="69" t="s">
        <v>183</v>
      </c>
      <c r="H347" s="69" t="s">
        <v>52</v>
      </c>
      <c r="I347" s="69" t="s">
        <v>323</v>
      </c>
      <c r="J347" s="69" t="s">
        <v>99</v>
      </c>
      <c r="K347" s="69" t="s">
        <v>315</v>
      </c>
      <c r="M347" s="69" t="s">
        <v>6</v>
      </c>
    </row>
    <row r="348" spans="2:13">
      <c r="B348" s="69">
        <v>346</v>
      </c>
      <c r="C348" s="69">
        <v>32</v>
      </c>
      <c r="D348" s="69">
        <v>17</v>
      </c>
      <c r="E348" s="69">
        <v>14</v>
      </c>
      <c r="F348" s="69">
        <v>0</v>
      </c>
      <c r="G348" s="69" t="s">
        <v>183</v>
      </c>
      <c r="H348" s="69" t="s">
        <v>52</v>
      </c>
      <c r="I348" s="69" t="s">
        <v>323</v>
      </c>
      <c r="J348" s="69" t="s">
        <v>55</v>
      </c>
      <c r="K348" s="69" t="s">
        <v>331</v>
      </c>
      <c r="M348" s="69" t="s">
        <v>6</v>
      </c>
    </row>
    <row r="349" spans="2:13">
      <c r="B349" s="69">
        <v>347</v>
      </c>
      <c r="C349" s="69">
        <v>32</v>
      </c>
      <c r="D349" s="69">
        <v>17</v>
      </c>
      <c r="E349" s="69">
        <v>15</v>
      </c>
      <c r="F349" s="69">
        <v>0</v>
      </c>
      <c r="G349" s="69" t="s">
        <v>183</v>
      </c>
      <c r="H349" s="69" t="s">
        <v>52</v>
      </c>
      <c r="I349" s="69" t="s">
        <v>323</v>
      </c>
      <c r="J349" s="69" t="s">
        <v>55</v>
      </c>
      <c r="K349" s="69" t="s">
        <v>332</v>
      </c>
      <c r="M349" s="69" t="s">
        <v>6</v>
      </c>
    </row>
    <row r="350" spans="2:13">
      <c r="B350" s="69">
        <v>348</v>
      </c>
      <c r="C350" s="69">
        <v>32</v>
      </c>
      <c r="D350" s="69">
        <v>17</v>
      </c>
      <c r="E350" s="69">
        <v>16</v>
      </c>
      <c r="F350" s="69">
        <v>0</v>
      </c>
      <c r="G350" s="69" t="s">
        <v>183</v>
      </c>
      <c r="H350" s="69" t="s">
        <v>52</v>
      </c>
      <c r="I350" s="69" t="s">
        <v>323</v>
      </c>
      <c r="J350" s="69" t="s">
        <v>55</v>
      </c>
      <c r="K350" s="69" t="s">
        <v>333</v>
      </c>
      <c r="M350" s="69" t="s">
        <v>6</v>
      </c>
    </row>
    <row r="351" spans="2:13">
      <c r="B351" s="69">
        <v>349</v>
      </c>
      <c r="C351" s="69">
        <v>32</v>
      </c>
      <c r="D351" s="69">
        <v>17</v>
      </c>
      <c r="E351" s="69">
        <v>17</v>
      </c>
      <c r="F351" s="69">
        <v>0</v>
      </c>
      <c r="G351" s="69" t="s">
        <v>183</v>
      </c>
      <c r="H351" s="69" t="s">
        <v>52</v>
      </c>
      <c r="I351" s="69" t="s">
        <v>323</v>
      </c>
      <c r="J351" s="69" t="s">
        <v>55</v>
      </c>
      <c r="K351" s="69" t="s">
        <v>334</v>
      </c>
      <c r="M351" s="69" t="s">
        <v>6</v>
      </c>
    </row>
    <row r="352" spans="2:13">
      <c r="B352" s="69">
        <v>350</v>
      </c>
      <c r="C352" s="69">
        <v>33</v>
      </c>
      <c r="D352" s="69">
        <v>14</v>
      </c>
      <c r="E352" s="69">
        <v>0</v>
      </c>
      <c r="F352" s="69">
        <v>0</v>
      </c>
      <c r="G352" s="69" t="s">
        <v>183</v>
      </c>
      <c r="H352" s="69" t="s">
        <v>52</v>
      </c>
      <c r="I352" s="69" t="s">
        <v>335</v>
      </c>
      <c r="J352" s="69" t="s">
        <v>54</v>
      </c>
      <c r="K352" s="69" t="s">
        <v>335</v>
      </c>
      <c r="M352" s="69" t="s">
        <v>6</v>
      </c>
    </row>
    <row r="353" spans="2:13">
      <c r="B353" s="69">
        <v>351</v>
      </c>
      <c r="C353" s="69">
        <v>33</v>
      </c>
      <c r="D353" s="69">
        <v>14</v>
      </c>
      <c r="E353" s="69">
        <v>1</v>
      </c>
      <c r="F353" s="69">
        <v>0</v>
      </c>
      <c r="G353" s="69" t="s">
        <v>183</v>
      </c>
      <c r="H353" s="69" t="s">
        <v>52</v>
      </c>
      <c r="I353" s="69" t="s">
        <v>335</v>
      </c>
      <c r="J353" s="69" t="s">
        <v>55</v>
      </c>
      <c r="K353" s="69" t="s">
        <v>185</v>
      </c>
      <c r="M353" s="69" t="s">
        <v>6</v>
      </c>
    </row>
    <row r="354" spans="2:13">
      <c r="B354" s="69">
        <v>352</v>
      </c>
      <c r="C354" s="69">
        <v>33</v>
      </c>
      <c r="D354" s="69">
        <v>14</v>
      </c>
      <c r="E354" s="69">
        <v>2</v>
      </c>
      <c r="F354" s="69">
        <v>0</v>
      </c>
      <c r="G354" s="69" t="s">
        <v>183</v>
      </c>
      <c r="H354" s="69" t="s">
        <v>52</v>
      </c>
      <c r="I354" s="69" t="s">
        <v>335</v>
      </c>
      <c r="J354" s="69" t="s">
        <v>55</v>
      </c>
      <c r="K354" s="69" t="s">
        <v>186</v>
      </c>
      <c r="M354" s="69" t="s">
        <v>6</v>
      </c>
    </row>
    <row r="355" spans="2:13">
      <c r="B355" s="69">
        <v>353</v>
      </c>
      <c r="C355" s="69">
        <v>33</v>
      </c>
      <c r="D355" s="69">
        <v>14</v>
      </c>
      <c r="E355" s="69">
        <v>3</v>
      </c>
      <c r="F355" s="69">
        <v>0</v>
      </c>
      <c r="G355" s="69" t="s">
        <v>183</v>
      </c>
      <c r="H355" s="69" t="s">
        <v>52</v>
      </c>
      <c r="I355" s="69" t="s">
        <v>335</v>
      </c>
      <c r="J355" s="69" t="s">
        <v>55</v>
      </c>
      <c r="K355" s="69" t="s">
        <v>187</v>
      </c>
      <c r="M355" s="69" t="s">
        <v>6</v>
      </c>
    </row>
    <row r="356" spans="2:13">
      <c r="B356" s="69">
        <v>354</v>
      </c>
      <c r="C356" s="69">
        <v>33</v>
      </c>
      <c r="D356" s="69">
        <v>14</v>
      </c>
      <c r="E356" s="69">
        <v>4</v>
      </c>
      <c r="F356" s="69">
        <v>0</v>
      </c>
      <c r="G356" s="69" t="s">
        <v>183</v>
      </c>
      <c r="H356" s="69" t="s">
        <v>52</v>
      </c>
      <c r="I356" s="69" t="s">
        <v>335</v>
      </c>
      <c r="J356" s="69" t="s">
        <v>55</v>
      </c>
      <c r="K356" s="69" t="s">
        <v>188</v>
      </c>
      <c r="M356" s="69" t="s">
        <v>6</v>
      </c>
    </row>
    <row r="357" spans="2:13">
      <c r="B357" s="69">
        <v>355</v>
      </c>
      <c r="C357" s="69">
        <v>33</v>
      </c>
      <c r="D357" s="69">
        <v>14</v>
      </c>
      <c r="E357" s="69">
        <v>5</v>
      </c>
      <c r="F357" s="69">
        <v>0</v>
      </c>
      <c r="G357" s="69" t="s">
        <v>183</v>
      </c>
      <c r="H357" s="69" t="s">
        <v>52</v>
      </c>
      <c r="I357" s="69" t="s">
        <v>335</v>
      </c>
      <c r="J357" s="69" t="s">
        <v>55</v>
      </c>
      <c r="K357" s="69" t="s">
        <v>336</v>
      </c>
      <c r="M357" s="69" t="s">
        <v>6</v>
      </c>
    </row>
    <row r="358" spans="2:13">
      <c r="B358" s="69">
        <v>356</v>
      </c>
      <c r="C358" s="69">
        <v>33</v>
      </c>
      <c r="D358" s="69">
        <v>14</v>
      </c>
      <c r="E358" s="69">
        <v>6</v>
      </c>
      <c r="F358" s="69">
        <v>0</v>
      </c>
      <c r="G358" s="69" t="s">
        <v>183</v>
      </c>
      <c r="H358" s="69" t="s">
        <v>52</v>
      </c>
      <c r="I358" s="69" t="s">
        <v>335</v>
      </c>
      <c r="J358" s="69" t="s">
        <v>99</v>
      </c>
      <c r="K358" s="69" t="s">
        <v>337</v>
      </c>
      <c r="M358" s="69" t="s">
        <v>6</v>
      </c>
    </row>
    <row r="359" spans="2:13">
      <c r="B359" s="69">
        <v>357</v>
      </c>
      <c r="C359" s="69">
        <v>33</v>
      </c>
      <c r="D359" s="69">
        <v>14</v>
      </c>
      <c r="E359" s="69">
        <v>7</v>
      </c>
      <c r="F359" s="69">
        <v>0</v>
      </c>
      <c r="G359" s="69" t="s">
        <v>183</v>
      </c>
      <c r="H359" s="69" t="s">
        <v>52</v>
      </c>
      <c r="I359" s="69" t="s">
        <v>335</v>
      </c>
      <c r="J359" s="69" t="s">
        <v>99</v>
      </c>
      <c r="K359" s="69" t="s">
        <v>338</v>
      </c>
      <c r="M359" s="69" t="s">
        <v>6</v>
      </c>
    </row>
    <row r="360" spans="2:13">
      <c r="B360" s="69">
        <v>358</v>
      </c>
      <c r="C360" s="69">
        <v>33</v>
      </c>
      <c r="D360" s="69">
        <v>14</v>
      </c>
      <c r="E360" s="69">
        <v>8</v>
      </c>
      <c r="F360" s="69">
        <v>0</v>
      </c>
      <c r="G360" s="69" t="s">
        <v>183</v>
      </c>
      <c r="H360" s="69" t="s">
        <v>52</v>
      </c>
      <c r="I360" s="69" t="s">
        <v>335</v>
      </c>
      <c r="J360" s="69" t="s">
        <v>99</v>
      </c>
      <c r="K360" s="69" t="s">
        <v>339</v>
      </c>
      <c r="M360" s="69" t="s">
        <v>6</v>
      </c>
    </row>
    <row r="361" spans="2:13">
      <c r="B361" s="69">
        <v>359</v>
      </c>
      <c r="C361" s="69">
        <v>33</v>
      </c>
      <c r="D361" s="69">
        <v>14</v>
      </c>
      <c r="E361" s="69">
        <v>9</v>
      </c>
      <c r="F361" s="69">
        <v>0</v>
      </c>
      <c r="G361" s="69" t="s">
        <v>183</v>
      </c>
      <c r="H361" s="69" t="s">
        <v>52</v>
      </c>
      <c r="I361" s="69" t="s">
        <v>335</v>
      </c>
      <c r="J361" s="69" t="s">
        <v>99</v>
      </c>
      <c r="K361" s="69" t="s">
        <v>340</v>
      </c>
      <c r="M361" s="69" t="s">
        <v>6</v>
      </c>
    </row>
    <row r="362" spans="2:13">
      <c r="B362" s="69">
        <v>360</v>
      </c>
      <c r="C362" s="69">
        <v>33</v>
      </c>
      <c r="D362" s="69">
        <v>14</v>
      </c>
      <c r="E362" s="69">
        <v>10</v>
      </c>
      <c r="F362" s="69">
        <v>0</v>
      </c>
      <c r="G362" s="69" t="s">
        <v>183</v>
      </c>
      <c r="H362" s="69" t="s">
        <v>52</v>
      </c>
      <c r="I362" s="69" t="s">
        <v>335</v>
      </c>
      <c r="J362" s="69" t="s">
        <v>55</v>
      </c>
      <c r="K362" s="69" t="s">
        <v>341</v>
      </c>
      <c r="M362" s="69" t="s">
        <v>6</v>
      </c>
    </row>
    <row r="363" spans="2:13">
      <c r="B363" s="69">
        <v>361</v>
      </c>
      <c r="C363" s="69">
        <v>33</v>
      </c>
      <c r="D363" s="69">
        <v>14</v>
      </c>
      <c r="E363" s="69">
        <v>11</v>
      </c>
      <c r="F363" s="69">
        <v>0</v>
      </c>
      <c r="G363" s="69" t="s">
        <v>183</v>
      </c>
      <c r="H363" s="69" t="s">
        <v>52</v>
      </c>
      <c r="I363" s="69" t="s">
        <v>335</v>
      </c>
      <c r="J363" s="69" t="s">
        <v>55</v>
      </c>
      <c r="K363" s="69" t="s">
        <v>342</v>
      </c>
      <c r="M363" s="69" t="s">
        <v>6</v>
      </c>
    </row>
    <row r="364" spans="2:13">
      <c r="B364" s="69">
        <v>362</v>
      </c>
      <c r="C364" s="69">
        <v>33</v>
      </c>
      <c r="D364" s="69">
        <v>14</v>
      </c>
      <c r="E364" s="69">
        <v>12</v>
      </c>
      <c r="F364" s="69">
        <v>0</v>
      </c>
      <c r="G364" s="69" t="s">
        <v>183</v>
      </c>
      <c r="H364" s="69" t="s">
        <v>52</v>
      </c>
      <c r="I364" s="69" t="s">
        <v>335</v>
      </c>
      <c r="J364" s="69" t="s">
        <v>99</v>
      </c>
      <c r="K364" s="69" t="s">
        <v>343</v>
      </c>
      <c r="M364" s="69" t="s">
        <v>6</v>
      </c>
    </row>
    <row r="365" spans="2:13">
      <c r="B365" s="69">
        <v>363</v>
      </c>
      <c r="C365" s="69">
        <v>33</v>
      </c>
      <c r="D365" s="69">
        <v>14</v>
      </c>
      <c r="E365" s="69">
        <v>13</v>
      </c>
      <c r="F365" s="69">
        <v>0</v>
      </c>
      <c r="G365" s="69" t="s">
        <v>183</v>
      </c>
      <c r="H365" s="69" t="s">
        <v>52</v>
      </c>
      <c r="I365" s="69" t="s">
        <v>335</v>
      </c>
      <c r="J365" s="69" t="s">
        <v>55</v>
      </c>
      <c r="K365" s="69" t="s">
        <v>344</v>
      </c>
      <c r="M365" s="69" t="s">
        <v>6</v>
      </c>
    </row>
    <row r="366" spans="2:13">
      <c r="B366" s="69">
        <v>364</v>
      </c>
      <c r="C366" s="69">
        <v>33</v>
      </c>
      <c r="D366" s="69">
        <v>14</v>
      </c>
      <c r="E366" s="69">
        <v>14</v>
      </c>
      <c r="F366" s="69">
        <v>0</v>
      </c>
      <c r="G366" s="69" t="s">
        <v>183</v>
      </c>
      <c r="H366" s="69" t="s">
        <v>52</v>
      </c>
      <c r="I366" s="69" t="s">
        <v>335</v>
      </c>
      <c r="J366" s="69" t="s">
        <v>55</v>
      </c>
      <c r="K366" s="69" t="s">
        <v>311</v>
      </c>
      <c r="M366" s="69" t="s">
        <v>6</v>
      </c>
    </row>
    <row r="367" spans="2:13">
      <c r="B367" s="69">
        <v>365</v>
      </c>
      <c r="C367" s="69">
        <v>34</v>
      </c>
      <c r="D367" s="69">
        <v>30</v>
      </c>
      <c r="E367" s="69">
        <v>0</v>
      </c>
      <c r="F367" s="69">
        <v>0</v>
      </c>
      <c r="G367" s="69" t="s">
        <v>183</v>
      </c>
      <c r="H367" s="69" t="s">
        <v>52</v>
      </c>
      <c r="I367" s="69" t="s">
        <v>345</v>
      </c>
      <c r="J367" s="69" t="s">
        <v>54</v>
      </c>
      <c r="K367" s="69" t="s">
        <v>345</v>
      </c>
      <c r="M367" s="69" t="s">
        <v>6</v>
      </c>
    </row>
    <row r="368" spans="2:13">
      <c r="B368" s="69">
        <v>366</v>
      </c>
      <c r="C368" s="69">
        <v>34</v>
      </c>
      <c r="D368" s="69">
        <v>30</v>
      </c>
      <c r="E368" s="69">
        <v>1</v>
      </c>
      <c r="F368" s="69">
        <v>0</v>
      </c>
      <c r="G368" s="69" t="s">
        <v>183</v>
      </c>
      <c r="H368" s="69" t="s">
        <v>52</v>
      </c>
      <c r="I368" s="69" t="s">
        <v>345</v>
      </c>
      <c r="J368" s="69" t="s">
        <v>55</v>
      </c>
      <c r="K368" s="69" t="s">
        <v>185</v>
      </c>
      <c r="M368" s="69" t="s">
        <v>6</v>
      </c>
    </row>
    <row r="369" spans="2:13">
      <c r="B369" s="69">
        <v>367</v>
      </c>
      <c r="C369" s="69">
        <v>34</v>
      </c>
      <c r="D369" s="69">
        <v>30</v>
      </c>
      <c r="E369" s="69">
        <v>2</v>
      </c>
      <c r="F369" s="69">
        <v>0</v>
      </c>
      <c r="G369" s="69" t="s">
        <v>183</v>
      </c>
      <c r="H369" s="69" t="s">
        <v>52</v>
      </c>
      <c r="I369" s="69" t="s">
        <v>345</v>
      </c>
      <c r="J369" s="69" t="s">
        <v>55</v>
      </c>
      <c r="K369" s="69" t="s">
        <v>186</v>
      </c>
      <c r="M369" s="69" t="s">
        <v>6</v>
      </c>
    </row>
    <row r="370" spans="2:13">
      <c r="B370" s="69">
        <v>368</v>
      </c>
      <c r="C370" s="69">
        <v>34</v>
      </c>
      <c r="D370" s="69">
        <v>30</v>
      </c>
      <c r="E370" s="69">
        <v>3</v>
      </c>
      <c r="F370" s="69">
        <v>0</v>
      </c>
      <c r="G370" s="69" t="s">
        <v>183</v>
      </c>
      <c r="H370" s="69" t="s">
        <v>52</v>
      </c>
      <c r="I370" s="69" t="s">
        <v>345</v>
      </c>
      <c r="J370" s="69" t="s">
        <v>55</v>
      </c>
      <c r="K370" s="69" t="s">
        <v>187</v>
      </c>
      <c r="M370" s="69" t="s">
        <v>6</v>
      </c>
    </row>
    <row r="371" spans="2:13">
      <c r="B371" s="69">
        <v>369</v>
      </c>
      <c r="C371" s="69">
        <v>34</v>
      </c>
      <c r="D371" s="69">
        <v>30</v>
      </c>
      <c r="E371" s="69">
        <v>4</v>
      </c>
      <c r="F371" s="69">
        <v>0</v>
      </c>
      <c r="G371" s="69" t="s">
        <v>183</v>
      </c>
      <c r="H371" s="69" t="s">
        <v>52</v>
      </c>
      <c r="I371" s="69" t="s">
        <v>345</v>
      </c>
      <c r="J371" s="69" t="s">
        <v>55</v>
      </c>
      <c r="K371" s="69" t="s">
        <v>188</v>
      </c>
      <c r="M371" s="69" t="s">
        <v>6</v>
      </c>
    </row>
    <row r="372" spans="2:13">
      <c r="B372" s="69">
        <v>370</v>
      </c>
      <c r="C372" s="69">
        <v>34</v>
      </c>
      <c r="D372" s="69">
        <v>30</v>
      </c>
      <c r="E372" s="69">
        <v>5</v>
      </c>
      <c r="F372" s="69">
        <v>0</v>
      </c>
      <c r="G372" s="69" t="s">
        <v>183</v>
      </c>
      <c r="H372" s="69" t="s">
        <v>52</v>
      </c>
      <c r="I372" s="69" t="s">
        <v>345</v>
      </c>
      <c r="J372" s="69" t="s">
        <v>55</v>
      </c>
      <c r="K372" s="69" t="s">
        <v>256</v>
      </c>
      <c r="M372" s="69" t="s">
        <v>6</v>
      </c>
    </row>
    <row r="373" spans="2:13">
      <c r="B373" s="69">
        <v>371</v>
      </c>
      <c r="C373" s="69">
        <v>34</v>
      </c>
      <c r="D373" s="69">
        <v>30</v>
      </c>
      <c r="E373" s="69">
        <v>6</v>
      </c>
      <c r="F373" s="69">
        <v>0</v>
      </c>
      <c r="G373" s="69" t="s">
        <v>183</v>
      </c>
      <c r="H373" s="69" t="s">
        <v>52</v>
      </c>
      <c r="I373" s="69" t="s">
        <v>345</v>
      </c>
      <c r="J373" s="69" t="s">
        <v>99</v>
      </c>
      <c r="K373" s="69" t="s">
        <v>257</v>
      </c>
      <c r="M373" s="69" t="s">
        <v>6</v>
      </c>
    </row>
    <row r="374" spans="2:13">
      <c r="B374" s="69">
        <v>372</v>
      </c>
      <c r="C374" s="69">
        <v>34</v>
      </c>
      <c r="D374" s="69">
        <v>30</v>
      </c>
      <c r="E374" s="69">
        <v>7</v>
      </c>
      <c r="F374" s="69">
        <v>0</v>
      </c>
      <c r="G374" s="69" t="s">
        <v>183</v>
      </c>
      <c r="H374" s="69" t="s">
        <v>52</v>
      </c>
      <c r="I374" s="69" t="s">
        <v>345</v>
      </c>
      <c r="J374" s="69" t="s">
        <v>99</v>
      </c>
      <c r="K374" s="69" t="s">
        <v>258</v>
      </c>
      <c r="M374" s="69" t="s">
        <v>6</v>
      </c>
    </row>
    <row r="375" spans="2:13">
      <c r="B375" s="69">
        <v>373</v>
      </c>
      <c r="C375" s="69">
        <v>34</v>
      </c>
      <c r="D375" s="69">
        <v>30</v>
      </c>
      <c r="E375" s="69">
        <v>8</v>
      </c>
      <c r="F375" s="69">
        <v>0</v>
      </c>
      <c r="G375" s="69" t="s">
        <v>183</v>
      </c>
      <c r="H375" s="69" t="s">
        <v>52</v>
      </c>
      <c r="I375" s="69" t="s">
        <v>345</v>
      </c>
      <c r="J375" s="69" t="s">
        <v>55</v>
      </c>
      <c r="K375" s="69" t="s">
        <v>346</v>
      </c>
      <c r="M375" s="69" t="s">
        <v>6</v>
      </c>
    </row>
    <row r="376" spans="2:13">
      <c r="B376" s="69">
        <v>374</v>
      </c>
      <c r="C376" s="69">
        <v>34</v>
      </c>
      <c r="D376" s="69">
        <v>30</v>
      </c>
      <c r="E376" s="69">
        <v>9</v>
      </c>
      <c r="F376" s="69">
        <v>0</v>
      </c>
      <c r="G376" s="69" t="s">
        <v>183</v>
      </c>
      <c r="H376" s="69" t="s">
        <v>52</v>
      </c>
      <c r="I376" s="69" t="s">
        <v>345</v>
      </c>
      <c r="J376" s="69" t="s">
        <v>99</v>
      </c>
      <c r="K376" s="69" t="s">
        <v>347</v>
      </c>
      <c r="M376" s="69" t="s">
        <v>6</v>
      </c>
    </row>
    <row r="377" spans="2:13">
      <c r="B377" s="69">
        <v>375</v>
      </c>
      <c r="C377" s="69">
        <v>34</v>
      </c>
      <c r="D377" s="69">
        <v>30</v>
      </c>
      <c r="E377" s="69">
        <v>10</v>
      </c>
      <c r="F377" s="69">
        <v>0</v>
      </c>
      <c r="G377" s="69" t="s">
        <v>183</v>
      </c>
      <c r="H377" s="69" t="s">
        <v>52</v>
      </c>
      <c r="I377" s="69" t="s">
        <v>345</v>
      </c>
      <c r="J377" s="69" t="s">
        <v>99</v>
      </c>
      <c r="K377" s="69" t="s">
        <v>348</v>
      </c>
      <c r="M377" s="69" t="s">
        <v>6</v>
      </c>
    </row>
    <row r="378" spans="2:13">
      <c r="B378" s="69">
        <v>376</v>
      </c>
      <c r="C378" s="69">
        <v>34</v>
      </c>
      <c r="D378" s="69">
        <v>30</v>
      </c>
      <c r="E378" s="69">
        <v>11</v>
      </c>
      <c r="F378" s="69">
        <v>0</v>
      </c>
      <c r="G378" s="69" t="s">
        <v>183</v>
      </c>
      <c r="H378" s="69" t="s">
        <v>52</v>
      </c>
      <c r="I378" s="69" t="s">
        <v>345</v>
      </c>
      <c r="J378" s="69" t="s">
        <v>55</v>
      </c>
      <c r="K378" s="69" t="s">
        <v>349</v>
      </c>
      <c r="M378" s="69" t="s">
        <v>6</v>
      </c>
    </row>
    <row r="379" spans="2:13">
      <c r="B379" s="69">
        <v>377</v>
      </c>
      <c r="C379" s="69">
        <v>34</v>
      </c>
      <c r="D379" s="69">
        <v>30</v>
      </c>
      <c r="E379" s="69">
        <v>12</v>
      </c>
      <c r="F379" s="69">
        <v>0</v>
      </c>
      <c r="G379" s="69" t="s">
        <v>183</v>
      </c>
      <c r="H379" s="69" t="s">
        <v>52</v>
      </c>
      <c r="I379" s="69" t="s">
        <v>345</v>
      </c>
      <c r="J379" s="69" t="s">
        <v>99</v>
      </c>
      <c r="K379" s="69" t="s">
        <v>350</v>
      </c>
      <c r="M379" s="69" t="s">
        <v>6</v>
      </c>
    </row>
    <row r="380" spans="2:13">
      <c r="B380" s="69">
        <v>378</v>
      </c>
      <c r="C380" s="69">
        <v>34</v>
      </c>
      <c r="D380" s="69">
        <v>30</v>
      </c>
      <c r="E380" s="69">
        <v>13</v>
      </c>
      <c r="F380" s="69">
        <v>0</v>
      </c>
      <c r="G380" s="69" t="s">
        <v>183</v>
      </c>
      <c r="H380" s="69" t="s">
        <v>52</v>
      </c>
      <c r="I380" s="69" t="s">
        <v>345</v>
      </c>
      <c r="J380" s="69" t="s">
        <v>99</v>
      </c>
      <c r="K380" s="69" t="s">
        <v>351</v>
      </c>
      <c r="M380" s="69" t="s">
        <v>6</v>
      </c>
    </row>
    <row r="381" spans="2:13">
      <c r="B381" s="69">
        <v>379</v>
      </c>
      <c r="C381" s="69">
        <v>34</v>
      </c>
      <c r="D381" s="69">
        <v>30</v>
      </c>
      <c r="E381" s="69">
        <v>14</v>
      </c>
      <c r="F381" s="69">
        <v>0</v>
      </c>
      <c r="G381" s="69" t="s">
        <v>183</v>
      </c>
      <c r="H381" s="69" t="s">
        <v>52</v>
      </c>
      <c r="I381" s="69" t="s">
        <v>345</v>
      </c>
      <c r="J381" s="69" t="s">
        <v>55</v>
      </c>
      <c r="K381" s="69" t="s">
        <v>352</v>
      </c>
      <c r="M381" s="69" t="s">
        <v>6</v>
      </c>
    </row>
    <row r="382" spans="2:13">
      <c r="B382" s="69">
        <v>380</v>
      </c>
      <c r="C382" s="69">
        <v>34</v>
      </c>
      <c r="D382" s="69">
        <v>30</v>
      </c>
      <c r="E382" s="69">
        <v>15</v>
      </c>
      <c r="F382" s="69">
        <v>0</v>
      </c>
      <c r="G382" s="69" t="s">
        <v>183</v>
      </c>
      <c r="H382" s="69" t="s">
        <v>52</v>
      </c>
      <c r="I382" s="69" t="s">
        <v>345</v>
      </c>
      <c r="J382" s="69" t="s">
        <v>99</v>
      </c>
      <c r="K382" s="69" t="s">
        <v>353</v>
      </c>
      <c r="M382" s="69" t="s">
        <v>6</v>
      </c>
    </row>
    <row r="383" spans="2:13">
      <c r="B383" s="69">
        <v>381</v>
      </c>
      <c r="C383" s="69">
        <v>34</v>
      </c>
      <c r="D383" s="69">
        <v>30</v>
      </c>
      <c r="E383" s="69">
        <v>16</v>
      </c>
      <c r="F383" s="69">
        <v>0</v>
      </c>
      <c r="G383" s="69" t="s">
        <v>183</v>
      </c>
      <c r="H383" s="69" t="s">
        <v>52</v>
      </c>
      <c r="I383" s="69" t="s">
        <v>345</v>
      </c>
      <c r="J383" s="69" t="s">
        <v>99</v>
      </c>
      <c r="K383" s="69" t="s">
        <v>354</v>
      </c>
      <c r="M383" s="69" t="s">
        <v>6</v>
      </c>
    </row>
    <row r="384" spans="2:13">
      <c r="B384" s="69">
        <v>382</v>
      </c>
      <c r="C384" s="69">
        <v>34</v>
      </c>
      <c r="D384" s="69">
        <v>30</v>
      </c>
      <c r="E384" s="69">
        <v>17</v>
      </c>
      <c r="F384" s="69">
        <v>0</v>
      </c>
      <c r="G384" s="69" t="s">
        <v>183</v>
      </c>
      <c r="H384" s="69" t="s">
        <v>52</v>
      </c>
      <c r="I384" s="69" t="s">
        <v>345</v>
      </c>
      <c r="J384" s="69" t="s">
        <v>99</v>
      </c>
      <c r="K384" s="69" t="s">
        <v>355</v>
      </c>
      <c r="M384" s="69" t="s">
        <v>6</v>
      </c>
    </row>
    <row r="385" spans="2:13">
      <c r="B385" s="69">
        <v>383</v>
      </c>
      <c r="C385" s="69">
        <v>34</v>
      </c>
      <c r="D385" s="69">
        <v>30</v>
      </c>
      <c r="E385" s="69">
        <v>18</v>
      </c>
      <c r="F385" s="69">
        <v>0</v>
      </c>
      <c r="G385" s="69" t="s">
        <v>183</v>
      </c>
      <c r="H385" s="69" t="s">
        <v>52</v>
      </c>
      <c r="I385" s="69" t="s">
        <v>345</v>
      </c>
      <c r="J385" s="69" t="s">
        <v>99</v>
      </c>
      <c r="K385" s="69" t="s">
        <v>356</v>
      </c>
      <c r="M385" s="69" t="s">
        <v>6</v>
      </c>
    </row>
    <row r="386" spans="2:13">
      <c r="B386" s="69">
        <v>384</v>
      </c>
      <c r="C386" s="69">
        <v>34</v>
      </c>
      <c r="D386" s="69">
        <v>30</v>
      </c>
      <c r="E386" s="69">
        <v>19</v>
      </c>
      <c r="F386" s="69">
        <v>0</v>
      </c>
      <c r="G386" s="69" t="s">
        <v>183</v>
      </c>
      <c r="H386" s="69" t="s">
        <v>52</v>
      </c>
      <c r="I386" s="69" t="s">
        <v>345</v>
      </c>
      <c r="J386" s="69" t="s">
        <v>99</v>
      </c>
      <c r="K386" s="69" t="s">
        <v>288</v>
      </c>
      <c r="M386" s="69" t="s">
        <v>6</v>
      </c>
    </row>
    <row r="387" spans="2:13">
      <c r="B387" s="69">
        <v>385</v>
      </c>
      <c r="C387" s="69">
        <v>34</v>
      </c>
      <c r="D387" s="69">
        <v>30</v>
      </c>
      <c r="E387" s="69">
        <v>20</v>
      </c>
      <c r="F387" s="69">
        <v>0</v>
      </c>
      <c r="G387" s="69" t="s">
        <v>183</v>
      </c>
      <c r="H387" s="69" t="s">
        <v>52</v>
      </c>
      <c r="I387" s="69" t="s">
        <v>345</v>
      </c>
      <c r="J387" s="69" t="s">
        <v>55</v>
      </c>
      <c r="K387" s="69" t="s">
        <v>357</v>
      </c>
      <c r="M387" s="69" t="s">
        <v>6</v>
      </c>
    </row>
    <row r="388" spans="2:13">
      <c r="B388" s="69">
        <v>386</v>
      </c>
      <c r="C388" s="69">
        <v>34</v>
      </c>
      <c r="D388" s="69">
        <v>30</v>
      </c>
      <c r="E388" s="69">
        <v>21</v>
      </c>
      <c r="F388" s="69">
        <v>0</v>
      </c>
      <c r="G388" s="69" t="s">
        <v>183</v>
      </c>
      <c r="H388" s="69" t="s">
        <v>52</v>
      </c>
      <c r="I388" s="69" t="s">
        <v>345</v>
      </c>
      <c r="J388" s="69" t="s">
        <v>99</v>
      </c>
      <c r="K388" s="69" t="s">
        <v>358</v>
      </c>
      <c r="M388" s="69" t="s">
        <v>6</v>
      </c>
    </row>
    <row r="389" spans="2:13">
      <c r="B389" s="69">
        <v>387</v>
      </c>
      <c r="C389" s="69">
        <v>34</v>
      </c>
      <c r="D389" s="69">
        <v>30</v>
      </c>
      <c r="E389" s="69">
        <v>22</v>
      </c>
      <c r="F389" s="69">
        <v>0</v>
      </c>
      <c r="G389" s="69" t="s">
        <v>183</v>
      </c>
      <c r="H389" s="69" t="s">
        <v>52</v>
      </c>
      <c r="I389" s="69" t="s">
        <v>345</v>
      </c>
      <c r="J389" s="69" t="s">
        <v>55</v>
      </c>
      <c r="K389" s="69" t="s">
        <v>359</v>
      </c>
      <c r="M389" s="69" t="s">
        <v>6</v>
      </c>
    </row>
    <row r="390" spans="2:13">
      <c r="B390" s="69">
        <v>388</v>
      </c>
      <c r="C390" s="69">
        <v>34</v>
      </c>
      <c r="D390" s="69">
        <v>30</v>
      </c>
      <c r="E390" s="69">
        <v>23</v>
      </c>
      <c r="F390" s="69">
        <v>0</v>
      </c>
      <c r="G390" s="69" t="s">
        <v>183</v>
      </c>
      <c r="H390" s="69" t="s">
        <v>52</v>
      </c>
      <c r="I390" s="69" t="s">
        <v>345</v>
      </c>
      <c r="J390" s="69" t="s">
        <v>99</v>
      </c>
      <c r="K390" s="69" t="s">
        <v>360</v>
      </c>
      <c r="M390" s="69" t="s">
        <v>6</v>
      </c>
    </row>
    <row r="391" spans="2:13">
      <c r="B391" s="69">
        <v>389</v>
      </c>
      <c r="C391" s="69">
        <v>34</v>
      </c>
      <c r="D391" s="69">
        <v>30</v>
      </c>
      <c r="E391" s="69">
        <v>24</v>
      </c>
      <c r="F391" s="69">
        <v>0</v>
      </c>
      <c r="G391" s="69" t="s">
        <v>183</v>
      </c>
      <c r="H391" s="69" t="s">
        <v>52</v>
      </c>
      <c r="I391" s="69" t="s">
        <v>345</v>
      </c>
      <c r="J391" s="69" t="s">
        <v>99</v>
      </c>
      <c r="K391" s="69" t="s">
        <v>361</v>
      </c>
      <c r="M391" s="69" t="s">
        <v>6</v>
      </c>
    </row>
    <row r="392" spans="2:13">
      <c r="B392" s="69">
        <v>390</v>
      </c>
      <c r="C392" s="69">
        <v>34</v>
      </c>
      <c r="D392" s="69">
        <v>30</v>
      </c>
      <c r="E392" s="69">
        <v>25</v>
      </c>
      <c r="F392" s="69">
        <v>0</v>
      </c>
      <c r="G392" s="69" t="s">
        <v>183</v>
      </c>
      <c r="H392" s="69" t="s">
        <v>52</v>
      </c>
      <c r="I392" s="69" t="s">
        <v>345</v>
      </c>
      <c r="J392" s="69" t="s">
        <v>99</v>
      </c>
      <c r="K392" s="69" t="s">
        <v>362</v>
      </c>
      <c r="M392" s="69" t="s">
        <v>6</v>
      </c>
    </row>
    <row r="393" spans="2:13">
      <c r="B393" s="69">
        <v>391</v>
      </c>
      <c r="C393" s="69">
        <v>34</v>
      </c>
      <c r="D393" s="69">
        <v>30</v>
      </c>
      <c r="E393" s="69">
        <v>26</v>
      </c>
      <c r="F393" s="69">
        <v>0</v>
      </c>
      <c r="G393" s="69" t="s">
        <v>183</v>
      </c>
      <c r="H393" s="69" t="s">
        <v>52</v>
      </c>
      <c r="I393" s="69" t="s">
        <v>345</v>
      </c>
      <c r="J393" s="69" t="s">
        <v>99</v>
      </c>
      <c r="K393" s="69" t="s">
        <v>363</v>
      </c>
      <c r="M393" s="69" t="s">
        <v>6</v>
      </c>
    </row>
    <row r="394" spans="2:13">
      <c r="B394" s="69">
        <v>392</v>
      </c>
      <c r="C394" s="69">
        <v>34</v>
      </c>
      <c r="D394" s="69">
        <v>30</v>
      </c>
      <c r="E394" s="69">
        <v>27</v>
      </c>
      <c r="F394" s="69">
        <v>0</v>
      </c>
      <c r="G394" s="69" t="s">
        <v>183</v>
      </c>
      <c r="H394" s="69" t="s">
        <v>52</v>
      </c>
      <c r="I394" s="69" t="s">
        <v>345</v>
      </c>
      <c r="J394" s="69" t="s">
        <v>99</v>
      </c>
      <c r="K394" s="69" t="s">
        <v>355</v>
      </c>
      <c r="M394" s="69" t="s">
        <v>6</v>
      </c>
    </row>
    <row r="395" spans="2:13">
      <c r="B395" s="69">
        <v>393</v>
      </c>
      <c r="C395" s="69">
        <v>34</v>
      </c>
      <c r="D395" s="69">
        <v>30</v>
      </c>
      <c r="E395" s="69">
        <v>28</v>
      </c>
      <c r="F395" s="69">
        <v>0</v>
      </c>
      <c r="G395" s="69" t="s">
        <v>183</v>
      </c>
      <c r="H395" s="69" t="s">
        <v>52</v>
      </c>
      <c r="I395" s="69" t="s">
        <v>345</v>
      </c>
      <c r="J395" s="69" t="s">
        <v>99</v>
      </c>
      <c r="K395" s="69" t="s">
        <v>356</v>
      </c>
      <c r="M395" s="69" t="s">
        <v>6</v>
      </c>
    </row>
    <row r="396" spans="2:13">
      <c r="B396" s="69">
        <v>394</v>
      </c>
      <c r="C396" s="69">
        <v>34</v>
      </c>
      <c r="D396" s="69">
        <v>30</v>
      </c>
      <c r="E396" s="69">
        <v>29</v>
      </c>
      <c r="F396" s="69">
        <v>0</v>
      </c>
      <c r="G396" s="69" t="s">
        <v>183</v>
      </c>
      <c r="H396" s="69" t="s">
        <v>52</v>
      </c>
      <c r="I396" s="69" t="s">
        <v>345</v>
      </c>
      <c r="J396" s="69" t="s">
        <v>55</v>
      </c>
      <c r="K396" s="69" t="s">
        <v>344</v>
      </c>
      <c r="M396" s="69" t="s">
        <v>6</v>
      </c>
    </row>
    <row r="397" spans="2:13">
      <c r="B397" s="69">
        <v>395</v>
      </c>
      <c r="C397" s="69">
        <v>34</v>
      </c>
      <c r="D397" s="69">
        <v>30</v>
      </c>
      <c r="E397" s="69">
        <v>30</v>
      </c>
      <c r="F397" s="69">
        <v>0</v>
      </c>
      <c r="G397" s="69" t="s">
        <v>183</v>
      </c>
      <c r="H397" s="69" t="s">
        <v>52</v>
      </c>
      <c r="I397" s="69" t="s">
        <v>345</v>
      </c>
      <c r="J397" s="69" t="s">
        <v>55</v>
      </c>
      <c r="K397" s="69" t="s">
        <v>311</v>
      </c>
      <c r="M397" s="69" t="s">
        <v>6</v>
      </c>
    </row>
    <row r="398" spans="2:13">
      <c r="B398" s="69">
        <v>396</v>
      </c>
      <c r="C398" s="69">
        <v>35</v>
      </c>
      <c r="D398" s="69">
        <v>14</v>
      </c>
      <c r="E398" s="69">
        <v>0</v>
      </c>
      <c r="F398" s="69">
        <v>0</v>
      </c>
      <c r="G398" s="69" t="s">
        <v>183</v>
      </c>
      <c r="H398" s="69" t="s">
        <v>52</v>
      </c>
      <c r="I398" s="69" t="s">
        <v>364</v>
      </c>
      <c r="J398" s="69" t="s">
        <v>54</v>
      </c>
      <c r="K398" s="69" t="s">
        <v>364</v>
      </c>
      <c r="M398" s="69" t="s">
        <v>6</v>
      </c>
    </row>
    <row r="399" spans="2:13">
      <c r="B399" s="69">
        <v>397</v>
      </c>
      <c r="C399" s="69">
        <v>35</v>
      </c>
      <c r="D399" s="69">
        <v>14</v>
      </c>
      <c r="E399" s="69">
        <v>1</v>
      </c>
      <c r="F399" s="69">
        <v>0</v>
      </c>
      <c r="G399" s="69" t="s">
        <v>183</v>
      </c>
      <c r="H399" s="69" t="s">
        <v>52</v>
      </c>
      <c r="I399" s="69" t="s">
        <v>364</v>
      </c>
      <c r="J399" s="69" t="s">
        <v>55</v>
      </c>
      <c r="K399" s="69" t="s">
        <v>365</v>
      </c>
      <c r="M399" s="69" t="s">
        <v>6</v>
      </c>
    </row>
    <row r="400" spans="2:13">
      <c r="B400" s="69">
        <v>398</v>
      </c>
      <c r="C400" s="69">
        <v>35</v>
      </c>
      <c r="D400" s="69">
        <v>14</v>
      </c>
      <c r="E400" s="69">
        <v>2</v>
      </c>
      <c r="F400" s="69">
        <v>0</v>
      </c>
      <c r="G400" s="69" t="s">
        <v>183</v>
      </c>
      <c r="H400" s="69" t="s">
        <v>52</v>
      </c>
      <c r="I400" s="69" t="s">
        <v>364</v>
      </c>
      <c r="J400" s="69" t="s">
        <v>55</v>
      </c>
      <c r="K400" s="69" t="s">
        <v>186</v>
      </c>
      <c r="M400" s="69" t="s">
        <v>6</v>
      </c>
    </row>
    <row r="401" spans="2:13">
      <c r="B401" s="69">
        <v>399</v>
      </c>
      <c r="C401" s="69">
        <v>35</v>
      </c>
      <c r="D401" s="69">
        <v>14</v>
      </c>
      <c r="E401" s="69">
        <v>3</v>
      </c>
      <c r="F401" s="69">
        <v>0</v>
      </c>
      <c r="G401" s="69" t="s">
        <v>183</v>
      </c>
      <c r="H401" s="69" t="s">
        <v>52</v>
      </c>
      <c r="I401" s="69" t="s">
        <v>364</v>
      </c>
      <c r="J401" s="69" t="s">
        <v>55</v>
      </c>
      <c r="K401" s="69" t="s">
        <v>187</v>
      </c>
      <c r="M401" s="69" t="s">
        <v>6</v>
      </c>
    </row>
    <row r="402" spans="2:13">
      <c r="B402" s="69">
        <v>400</v>
      </c>
      <c r="C402" s="69">
        <v>35</v>
      </c>
      <c r="D402" s="69">
        <v>14</v>
      </c>
      <c r="E402" s="69">
        <v>4</v>
      </c>
      <c r="F402" s="69">
        <v>0</v>
      </c>
      <c r="G402" s="69" t="s">
        <v>183</v>
      </c>
      <c r="H402" s="69" t="s">
        <v>52</v>
      </c>
      <c r="I402" s="69" t="s">
        <v>364</v>
      </c>
      <c r="J402" s="69" t="s">
        <v>55</v>
      </c>
      <c r="K402" s="69" t="s">
        <v>188</v>
      </c>
      <c r="M402" s="69" t="s">
        <v>6</v>
      </c>
    </row>
    <row r="403" spans="2:13">
      <c r="B403" s="69">
        <v>401</v>
      </c>
      <c r="C403" s="69">
        <v>35</v>
      </c>
      <c r="D403" s="69">
        <v>14</v>
      </c>
      <c r="E403" s="69">
        <v>5</v>
      </c>
      <c r="F403" s="69">
        <v>0</v>
      </c>
      <c r="G403" s="69" t="s">
        <v>183</v>
      </c>
      <c r="H403" s="69" t="s">
        <v>52</v>
      </c>
      <c r="I403" s="69" t="s">
        <v>364</v>
      </c>
      <c r="J403" s="69" t="s">
        <v>55</v>
      </c>
      <c r="K403" s="69" t="s">
        <v>366</v>
      </c>
      <c r="M403" s="69" t="s">
        <v>6</v>
      </c>
    </row>
    <row r="404" spans="2:13">
      <c r="B404" s="69">
        <v>402</v>
      </c>
      <c r="C404" s="69">
        <v>35</v>
      </c>
      <c r="D404" s="69">
        <v>14</v>
      </c>
      <c r="E404" s="69">
        <v>6</v>
      </c>
      <c r="F404" s="69">
        <v>0</v>
      </c>
      <c r="G404" s="69" t="s">
        <v>183</v>
      </c>
      <c r="H404" s="69" t="s">
        <v>52</v>
      </c>
      <c r="I404" s="69" t="s">
        <v>364</v>
      </c>
      <c r="J404" s="69" t="s">
        <v>99</v>
      </c>
      <c r="K404" s="69" t="s">
        <v>367</v>
      </c>
      <c r="M404" s="69" t="s">
        <v>6</v>
      </c>
    </row>
    <row r="405" spans="2:13">
      <c r="B405" s="69">
        <v>403</v>
      </c>
      <c r="C405" s="69">
        <v>35</v>
      </c>
      <c r="D405" s="69">
        <v>14</v>
      </c>
      <c r="E405" s="69">
        <v>7</v>
      </c>
      <c r="F405" s="69">
        <v>0</v>
      </c>
      <c r="G405" s="69" t="s">
        <v>183</v>
      </c>
      <c r="H405" s="69" t="s">
        <v>52</v>
      </c>
      <c r="I405" s="69" t="s">
        <v>364</v>
      </c>
      <c r="J405" s="69" t="s">
        <v>99</v>
      </c>
      <c r="K405" s="69" t="s">
        <v>368</v>
      </c>
      <c r="M405" s="69" t="s">
        <v>6</v>
      </c>
    </row>
    <row r="406" spans="2:13">
      <c r="B406" s="69">
        <v>404</v>
      </c>
      <c r="C406" s="69">
        <v>35</v>
      </c>
      <c r="D406" s="69">
        <v>14</v>
      </c>
      <c r="E406" s="69">
        <v>8</v>
      </c>
      <c r="F406" s="69">
        <v>0</v>
      </c>
      <c r="G406" s="69" t="s">
        <v>183</v>
      </c>
      <c r="H406" s="69" t="s">
        <v>52</v>
      </c>
      <c r="I406" s="69" t="s">
        <v>364</v>
      </c>
      <c r="J406" s="69" t="s">
        <v>99</v>
      </c>
      <c r="K406" s="69" t="s">
        <v>369</v>
      </c>
      <c r="M406" s="69" t="s">
        <v>6</v>
      </c>
    </row>
    <row r="407" spans="2:13">
      <c r="B407" s="69">
        <v>405</v>
      </c>
      <c r="C407" s="69">
        <v>35</v>
      </c>
      <c r="D407" s="69">
        <v>14</v>
      </c>
      <c r="E407" s="69">
        <v>9</v>
      </c>
      <c r="F407" s="69">
        <v>0</v>
      </c>
      <c r="G407" s="69" t="s">
        <v>183</v>
      </c>
      <c r="H407" s="69" t="s">
        <v>52</v>
      </c>
      <c r="I407" s="69" t="s">
        <v>364</v>
      </c>
      <c r="J407" s="69" t="s">
        <v>99</v>
      </c>
      <c r="K407" s="69" t="s">
        <v>333</v>
      </c>
      <c r="M407" s="69" t="s">
        <v>6</v>
      </c>
    </row>
    <row r="408" spans="2:13">
      <c r="B408" s="69">
        <v>406</v>
      </c>
      <c r="C408" s="69">
        <v>35</v>
      </c>
      <c r="D408" s="69">
        <v>14</v>
      </c>
      <c r="E408" s="69">
        <v>10</v>
      </c>
      <c r="F408" s="69">
        <v>0</v>
      </c>
      <c r="G408" s="69" t="s">
        <v>183</v>
      </c>
      <c r="H408" s="69" t="s">
        <v>52</v>
      </c>
      <c r="I408" s="69" t="s">
        <v>364</v>
      </c>
      <c r="J408" s="69" t="s">
        <v>55</v>
      </c>
      <c r="K408" s="69" t="s">
        <v>370</v>
      </c>
      <c r="M408" s="69" t="s">
        <v>6</v>
      </c>
    </row>
    <row r="409" spans="2:13">
      <c r="B409" s="69">
        <v>407</v>
      </c>
      <c r="C409" s="69">
        <v>35</v>
      </c>
      <c r="D409" s="69">
        <v>14</v>
      </c>
      <c r="E409" s="69">
        <v>11</v>
      </c>
      <c r="F409" s="69">
        <v>0</v>
      </c>
      <c r="G409" s="69" t="s">
        <v>183</v>
      </c>
      <c r="H409" s="69" t="s">
        <v>52</v>
      </c>
      <c r="I409" s="69" t="s">
        <v>364</v>
      </c>
      <c r="J409" s="69" t="s">
        <v>55</v>
      </c>
      <c r="K409" s="69" t="s">
        <v>371</v>
      </c>
      <c r="M409" s="69" t="s">
        <v>6</v>
      </c>
    </row>
    <row r="410" spans="2:13">
      <c r="B410" s="69">
        <v>408</v>
      </c>
      <c r="C410" s="69">
        <v>35</v>
      </c>
      <c r="D410" s="69">
        <v>14</v>
      </c>
      <c r="E410" s="69">
        <v>12</v>
      </c>
      <c r="F410" s="69">
        <v>0</v>
      </c>
      <c r="G410" s="69" t="s">
        <v>183</v>
      </c>
      <c r="H410" s="69" t="s">
        <v>52</v>
      </c>
      <c r="I410" s="69" t="s">
        <v>364</v>
      </c>
      <c r="J410" s="69" t="s">
        <v>55</v>
      </c>
      <c r="K410" s="69" t="s">
        <v>334</v>
      </c>
      <c r="M410" s="69" t="s">
        <v>6</v>
      </c>
    </row>
    <row r="411" spans="2:13">
      <c r="B411" s="69">
        <v>409</v>
      </c>
      <c r="C411" s="69">
        <v>35</v>
      </c>
      <c r="D411" s="69">
        <v>14</v>
      </c>
      <c r="E411" s="69">
        <v>13</v>
      </c>
      <c r="F411" s="69">
        <v>0</v>
      </c>
      <c r="G411" s="69" t="s">
        <v>183</v>
      </c>
      <c r="H411" s="69" t="s">
        <v>52</v>
      </c>
      <c r="I411" s="69" t="s">
        <v>364</v>
      </c>
      <c r="J411" s="69" t="s">
        <v>55</v>
      </c>
      <c r="K411" s="69" t="s">
        <v>331</v>
      </c>
      <c r="M411" s="69" t="s">
        <v>6</v>
      </c>
    </row>
    <row r="412" spans="2:13">
      <c r="B412" s="69">
        <v>410</v>
      </c>
      <c r="C412" s="69">
        <v>35</v>
      </c>
      <c r="D412" s="69">
        <v>14</v>
      </c>
      <c r="E412" s="69">
        <v>14</v>
      </c>
      <c r="F412" s="69">
        <v>0</v>
      </c>
      <c r="G412" s="69" t="s">
        <v>183</v>
      </c>
      <c r="H412" s="69" t="s">
        <v>52</v>
      </c>
      <c r="I412" s="69" t="s">
        <v>364</v>
      </c>
      <c r="J412" s="69" t="s">
        <v>55</v>
      </c>
      <c r="K412" s="69" t="s">
        <v>332</v>
      </c>
      <c r="M412" s="69" t="s">
        <v>6</v>
      </c>
    </row>
    <row r="413" spans="2:13">
      <c r="B413" s="69">
        <v>411</v>
      </c>
      <c r="C413" s="69">
        <v>36</v>
      </c>
      <c r="D413" s="69">
        <v>18</v>
      </c>
      <c r="E413" s="69">
        <v>0</v>
      </c>
      <c r="F413" s="69">
        <v>0</v>
      </c>
      <c r="G413" s="69" t="s">
        <v>183</v>
      </c>
      <c r="H413" s="69" t="s">
        <v>52</v>
      </c>
      <c r="I413" s="69" t="s">
        <v>372</v>
      </c>
      <c r="J413" s="69" t="s">
        <v>54</v>
      </c>
      <c r="K413" s="69" t="s">
        <v>372</v>
      </c>
      <c r="M413" s="69" t="s">
        <v>6</v>
      </c>
    </row>
    <row r="414" spans="2:13">
      <c r="B414" s="69">
        <v>412</v>
      </c>
      <c r="C414" s="69">
        <v>36</v>
      </c>
      <c r="D414" s="69">
        <v>18</v>
      </c>
      <c r="E414" s="69">
        <v>1</v>
      </c>
      <c r="F414" s="69">
        <v>0</v>
      </c>
      <c r="G414" s="69" t="s">
        <v>183</v>
      </c>
      <c r="H414" s="69" t="s">
        <v>52</v>
      </c>
      <c r="I414" s="69" t="s">
        <v>372</v>
      </c>
      <c r="J414" s="69" t="s">
        <v>55</v>
      </c>
      <c r="K414" s="69" t="s">
        <v>185</v>
      </c>
      <c r="M414" s="69" t="s">
        <v>6</v>
      </c>
    </row>
    <row r="415" spans="2:13">
      <c r="B415" s="69">
        <v>413</v>
      </c>
      <c r="C415" s="69">
        <v>36</v>
      </c>
      <c r="D415" s="69">
        <v>18</v>
      </c>
      <c r="E415" s="69">
        <v>2</v>
      </c>
      <c r="F415" s="69">
        <v>0</v>
      </c>
      <c r="G415" s="69" t="s">
        <v>183</v>
      </c>
      <c r="H415" s="69" t="s">
        <v>52</v>
      </c>
      <c r="I415" s="69" t="s">
        <v>372</v>
      </c>
      <c r="J415" s="69" t="s">
        <v>55</v>
      </c>
      <c r="K415" s="69" t="s">
        <v>186</v>
      </c>
      <c r="M415" s="69" t="s">
        <v>6</v>
      </c>
    </row>
    <row r="416" spans="2:13">
      <c r="B416" s="69">
        <v>414</v>
      </c>
      <c r="C416" s="69">
        <v>36</v>
      </c>
      <c r="D416" s="69">
        <v>18</v>
      </c>
      <c r="E416" s="69">
        <v>3</v>
      </c>
      <c r="F416" s="69">
        <v>0</v>
      </c>
      <c r="G416" s="69" t="s">
        <v>183</v>
      </c>
      <c r="H416" s="69" t="s">
        <v>52</v>
      </c>
      <c r="I416" s="69" t="s">
        <v>372</v>
      </c>
      <c r="J416" s="69" t="s">
        <v>55</v>
      </c>
      <c r="K416" s="69" t="s">
        <v>187</v>
      </c>
      <c r="M416" s="69" t="s">
        <v>6</v>
      </c>
    </row>
    <row r="417" spans="2:13">
      <c r="B417" s="69">
        <v>415</v>
      </c>
      <c r="C417" s="69">
        <v>36</v>
      </c>
      <c r="D417" s="69">
        <v>18</v>
      </c>
      <c r="E417" s="69">
        <v>4</v>
      </c>
      <c r="F417" s="69">
        <v>0</v>
      </c>
      <c r="G417" s="69" t="s">
        <v>183</v>
      </c>
      <c r="H417" s="69" t="s">
        <v>52</v>
      </c>
      <c r="I417" s="69" t="s">
        <v>372</v>
      </c>
      <c r="J417" s="69" t="s">
        <v>55</v>
      </c>
      <c r="K417" s="69" t="s">
        <v>188</v>
      </c>
      <c r="M417" s="69" t="s">
        <v>6</v>
      </c>
    </row>
    <row r="418" spans="2:13">
      <c r="B418" s="69">
        <v>416</v>
      </c>
      <c r="C418" s="69">
        <v>36</v>
      </c>
      <c r="D418" s="69">
        <v>18</v>
      </c>
      <c r="E418" s="69">
        <v>5</v>
      </c>
      <c r="F418" s="69">
        <v>0</v>
      </c>
      <c r="G418" s="69" t="s">
        <v>183</v>
      </c>
      <c r="H418" s="69" t="s">
        <v>52</v>
      </c>
      <c r="I418" s="69" t="s">
        <v>372</v>
      </c>
      <c r="J418" s="69" t="s">
        <v>55</v>
      </c>
      <c r="K418" s="69" t="s">
        <v>373</v>
      </c>
      <c r="M418" s="69" t="s">
        <v>6</v>
      </c>
    </row>
    <row r="419" spans="2:13">
      <c r="B419" s="69">
        <v>417</v>
      </c>
      <c r="C419" s="69">
        <v>36</v>
      </c>
      <c r="D419" s="69">
        <v>18</v>
      </c>
      <c r="E419" s="69">
        <v>6</v>
      </c>
      <c r="F419" s="69">
        <v>0</v>
      </c>
      <c r="G419" s="69" t="s">
        <v>183</v>
      </c>
      <c r="H419" s="69" t="s">
        <v>52</v>
      </c>
      <c r="I419" s="69" t="s">
        <v>372</v>
      </c>
      <c r="J419" s="69" t="s">
        <v>99</v>
      </c>
      <c r="K419" s="69" t="s">
        <v>374</v>
      </c>
      <c r="M419" s="69" t="s">
        <v>6</v>
      </c>
    </row>
    <row r="420" spans="2:13">
      <c r="B420" s="69">
        <v>418</v>
      </c>
      <c r="C420" s="69">
        <v>36</v>
      </c>
      <c r="D420" s="69">
        <v>18</v>
      </c>
      <c r="E420" s="69">
        <v>7</v>
      </c>
      <c r="F420" s="69">
        <v>0</v>
      </c>
      <c r="G420" s="69" t="s">
        <v>183</v>
      </c>
      <c r="H420" s="69" t="s">
        <v>52</v>
      </c>
      <c r="I420" s="69" t="s">
        <v>372</v>
      </c>
      <c r="J420" s="69" t="s">
        <v>99</v>
      </c>
      <c r="K420" s="69" t="s">
        <v>375</v>
      </c>
      <c r="M420" s="69" t="s">
        <v>6</v>
      </c>
    </row>
    <row r="421" spans="2:13">
      <c r="B421" s="69">
        <v>419</v>
      </c>
      <c r="C421" s="69">
        <v>36</v>
      </c>
      <c r="D421" s="69">
        <v>18</v>
      </c>
      <c r="E421" s="69">
        <v>8</v>
      </c>
      <c r="F421" s="69">
        <v>0</v>
      </c>
      <c r="G421" s="69" t="s">
        <v>183</v>
      </c>
      <c r="H421" s="69" t="s">
        <v>52</v>
      </c>
      <c r="I421" s="69" t="s">
        <v>372</v>
      </c>
      <c r="J421" s="69" t="s">
        <v>99</v>
      </c>
      <c r="K421" s="69" t="s">
        <v>376</v>
      </c>
      <c r="M421" s="69" t="s">
        <v>6</v>
      </c>
    </row>
    <row r="422" spans="2:13">
      <c r="B422" s="69">
        <v>420</v>
      </c>
      <c r="C422" s="69">
        <v>36</v>
      </c>
      <c r="D422" s="69">
        <v>18</v>
      </c>
      <c r="E422" s="69">
        <v>9</v>
      </c>
      <c r="F422" s="69">
        <v>0</v>
      </c>
      <c r="G422" s="69" t="s">
        <v>183</v>
      </c>
      <c r="H422" s="69" t="s">
        <v>52</v>
      </c>
      <c r="I422" s="69" t="s">
        <v>372</v>
      </c>
      <c r="J422" s="69" t="s">
        <v>99</v>
      </c>
      <c r="K422" s="69" t="s">
        <v>377</v>
      </c>
      <c r="M422" s="69" t="s">
        <v>6</v>
      </c>
    </row>
    <row r="423" spans="2:13">
      <c r="B423" s="69">
        <v>421</v>
      </c>
      <c r="C423" s="69">
        <v>36</v>
      </c>
      <c r="D423" s="69">
        <v>18</v>
      </c>
      <c r="E423" s="69">
        <v>10</v>
      </c>
      <c r="F423" s="69">
        <v>0</v>
      </c>
      <c r="G423" s="69" t="s">
        <v>183</v>
      </c>
      <c r="H423" s="69" t="s">
        <v>52</v>
      </c>
      <c r="I423" s="69" t="s">
        <v>372</v>
      </c>
      <c r="J423" s="69" t="s">
        <v>99</v>
      </c>
      <c r="K423" s="69" t="s">
        <v>378</v>
      </c>
      <c r="M423" s="69" t="s">
        <v>6</v>
      </c>
    </row>
    <row r="424" spans="2:13">
      <c r="B424" s="69">
        <v>422</v>
      </c>
      <c r="C424" s="69">
        <v>36</v>
      </c>
      <c r="D424" s="69">
        <v>18</v>
      </c>
      <c r="E424" s="69">
        <v>11</v>
      </c>
      <c r="F424" s="69">
        <v>0</v>
      </c>
      <c r="G424" s="69" t="s">
        <v>183</v>
      </c>
      <c r="H424" s="69" t="s">
        <v>52</v>
      </c>
      <c r="I424" s="69" t="s">
        <v>372</v>
      </c>
      <c r="J424" s="69" t="s">
        <v>99</v>
      </c>
      <c r="K424" s="69" t="s">
        <v>379</v>
      </c>
      <c r="M424" s="69" t="s">
        <v>6</v>
      </c>
    </row>
    <row r="425" spans="2:13">
      <c r="B425" s="69">
        <v>423</v>
      </c>
      <c r="C425" s="69">
        <v>36</v>
      </c>
      <c r="D425" s="69">
        <v>18</v>
      </c>
      <c r="E425" s="69">
        <v>12</v>
      </c>
      <c r="F425" s="69">
        <v>0</v>
      </c>
      <c r="G425" s="69" t="s">
        <v>183</v>
      </c>
      <c r="H425" s="69" t="s">
        <v>52</v>
      </c>
      <c r="I425" s="69" t="s">
        <v>372</v>
      </c>
      <c r="J425" s="69" t="s">
        <v>99</v>
      </c>
      <c r="K425" s="69" t="s">
        <v>380</v>
      </c>
      <c r="M425" s="69" t="s">
        <v>6</v>
      </c>
    </row>
    <row r="426" spans="2:13">
      <c r="B426" s="69">
        <v>424</v>
      </c>
      <c r="C426" s="69">
        <v>36</v>
      </c>
      <c r="D426" s="69">
        <v>18</v>
      </c>
      <c r="E426" s="69">
        <v>13</v>
      </c>
      <c r="F426" s="69">
        <v>0</v>
      </c>
      <c r="G426" s="69" t="s">
        <v>183</v>
      </c>
      <c r="H426" s="69" t="s">
        <v>52</v>
      </c>
      <c r="I426" s="69" t="s">
        <v>372</v>
      </c>
      <c r="J426" s="69" t="s">
        <v>99</v>
      </c>
      <c r="K426" s="69" t="s">
        <v>381</v>
      </c>
      <c r="M426" s="69" t="s">
        <v>6</v>
      </c>
    </row>
    <row r="427" spans="2:13">
      <c r="B427" s="69">
        <v>425</v>
      </c>
      <c r="C427" s="69">
        <v>36</v>
      </c>
      <c r="D427" s="69">
        <v>18</v>
      </c>
      <c r="E427" s="69">
        <v>14</v>
      </c>
      <c r="F427" s="69">
        <v>0</v>
      </c>
      <c r="G427" s="69" t="s">
        <v>183</v>
      </c>
      <c r="H427" s="69" t="s">
        <v>52</v>
      </c>
      <c r="I427" s="69" t="s">
        <v>372</v>
      </c>
      <c r="J427" s="69" t="s">
        <v>99</v>
      </c>
      <c r="K427" s="69" t="s">
        <v>382</v>
      </c>
      <c r="M427" s="69" t="s">
        <v>6</v>
      </c>
    </row>
    <row r="428" spans="2:13">
      <c r="B428" s="69">
        <v>426</v>
      </c>
      <c r="C428" s="69">
        <v>36</v>
      </c>
      <c r="D428" s="69">
        <v>18</v>
      </c>
      <c r="E428" s="69">
        <v>15</v>
      </c>
      <c r="F428" s="69">
        <v>0</v>
      </c>
      <c r="G428" s="69" t="s">
        <v>183</v>
      </c>
      <c r="H428" s="69" t="s">
        <v>52</v>
      </c>
      <c r="I428" s="69" t="s">
        <v>372</v>
      </c>
      <c r="J428" s="69" t="s">
        <v>99</v>
      </c>
      <c r="K428" s="69" t="s">
        <v>383</v>
      </c>
      <c r="M428" s="69" t="s">
        <v>6</v>
      </c>
    </row>
    <row r="429" spans="2:13">
      <c r="B429" s="69">
        <v>427</v>
      </c>
      <c r="C429" s="69">
        <v>36</v>
      </c>
      <c r="D429" s="69">
        <v>18</v>
      </c>
      <c r="E429" s="69">
        <v>16</v>
      </c>
      <c r="F429" s="69">
        <v>0</v>
      </c>
      <c r="G429" s="69" t="s">
        <v>183</v>
      </c>
      <c r="H429" s="69" t="s">
        <v>52</v>
      </c>
      <c r="I429" s="69" t="s">
        <v>372</v>
      </c>
      <c r="J429" s="69" t="s">
        <v>99</v>
      </c>
      <c r="K429" s="69" t="s">
        <v>384</v>
      </c>
      <c r="M429" s="69" t="s">
        <v>6</v>
      </c>
    </row>
    <row r="430" spans="2:13">
      <c r="B430" s="69">
        <v>428</v>
      </c>
      <c r="C430" s="69">
        <v>36</v>
      </c>
      <c r="D430" s="69">
        <v>18</v>
      </c>
      <c r="E430" s="69">
        <v>17</v>
      </c>
      <c r="F430" s="69">
        <v>0</v>
      </c>
      <c r="G430" s="69" t="s">
        <v>183</v>
      </c>
      <c r="H430" s="69" t="s">
        <v>52</v>
      </c>
      <c r="I430" s="69" t="s">
        <v>372</v>
      </c>
      <c r="J430" s="69" t="s">
        <v>99</v>
      </c>
      <c r="K430" s="69" t="s">
        <v>239</v>
      </c>
      <c r="M430" s="69" t="s">
        <v>6</v>
      </c>
    </row>
    <row r="431" spans="2:13">
      <c r="B431" s="69">
        <v>429</v>
      </c>
      <c r="C431" s="69">
        <v>36</v>
      </c>
      <c r="D431" s="69">
        <v>18</v>
      </c>
      <c r="E431" s="69">
        <v>18</v>
      </c>
      <c r="F431" s="69">
        <v>0</v>
      </c>
      <c r="G431" s="69" t="s">
        <v>183</v>
      </c>
      <c r="H431" s="69" t="s">
        <v>52</v>
      </c>
      <c r="I431" s="69" t="s">
        <v>372</v>
      </c>
      <c r="J431" s="69" t="s">
        <v>55</v>
      </c>
      <c r="K431" s="69" t="s">
        <v>385</v>
      </c>
      <c r="M431" s="69" t="s">
        <v>6</v>
      </c>
    </row>
    <row r="432" spans="2:13">
      <c r="B432" s="69">
        <v>430</v>
      </c>
      <c r="C432" s="69">
        <v>37</v>
      </c>
      <c r="D432" s="69">
        <v>5</v>
      </c>
      <c r="E432" s="69">
        <v>0</v>
      </c>
      <c r="F432" s="69">
        <v>0</v>
      </c>
      <c r="G432" s="69" t="s">
        <v>183</v>
      </c>
      <c r="H432" s="69" t="s">
        <v>52</v>
      </c>
      <c r="I432" s="69" t="s">
        <v>386</v>
      </c>
      <c r="J432" s="69" t="s">
        <v>54</v>
      </c>
      <c r="K432" s="69" t="s">
        <v>386</v>
      </c>
      <c r="M432" s="69" t="s">
        <v>6</v>
      </c>
    </row>
    <row r="433" spans="2:13">
      <c r="B433" s="69">
        <v>431</v>
      </c>
      <c r="C433" s="69">
        <v>37</v>
      </c>
      <c r="D433" s="69">
        <v>5</v>
      </c>
      <c r="E433" s="69">
        <v>1</v>
      </c>
      <c r="F433" s="69">
        <v>0</v>
      </c>
      <c r="G433" s="69" t="s">
        <v>183</v>
      </c>
      <c r="H433" s="69" t="s">
        <v>52</v>
      </c>
      <c r="I433" s="69" t="s">
        <v>386</v>
      </c>
      <c r="J433" s="69" t="s">
        <v>269</v>
      </c>
      <c r="K433" s="69" t="s">
        <v>387</v>
      </c>
      <c r="M433" s="69" t="s">
        <v>6</v>
      </c>
    </row>
    <row r="434" spans="2:13">
      <c r="B434" s="69">
        <v>432</v>
      </c>
      <c r="C434" s="69">
        <v>37</v>
      </c>
      <c r="D434" s="69">
        <v>5</v>
      </c>
      <c r="E434" s="69">
        <v>2</v>
      </c>
      <c r="F434" s="69">
        <v>0</v>
      </c>
      <c r="G434" s="69" t="s">
        <v>183</v>
      </c>
      <c r="H434" s="69" t="s">
        <v>52</v>
      </c>
      <c r="I434" s="69" t="s">
        <v>386</v>
      </c>
      <c r="J434" s="69" t="s">
        <v>269</v>
      </c>
      <c r="K434" s="69" t="s">
        <v>388</v>
      </c>
      <c r="M434" s="69" t="s">
        <v>6</v>
      </c>
    </row>
    <row r="435" spans="2:13">
      <c r="B435" s="69">
        <v>433</v>
      </c>
      <c r="C435" s="69">
        <v>37</v>
      </c>
      <c r="D435" s="69">
        <v>5</v>
      </c>
      <c r="E435" s="69">
        <v>3</v>
      </c>
      <c r="F435" s="69">
        <v>0</v>
      </c>
      <c r="G435" s="69" t="s">
        <v>183</v>
      </c>
      <c r="H435" s="69" t="s">
        <v>52</v>
      </c>
      <c r="I435" s="69" t="s">
        <v>386</v>
      </c>
      <c r="J435" s="69" t="s">
        <v>269</v>
      </c>
      <c r="K435" s="69" t="s">
        <v>389</v>
      </c>
      <c r="M435" s="69" t="s">
        <v>6</v>
      </c>
    </row>
    <row r="436" spans="2:13">
      <c r="B436" s="69">
        <v>434</v>
      </c>
      <c r="C436" s="69">
        <v>37</v>
      </c>
      <c r="D436" s="69">
        <v>5</v>
      </c>
      <c r="E436" s="69">
        <v>4</v>
      </c>
      <c r="F436" s="69">
        <v>0</v>
      </c>
      <c r="G436" s="69" t="s">
        <v>183</v>
      </c>
      <c r="H436" s="69" t="s">
        <v>52</v>
      </c>
      <c r="I436" s="69" t="s">
        <v>386</v>
      </c>
      <c r="J436" s="69" t="s">
        <v>269</v>
      </c>
      <c r="K436" s="69" t="s">
        <v>390</v>
      </c>
      <c r="M436" s="69" t="s">
        <v>6</v>
      </c>
    </row>
    <row r="437" spans="2:13">
      <c r="B437" s="69">
        <v>435</v>
      </c>
      <c r="C437" s="69">
        <v>37</v>
      </c>
      <c r="D437" s="69">
        <v>5</v>
      </c>
      <c r="E437" s="69">
        <v>5</v>
      </c>
      <c r="F437" s="69">
        <v>0</v>
      </c>
      <c r="G437" s="69" t="s">
        <v>183</v>
      </c>
      <c r="H437" s="69" t="s">
        <v>52</v>
      </c>
      <c r="I437" s="69" t="s">
        <v>386</v>
      </c>
      <c r="J437" s="69" t="s">
        <v>269</v>
      </c>
      <c r="K437" s="69" t="s">
        <v>391</v>
      </c>
      <c r="M437" s="69" t="s">
        <v>6</v>
      </c>
    </row>
    <row r="438" spans="2:13">
      <c r="B438" s="69">
        <v>436</v>
      </c>
      <c r="C438" s="69">
        <v>38</v>
      </c>
      <c r="D438" s="69">
        <v>33</v>
      </c>
      <c r="E438" s="69">
        <v>0</v>
      </c>
      <c r="F438" s="69">
        <v>0</v>
      </c>
      <c r="G438" s="69" t="s">
        <v>183</v>
      </c>
      <c r="H438" s="69" t="s">
        <v>52</v>
      </c>
      <c r="I438" s="69" t="s">
        <v>392</v>
      </c>
      <c r="J438" s="69" t="s">
        <v>54</v>
      </c>
      <c r="K438" s="69" t="s">
        <v>392</v>
      </c>
      <c r="M438" s="69" t="s">
        <v>6</v>
      </c>
    </row>
    <row r="439" spans="2:13">
      <c r="B439" s="69">
        <v>437</v>
      </c>
      <c r="C439" s="69">
        <v>38</v>
      </c>
      <c r="D439" s="69">
        <v>33</v>
      </c>
      <c r="E439" s="69">
        <v>1</v>
      </c>
      <c r="F439" s="69">
        <v>0</v>
      </c>
      <c r="G439" s="69" t="s">
        <v>183</v>
      </c>
      <c r="H439" s="69" t="s">
        <v>52</v>
      </c>
      <c r="I439" s="69" t="s">
        <v>392</v>
      </c>
      <c r="J439" s="69" t="s">
        <v>55</v>
      </c>
      <c r="K439" s="69" t="s">
        <v>185</v>
      </c>
      <c r="M439" s="69" t="s">
        <v>6</v>
      </c>
    </row>
    <row r="440" spans="2:13">
      <c r="B440" s="69">
        <v>438</v>
      </c>
      <c r="C440" s="69">
        <v>38</v>
      </c>
      <c r="D440" s="69">
        <v>33</v>
      </c>
      <c r="E440" s="69">
        <v>2</v>
      </c>
      <c r="F440" s="69">
        <v>0</v>
      </c>
      <c r="G440" s="69" t="s">
        <v>183</v>
      </c>
      <c r="H440" s="69" t="s">
        <v>52</v>
      </c>
      <c r="I440" s="69" t="s">
        <v>392</v>
      </c>
      <c r="J440" s="69" t="s">
        <v>55</v>
      </c>
      <c r="K440" s="69" t="s">
        <v>186</v>
      </c>
      <c r="M440" s="69" t="s">
        <v>6</v>
      </c>
    </row>
    <row r="441" spans="2:13">
      <c r="B441" s="69">
        <v>439</v>
      </c>
      <c r="C441" s="69">
        <v>38</v>
      </c>
      <c r="D441" s="69">
        <v>33</v>
      </c>
      <c r="E441" s="69">
        <v>3</v>
      </c>
      <c r="F441" s="69">
        <v>0</v>
      </c>
      <c r="G441" s="69" t="s">
        <v>183</v>
      </c>
      <c r="H441" s="69" t="s">
        <v>52</v>
      </c>
      <c r="I441" s="69" t="s">
        <v>392</v>
      </c>
      <c r="J441" s="69" t="s">
        <v>55</v>
      </c>
      <c r="K441" s="69" t="s">
        <v>187</v>
      </c>
      <c r="M441" s="69" t="s">
        <v>6</v>
      </c>
    </row>
    <row r="442" spans="2:13">
      <c r="B442" s="69">
        <v>440</v>
      </c>
      <c r="C442" s="69">
        <v>38</v>
      </c>
      <c r="D442" s="69">
        <v>33</v>
      </c>
      <c r="E442" s="69">
        <v>4</v>
      </c>
      <c r="F442" s="69">
        <v>0</v>
      </c>
      <c r="G442" s="69" t="s">
        <v>183</v>
      </c>
      <c r="H442" s="69" t="s">
        <v>52</v>
      </c>
      <c r="I442" s="69" t="s">
        <v>392</v>
      </c>
      <c r="J442" s="69" t="s">
        <v>55</v>
      </c>
      <c r="K442" s="69" t="s">
        <v>188</v>
      </c>
      <c r="M442" s="69" t="s">
        <v>6</v>
      </c>
    </row>
    <row r="443" spans="2:13">
      <c r="B443" s="69">
        <v>441</v>
      </c>
      <c r="C443" s="69">
        <v>38</v>
      </c>
      <c r="D443" s="69">
        <v>33</v>
      </c>
      <c r="E443" s="69">
        <v>5</v>
      </c>
      <c r="F443" s="69">
        <v>0</v>
      </c>
      <c r="G443" s="69" t="s">
        <v>183</v>
      </c>
      <c r="H443" s="69" t="s">
        <v>52</v>
      </c>
      <c r="I443" s="69" t="s">
        <v>392</v>
      </c>
      <c r="J443" s="69" t="s">
        <v>55</v>
      </c>
      <c r="K443" s="69" t="s">
        <v>325</v>
      </c>
      <c r="M443" s="69" t="s">
        <v>6</v>
      </c>
    </row>
    <row r="444" spans="2:13">
      <c r="B444" s="69">
        <v>442</v>
      </c>
      <c r="C444" s="69">
        <v>38</v>
      </c>
      <c r="D444" s="69">
        <v>33</v>
      </c>
      <c r="E444" s="69">
        <v>6</v>
      </c>
      <c r="F444" s="69">
        <v>0</v>
      </c>
      <c r="G444" s="69" t="s">
        <v>183</v>
      </c>
      <c r="H444" s="69" t="s">
        <v>52</v>
      </c>
      <c r="I444" s="69" t="s">
        <v>392</v>
      </c>
      <c r="J444" s="69" t="s">
        <v>99</v>
      </c>
      <c r="K444" s="69" t="s">
        <v>393</v>
      </c>
      <c r="M444" s="69" t="s">
        <v>6</v>
      </c>
    </row>
    <row r="445" spans="2:13">
      <c r="B445" s="69">
        <v>443</v>
      </c>
      <c r="C445" s="69">
        <v>38</v>
      </c>
      <c r="D445" s="69">
        <v>33</v>
      </c>
      <c r="E445" s="69">
        <v>7</v>
      </c>
      <c r="F445" s="69">
        <v>0</v>
      </c>
      <c r="G445" s="69" t="s">
        <v>183</v>
      </c>
      <c r="H445" s="69" t="s">
        <v>52</v>
      </c>
      <c r="I445" s="69" t="s">
        <v>392</v>
      </c>
      <c r="J445" s="69" t="s">
        <v>99</v>
      </c>
      <c r="K445" s="69" t="s">
        <v>394</v>
      </c>
      <c r="M445" s="69" t="s">
        <v>6</v>
      </c>
    </row>
    <row r="446" spans="2:13">
      <c r="B446" s="69">
        <v>444</v>
      </c>
      <c r="C446" s="69">
        <v>38</v>
      </c>
      <c r="D446" s="69">
        <v>33</v>
      </c>
      <c r="E446" s="69">
        <v>8</v>
      </c>
      <c r="F446" s="69">
        <v>0</v>
      </c>
      <c r="G446" s="69" t="s">
        <v>183</v>
      </c>
      <c r="H446" s="69" t="s">
        <v>52</v>
      </c>
      <c r="I446" s="69" t="s">
        <v>392</v>
      </c>
      <c r="J446" s="69" t="s">
        <v>99</v>
      </c>
      <c r="K446" s="69" t="s">
        <v>395</v>
      </c>
      <c r="M446" s="69" t="s">
        <v>6</v>
      </c>
    </row>
    <row r="447" spans="2:13">
      <c r="B447" s="69">
        <v>445</v>
      </c>
      <c r="C447" s="69">
        <v>38</v>
      </c>
      <c r="D447" s="69">
        <v>33</v>
      </c>
      <c r="E447" s="69">
        <v>9</v>
      </c>
      <c r="F447" s="69">
        <v>0</v>
      </c>
      <c r="G447" s="69" t="s">
        <v>183</v>
      </c>
      <c r="H447" s="69" t="s">
        <v>52</v>
      </c>
      <c r="I447" s="69" t="s">
        <v>392</v>
      </c>
      <c r="J447" s="69" t="s">
        <v>55</v>
      </c>
      <c r="K447" s="69" t="s">
        <v>396</v>
      </c>
      <c r="M447" s="69" t="s">
        <v>6</v>
      </c>
    </row>
    <row r="448" spans="2:13">
      <c r="B448" s="69">
        <v>446</v>
      </c>
      <c r="C448" s="69">
        <v>38</v>
      </c>
      <c r="D448" s="69">
        <v>33</v>
      </c>
      <c r="E448" s="69">
        <v>10</v>
      </c>
      <c r="F448" s="69">
        <v>0</v>
      </c>
      <c r="G448" s="69" t="s">
        <v>183</v>
      </c>
      <c r="H448" s="69" t="s">
        <v>52</v>
      </c>
      <c r="I448" s="69" t="s">
        <v>392</v>
      </c>
      <c r="J448" s="69" t="s">
        <v>99</v>
      </c>
      <c r="K448" s="69" t="s">
        <v>397</v>
      </c>
      <c r="M448" s="69" t="s">
        <v>6</v>
      </c>
    </row>
    <row r="449" spans="2:13">
      <c r="B449" s="69">
        <v>447</v>
      </c>
      <c r="C449" s="69">
        <v>38</v>
      </c>
      <c r="D449" s="69">
        <v>33</v>
      </c>
      <c r="E449" s="69">
        <v>11</v>
      </c>
      <c r="F449" s="69">
        <v>0</v>
      </c>
      <c r="G449" s="69" t="s">
        <v>183</v>
      </c>
      <c r="H449" s="69" t="s">
        <v>52</v>
      </c>
      <c r="I449" s="69" t="s">
        <v>392</v>
      </c>
      <c r="J449" s="69" t="s">
        <v>99</v>
      </c>
      <c r="K449" s="69" t="s">
        <v>398</v>
      </c>
      <c r="M449" s="69" t="s">
        <v>6</v>
      </c>
    </row>
    <row r="450" spans="2:13">
      <c r="B450" s="69">
        <v>448</v>
      </c>
      <c r="C450" s="69">
        <v>38</v>
      </c>
      <c r="D450" s="69">
        <v>33</v>
      </c>
      <c r="E450" s="69">
        <v>12</v>
      </c>
      <c r="F450" s="69">
        <v>0</v>
      </c>
      <c r="G450" s="69" t="s">
        <v>183</v>
      </c>
      <c r="H450" s="69" t="s">
        <v>52</v>
      </c>
      <c r="I450" s="69" t="s">
        <v>392</v>
      </c>
      <c r="J450" s="69" t="s">
        <v>99</v>
      </c>
      <c r="K450" s="69" t="s">
        <v>399</v>
      </c>
      <c r="M450" s="69" t="s">
        <v>6</v>
      </c>
    </row>
    <row r="451" spans="2:13">
      <c r="B451" s="69">
        <v>449</v>
      </c>
      <c r="C451" s="69">
        <v>38</v>
      </c>
      <c r="D451" s="69">
        <v>33</v>
      </c>
      <c r="E451" s="69">
        <v>13</v>
      </c>
      <c r="F451" s="69">
        <v>0</v>
      </c>
      <c r="G451" s="69" t="s">
        <v>183</v>
      </c>
      <c r="H451" s="69" t="s">
        <v>52</v>
      </c>
      <c r="I451" s="69" t="s">
        <v>392</v>
      </c>
      <c r="J451" s="69" t="s">
        <v>55</v>
      </c>
      <c r="K451" s="69" t="s">
        <v>259</v>
      </c>
      <c r="M451" s="69" t="s">
        <v>6</v>
      </c>
    </row>
    <row r="452" spans="2:13">
      <c r="B452" s="69">
        <v>450</v>
      </c>
      <c r="C452" s="69">
        <v>38</v>
      </c>
      <c r="D452" s="69">
        <v>33</v>
      </c>
      <c r="E452" s="69">
        <v>14</v>
      </c>
      <c r="F452" s="69">
        <v>0</v>
      </c>
      <c r="G452" s="69" t="s">
        <v>183</v>
      </c>
      <c r="H452" s="69" t="s">
        <v>52</v>
      </c>
      <c r="I452" s="69" t="s">
        <v>392</v>
      </c>
      <c r="J452" s="69" t="s">
        <v>99</v>
      </c>
      <c r="K452" s="69" t="s">
        <v>260</v>
      </c>
      <c r="M452" s="69" t="s">
        <v>6</v>
      </c>
    </row>
    <row r="453" spans="2:13">
      <c r="B453" s="69">
        <v>451</v>
      </c>
      <c r="C453" s="69">
        <v>38</v>
      </c>
      <c r="D453" s="69">
        <v>33</v>
      </c>
      <c r="E453" s="69">
        <v>15</v>
      </c>
      <c r="F453" s="69">
        <v>0</v>
      </c>
      <c r="G453" s="69" t="s">
        <v>183</v>
      </c>
      <c r="H453" s="69" t="s">
        <v>52</v>
      </c>
      <c r="I453" s="69" t="s">
        <v>392</v>
      </c>
      <c r="J453" s="69" t="s">
        <v>99</v>
      </c>
      <c r="K453" s="69" t="s">
        <v>261</v>
      </c>
      <c r="M453" s="69" t="s">
        <v>6</v>
      </c>
    </row>
    <row r="454" spans="2:13">
      <c r="B454" s="69">
        <v>452</v>
      </c>
      <c r="C454" s="69">
        <v>38</v>
      </c>
      <c r="D454" s="69">
        <v>33</v>
      </c>
      <c r="E454" s="69">
        <v>16</v>
      </c>
      <c r="F454" s="69">
        <v>0</v>
      </c>
      <c r="G454" s="69" t="s">
        <v>183</v>
      </c>
      <c r="H454" s="69" t="s">
        <v>52</v>
      </c>
      <c r="I454" s="69" t="s">
        <v>392</v>
      </c>
      <c r="J454" s="69" t="s">
        <v>99</v>
      </c>
      <c r="K454" s="69" t="s">
        <v>262</v>
      </c>
      <c r="M454" s="69" t="s">
        <v>6</v>
      </c>
    </row>
    <row r="455" spans="2:13">
      <c r="B455" s="69">
        <v>453</v>
      </c>
      <c r="C455" s="69">
        <v>38</v>
      </c>
      <c r="D455" s="69">
        <v>33</v>
      </c>
      <c r="E455" s="69">
        <v>17</v>
      </c>
      <c r="F455" s="69">
        <v>0</v>
      </c>
      <c r="G455" s="69" t="s">
        <v>183</v>
      </c>
      <c r="H455" s="69" t="s">
        <v>52</v>
      </c>
      <c r="I455" s="69" t="s">
        <v>392</v>
      </c>
      <c r="J455" s="69" t="s">
        <v>269</v>
      </c>
      <c r="K455" s="69" t="s">
        <v>400</v>
      </c>
      <c r="M455" s="69" t="s">
        <v>6</v>
      </c>
    </row>
    <row r="456" spans="2:13">
      <c r="B456" s="69">
        <v>454</v>
      </c>
      <c r="C456" s="69">
        <v>38</v>
      </c>
      <c r="D456" s="69">
        <v>33</v>
      </c>
      <c r="E456" s="69">
        <v>18</v>
      </c>
      <c r="F456" s="69">
        <v>0</v>
      </c>
      <c r="G456" s="69" t="s">
        <v>183</v>
      </c>
      <c r="H456" s="69" t="s">
        <v>52</v>
      </c>
      <c r="I456" s="69" t="s">
        <v>392</v>
      </c>
      <c r="J456" s="69" t="s">
        <v>99</v>
      </c>
      <c r="K456" s="69" t="s">
        <v>401</v>
      </c>
      <c r="M456" s="69" t="s">
        <v>6</v>
      </c>
    </row>
    <row r="457" spans="2:13">
      <c r="B457" s="69">
        <v>455</v>
      </c>
      <c r="C457" s="69">
        <v>38</v>
      </c>
      <c r="D457" s="69">
        <v>33</v>
      </c>
      <c r="E457" s="69">
        <v>19</v>
      </c>
      <c r="F457" s="69">
        <v>0</v>
      </c>
      <c r="G457" s="69" t="s">
        <v>183</v>
      </c>
      <c r="H457" s="69" t="s">
        <v>52</v>
      </c>
      <c r="I457" s="69" t="s">
        <v>392</v>
      </c>
      <c r="J457" s="69" t="s">
        <v>99</v>
      </c>
      <c r="K457" s="69" t="s">
        <v>402</v>
      </c>
      <c r="M457" s="69" t="s">
        <v>6</v>
      </c>
    </row>
    <row r="458" spans="2:13">
      <c r="B458" s="69">
        <v>456</v>
      </c>
      <c r="C458" s="69">
        <v>38</v>
      </c>
      <c r="D458" s="69">
        <v>33</v>
      </c>
      <c r="E458" s="69">
        <v>20</v>
      </c>
      <c r="F458" s="69">
        <v>0</v>
      </c>
      <c r="G458" s="69" t="s">
        <v>183</v>
      </c>
      <c r="H458" s="69" t="s">
        <v>52</v>
      </c>
      <c r="I458" s="69" t="s">
        <v>392</v>
      </c>
      <c r="J458" s="69" t="s">
        <v>269</v>
      </c>
      <c r="K458" s="69" t="s">
        <v>403</v>
      </c>
      <c r="M458" s="69" t="s">
        <v>6</v>
      </c>
    </row>
    <row r="459" spans="2:13">
      <c r="B459" s="69">
        <v>457</v>
      </c>
      <c r="C459" s="69">
        <v>38</v>
      </c>
      <c r="D459" s="69">
        <v>33</v>
      </c>
      <c r="E459" s="69">
        <v>21</v>
      </c>
      <c r="F459" s="69">
        <v>0</v>
      </c>
      <c r="G459" s="69" t="s">
        <v>183</v>
      </c>
      <c r="H459" s="69" t="s">
        <v>52</v>
      </c>
      <c r="I459" s="69" t="s">
        <v>392</v>
      </c>
      <c r="J459" s="69" t="s">
        <v>99</v>
      </c>
      <c r="K459" s="69" t="s">
        <v>404</v>
      </c>
      <c r="M459" s="69" t="s">
        <v>6</v>
      </c>
    </row>
    <row r="460" spans="2:13">
      <c r="B460" s="69">
        <v>458</v>
      </c>
      <c r="C460" s="69">
        <v>38</v>
      </c>
      <c r="D460" s="69">
        <v>33</v>
      </c>
      <c r="E460" s="69">
        <v>22</v>
      </c>
      <c r="F460" s="69">
        <v>0</v>
      </c>
      <c r="G460" s="69" t="s">
        <v>183</v>
      </c>
      <c r="H460" s="69" t="s">
        <v>52</v>
      </c>
      <c r="I460" s="69" t="s">
        <v>392</v>
      </c>
      <c r="J460" s="69" t="s">
        <v>99</v>
      </c>
      <c r="K460" s="69" t="s">
        <v>405</v>
      </c>
      <c r="M460" s="69" t="s">
        <v>6</v>
      </c>
    </row>
    <row r="461" spans="2:13">
      <c r="B461" s="69">
        <v>459</v>
      </c>
      <c r="C461" s="69">
        <v>38</v>
      </c>
      <c r="D461" s="69">
        <v>33</v>
      </c>
      <c r="E461" s="69">
        <v>23</v>
      </c>
      <c r="F461" s="69">
        <v>0</v>
      </c>
      <c r="G461" s="69" t="s">
        <v>183</v>
      </c>
      <c r="H461" s="69" t="s">
        <v>52</v>
      </c>
      <c r="I461" s="69" t="s">
        <v>392</v>
      </c>
      <c r="J461" s="69" t="s">
        <v>99</v>
      </c>
      <c r="K461" s="69" t="s">
        <v>406</v>
      </c>
      <c r="M461" s="69" t="s">
        <v>6</v>
      </c>
    </row>
    <row r="462" spans="2:13">
      <c r="B462" s="69">
        <v>460</v>
      </c>
      <c r="C462" s="69">
        <v>38</v>
      </c>
      <c r="D462" s="69">
        <v>33</v>
      </c>
      <c r="E462" s="69">
        <v>24</v>
      </c>
      <c r="F462" s="69">
        <v>0</v>
      </c>
      <c r="G462" s="69" t="s">
        <v>183</v>
      </c>
      <c r="H462" s="69" t="s">
        <v>52</v>
      </c>
      <c r="I462" s="69" t="s">
        <v>392</v>
      </c>
      <c r="J462" s="69" t="s">
        <v>99</v>
      </c>
      <c r="K462" s="69" t="s">
        <v>407</v>
      </c>
      <c r="M462" s="69" t="s">
        <v>6</v>
      </c>
    </row>
    <row r="463" spans="2:13">
      <c r="B463" s="69">
        <v>461</v>
      </c>
      <c r="C463" s="69">
        <v>38</v>
      </c>
      <c r="D463" s="69">
        <v>33</v>
      </c>
      <c r="E463" s="69">
        <v>25</v>
      </c>
      <c r="F463" s="69">
        <v>0</v>
      </c>
      <c r="G463" s="69" t="s">
        <v>183</v>
      </c>
      <c r="H463" s="69" t="s">
        <v>52</v>
      </c>
      <c r="I463" s="69" t="s">
        <v>392</v>
      </c>
      <c r="J463" s="69" t="s">
        <v>99</v>
      </c>
      <c r="K463" s="69" t="s">
        <v>408</v>
      </c>
      <c r="M463" s="69" t="s">
        <v>6</v>
      </c>
    </row>
    <row r="464" spans="2:13">
      <c r="B464" s="69">
        <v>462</v>
      </c>
      <c r="C464" s="69">
        <v>38</v>
      </c>
      <c r="D464" s="69">
        <v>33</v>
      </c>
      <c r="E464" s="69">
        <v>26</v>
      </c>
      <c r="F464" s="69">
        <v>0</v>
      </c>
      <c r="G464" s="69" t="s">
        <v>183</v>
      </c>
      <c r="H464" s="69" t="s">
        <v>52</v>
      </c>
      <c r="I464" s="69" t="s">
        <v>392</v>
      </c>
      <c r="J464" s="69" t="s">
        <v>99</v>
      </c>
      <c r="K464" s="69" t="s">
        <v>409</v>
      </c>
      <c r="M464" s="69" t="s">
        <v>6</v>
      </c>
    </row>
    <row r="465" spans="2:13">
      <c r="B465" s="69">
        <v>463</v>
      </c>
      <c r="C465" s="69">
        <v>38</v>
      </c>
      <c r="D465" s="69">
        <v>33</v>
      </c>
      <c r="E465" s="69">
        <v>27</v>
      </c>
      <c r="F465" s="69">
        <v>0</v>
      </c>
      <c r="G465" s="69" t="s">
        <v>183</v>
      </c>
      <c r="H465" s="69" t="s">
        <v>52</v>
      </c>
      <c r="I465" s="69" t="s">
        <v>392</v>
      </c>
      <c r="J465" s="69" t="s">
        <v>99</v>
      </c>
      <c r="K465" s="69" t="s">
        <v>410</v>
      </c>
      <c r="M465" s="69" t="s">
        <v>6</v>
      </c>
    </row>
    <row r="466" spans="2:13">
      <c r="B466" s="69">
        <v>464</v>
      </c>
      <c r="C466" s="69">
        <v>38</v>
      </c>
      <c r="D466" s="69">
        <v>33</v>
      </c>
      <c r="E466" s="69">
        <v>28</v>
      </c>
      <c r="F466" s="69">
        <v>0</v>
      </c>
      <c r="G466" s="69" t="s">
        <v>183</v>
      </c>
      <c r="H466" s="69" t="s">
        <v>52</v>
      </c>
      <c r="I466" s="69" t="s">
        <v>392</v>
      </c>
      <c r="J466" s="69" t="s">
        <v>99</v>
      </c>
      <c r="K466" s="69" t="s">
        <v>411</v>
      </c>
      <c r="M466" s="69" t="s">
        <v>6</v>
      </c>
    </row>
    <row r="467" spans="2:13">
      <c r="B467" s="69">
        <v>465</v>
      </c>
      <c r="C467" s="69">
        <v>38</v>
      </c>
      <c r="D467" s="69">
        <v>33</v>
      </c>
      <c r="E467" s="69">
        <v>29</v>
      </c>
      <c r="F467" s="69">
        <v>0</v>
      </c>
      <c r="G467" s="69" t="s">
        <v>183</v>
      </c>
      <c r="H467" s="69" t="s">
        <v>52</v>
      </c>
      <c r="I467" s="69" t="s">
        <v>392</v>
      </c>
      <c r="J467" s="69" t="s">
        <v>99</v>
      </c>
      <c r="K467" s="69" t="s">
        <v>412</v>
      </c>
      <c r="M467" s="69" t="s">
        <v>6</v>
      </c>
    </row>
    <row r="468" spans="2:13">
      <c r="B468" s="69">
        <v>466</v>
      </c>
      <c r="C468" s="69">
        <v>38</v>
      </c>
      <c r="D468" s="69">
        <v>33</v>
      </c>
      <c r="E468" s="69">
        <v>30</v>
      </c>
      <c r="F468" s="69">
        <v>0</v>
      </c>
      <c r="G468" s="69" t="s">
        <v>183</v>
      </c>
      <c r="H468" s="69" t="s">
        <v>52</v>
      </c>
      <c r="I468" s="69" t="s">
        <v>392</v>
      </c>
      <c r="J468" s="69" t="s">
        <v>99</v>
      </c>
      <c r="K468" s="69" t="s">
        <v>413</v>
      </c>
      <c r="M468" s="69" t="s">
        <v>6</v>
      </c>
    </row>
    <row r="469" spans="2:13">
      <c r="B469" s="69">
        <v>467</v>
      </c>
      <c r="C469" s="69">
        <v>38</v>
      </c>
      <c r="D469" s="69">
        <v>33</v>
      </c>
      <c r="E469" s="69">
        <v>31</v>
      </c>
      <c r="F469" s="69">
        <v>0</v>
      </c>
      <c r="G469" s="69" t="s">
        <v>183</v>
      </c>
      <c r="H469" s="69" t="s">
        <v>52</v>
      </c>
      <c r="I469" s="69" t="s">
        <v>392</v>
      </c>
      <c r="J469" s="69" t="s">
        <v>99</v>
      </c>
      <c r="K469" s="69" t="s">
        <v>414</v>
      </c>
      <c r="M469" s="69" t="s">
        <v>6</v>
      </c>
    </row>
    <row r="470" spans="2:13">
      <c r="B470" s="69">
        <v>468</v>
      </c>
      <c r="C470" s="69">
        <v>38</v>
      </c>
      <c r="D470" s="69">
        <v>33</v>
      </c>
      <c r="E470" s="69">
        <v>32</v>
      </c>
      <c r="F470" s="69">
        <v>0</v>
      </c>
      <c r="G470" s="69" t="s">
        <v>183</v>
      </c>
      <c r="H470" s="69" t="s">
        <v>52</v>
      </c>
      <c r="I470" s="69" t="s">
        <v>392</v>
      </c>
      <c r="J470" s="69" t="s">
        <v>99</v>
      </c>
      <c r="K470" s="69" t="s">
        <v>415</v>
      </c>
      <c r="M470" s="69" t="s">
        <v>6</v>
      </c>
    </row>
    <row r="471" spans="2:13">
      <c r="B471" s="69">
        <v>469</v>
      </c>
      <c r="C471" s="69">
        <v>38</v>
      </c>
      <c r="D471" s="69">
        <v>33</v>
      </c>
      <c r="E471" s="69">
        <v>33</v>
      </c>
      <c r="F471" s="69">
        <v>0</v>
      </c>
      <c r="G471" s="69" t="s">
        <v>183</v>
      </c>
      <c r="H471" s="69" t="s">
        <v>52</v>
      </c>
      <c r="I471" s="69" t="s">
        <v>392</v>
      </c>
      <c r="J471" s="69" t="s">
        <v>55</v>
      </c>
      <c r="K471" s="69" t="s">
        <v>416</v>
      </c>
      <c r="M471" s="69" t="s">
        <v>6</v>
      </c>
    </row>
    <row r="472" spans="2:13">
      <c r="B472" s="69">
        <v>470</v>
      </c>
      <c r="C472" s="69">
        <v>39</v>
      </c>
      <c r="D472" s="69">
        <v>6</v>
      </c>
      <c r="E472" s="69">
        <v>0</v>
      </c>
      <c r="F472" s="69">
        <v>0</v>
      </c>
      <c r="G472" s="69" t="s">
        <v>183</v>
      </c>
      <c r="H472" s="69" t="s">
        <v>9</v>
      </c>
      <c r="I472" s="69" t="s">
        <v>417</v>
      </c>
      <c r="J472" s="69" t="s">
        <v>54</v>
      </c>
      <c r="K472" s="69" t="s">
        <v>417</v>
      </c>
      <c r="M472" s="69" t="s">
        <v>6</v>
      </c>
    </row>
    <row r="473" spans="2:13">
      <c r="B473" s="69">
        <v>471</v>
      </c>
      <c r="C473" s="69">
        <v>39</v>
      </c>
      <c r="D473" s="69">
        <v>6</v>
      </c>
      <c r="E473" s="69">
        <v>1</v>
      </c>
      <c r="F473" s="69">
        <v>0</v>
      </c>
      <c r="G473" s="69" t="s">
        <v>183</v>
      </c>
      <c r="H473" s="69" t="s">
        <v>9</v>
      </c>
      <c r="I473" s="69" t="s">
        <v>417</v>
      </c>
      <c r="J473" s="69" t="s">
        <v>55</v>
      </c>
      <c r="K473" s="69" t="s">
        <v>418</v>
      </c>
      <c r="M473" s="69" t="s">
        <v>6</v>
      </c>
    </row>
    <row r="474" spans="2:13">
      <c r="B474" s="69">
        <v>472</v>
      </c>
      <c r="C474" s="69">
        <v>39</v>
      </c>
      <c r="D474" s="69">
        <v>6</v>
      </c>
      <c r="E474" s="69">
        <v>2</v>
      </c>
      <c r="F474" s="69">
        <v>0</v>
      </c>
      <c r="G474" s="69" t="s">
        <v>183</v>
      </c>
      <c r="H474" s="69" t="s">
        <v>9</v>
      </c>
      <c r="I474" s="69" t="s">
        <v>417</v>
      </c>
      <c r="J474" s="69" t="s">
        <v>99</v>
      </c>
      <c r="K474" s="69" t="s">
        <v>419</v>
      </c>
      <c r="M474" s="69" t="s">
        <v>6</v>
      </c>
    </row>
    <row r="475" spans="2:13">
      <c r="B475" s="69">
        <v>473</v>
      </c>
      <c r="C475" s="69">
        <v>39</v>
      </c>
      <c r="D475" s="69">
        <v>6</v>
      </c>
      <c r="E475" s="69">
        <v>3</v>
      </c>
      <c r="F475" s="69">
        <v>0</v>
      </c>
      <c r="G475" s="69" t="s">
        <v>183</v>
      </c>
      <c r="H475" s="69" t="s">
        <v>9</v>
      </c>
      <c r="I475" s="69" t="s">
        <v>417</v>
      </c>
      <c r="J475" s="69" t="s">
        <v>420</v>
      </c>
      <c r="K475" s="69" t="s">
        <v>421</v>
      </c>
      <c r="M475" s="69" t="s">
        <v>6</v>
      </c>
    </row>
    <row r="476" spans="2:13">
      <c r="B476" s="69">
        <v>474</v>
      </c>
      <c r="C476" s="69">
        <v>39</v>
      </c>
      <c r="D476" s="69">
        <v>6</v>
      </c>
      <c r="E476" s="69">
        <v>4</v>
      </c>
      <c r="F476" s="69">
        <v>0</v>
      </c>
      <c r="G476" s="69" t="s">
        <v>183</v>
      </c>
      <c r="H476" s="69" t="s">
        <v>9</v>
      </c>
      <c r="I476" s="69" t="s">
        <v>417</v>
      </c>
      <c r="J476" s="69" t="s">
        <v>64</v>
      </c>
      <c r="K476" s="69" t="s">
        <v>422</v>
      </c>
      <c r="M476" s="69" t="s">
        <v>6</v>
      </c>
    </row>
    <row r="477" spans="2:13">
      <c r="B477" s="69">
        <v>475</v>
      </c>
      <c r="C477" s="69">
        <v>39</v>
      </c>
      <c r="D477" s="69">
        <v>6</v>
      </c>
      <c r="E477" s="69">
        <v>5</v>
      </c>
      <c r="F477" s="69">
        <v>0</v>
      </c>
      <c r="G477" s="69" t="s">
        <v>183</v>
      </c>
      <c r="H477" s="69" t="s">
        <v>9</v>
      </c>
      <c r="I477" s="69" t="s">
        <v>417</v>
      </c>
      <c r="J477" s="69" t="s">
        <v>55</v>
      </c>
      <c r="K477" s="69" t="s">
        <v>93</v>
      </c>
      <c r="M477" s="69" t="s">
        <v>6</v>
      </c>
    </row>
    <row r="478" spans="2:13">
      <c r="B478" s="69">
        <v>476</v>
      </c>
      <c r="C478" s="69">
        <v>39</v>
      </c>
      <c r="D478" s="69">
        <v>6</v>
      </c>
      <c r="E478" s="69">
        <v>6</v>
      </c>
      <c r="F478" s="69">
        <v>0</v>
      </c>
      <c r="G478" s="69" t="s">
        <v>183</v>
      </c>
      <c r="H478" s="69" t="s">
        <v>9</v>
      </c>
      <c r="I478" s="69" t="s">
        <v>417</v>
      </c>
      <c r="J478" s="69" t="s">
        <v>64</v>
      </c>
      <c r="K478" s="69" t="s">
        <v>94</v>
      </c>
      <c r="M478" s="69" t="s">
        <v>6</v>
      </c>
    </row>
    <row r="479" spans="2:13">
      <c r="B479" s="69">
        <v>477</v>
      </c>
      <c r="C479" s="69">
        <v>40</v>
      </c>
      <c r="D479" s="69">
        <v>4</v>
      </c>
      <c r="E479" s="69">
        <v>0</v>
      </c>
      <c r="F479" s="69">
        <v>0</v>
      </c>
      <c r="G479" s="69" t="s">
        <v>13</v>
      </c>
      <c r="H479" s="69" t="s">
        <v>52</v>
      </c>
      <c r="I479" s="69" t="s">
        <v>423</v>
      </c>
      <c r="J479" s="69" t="s">
        <v>54</v>
      </c>
      <c r="K479" s="69" t="s">
        <v>423</v>
      </c>
      <c r="M479" s="69" t="s">
        <v>6</v>
      </c>
    </row>
    <row r="480" spans="2:13">
      <c r="B480" s="69">
        <v>478</v>
      </c>
      <c r="C480" s="69">
        <v>40</v>
      </c>
      <c r="D480" s="69">
        <v>4</v>
      </c>
      <c r="E480" s="69">
        <v>1</v>
      </c>
      <c r="F480" s="69">
        <v>0</v>
      </c>
      <c r="G480" s="69" t="s">
        <v>13</v>
      </c>
      <c r="H480" s="69" t="s">
        <v>52</v>
      </c>
      <c r="I480" s="69" t="s">
        <v>423</v>
      </c>
      <c r="J480" s="69" t="s">
        <v>55</v>
      </c>
      <c r="K480" s="69" t="s">
        <v>62</v>
      </c>
      <c r="M480" s="69" t="s">
        <v>6</v>
      </c>
    </row>
    <row r="481" spans="2:13">
      <c r="B481" s="69">
        <v>479</v>
      </c>
      <c r="C481" s="69">
        <v>40</v>
      </c>
      <c r="D481" s="69">
        <v>4</v>
      </c>
      <c r="E481" s="69">
        <v>2</v>
      </c>
      <c r="F481" s="69">
        <v>0</v>
      </c>
      <c r="G481" s="69" t="s">
        <v>13</v>
      </c>
      <c r="H481" s="69" t="s">
        <v>52</v>
      </c>
      <c r="I481" s="69" t="s">
        <v>423</v>
      </c>
      <c r="J481" s="69" t="s">
        <v>55</v>
      </c>
      <c r="K481" s="69" t="s">
        <v>63</v>
      </c>
      <c r="M481" s="69" t="s">
        <v>6</v>
      </c>
    </row>
    <row r="482" spans="2:13">
      <c r="B482" s="69">
        <v>480</v>
      </c>
      <c r="C482" s="69">
        <v>40</v>
      </c>
      <c r="D482" s="69">
        <v>4</v>
      </c>
      <c r="E482" s="69">
        <v>3</v>
      </c>
      <c r="F482" s="69">
        <v>0</v>
      </c>
      <c r="G482" s="69" t="s">
        <v>13</v>
      </c>
      <c r="H482" s="69" t="s">
        <v>52</v>
      </c>
      <c r="I482" s="69" t="s">
        <v>423</v>
      </c>
      <c r="J482" s="69" t="s">
        <v>64</v>
      </c>
      <c r="K482" s="69" t="s">
        <v>65</v>
      </c>
      <c r="M482" s="69" t="s">
        <v>6</v>
      </c>
    </row>
    <row r="483" spans="2:13">
      <c r="B483" s="69">
        <v>481</v>
      </c>
      <c r="C483" s="69">
        <v>40</v>
      </c>
      <c r="D483" s="69">
        <v>4</v>
      </c>
      <c r="E483" s="69">
        <v>4</v>
      </c>
      <c r="F483" s="69">
        <v>0</v>
      </c>
      <c r="G483" s="69" t="s">
        <v>13</v>
      </c>
      <c r="H483" s="69" t="s">
        <v>52</v>
      </c>
      <c r="I483" s="69" t="s">
        <v>423</v>
      </c>
      <c r="J483" s="69" t="s">
        <v>55</v>
      </c>
      <c r="K483" s="69" t="s">
        <v>424</v>
      </c>
      <c r="M483" s="69" t="s">
        <v>6</v>
      </c>
    </row>
    <row r="484" spans="2:13">
      <c r="B484" s="69">
        <v>482</v>
      </c>
      <c r="C484" s="69">
        <v>41</v>
      </c>
      <c r="D484" s="69">
        <v>4</v>
      </c>
      <c r="E484" s="69">
        <v>0</v>
      </c>
      <c r="F484" s="69">
        <v>0</v>
      </c>
      <c r="G484" s="69" t="s">
        <v>13</v>
      </c>
      <c r="H484" s="69" t="s">
        <v>52</v>
      </c>
      <c r="I484" s="69" t="s">
        <v>425</v>
      </c>
      <c r="J484" s="69" t="s">
        <v>54</v>
      </c>
      <c r="K484" s="69" t="s">
        <v>425</v>
      </c>
      <c r="M484" s="69" t="s">
        <v>6</v>
      </c>
    </row>
    <row r="485" spans="2:13">
      <c r="B485" s="69">
        <v>483</v>
      </c>
      <c r="C485" s="69">
        <v>41</v>
      </c>
      <c r="D485" s="69">
        <v>4</v>
      </c>
      <c r="E485" s="69">
        <v>1</v>
      </c>
      <c r="F485" s="69">
        <v>0</v>
      </c>
      <c r="G485" s="69" t="s">
        <v>13</v>
      </c>
      <c r="H485" s="69" t="s">
        <v>52</v>
      </c>
      <c r="I485" s="69" t="s">
        <v>425</v>
      </c>
      <c r="J485" s="69" t="s">
        <v>55</v>
      </c>
      <c r="K485" s="69" t="s">
        <v>62</v>
      </c>
      <c r="M485" s="69" t="s">
        <v>6</v>
      </c>
    </row>
    <row r="486" spans="2:13">
      <c r="B486" s="69">
        <v>484</v>
      </c>
      <c r="C486" s="69">
        <v>41</v>
      </c>
      <c r="D486" s="69">
        <v>4</v>
      </c>
      <c r="E486" s="69">
        <v>2</v>
      </c>
      <c r="F486" s="69">
        <v>0</v>
      </c>
      <c r="G486" s="69" t="s">
        <v>13</v>
      </c>
      <c r="H486" s="69" t="s">
        <v>52</v>
      </c>
      <c r="I486" s="69" t="s">
        <v>425</v>
      </c>
      <c r="J486" s="69" t="s">
        <v>55</v>
      </c>
      <c r="K486" s="69" t="s">
        <v>63</v>
      </c>
      <c r="M486" s="69" t="s">
        <v>6</v>
      </c>
    </row>
    <row r="487" spans="2:13">
      <c r="B487" s="69">
        <v>485</v>
      </c>
      <c r="C487" s="69">
        <v>41</v>
      </c>
      <c r="D487" s="69">
        <v>4</v>
      </c>
      <c r="E487" s="69">
        <v>3</v>
      </c>
      <c r="F487" s="69">
        <v>0</v>
      </c>
      <c r="G487" s="69" t="s">
        <v>13</v>
      </c>
      <c r="H487" s="69" t="s">
        <v>52</v>
      </c>
      <c r="I487" s="69" t="s">
        <v>425</v>
      </c>
      <c r="J487" s="69" t="s">
        <v>64</v>
      </c>
      <c r="K487" s="69" t="s">
        <v>65</v>
      </c>
      <c r="M487" s="69" t="s">
        <v>6</v>
      </c>
    </row>
    <row r="488" spans="2:13">
      <c r="B488" s="69">
        <v>486</v>
      </c>
      <c r="C488" s="69">
        <v>41</v>
      </c>
      <c r="D488" s="69">
        <v>4</v>
      </c>
      <c r="E488" s="69">
        <v>4</v>
      </c>
      <c r="F488" s="69">
        <v>0</v>
      </c>
      <c r="G488" s="69" t="s">
        <v>13</v>
      </c>
      <c r="H488" s="69" t="s">
        <v>52</v>
      </c>
      <c r="I488" s="69" t="s">
        <v>425</v>
      </c>
      <c r="J488" s="69" t="s">
        <v>55</v>
      </c>
      <c r="K488" s="69" t="s">
        <v>426</v>
      </c>
      <c r="M488" s="69" t="s">
        <v>6</v>
      </c>
    </row>
    <row r="489" spans="2:13">
      <c r="B489" s="69">
        <v>487</v>
      </c>
      <c r="C489" s="69">
        <v>42</v>
      </c>
      <c r="D489" s="69">
        <v>19</v>
      </c>
      <c r="E489" s="69">
        <v>0</v>
      </c>
      <c r="F489" s="69">
        <v>0</v>
      </c>
      <c r="G489" s="69" t="s">
        <v>13</v>
      </c>
      <c r="H489" s="69" t="s">
        <v>52</v>
      </c>
      <c r="I489" s="69" t="s">
        <v>427</v>
      </c>
      <c r="J489" s="69" t="s">
        <v>54</v>
      </c>
      <c r="K489" s="69" t="s">
        <v>427</v>
      </c>
      <c r="M489" s="69" t="s">
        <v>6</v>
      </c>
    </row>
    <row r="490" spans="2:13">
      <c r="B490" s="69">
        <v>488</v>
      </c>
      <c r="C490" s="69">
        <v>42</v>
      </c>
      <c r="D490" s="69">
        <v>19</v>
      </c>
      <c r="E490" s="69">
        <v>1</v>
      </c>
      <c r="F490" s="69">
        <v>0</v>
      </c>
      <c r="G490" s="69" t="s">
        <v>13</v>
      </c>
      <c r="H490" s="69" t="s">
        <v>52</v>
      </c>
      <c r="I490" s="69" t="s">
        <v>427</v>
      </c>
      <c r="J490" s="69" t="s">
        <v>55</v>
      </c>
      <c r="K490" s="69" t="s">
        <v>62</v>
      </c>
      <c r="M490" s="69" t="s">
        <v>6</v>
      </c>
    </row>
    <row r="491" spans="2:13">
      <c r="B491" s="69">
        <v>489</v>
      </c>
      <c r="C491" s="69">
        <v>42</v>
      </c>
      <c r="D491" s="69">
        <v>19</v>
      </c>
      <c r="E491" s="69">
        <v>2</v>
      </c>
      <c r="F491" s="69">
        <v>0</v>
      </c>
      <c r="G491" s="69" t="s">
        <v>13</v>
      </c>
      <c r="H491" s="69" t="s">
        <v>52</v>
      </c>
      <c r="I491" s="69" t="s">
        <v>427</v>
      </c>
      <c r="J491" s="69" t="s">
        <v>55</v>
      </c>
      <c r="K491" s="69" t="s">
        <v>63</v>
      </c>
      <c r="M491" s="69" t="s">
        <v>6</v>
      </c>
    </row>
    <row r="492" spans="2:13">
      <c r="B492" s="69">
        <v>490</v>
      </c>
      <c r="C492" s="69">
        <v>42</v>
      </c>
      <c r="D492" s="69">
        <v>19</v>
      </c>
      <c r="E492" s="69">
        <v>3</v>
      </c>
      <c r="F492" s="69">
        <v>0</v>
      </c>
      <c r="G492" s="69" t="s">
        <v>13</v>
      </c>
      <c r="H492" s="69" t="s">
        <v>52</v>
      </c>
      <c r="I492" s="69" t="s">
        <v>427</v>
      </c>
      <c r="J492" s="69" t="s">
        <v>64</v>
      </c>
      <c r="K492" s="69" t="s">
        <v>65</v>
      </c>
      <c r="M492" s="69" t="s">
        <v>6</v>
      </c>
    </row>
    <row r="493" spans="2:13">
      <c r="B493" s="69">
        <v>491</v>
      </c>
      <c r="C493" s="69">
        <v>42</v>
      </c>
      <c r="D493" s="69">
        <v>19</v>
      </c>
      <c r="E493" s="69">
        <v>4</v>
      </c>
      <c r="F493" s="69">
        <v>0</v>
      </c>
      <c r="G493" s="69" t="s">
        <v>13</v>
      </c>
      <c r="H493" s="69" t="s">
        <v>52</v>
      </c>
      <c r="I493" s="69" t="s">
        <v>427</v>
      </c>
      <c r="J493" s="69" t="s">
        <v>55</v>
      </c>
      <c r="K493" s="69" t="s">
        <v>428</v>
      </c>
      <c r="M493" s="69" t="s">
        <v>6</v>
      </c>
    </row>
    <row r="494" spans="2:13">
      <c r="B494" s="69">
        <v>492</v>
      </c>
      <c r="C494" s="69">
        <v>42</v>
      </c>
      <c r="D494" s="69">
        <v>19</v>
      </c>
      <c r="E494" s="69">
        <v>5</v>
      </c>
      <c r="F494" s="69">
        <v>0</v>
      </c>
      <c r="G494" s="69" t="s">
        <v>13</v>
      </c>
      <c r="H494" s="69" t="s">
        <v>52</v>
      </c>
      <c r="I494" s="69" t="s">
        <v>427</v>
      </c>
      <c r="J494" s="69" t="s">
        <v>55</v>
      </c>
      <c r="K494" s="69" t="s">
        <v>429</v>
      </c>
      <c r="M494" s="69" t="s">
        <v>6</v>
      </c>
    </row>
    <row r="495" spans="2:13">
      <c r="B495" s="69">
        <v>493</v>
      </c>
      <c r="C495" s="69">
        <v>42</v>
      </c>
      <c r="D495" s="69">
        <v>19</v>
      </c>
      <c r="E495" s="69">
        <v>6</v>
      </c>
      <c r="F495" s="69">
        <v>0</v>
      </c>
      <c r="G495" s="69" t="s">
        <v>13</v>
      </c>
      <c r="H495" s="69" t="s">
        <v>52</v>
      </c>
      <c r="I495" s="69" t="s">
        <v>427</v>
      </c>
      <c r="J495" s="69" t="s">
        <v>55</v>
      </c>
      <c r="K495" s="69" t="s">
        <v>430</v>
      </c>
      <c r="M495" s="69" t="s">
        <v>6</v>
      </c>
    </row>
    <row r="496" spans="2:13">
      <c r="B496" s="69">
        <v>494</v>
      </c>
      <c r="C496" s="69">
        <v>42</v>
      </c>
      <c r="D496" s="69">
        <v>19</v>
      </c>
      <c r="E496" s="69">
        <v>7</v>
      </c>
      <c r="F496" s="69">
        <v>0</v>
      </c>
      <c r="G496" s="69" t="s">
        <v>13</v>
      </c>
      <c r="H496" s="69" t="s">
        <v>52</v>
      </c>
      <c r="I496" s="69" t="s">
        <v>427</v>
      </c>
      <c r="J496" s="69" t="s">
        <v>55</v>
      </c>
      <c r="K496" s="69" t="s">
        <v>431</v>
      </c>
      <c r="M496" s="69" t="s">
        <v>6</v>
      </c>
    </row>
    <row r="497" spans="2:13">
      <c r="B497" s="69">
        <v>495</v>
      </c>
      <c r="C497" s="69">
        <v>42</v>
      </c>
      <c r="D497" s="69">
        <v>19</v>
      </c>
      <c r="E497" s="69">
        <v>8</v>
      </c>
      <c r="F497" s="69">
        <v>0</v>
      </c>
      <c r="G497" s="69" t="s">
        <v>13</v>
      </c>
      <c r="H497" s="69" t="s">
        <v>52</v>
      </c>
      <c r="I497" s="69" t="s">
        <v>427</v>
      </c>
      <c r="J497" s="69" t="s">
        <v>55</v>
      </c>
      <c r="K497" s="69" t="s">
        <v>432</v>
      </c>
      <c r="M497" s="69" t="s">
        <v>6</v>
      </c>
    </row>
    <row r="498" spans="2:13">
      <c r="B498" s="69">
        <v>496</v>
      </c>
      <c r="C498" s="69">
        <v>42</v>
      </c>
      <c r="D498" s="69">
        <v>19</v>
      </c>
      <c r="E498" s="69">
        <v>9</v>
      </c>
      <c r="F498" s="69">
        <v>0</v>
      </c>
      <c r="G498" s="69" t="s">
        <v>13</v>
      </c>
      <c r="H498" s="69" t="s">
        <v>52</v>
      </c>
      <c r="I498" s="69" t="s">
        <v>427</v>
      </c>
      <c r="J498" s="69" t="s">
        <v>55</v>
      </c>
      <c r="K498" s="69" t="s">
        <v>433</v>
      </c>
      <c r="M498" s="69" t="s">
        <v>6</v>
      </c>
    </row>
    <row r="499" spans="2:13">
      <c r="B499" s="69">
        <v>497</v>
      </c>
      <c r="C499" s="69">
        <v>42</v>
      </c>
      <c r="D499" s="69">
        <v>19</v>
      </c>
      <c r="E499" s="69">
        <v>10</v>
      </c>
      <c r="F499" s="69">
        <v>0</v>
      </c>
      <c r="G499" s="69" t="s">
        <v>13</v>
      </c>
      <c r="H499" s="69" t="s">
        <v>52</v>
      </c>
      <c r="I499" s="69" t="s">
        <v>427</v>
      </c>
      <c r="J499" s="69" t="s">
        <v>55</v>
      </c>
      <c r="K499" s="69" t="s">
        <v>434</v>
      </c>
      <c r="M499" s="69" t="s">
        <v>6</v>
      </c>
    </row>
    <row r="500" spans="2:13">
      <c r="B500" s="69">
        <v>498</v>
      </c>
      <c r="C500" s="69">
        <v>42</v>
      </c>
      <c r="D500" s="69">
        <v>19</v>
      </c>
      <c r="E500" s="69">
        <v>11</v>
      </c>
      <c r="F500" s="69">
        <v>0</v>
      </c>
      <c r="G500" s="69" t="s">
        <v>13</v>
      </c>
      <c r="H500" s="69" t="s">
        <v>52</v>
      </c>
      <c r="I500" s="69" t="s">
        <v>427</v>
      </c>
      <c r="J500" s="69" t="s">
        <v>55</v>
      </c>
      <c r="K500" s="69" t="s">
        <v>435</v>
      </c>
      <c r="M500" s="69" t="s">
        <v>6</v>
      </c>
    </row>
    <row r="501" spans="2:13">
      <c r="B501" s="69">
        <v>499</v>
      </c>
      <c r="C501" s="69">
        <v>42</v>
      </c>
      <c r="D501" s="69">
        <v>19</v>
      </c>
      <c r="E501" s="69">
        <v>12</v>
      </c>
      <c r="F501" s="69">
        <v>0</v>
      </c>
      <c r="G501" s="69" t="s">
        <v>13</v>
      </c>
      <c r="H501" s="69" t="s">
        <v>52</v>
      </c>
      <c r="I501" s="69" t="s">
        <v>427</v>
      </c>
      <c r="J501" s="69" t="s">
        <v>55</v>
      </c>
      <c r="K501" s="69" t="s">
        <v>436</v>
      </c>
      <c r="M501" s="69" t="s">
        <v>6</v>
      </c>
    </row>
    <row r="502" spans="2:13">
      <c r="B502" s="69">
        <v>500</v>
      </c>
      <c r="C502" s="69">
        <v>42</v>
      </c>
      <c r="D502" s="69">
        <v>19</v>
      </c>
      <c r="E502" s="69">
        <v>13</v>
      </c>
      <c r="F502" s="69">
        <v>0</v>
      </c>
      <c r="G502" s="69" t="s">
        <v>13</v>
      </c>
      <c r="H502" s="69" t="s">
        <v>52</v>
      </c>
      <c r="I502" s="69" t="s">
        <v>427</v>
      </c>
      <c r="J502" s="69" t="s">
        <v>437</v>
      </c>
      <c r="K502" s="69" t="s">
        <v>438</v>
      </c>
      <c r="L502" s="69" t="s">
        <v>439</v>
      </c>
      <c r="M502" s="69" t="s">
        <v>6</v>
      </c>
    </row>
    <row r="503" spans="2:13">
      <c r="B503" s="69">
        <v>501</v>
      </c>
      <c r="C503" s="69">
        <v>42</v>
      </c>
      <c r="D503" s="69">
        <v>19</v>
      </c>
      <c r="E503" s="69">
        <v>14</v>
      </c>
      <c r="F503" s="69">
        <v>0</v>
      </c>
      <c r="G503" s="69" t="s">
        <v>13</v>
      </c>
      <c r="H503" s="69" t="s">
        <v>52</v>
      </c>
      <c r="I503" s="69" t="s">
        <v>427</v>
      </c>
      <c r="J503" s="69" t="s">
        <v>64</v>
      </c>
      <c r="K503" s="69" t="s">
        <v>440</v>
      </c>
      <c r="M503" s="69" t="s">
        <v>6</v>
      </c>
    </row>
    <row r="504" spans="2:13">
      <c r="B504" s="69">
        <v>502</v>
      </c>
      <c r="C504" s="69">
        <v>42</v>
      </c>
      <c r="D504" s="69">
        <v>19</v>
      </c>
      <c r="E504" s="69">
        <v>15</v>
      </c>
      <c r="F504" s="69">
        <v>0</v>
      </c>
      <c r="G504" s="69" t="s">
        <v>13</v>
      </c>
      <c r="H504" s="69" t="s">
        <v>52</v>
      </c>
      <c r="I504" s="69" t="s">
        <v>427</v>
      </c>
      <c r="J504" s="69" t="s">
        <v>55</v>
      </c>
      <c r="K504" s="69" t="s">
        <v>441</v>
      </c>
      <c r="M504" s="69" t="s">
        <v>6</v>
      </c>
    </row>
    <row r="505" spans="2:13">
      <c r="B505" s="69">
        <v>503</v>
      </c>
      <c r="C505" s="69">
        <v>42</v>
      </c>
      <c r="D505" s="69">
        <v>19</v>
      </c>
      <c r="E505" s="69">
        <v>16</v>
      </c>
      <c r="F505" s="69">
        <v>0</v>
      </c>
      <c r="G505" s="69" t="s">
        <v>13</v>
      </c>
      <c r="H505" s="69" t="s">
        <v>52</v>
      </c>
      <c r="I505" s="69" t="s">
        <v>427</v>
      </c>
      <c r="J505" s="69" t="s">
        <v>437</v>
      </c>
      <c r="K505" s="69" t="s">
        <v>438</v>
      </c>
      <c r="L505" s="69" t="s">
        <v>439</v>
      </c>
      <c r="M505" s="69" t="s">
        <v>6</v>
      </c>
    </row>
    <row r="506" spans="2:13">
      <c r="B506" s="69">
        <v>504</v>
      </c>
      <c r="C506" s="69">
        <v>42</v>
      </c>
      <c r="D506" s="69">
        <v>19</v>
      </c>
      <c r="E506" s="69">
        <v>17</v>
      </c>
      <c r="F506" s="69">
        <v>0</v>
      </c>
      <c r="G506" s="69" t="s">
        <v>13</v>
      </c>
      <c r="H506" s="69" t="s">
        <v>52</v>
      </c>
      <c r="I506" s="69" t="s">
        <v>427</v>
      </c>
      <c r="J506" s="69" t="s">
        <v>64</v>
      </c>
      <c r="K506" s="69" t="s">
        <v>440</v>
      </c>
      <c r="M506" s="69" t="s">
        <v>6</v>
      </c>
    </row>
    <row r="507" spans="2:13">
      <c r="B507" s="69">
        <v>505</v>
      </c>
      <c r="C507" s="69">
        <v>42</v>
      </c>
      <c r="D507" s="69">
        <v>19</v>
      </c>
      <c r="E507" s="69">
        <v>18</v>
      </c>
      <c r="F507" s="69">
        <v>0</v>
      </c>
      <c r="G507" s="69" t="s">
        <v>13</v>
      </c>
      <c r="H507" s="69" t="s">
        <v>52</v>
      </c>
      <c r="I507" s="69" t="s">
        <v>427</v>
      </c>
      <c r="J507" s="69" t="s">
        <v>55</v>
      </c>
      <c r="K507" s="69" t="s">
        <v>442</v>
      </c>
      <c r="M507" s="69" t="s">
        <v>6</v>
      </c>
    </row>
    <row r="508" spans="2:13">
      <c r="B508" s="69">
        <v>506</v>
      </c>
      <c r="C508" s="69">
        <v>42</v>
      </c>
      <c r="D508" s="69">
        <v>19</v>
      </c>
      <c r="E508" s="69">
        <v>19</v>
      </c>
      <c r="F508" s="69">
        <v>0</v>
      </c>
      <c r="G508" s="69" t="s">
        <v>13</v>
      </c>
      <c r="H508" s="69" t="s">
        <v>52</v>
      </c>
      <c r="I508" s="69" t="s">
        <v>427</v>
      </c>
      <c r="J508" s="69" t="s">
        <v>214</v>
      </c>
      <c r="K508" s="69" t="s">
        <v>443</v>
      </c>
      <c r="M508" s="69" t="s">
        <v>6</v>
      </c>
    </row>
    <row r="509" spans="2:13">
      <c r="B509" s="69">
        <v>507</v>
      </c>
      <c r="C509" s="69">
        <v>43</v>
      </c>
      <c r="D509" s="69">
        <v>4</v>
      </c>
      <c r="E509" s="69">
        <v>0</v>
      </c>
      <c r="F509" s="69">
        <v>0</v>
      </c>
      <c r="G509" s="69" t="s">
        <v>13</v>
      </c>
      <c r="H509" s="69" t="s">
        <v>52</v>
      </c>
      <c r="I509" s="69" t="s">
        <v>444</v>
      </c>
      <c r="J509" s="69" t="s">
        <v>54</v>
      </c>
      <c r="K509" s="69" t="s">
        <v>444</v>
      </c>
      <c r="M509" s="69" t="s">
        <v>6</v>
      </c>
    </row>
    <row r="510" spans="2:13">
      <c r="B510" s="69">
        <v>508</v>
      </c>
      <c r="C510" s="69">
        <v>43</v>
      </c>
      <c r="D510" s="69">
        <v>4</v>
      </c>
      <c r="E510" s="69">
        <v>1</v>
      </c>
      <c r="F510" s="69">
        <v>0</v>
      </c>
      <c r="G510" s="69" t="s">
        <v>13</v>
      </c>
      <c r="H510" s="69" t="s">
        <v>52</v>
      </c>
      <c r="I510" s="69" t="s">
        <v>444</v>
      </c>
      <c r="J510" s="69" t="s">
        <v>55</v>
      </c>
      <c r="K510" s="69" t="s">
        <v>62</v>
      </c>
      <c r="M510" s="69" t="s">
        <v>6</v>
      </c>
    </row>
    <row r="511" spans="2:13">
      <c r="B511" s="69">
        <v>509</v>
      </c>
      <c r="C511" s="69">
        <v>43</v>
      </c>
      <c r="D511" s="69">
        <v>4</v>
      </c>
      <c r="E511" s="69">
        <v>2</v>
      </c>
      <c r="F511" s="69">
        <v>0</v>
      </c>
      <c r="G511" s="69" t="s">
        <v>13</v>
      </c>
      <c r="H511" s="69" t="s">
        <v>52</v>
      </c>
      <c r="I511" s="69" t="s">
        <v>444</v>
      </c>
      <c r="J511" s="69" t="s">
        <v>55</v>
      </c>
      <c r="K511" s="69" t="s">
        <v>63</v>
      </c>
      <c r="M511" s="69" t="s">
        <v>6</v>
      </c>
    </row>
    <row r="512" spans="2:13">
      <c r="B512" s="69">
        <v>510</v>
      </c>
      <c r="C512" s="69">
        <v>43</v>
      </c>
      <c r="D512" s="69">
        <v>4</v>
      </c>
      <c r="E512" s="69">
        <v>3</v>
      </c>
      <c r="F512" s="69">
        <v>0</v>
      </c>
      <c r="G512" s="69" t="s">
        <v>13</v>
      </c>
      <c r="H512" s="69" t="s">
        <v>52</v>
      </c>
      <c r="I512" s="69" t="s">
        <v>444</v>
      </c>
      <c r="J512" s="69" t="s">
        <v>64</v>
      </c>
      <c r="K512" s="69" t="s">
        <v>65</v>
      </c>
      <c r="M512" s="69" t="s">
        <v>6</v>
      </c>
    </row>
    <row r="513" spans="2:13">
      <c r="B513" s="69">
        <v>511</v>
      </c>
      <c r="C513" s="69">
        <v>43</v>
      </c>
      <c r="D513" s="69">
        <v>4</v>
      </c>
      <c r="E513" s="69">
        <v>4</v>
      </c>
      <c r="F513" s="69">
        <v>0</v>
      </c>
      <c r="G513" s="69" t="s">
        <v>13</v>
      </c>
      <c r="H513" s="69" t="s">
        <v>52</v>
      </c>
      <c r="I513" s="69" t="s">
        <v>444</v>
      </c>
      <c r="J513" s="69" t="s">
        <v>55</v>
      </c>
      <c r="K513" s="69" t="s">
        <v>445</v>
      </c>
      <c r="M513" s="69" t="s">
        <v>6</v>
      </c>
    </row>
    <row r="514" spans="2:13">
      <c r="B514" s="69">
        <v>512</v>
      </c>
      <c r="C514" s="69">
        <v>44</v>
      </c>
      <c r="D514" s="69">
        <v>4</v>
      </c>
      <c r="E514" s="69">
        <v>0</v>
      </c>
      <c r="F514" s="69">
        <v>0</v>
      </c>
      <c r="G514" s="69" t="s">
        <v>13</v>
      </c>
      <c r="H514" s="69" t="s">
        <v>52</v>
      </c>
      <c r="I514" s="69" t="s">
        <v>446</v>
      </c>
      <c r="J514" s="69" t="s">
        <v>54</v>
      </c>
      <c r="K514" s="69" t="s">
        <v>446</v>
      </c>
      <c r="M514" s="69" t="s">
        <v>6</v>
      </c>
    </row>
    <row r="515" spans="2:13">
      <c r="B515" s="69">
        <v>513</v>
      </c>
      <c r="C515" s="69">
        <v>44</v>
      </c>
      <c r="D515" s="69">
        <v>4</v>
      </c>
      <c r="E515" s="69">
        <v>1</v>
      </c>
      <c r="F515" s="69">
        <v>0</v>
      </c>
      <c r="G515" s="69" t="s">
        <v>13</v>
      </c>
      <c r="H515" s="69" t="s">
        <v>52</v>
      </c>
      <c r="I515" s="69" t="s">
        <v>446</v>
      </c>
      <c r="J515" s="69" t="s">
        <v>55</v>
      </c>
      <c r="K515" s="69" t="s">
        <v>62</v>
      </c>
      <c r="M515" s="69" t="s">
        <v>6</v>
      </c>
    </row>
    <row r="516" spans="2:13">
      <c r="B516" s="69">
        <v>514</v>
      </c>
      <c r="C516" s="69">
        <v>44</v>
      </c>
      <c r="D516" s="69">
        <v>4</v>
      </c>
      <c r="E516" s="69">
        <v>2</v>
      </c>
      <c r="F516" s="69">
        <v>0</v>
      </c>
      <c r="G516" s="69" t="s">
        <v>13</v>
      </c>
      <c r="H516" s="69" t="s">
        <v>52</v>
      </c>
      <c r="I516" s="69" t="s">
        <v>446</v>
      </c>
      <c r="J516" s="69" t="s">
        <v>55</v>
      </c>
      <c r="K516" s="69" t="s">
        <v>63</v>
      </c>
      <c r="M516" s="69" t="s">
        <v>6</v>
      </c>
    </row>
    <row r="517" spans="2:13">
      <c r="B517" s="69">
        <v>515</v>
      </c>
      <c r="C517" s="69">
        <v>44</v>
      </c>
      <c r="D517" s="69">
        <v>4</v>
      </c>
      <c r="E517" s="69">
        <v>3</v>
      </c>
      <c r="F517" s="69">
        <v>0</v>
      </c>
      <c r="G517" s="69" t="s">
        <v>13</v>
      </c>
      <c r="H517" s="69" t="s">
        <v>52</v>
      </c>
      <c r="I517" s="69" t="s">
        <v>446</v>
      </c>
      <c r="J517" s="69" t="s">
        <v>64</v>
      </c>
      <c r="K517" s="69" t="s">
        <v>65</v>
      </c>
      <c r="M517" s="69" t="s">
        <v>6</v>
      </c>
    </row>
    <row r="518" spans="2:13">
      <c r="B518" s="69">
        <v>516</v>
      </c>
      <c r="C518" s="69">
        <v>44</v>
      </c>
      <c r="D518" s="69">
        <v>4</v>
      </c>
      <c r="E518" s="69">
        <v>4</v>
      </c>
      <c r="F518" s="69">
        <v>0</v>
      </c>
      <c r="G518" s="69" t="s">
        <v>13</v>
      </c>
      <c r="H518" s="69" t="s">
        <v>52</v>
      </c>
      <c r="I518" s="69" t="s">
        <v>446</v>
      </c>
      <c r="J518" s="69" t="s">
        <v>55</v>
      </c>
      <c r="K518" s="69" t="s">
        <v>447</v>
      </c>
      <c r="M518" s="69" t="s">
        <v>6</v>
      </c>
    </row>
    <row r="519" spans="2:13">
      <c r="B519" s="69">
        <v>517</v>
      </c>
      <c r="C519" s="69">
        <v>45</v>
      </c>
      <c r="D519" s="69">
        <v>1</v>
      </c>
      <c r="E519" s="69">
        <v>0</v>
      </c>
      <c r="F519" s="69">
        <v>0</v>
      </c>
      <c r="G519" s="69" t="s">
        <v>13</v>
      </c>
      <c r="H519" s="69" t="s">
        <v>52</v>
      </c>
      <c r="I519" s="69" t="s">
        <v>448</v>
      </c>
      <c r="J519" s="69" t="s">
        <v>54</v>
      </c>
      <c r="K519" s="69" t="s">
        <v>448</v>
      </c>
      <c r="M519" s="69" t="s">
        <v>6</v>
      </c>
    </row>
    <row r="520" spans="2:13">
      <c r="B520" s="69">
        <v>518</v>
      </c>
      <c r="C520" s="69">
        <v>45</v>
      </c>
      <c r="D520" s="69">
        <v>1</v>
      </c>
      <c r="E520" s="69">
        <v>1</v>
      </c>
      <c r="F520" s="69">
        <v>0</v>
      </c>
      <c r="G520" s="69" t="s">
        <v>13</v>
      </c>
      <c r="H520" s="69" t="s">
        <v>52</v>
      </c>
      <c r="I520" s="69" t="s">
        <v>448</v>
      </c>
      <c r="J520" s="69" t="s">
        <v>55</v>
      </c>
      <c r="K520" s="69" t="s">
        <v>449</v>
      </c>
      <c r="M520" s="69" t="s">
        <v>6</v>
      </c>
    </row>
    <row r="521" spans="2:13">
      <c r="B521" s="69">
        <v>519</v>
      </c>
      <c r="C521" s="69">
        <v>46</v>
      </c>
      <c r="D521" s="69">
        <v>4</v>
      </c>
      <c r="E521" s="69">
        <v>0</v>
      </c>
      <c r="F521" s="69">
        <v>0</v>
      </c>
      <c r="G521" s="69" t="s">
        <v>13</v>
      </c>
      <c r="H521" s="69" t="s">
        <v>52</v>
      </c>
      <c r="I521" s="69" t="s">
        <v>450</v>
      </c>
      <c r="J521" s="69" t="s">
        <v>54</v>
      </c>
      <c r="K521" s="69" t="s">
        <v>450</v>
      </c>
      <c r="M521" s="69" t="s">
        <v>6</v>
      </c>
    </row>
    <row r="522" spans="2:13">
      <c r="B522" s="69">
        <v>520</v>
      </c>
      <c r="C522" s="69">
        <v>46</v>
      </c>
      <c r="D522" s="69">
        <v>4</v>
      </c>
      <c r="E522" s="69">
        <v>1</v>
      </c>
      <c r="F522" s="69">
        <v>0</v>
      </c>
      <c r="G522" s="69" t="s">
        <v>13</v>
      </c>
      <c r="H522" s="69" t="s">
        <v>52</v>
      </c>
      <c r="I522" s="69" t="s">
        <v>450</v>
      </c>
      <c r="J522" s="69" t="s">
        <v>55</v>
      </c>
      <c r="K522" s="69" t="s">
        <v>62</v>
      </c>
      <c r="M522" s="69" t="s">
        <v>6</v>
      </c>
    </row>
    <row r="523" spans="2:13">
      <c r="B523" s="69">
        <v>521</v>
      </c>
      <c r="C523" s="69">
        <v>46</v>
      </c>
      <c r="D523" s="69">
        <v>4</v>
      </c>
      <c r="E523" s="69">
        <v>2</v>
      </c>
      <c r="F523" s="69">
        <v>0</v>
      </c>
      <c r="G523" s="69" t="s">
        <v>13</v>
      </c>
      <c r="H523" s="69" t="s">
        <v>52</v>
      </c>
      <c r="I523" s="69" t="s">
        <v>450</v>
      </c>
      <c r="J523" s="69" t="s">
        <v>55</v>
      </c>
      <c r="K523" s="69" t="s">
        <v>63</v>
      </c>
      <c r="M523" s="69" t="s">
        <v>6</v>
      </c>
    </row>
    <row r="524" spans="2:13">
      <c r="B524" s="69">
        <v>522</v>
      </c>
      <c r="C524" s="69">
        <v>46</v>
      </c>
      <c r="D524" s="69">
        <v>4</v>
      </c>
      <c r="E524" s="69">
        <v>3</v>
      </c>
      <c r="F524" s="69">
        <v>0</v>
      </c>
      <c r="G524" s="69" t="s">
        <v>13</v>
      </c>
      <c r="H524" s="69" t="s">
        <v>52</v>
      </c>
      <c r="I524" s="69" t="s">
        <v>450</v>
      </c>
      <c r="J524" s="69" t="s">
        <v>64</v>
      </c>
      <c r="K524" s="69" t="s">
        <v>65</v>
      </c>
      <c r="M524" s="69" t="s">
        <v>6</v>
      </c>
    </row>
    <row r="525" spans="2:13">
      <c r="B525" s="69">
        <v>523</v>
      </c>
      <c r="C525" s="69">
        <v>46</v>
      </c>
      <c r="D525" s="69">
        <v>4</v>
      </c>
      <c r="E525" s="69">
        <v>4</v>
      </c>
      <c r="F525" s="69">
        <v>0</v>
      </c>
      <c r="G525" s="69" t="s">
        <v>13</v>
      </c>
      <c r="H525" s="69" t="s">
        <v>52</v>
      </c>
      <c r="I525" s="69" t="s">
        <v>450</v>
      </c>
      <c r="J525" s="69" t="s">
        <v>55</v>
      </c>
      <c r="K525" s="69" t="s">
        <v>451</v>
      </c>
      <c r="M525" s="69" t="s">
        <v>6</v>
      </c>
    </row>
    <row r="526" spans="2:13">
      <c r="B526" s="69">
        <v>524</v>
      </c>
      <c r="C526" s="69">
        <v>47</v>
      </c>
      <c r="D526" s="69">
        <v>4</v>
      </c>
      <c r="E526" s="69">
        <v>0</v>
      </c>
      <c r="F526" s="69">
        <v>0</v>
      </c>
      <c r="G526" s="69" t="s">
        <v>13</v>
      </c>
      <c r="H526" s="69" t="s">
        <v>52</v>
      </c>
      <c r="I526" s="69" t="s">
        <v>452</v>
      </c>
      <c r="J526" s="69" t="s">
        <v>54</v>
      </c>
      <c r="K526" s="69" t="s">
        <v>452</v>
      </c>
      <c r="M526" s="69" t="s">
        <v>6</v>
      </c>
    </row>
    <row r="527" spans="2:13">
      <c r="B527" s="69">
        <v>525</v>
      </c>
      <c r="C527" s="69">
        <v>47</v>
      </c>
      <c r="D527" s="69">
        <v>4</v>
      </c>
      <c r="E527" s="69">
        <v>1</v>
      </c>
      <c r="F527" s="69">
        <v>0</v>
      </c>
      <c r="G527" s="69" t="s">
        <v>13</v>
      </c>
      <c r="H527" s="69" t="s">
        <v>52</v>
      </c>
      <c r="I527" s="69" t="s">
        <v>452</v>
      </c>
      <c r="J527" s="69" t="s">
        <v>55</v>
      </c>
      <c r="K527" s="69" t="s">
        <v>62</v>
      </c>
      <c r="M527" s="69" t="s">
        <v>6</v>
      </c>
    </row>
    <row r="528" spans="2:13">
      <c r="B528" s="69">
        <v>526</v>
      </c>
      <c r="C528" s="69">
        <v>47</v>
      </c>
      <c r="D528" s="69">
        <v>4</v>
      </c>
      <c r="E528" s="69">
        <v>2</v>
      </c>
      <c r="F528" s="69">
        <v>0</v>
      </c>
      <c r="G528" s="69" t="s">
        <v>13</v>
      </c>
      <c r="H528" s="69" t="s">
        <v>52</v>
      </c>
      <c r="I528" s="69" t="s">
        <v>452</v>
      </c>
      <c r="J528" s="69" t="s">
        <v>55</v>
      </c>
      <c r="K528" s="69" t="s">
        <v>63</v>
      </c>
      <c r="M528" s="69" t="s">
        <v>6</v>
      </c>
    </row>
    <row r="529" spans="2:13">
      <c r="B529" s="69">
        <v>527</v>
      </c>
      <c r="C529" s="69">
        <v>47</v>
      </c>
      <c r="D529" s="69">
        <v>4</v>
      </c>
      <c r="E529" s="69">
        <v>3</v>
      </c>
      <c r="F529" s="69">
        <v>0</v>
      </c>
      <c r="G529" s="69" t="s">
        <v>13</v>
      </c>
      <c r="H529" s="69" t="s">
        <v>52</v>
      </c>
      <c r="I529" s="69" t="s">
        <v>452</v>
      </c>
      <c r="J529" s="69" t="s">
        <v>64</v>
      </c>
      <c r="K529" s="69" t="s">
        <v>65</v>
      </c>
      <c r="M529" s="69" t="s">
        <v>6</v>
      </c>
    </row>
    <row r="530" spans="2:13">
      <c r="B530" s="69">
        <v>528</v>
      </c>
      <c r="C530" s="69">
        <v>47</v>
      </c>
      <c r="D530" s="69">
        <v>4</v>
      </c>
      <c r="E530" s="69">
        <v>4</v>
      </c>
      <c r="F530" s="69">
        <v>0</v>
      </c>
      <c r="G530" s="69" t="s">
        <v>13</v>
      </c>
      <c r="H530" s="69" t="s">
        <v>52</v>
      </c>
      <c r="I530" s="69" t="s">
        <v>452</v>
      </c>
      <c r="J530" s="69" t="s">
        <v>55</v>
      </c>
      <c r="K530" s="69" t="s">
        <v>453</v>
      </c>
      <c r="M530" s="69" t="s">
        <v>6</v>
      </c>
    </row>
    <row r="531" spans="2:13">
      <c r="B531" s="69">
        <v>529</v>
      </c>
      <c r="C531" s="69">
        <v>48</v>
      </c>
      <c r="D531" s="69">
        <v>4</v>
      </c>
      <c r="E531" s="69">
        <v>0</v>
      </c>
      <c r="F531" s="69">
        <v>0</v>
      </c>
      <c r="G531" s="69" t="s">
        <v>13</v>
      </c>
      <c r="H531" s="69" t="s">
        <v>52</v>
      </c>
      <c r="I531" s="69" t="s">
        <v>454</v>
      </c>
      <c r="J531" s="69" t="s">
        <v>54</v>
      </c>
      <c r="K531" s="69" t="s">
        <v>454</v>
      </c>
      <c r="M531" s="69" t="s">
        <v>6</v>
      </c>
    </row>
    <row r="532" spans="2:13">
      <c r="B532" s="69">
        <v>530</v>
      </c>
      <c r="C532" s="69">
        <v>48</v>
      </c>
      <c r="D532" s="69">
        <v>4</v>
      </c>
      <c r="E532" s="69">
        <v>1</v>
      </c>
      <c r="F532" s="69">
        <v>0</v>
      </c>
      <c r="G532" s="69" t="s">
        <v>13</v>
      </c>
      <c r="H532" s="69" t="s">
        <v>52</v>
      </c>
      <c r="I532" s="69" t="s">
        <v>454</v>
      </c>
      <c r="J532" s="69" t="s">
        <v>55</v>
      </c>
      <c r="K532" s="69" t="s">
        <v>62</v>
      </c>
      <c r="M532" s="69" t="s">
        <v>6</v>
      </c>
    </row>
    <row r="533" spans="2:13">
      <c r="B533" s="69">
        <v>531</v>
      </c>
      <c r="C533" s="69">
        <v>48</v>
      </c>
      <c r="D533" s="69">
        <v>4</v>
      </c>
      <c r="E533" s="69">
        <v>2</v>
      </c>
      <c r="F533" s="69">
        <v>0</v>
      </c>
      <c r="G533" s="69" t="s">
        <v>13</v>
      </c>
      <c r="H533" s="69" t="s">
        <v>52</v>
      </c>
      <c r="I533" s="69" t="s">
        <v>454</v>
      </c>
      <c r="J533" s="69" t="s">
        <v>55</v>
      </c>
      <c r="K533" s="69" t="s">
        <v>63</v>
      </c>
      <c r="M533" s="69" t="s">
        <v>6</v>
      </c>
    </row>
    <row r="534" spans="2:13">
      <c r="B534" s="69">
        <v>532</v>
      </c>
      <c r="C534" s="69">
        <v>48</v>
      </c>
      <c r="D534" s="69">
        <v>4</v>
      </c>
      <c r="E534" s="69">
        <v>3</v>
      </c>
      <c r="F534" s="69">
        <v>0</v>
      </c>
      <c r="G534" s="69" t="s">
        <v>13</v>
      </c>
      <c r="H534" s="69" t="s">
        <v>52</v>
      </c>
      <c r="I534" s="69" t="s">
        <v>454</v>
      </c>
      <c r="J534" s="69" t="s">
        <v>64</v>
      </c>
      <c r="K534" s="69" t="s">
        <v>65</v>
      </c>
      <c r="M534" s="69" t="s">
        <v>6</v>
      </c>
    </row>
    <row r="535" spans="2:13">
      <c r="B535" s="69">
        <v>533</v>
      </c>
      <c r="C535" s="69">
        <v>48</v>
      </c>
      <c r="D535" s="69">
        <v>4</v>
      </c>
      <c r="E535" s="69">
        <v>4</v>
      </c>
      <c r="F535" s="69">
        <v>0</v>
      </c>
      <c r="G535" s="69" t="s">
        <v>13</v>
      </c>
      <c r="H535" s="69" t="s">
        <v>52</v>
      </c>
      <c r="I535" s="69" t="s">
        <v>454</v>
      </c>
      <c r="J535" s="69" t="s">
        <v>55</v>
      </c>
      <c r="K535" s="69" t="s">
        <v>455</v>
      </c>
      <c r="M535" s="69" t="s">
        <v>6</v>
      </c>
    </row>
    <row r="536" spans="2:13">
      <c r="B536" s="69">
        <v>534</v>
      </c>
      <c r="C536" s="69">
        <v>49</v>
      </c>
      <c r="D536" s="69">
        <v>5</v>
      </c>
      <c r="E536" s="69">
        <v>0</v>
      </c>
      <c r="F536" s="69">
        <v>0</v>
      </c>
      <c r="G536" s="69" t="s">
        <v>13</v>
      </c>
      <c r="H536" s="69" t="s">
        <v>9</v>
      </c>
      <c r="I536" s="69" t="s">
        <v>456</v>
      </c>
      <c r="J536" s="69" t="s">
        <v>54</v>
      </c>
      <c r="K536" s="69" t="s">
        <v>456</v>
      </c>
      <c r="M536" s="69" t="s">
        <v>6</v>
      </c>
    </row>
    <row r="537" spans="2:13">
      <c r="B537" s="69">
        <v>535</v>
      </c>
      <c r="C537" s="69">
        <v>49</v>
      </c>
      <c r="D537" s="69">
        <v>5</v>
      </c>
      <c r="E537" s="69">
        <v>1</v>
      </c>
      <c r="F537" s="69">
        <v>0</v>
      </c>
      <c r="G537" s="69" t="s">
        <v>13</v>
      </c>
      <c r="H537" s="69" t="s">
        <v>9</v>
      </c>
      <c r="I537" s="69" t="s">
        <v>456</v>
      </c>
      <c r="J537" s="69" t="s">
        <v>55</v>
      </c>
      <c r="K537" s="69" t="s">
        <v>457</v>
      </c>
      <c r="M537" s="69" t="s">
        <v>6</v>
      </c>
    </row>
    <row r="538" spans="2:13">
      <c r="B538" s="69">
        <v>536</v>
      </c>
      <c r="C538" s="69">
        <v>49</v>
      </c>
      <c r="D538" s="69">
        <v>5</v>
      </c>
      <c r="E538" s="69">
        <v>2</v>
      </c>
      <c r="F538" s="69">
        <v>0</v>
      </c>
      <c r="G538" s="69" t="s">
        <v>13</v>
      </c>
      <c r="H538" s="69" t="s">
        <v>9</v>
      </c>
      <c r="I538" s="69" t="s">
        <v>456</v>
      </c>
      <c r="J538" s="69" t="s">
        <v>55</v>
      </c>
      <c r="K538" s="69" t="s">
        <v>458</v>
      </c>
      <c r="M538" s="69" t="s">
        <v>6</v>
      </c>
    </row>
    <row r="539" spans="2:13">
      <c r="B539" s="69">
        <v>537</v>
      </c>
      <c r="C539" s="69">
        <v>49</v>
      </c>
      <c r="D539" s="69">
        <v>5</v>
      </c>
      <c r="E539" s="69">
        <v>3</v>
      </c>
      <c r="F539" s="69">
        <v>0</v>
      </c>
      <c r="G539" s="69" t="s">
        <v>13</v>
      </c>
      <c r="H539" s="69" t="s">
        <v>9</v>
      </c>
      <c r="I539" s="69" t="s">
        <v>456</v>
      </c>
      <c r="J539" s="69" t="s">
        <v>55</v>
      </c>
      <c r="K539" s="69" t="s">
        <v>459</v>
      </c>
      <c r="M539" s="69" t="s">
        <v>6</v>
      </c>
    </row>
    <row r="540" spans="2:13">
      <c r="B540" s="69">
        <v>538</v>
      </c>
      <c r="C540" s="69">
        <v>49</v>
      </c>
      <c r="D540" s="69">
        <v>5</v>
      </c>
      <c r="E540" s="69">
        <v>4</v>
      </c>
      <c r="F540" s="69">
        <v>0</v>
      </c>
      <c r="G540" s="69" t="s">
        <v>13</v>
      </c>
      <c r="H540" s="69" t="s">
        <v>9</v>
      </c>
      <c r="I540" s="69" t="s">
        <v>456</v>
      </c>
      <c r="J540" s="69" t="s">
        <v>55</v>
      </c>
      <c r="K540" s="69" t="s">
        <v>93</v>
      </c>
      <c r="M540" s="69" t="s">
        <v>6</v>
      </c>
    </row>
    <row r="541" spans="2:13">
      <c r="B541" s="69">
        <v>539</v>
      </c>
      <c r="C541" s="69">
        <v>49</v>
      </c>
      <c r="D541" s="69">
        <v>5</v>
      </c>
      <c r="E541" s="69">
        <v>5</v>
      </c>
      <c r="F541" s="69">
        <v>0</v>
      </c>
      <c r="G541" s="69" t="s">
        <v>13</v>
      </c>
      <c r="H541" s="69" t="s">
        <v>9</v>
      </c>
      <c r="I541" s="69" t="s">
        <v>456</v>
      </c>
      <c r="J541" s="69" t="s">
        <v>64</v>
      </c>
      <c r="K541" s="69" t="s">
        <v>94</v>
      </c>
      <c r="M541" s="69" t="s">
        <v>6</v>
      </c>
    </row>
    <row r="542" spans="2:13">
      <c r="B542" s="69">
        <v>540</v>
      </c>
      <c r="C542" s="69">
        <v>50</v>
      </c>
      <c r="D542" s="69">
        <v>10</v>
      </c>
      <c r="E542" s="69">
        <v>0</v>
      </c>
      <c r="F542" s="69">
        <v>0</v>
      </c>
      <c r="G542" s="69" t="s">
        <v>13</v>
      </c>
      <c r="H542" s="69" t="s">
        <v>9</v>
      </c>
      <c r="I542" s="69" t="s">
        <v>460</v>
      </c>
      <c r="J542" s="69" t="s">
        <v>54</v>
      </c>
      <c r="K542" s="69" t="s">
        <v>460</v>
      </c>
      <c r="M542" s="69" t="s">
        <v>6</v>
      </c>
    </row>
    <row r="543" spans="2:13">
      <c r="B543" s="69">
        <v>541</v>
      </c>
      <c r="C543" s="69">
        <v>50</v>
      </c>
      <c r="D543" s="69">
        <v>10</v>
      </c>
      <c r="E543" s="69">
        <v>1</v>
      </c>
      <c r="F543" s="69">
        <v>0</v>
      </c>
      <c r="G543" s="69" t="s">
        <v>13</v>
      </c>
      <c r="H543" s="69" t="s">
        <v>9</v>
      </c>
      <c r="I543" s="69" t="s">
        <v>460</v>
      </c>
      <c r="J543" s="69" t="s">
        <v>55</v>
      </c>
      <c r="K543" s="69" t="s">
        <v>461</v>
      </c>
      <c r="M543" s="69" t="s">
        <v>6</v>
      </c>
    </row>
    <row r="544" spans="2:13">
      <c r="B544" s="69">
        <v>542</v>
      </c>
      <c r="C544" s="69">
        <v>50</v>
      </c>
      <c r="D544" s="69">
        <v>10</v>
      </c>
      <c r="E544" s="69">
        <v>2</v>
      </c>
      <c r="F544" s="69">
        <v>0</v>
      </c>
      <c r="G544" s="69" t="s">
        <v>13</v>
      </c>
      <c r="H544" s="69" t="s">
        <v>9</v>
      </c>
      <c r="I544" s="69" t="s">
        <v>460</v>
      </c>
      <c r="J544" s="69" t="s">
        <v>55</v>
      </c>
      <c r="K544" s="69" t="s">
        <v>462</v>
      </c>
      <c r="M544" s="69" t="s">
        <v>6</v>
      </c>
    </row>
    <row r="545" spans="2:13">
      <c r="B545" s="69">
        <v>543</v>
      </c>
      <c r="C545" s="69">
        <v>50</v>
      </c>
      <c r="D545" s="69">
        <v>10</v>
      </c>
      <c r="E545" s="69">
        <v>3</v>
      </c>
      <c r="F545" s="69">
        <v>0</v>
      </c>
      <c r="G545" s="69" t="s">
        <v>13</v>
      </c>
      <c r="H545" s="69" t="s">
        <v>9</v>
      </c>
      <c r="I545" s="69" t="s">
        <v>460</v>
      </c>
      <c r="J545" s="69" t="s">
        <v>55</v>
      </c>
      <c r="K545" s="69" t="s">
        <v>463</v>
      </c>
      <c r="M545" s="69" t="s">
        <v>6</v>
      </c>
    </row>
    <row r="546" spans="2:13">
      <c r="B546" s="69">
        <v>544</v>
      </c>
      <c r="C546" s="69">
        <v>50</v>
      </c>
      <c r="D546" s="69">
        <v>10</v>
      </c>
      <c r="E546" s="69">
        <v>4</v>
      </c>
      <c r="F546" s="69">
        <v>0</v>
      </c>
      <c r="G546" s="69" t="s">
        <v>13</v>
      </c>
      <c r="H546" s="69" t="s">
        <v>9</v>
      </c>
      <c r="I546" s="69" t="s">
        <v>460</v>
      </c>
      <c r="J546" s="69" t="s">
        <v>55</v>
      </c>
      <c r="K546" s="69" t="s">
        <v>464</v>
      </c>
      <c r="M546" s="69" t="s">
        <v>6</v>
      </c>
    </row>
    <row r="547" spans="2:13">
      <c r="B547" s="69">
        <v>545</v>
      </c>
      <c r="C547" s="69">
        <v>50</v>
      </c>
      <c r="D547" s="69">
        <v>10</v>
      </c>
      <c r="E547" s="69">
        <v>5</v>
      </c>
      <c r="F547" s="69">
        <v>0</v>
      </c>
      <c r="G547" s="69" t="s">
        <v>13</v>
      </c>
      <c r="H547" s="69" t="s">
        <v>9</v>
      </c>
      <c r="I547" s="69" t="s">
        <v>460</v>
      </c>
      <c r="J547" s="69" t="s">
        <v>55</v>
      </c>
      <c r="K547" s="69" t="s">
        <v>465</v>
      </c>
      <c r="M547" s="69" t="s">
        <v>6</v>
      </c>
    </row>
    <row r="548" spans="2:13">
      <c r="B548" s="69">
        <v>546</v>
      </c>
      <c r="C548" s="69">
        <v>50</v>
      </c>
      <c r="D548" s="69">
        <v>10</v>
      </c>
      <c r="E548" s="69">
        <v>6</v>
      </c>
      <c r="F548" s="69">
        <v>0</v>
      </c>
      <c r="G548" s="69" t="s">
        <v>13</v>
      </c>
      <c r="H548" s="69" t="s">
        <v>9</v>
      </c>
      <c r="I548" s="69" t="s">
        <v>460</v>
      </c>
      <c r="J548" s="69" t="s">
        <v>55</v>
      </c>
      <c r="K548" s="69" t="s">
        <v>466</v>
      </c>
      <c r="M548" s="69" t="s">
        <v>6</v>
      </c>
    </row>
    <row r="549" spans="2:13">
      <c r="B549" s="69">
        <v>547</v>
      </c>
      <c r="C549" s="69">
        <v>50</v>
      </c>
      <c r="D549" s="69">
        <v>10</v>
      </c>
      <c r="E549" s="69">
        <v>7</v>
      </c>
      <c r="F549" s="69">
        <v>0</v>
      </c>
      <c r="G549" s="69" t="s">
        <v>13</v>
      </c>
      <c r="H549" s="69" t="s">
        <v>9</v>
      </c>
      <c r="I549" s="69" t="s">
        <v>460</v>
      </c>
      <c r="J549" s="69" t="s">
        <v>55</v>
      </c>
      <c r="K549" s="69" t="s">
        <v>467</v>
      </c>
      <c r="M549" s="69" t="s">
        <v>6</v>
      </c>
    </row>
    <row r="550" spans="2:13">
      <c r="B550" s="69">
        <v>548</v>
      </c>
      <c r="C550" s="69">
        <v>50</v>
      </c>
      <c r="D550" s="69">
        <v>10</v>
      </c>
      <c r="E550" s="69">
        <v>8</v>
      </c>
      <c r="F550" s="69">
        <v>0</v>
      </c>
      <c r="G550" s="69" t="s">
        <v>13</v>
      </c>
      <c r="H550" s="69" t="s">
        <v>9</v>
      </c>
      <c r="I550" s="69" t="s">
        <v>460</v>
      </c>
      <c r="J550" s="69" t="s">
        <v>55</v>
      </c>
      <c r="K550" s="69" t="s">
        <v>468</v>
      </c>
      <c r="M550" s="69" t="s">
        <v>6</v>
      </c>
    </row>
    <row r="551" spans="2:13">
      <c r="B551" s="69">
        <v>549</v>
      </c>
      <c r="C551" s="69">
        <v>50</v>
      </c>
      <c r="D551" s="69">
        <v>10</v>
      </c>
      <c r="E551" s="69">
        <v>9</v>
      </c>
      <c r="F551" s="69">
        <v>0</v>
      </c>
      <c r="G551" s="69" t="s">
        <v>13</v>
      </c>
      <c r="H551" s="69" t="s">
        <v>9</v>
      </c>
      <c r="I551" s="69" t="s">
        <v>460</v>
      </c>
      <c r="J551" s="69" t="s">
        <v>55</v>
      </c>
      <c r="K551" s="69" t="s">
        <v>93</v>
      </c>
      <c r="M551" s="69" t="s">
        <v>6</v>
      </c>
    </row>
    <row r="552" spans="2:13">
      <c r="B552" s="69">
        <v>550</v>
      </c>
      <c r="C552" s="69">
        <v>50</v>
      </c>
      <c r="D552" s="69">
        <v>10</v>
      </c>
      <c r="E552" s="69">
        <v>10</v>
      </c>
      <c r="F552" s="69">
        <v>0</v>
      </c>
      <c r="G552" s="69" t="s">
        <v>13</v>
      </c>
      <c r="H552" s="69" t="s">
        <v>9</v>
      </c>
      <c r="I552" s="69" t="s">
        <v>460</v>
      </c>
      <c r="J552" s="69" t="s">
        <v>64</v>
      </c>
      <c r="K552" s="69" t="s">
        <v>94</v>
      </c>
      <c r="M552" s="69" t="s">
        <v>6</v>
      </c>
    </row>
    <row r="553" spans="2:13">
      <c r="B553" s="69">
        <v>551</v>
      </c>
      <c r="C553" s="69">
        <v>51</v>
      </c>
      <c r="D553" s="69">
        <v>7</v>
      </c>
      <c r="E553" s="69">
        <v>0</v>
      </c>
      <c r="F553" s="69">
        <v>0</v>
      </c>
      <c r="G553" s="69" t="s">
        <v>13</v>
      </c>
      <c r="H553" s="69" t="s">
        <v>9</v>
      </c>
      <c r="I553" s="69" t="s">
        <v>469</v>
      </c>
      <c r="J553" s="69" t="s">
        <v>54</v>
      </c>
      <c r="K553" s="69" t="s">
        <v>469</v>
      </c>
      <c r="M553" s="69" t="s">
        <v>470</v>
      </c>
    </row>
    <row r="554" spans="2:13">
      <c r="B554" s="69">
        <v>552</v>
      </c>
      <c r="C554" s="69">
        <v>51</v>
      </c>
      <c r="D554" s="69">
        <v>7</v>
      </c>
      <c r="E554" s="69">
        <v>1</v>
      </c>
      <c r="F554" s="69">
        <v>0</v>
      </c>
      <c r="G554" s="69" t="s">
        <v>13</v>
      </c>
      <c r="H554" s="69" t="s">
        <v>9</v>
      </c>
      <c r="I554" s="69" t="s">
        <v>469</v>
      </c>
      <c r="J554" s="69" t="s">
        <v>55</v>
      </c>
      <c r="K554" s="69" t="s">
        <v>471</v>
      </c>
      <c r="M554" s="69" t="s">
        <v>470</v>
      </c>
    </row>
    <row r="555" spans="2:13">
      <c r="B555" s="69">
        <v>553</v>
      </c>
      <c r="C555" s="69">
        <v>51</v>
      </c>
      <c r="D555" s="69">
        <v>7</v>
      </c>
      <c r="E555" s="69">
        <v>2</v>
      </c>
      <c r="F555" s="69">
        <v>0</v>
      </c>
      <c r="G555" s="69" t="s">
        <v>13</v>
      </c>
      <c r="H555" s="69" t="s">
        <v>9</v>
      </c>
      <c r="I555" s="69" t="s">
        <v>469</v>
      </c>
      <c r="J555" s="69" t="s">
        <v>55</v>
      </c>
      <c r="K555" s="69" t="s">
        <v>472</v>
      </c>
      <c r="M555" s="69" t="s">
        <v>470</v>
      </c>
    </row>
    <row r="556" spans="2:13">
      <c r="B556" s="69">
        <v>554</v>
      </c>
      <c r="C556" s="69">
        <v>51</v>
      </c>
      <c r="D556" s="69">
        <v>7</v>
      </c>
      <c r="E556" s="69">
        <v>3</v>
      </c>
      <c r="F556" s="69">
        <v>0</v>
      </c>
      <c r="G556" s="69" t="s">
        <v>13</v>
      </c>
      <c r="H556" s="69" t="s">
        <v>9</v>
      </c>
      <c r="I556" s="69" t="s">
        <v>469</v>
      </c>
      <c r="J556" s="69" t="s">
        <v>55</v>
      </c>
      <c r="K556" s="69" t="s">
        <v>473</v>
      </c>
      <c r="M556" s="69" t="s">
        <v>470</v>
      </c>
    </row>
    <row r="557" spans="2:13">
      <c r="B557" s="69">
        <v>555</v>
      </c>
      <c r="C557" s="69">
        <v>51</v>
      </c>
      <c r="D557" s="69">
        <v>7</v>
      </c>
      <c r="E557" s="69">
        <v>4</v>
      </c>
      <c r="F557" s="69">
        <v>0</v>
      </c>
      <c r="G557" s="69" t="s">
        <v>13</v>
      </c>
      <c r="H557" s="69" t="s">
        <v>9</v>
      </c>
      <c r="I557" s="69" t="s">
        <v>469</v>
      </c>
      <c r="J557" s="69" t="s">
        <v>55</v>
      </c>
      <c r="K557" s="69" t="s">
        <v>474</v>
      </c>
      <c r="M557" s="69" t="s">
        <v>470</v>
      </c>
    </row>
    <row r="558" spans="2:13">
      <c r="B558" s="69">
        <v>556</v>
      </c>
      <c r="C558" s="69">
        <v>51</v>
      </c>
      <c r="D558" s="69">
        <v>7</v>
      </c>
      <c r="E558" s="69">
        <v>5</v>
      </c>
      <c r="F558" s="69">
        <v>0</v>
      </c>
      <c r="G558" s="69" t="s">
        <v>13</v>
      </c>
      <c r="H558" s="69" t="s">
        <v>9</v>
      </c>
      <c r="I558" s="69" t="s">
        <v>469</v>
      </c>
      <c r="J558" s="69" t="s">
        <v>55</v>
      </c>
      <c r="K558" s="69" t="s">
        <v>475</v>
      </c>
      <c r="M558" s="69" t="s">
        <v>470</v>
      </c>
    </row>
    <row r="559" spans="2:13">
      <c r="B559" s="69">
        <v>557</v>
      </c>
      <c r="C559" s="69">
        <v>51</v>
      </c>
      <c r="D559" s="69">
        <v>7</v>
      </c>
      <c r="E559" s="69">
        <v>6</v>
      </c>
      <c r="F559" s="69">
        <v>0</v>
      </c>
      <c r="G559" s="69" t="s">
        <v>13</v>
      </c>
      <c r="H559" s="69" t="s">
        <v>9</v>
      </c>
      <c r="I559" s="69" t="s">
        <v>469</v>
      </c>
      <c r="J559" s="69" t="s">
        <v>55</v>
      </c>
      <c r="K559" s="69" t="s">
        <v>476</v>
      </c>
      <c r="M559" s="69" t="s">
        <v>470</v>
      </c>
    </row>
    <row r="560" spans="2:13">
      <c r="B560" s="69">
        <v>558</v>
      </c>
      <c r="C560" s="69">
        <v>51</v>
      </c>
      <c r="D560" s="69">
        <v>7</v>
      </c>
      <c r="E560" s="69">
        <v>7</v>
      </c>
      <c r="F560" s="69">
        <v>0</v>
      </c>
      <c r="G560" s="69" t="s">
        <v>13</v>
      </c>
      <c r="H560" s="69" t="s">
        <v>9</v>
      </c>
      <c r="I560" s="69" t="s">
        <v>469</v>
      </c>
      <c r="J560" s="69" t="s">
        <v>64</v>
      </c>
      <c r="K560" s="69" t="s">
        <v>94</v>
      </c>
      <c r="M560" s="69" t="s">
        <v>470</v>
      </c>
    </row>
    <row r="561" spans="2:13">
      <c r="B561" s="69">
        <v>559</v>
      </c>
      <c r="C561" s="69">
        <v>52</v>
      </c>
      <c r="D561" s="69">
        <v>85</v>
      </c>
      <c r="E561" s="69">
        <v>0</v>
      </c>
      <c r="F561" s="69">
        <v>0</v>
      </c>
      <c r="G561" s="69" t="s">
        <v>13</v>
      </c>
      <c r="H561" s="69" t="s">
        <v>9</v>
      </c>
      <c r="I561" s="69" t="s">
        <v>477</v>
      </c>
      <c r="J561" s="69" t="s">
        <v>478</v>
      </c>
      <c r="K561" s="69" t="s">
        <v>477</v>
      </c>
      <c r="M561" s="69" t="s">
        <v>6</v>
      </c>
    </row>
    <row r="562" spans="2:13">
      <c r="B562" s="69">
        <v>560</v>
      </c>
      <c r="C562" s="69">
        <v>52</v>
      </c>
      <c r="D562" s="69">
        <v>85</v>
      </c>
      <c r="E562" s="69">
        <v>1</v>
      </c>
      <c r="F562" s="69">
        <v>0</v>
      </c>
      <c r="G562" s="69" t="s">
        <v>13</v>
      </c>
      <c r="H562" s="69" t="s">
        <v>9</v>
      </c>
      <c r="I562" s="69" t="s">
        <v>477</v>
      </c>
      <c r="J562" s="69" t="s">
        <v>479</v>
      </c>
      <c r="K562" s="69" t="s">
        <v>480</v>
      </c>
      <c r="L562" s="69" t="s">
        <v>481</v>
      </c>
      <c r="M562" s="69" t="s">
        <v>6</v>
      </c>
    </row>
    <row r="563" spans="2:13">
      <c r="B563" s="69">
        <v>561</v>
      </c>
      <c r="C563" s="69">
        <v>52</v>
      </c>
      <c r="D563" s="69">
        <v>85</v>
      </c>
      <c r="E563" s="69">
        <v>2</v>
      </c>
      <c r="F563" s="69">
        <v>0</v>
      </c>
      <c r="G563" s="69" t="s">
        <v>13</v>
      </c>
      <c r="H563" s="69" t="s">
        <v>9</v>
      </c>
      <c r="I563" s="69" t="s">
        <v>477</v>
      </c>
      <c r="J563" s="69" t="s">
        <v>55</v>
      </c>
      <c r="K563" s="69" t="s">
        <v>482</v>
      </c>
      <c r="M563" s="69" t="s">
        <v>6</v>
      </c>
    </row>
    <row r="564" spans="2:13">
      <c r="B564" s="69">
        <v>562</v>
      </c>
      <c r="C564" s="69">
        <v>52</v>
      </c>
      <c r="D564" s="69">
        <v>85</v>
      </c>
      <c r="E564" s="69">
        <v>3</v>
      </c>
      <c r="F564" s="69">
        <v>0</v>
      </c>
      <c r="G564" s="69" t="s">
        <v>13</v>
      </c>
      <c r="H564" s="69" t="s">
        <v>9</v>
      </c>
      <c r="I564" s="69" t="s">
        <v>477</v>
      </c>
      <c r="J564" s="69" t="s">
        <v>214</v>
      </c>
      <c r="K564" s="69" t="s">
        <v>483</v>
      </c>
      <c r="M564" s="69" t="s">
        <v>6</v>
      </c>
    </row>
    <row r="565" spans="2:13">
      <c r="B565" s="69">
        <v>563</v>
      </c>
      <c r="C565" s="69">
        <v>52</v>
      </c>
      <c r="D565" s="69">
        <v>85</v>
      </c>
      <c r="E565" s="69">
        <v>4</v>
      </c>
      <c r="F565" s="69">
        <v>0</v>
      </c>
      <c r="G565" s="69" t="s">
        <v>13</v>
      </c>
      <c r="H565" s="69" t="s">
        <v>9</v>
      </c>
      <c r="I565" s="69" t="s">
        <v>477</v>
      </c>
      <c r="J565" s="69" t="s">
        <v>214</v>
      </c>
      <c r="K565" s="69" t="s">
        <v>484</v>
      </c>
      <c r="M565" s="69" t="s">
        <v>6</v>
      </c>
    </row>
    <row r="566" spans="2:13">
      <c r="B566" s="69">
        <v>564</v>
      </c>
      <c r="C566" s="69">
        <v>52</v>
      </c>
      <c r="D566" s="69">
        <v>85</v>
      </c>
      <c r="E566" s="69">
        <v>5</v>
      </c>
      <c r="F566" s="69">
        <v>0</v>
      </c>
      <c r="G566" s="69" t="s">
        <v>13</v>
      </c>
      <c r="H566" s="69" t="s">
        <v>9</v>
      </c>
      <c r="I566" s="69" t="s">
        <v>477</v>
      </c>
      <c r="J566" s="69" t="s">
        <v>99</v>
      </c>
      <c r="K566" s="69" t="s">
        <v>485</v>
      </c>
      <c r="L566" s="69" t="s">
        <v>486</v>
      </c>
      <c r="M566" s="69" t="s">
        <v>6</v>
      </c>
    </row>
    <row r="567" spans="2:13">
      <c r="B567" s="69">
        <v>565</v>
      </c>
      <c r="C567" s="69">
        <v>52</v>
      </c>
      <c r="D567" s="69">
        <v>85</v>
      </c>
      <c r="E567" s="69">
        <v>6</v>
      </c>
      <c r="F567" s="69">
        <v>0</v>
      </c>
      <c r="G567" s="69" t="s">
        <v>13</v>
      </c>
      <c r="H567" s="69" t="s">
        <v>9</v>
      </c>
      <c r="I567" s="69" t="s">
        <v>477</v>
      </c>
      <c r="J567" s="69" t="s">
        <v>214</v>
      </c>
      <c r="K567" s="69" t="s">
        <v>487</v>
      </c>
      <c r="M567" s="69" t="s">
        <v>6</v>
      </c>
    </row>
    <row r="568" spans="2:13">
      <c r="B568" s="69">
        <v>566</v>
      </c>
      <c r="C568" s="69">
        <v>52</v>
      </c>
      <c r="D568" s="69">
        <v>85</v>
      </c>
      <c r="E568" s="69">
        <v>7</v>
      </c>
      <c r="F568" s="69">
        <v>0</v>
      </c>
      <c r="G568" s="69" t="s">
        <v>13</v>
      </c>
      <c r="H568" s="69" t="s">
        <v>9</v>
      </c>
      <c r="I568" s="69" t="s">
        <v>477</v>
      </c>
      <c r="J568" s="69" t="s">
        <v>55</v>
      </c>
      <c r="K568" s="69" t="s">
        <v>488</v>
      </c>
      <c r="M568" s="69" t="s">
        <v>6</v>
      </c>
    </row>
    <row r="569" spans="2:13">
      <c r="B569" s="69">
        <v>567</v>
      </c>
      <c r="C569" s="69">
        <v>52</v>
      </c>
      <c r="D569" s="69">
        <v>85</v>
      </c>
      <c r="E569" s="69">
        <v>8</v>
      </c>
      <c r="F569" s="69">
        <v>0</v>
      </c>
      <c r="G569" s="69" t="s">
        <v>13</v>
      </c>
      <c r="H569" s="69" t="s">
        <v>9</v>
      </c>
      <c r="I569" s="69" t="s">
        <v>477</v>
      </c>
      <c r="J569" s="69" t="s">
        <v>437</v>
      </c>
      <c r="K569" s="69" t="s">
        <v>489</v>
      </c>
      <c r="L569" s="69" t="s">
        <v>490</v>
      </c>
      <c r="M569" s="69" t="s">
        <v>6</v>
      </c>
    </row>
    <row r="570" spans="2:13">
      <c r="B570" s="69">
        <v>568</v>
      </c>
      <c r="C570" s="69">
        <v>52</v>
      </c>
      <c r="D570" s="69">
        <v>85</v>
      </c>
      <c r="E570" s="69">
        <v>9</v>
      </c>
      <c r="F570" s="69">
        <v>0</v>
      </c>
      <c r="G570" s="69" t="s">
        <v>13</v>
      </c>
      <c r="H570" s="69" t="s">
        <v>9</v>
      </c>
      <c r="I570" s="69" t="s">
        <v>477</v>
      </c>
      <c r="J570" s="69" t="s">
        <v>214</v>
      </c>
      <c r="K570" s="69" t="s">
        <v>491</v>
      </c>
      <c r="M570" s="69" t="s">
        <v>6</v>
      </c>
    </row>
    <row r="571" spans="2:13">
      <c r="B571" s="69">
        <v>569</v>
      </c>
      <c r="C571" s="69">
        <v>52</v>
      </c>
      <c r="D571" s="69">
        <v>85</v>
      </c>
      <c r="E571" s="69">
        <v>10</v>
      </c>
      <c r="F571" s="69">
        <v>0</v>
      </c>
      <c r="G571" s="69" t="s">
        <v>13</v>
      </c>
      <c r="H571" s="69" t="s">
        <v>9</v>
      </c>
      <c r="I571" s="69" t="s">
        <v>477</v>
      </c>
      <c r="J571" s="69" t="s">
        <v>214</v>
      </c>
      <c r="K571" s="69" t="s">
        <v>492</v>
      </c>
      <c r="M571" s="69" t="s">
        <v>6</v>
      </c>
    </row>
    <row r="572" spans="2:13">
      <c r="B572" s="69">
        <v>570</v>
      </c>
      <c r="C572" s="69">
        <v>52</v>
      </c>
      <c r="D572" s="69">
        <v>85</v>
      </c>
      <c r="E572" s="69">
        <v>11</v>
      </c>
      <c r="F572" s="69">
        <v>0</v>
      </c>
      <c r="G572" s="69" t="s">
        <v>13</v>
      </c>
      <c r="H572" s="69" t="s">
        <v>9</v>
      </c>
      <c r="I572" s="69" t="s">
        <v>477</v>
      </c>
      <c r="J572" s="69" t="s">
        <v>99</v>
      </c>
      <c r="K572" s="69" t="s">
        <v>493</v>
      </c>
      <c r="M572" s="69" t="s">
        <v>6</v>
      </c>
    </row>
    <row r="573" spans="2:13">
      <c r="B573" s="69">
        <v>571</v>
      </c>
      <c r="C573" s="69">
        <v>52</v>
      </c>
      <c r="D573" s="69">
        <v>85</v>
      </c>
      <c r="E573" s="69">
        <v>12</v>
      </c>
      <c r="F573" s="69">
        <v>0</v>
      </c>
      <c r="G573" s="69" t="s">
        <v>13</v>
      </c>
      <c r="H573" s="69" t="s">
        <v>9</v>
      </c>
      <c r="I573" s="69" t="s">
        <v>477</v>
      </c>
      <c r="J573" s="69" t="s">
        <v>99</v>
      </c>
      <c r="K573" s="69" t="s">
        <v>494</v>
      </c>
      <c r="M573" s="69" t="s">
        <v>6</v>
      </c>
    </row>
    <row r="574" spans="2:13">
      <c r="B574" s="69">
        <v>572</v>
      </c>
      <c r="C574" s="69">
        <v>52</v>
      </c>
      <c r="D574" s="69">
        <v>85</v>
      </c>
      <c r="E574" s="69">
        <v>13</v>
      </c>
      <c r="F574" s="69">
        <v>0</v>
      </c>
      <c r="G574" s="69" t="s">
        <v>13</v>
      </c>
      <c r="H574" s="69" t="s">
        <v>9</v>
      </c>
      <c r="I574" s="69" t="s">
        <v>477</v>
      </c>
      <c r="J574" s="69" t="s">
        <v>55</v>
      </c>
      <c r="K574" s="69" t="s">
        <v>495</v>
      </c>
      <c r="M574" s="69" t="s">
        <v>6</v>
      </c>
    </row>
    <row r="575" spans="2:13">
      <c r="B575" s="69">
        <v>573</v>
      </c>
      <c r="C575" s="69">
        <v>52</v>
      </c>
      <c r="D575" s="69">
        <v>85</v>
      </c>
      <c r="E575" s="69">
        <v>14</v>
      </c>
      <c r="F575" s="69">
        <v>0</v>
      </c>
      <c r="G575" s="69" t="s">
        <v>13</v>
      </c>
      <c r="H575" s="69" t="s">
        <v>9</v>
      </c>
      <c r="I575" s="69" t="s">
        <v>477</v>
      </c>
      <c r="J575" s="69" t="s">
        <v>214</v>
      </c>
      <c r="K575" s="69" t="s">
        <v>496</v>
      </c>
      <c r="M575" s="69" t="s">
        <v>6</v>
      </c>
    </row>
    <row r="576" spans="2:13">
      <c r="B576" s="69">
        <v>574</v>
      </c>
      <c r="C576" s="69">
        <v>52</v>
      </c>
      <c r="D576" s="69">
        <v>85</v>
      </c>
      <c r="E576" s="69">
        <v>15</v>
      </c>
      <c r="F576" s="69">
        <v>0</v>
      </c>
      <c r="G576" s="69" t="s">
        <v>13</v>
      </c>
      <c r="H576" s="69" t="s">
        <v>9</v>
      </c>
      <c r="I576" s="69" t="s">
        <v>477</v>
      </c>
      <c r="J576" s="69" t="s">
        <v>214</v>
      </c>
      <c r="K576" s="69" t="s">
        <v>497</v>
      </c>
      <c r="M576" s="69" t="s">
        <v>6</v>
      </c>
    </row>
    <row r="577" spans="2:13">
      <c r="B577" s="69">
        <v>575</v>
      </c>
      <c r="C577" s="69">
        <v>52</v>
      </c>
      <c r="D577" s="69">
        <v>85</v>
      </c>
      <c r="E577" s="69">
        <v>16</v>
      </c>
      <c r="F577" s="69">
        <v>0</v>
      </c>
      <c r="G577" s="69" t="s">
        <v>13</v>
      </c>
      <c r="H577" s="69" t="s">
        <v>9</v>
      </c>
      <c r="I577" s="69" t="s">
        <v>477</v>
      </c>
      <c r="J577" s="69" t="s">
        <v>214</v>
      </c>
      <c r="K577" s="69" t="s">
        <v>498</v>
      </c>
      <c r="M577" s="69" t="s">
        <v>6</v>
      </c>
    </row>
    <row r="578" spans="2:13">
      <c r="B578" s="69">
        <v>576</v>
      </c>
      <c r="C578" s="69">
        <v>52</v>
      </c>
      <c r="D578" s="69">
        <v>85</v>
      </c>
      <c r="E578" s="69">
        <v>17</v>
      </c>
      <c r="F578" s="69">
        <v>0</v>
      </c>
      <c r="G578" s="69" t="s">
        <v>13</v>
      </c>
      <c r="H578" s="69" t="s">
        <v>9</v>
      </c>
      <c r="I578" s="69" t="s">
        <v>477</v>
      </c>
      <c r="J578" s="69" t="s">
        <v>214</v>
      </c>
      <c r="K578" s="69" t="s">
        <v>499</v>
      </c>
      <c r="M578" s="69" t="s">
        <v>6</v>
      </c>
    </row>
    <row r="579" spans="2:13">
      <c r="B579" s="69">
        <v>577</v>
      </c>
      <c r="C579" s="69">
        <v>52</v>
      </c>
      <c r="D579" s="69">
        <v>85</v>
      </c>
      <c r="E579" s="69">
        <v>18</v>
      </c>
      <c r="F579" s="69">
        <v>0</v>
      </c>
      <c r="G579" s="69" t="s">
        <v>13</v>
      </c>
      <c r="H579" s="69" t="s">
        <v>9</v>
      </c>
      <c r="I579" s="69" t="s">
        <v>477</v>
      </c>
      <c r="J579" s="69" t="s">
        <v>214</v>
      </c>
      <c r="K579" s="69" t="s">
        <v>500</v>
      </c>
      <c r="M579" s="69" t="s">
        <v>6</v>
      </c>
    </row>
    <row r="580" spans="2:13">
      <c r="B580" s="69">
        <v>578</v>
      </c>
      <c r="C580" s="69">
        <v>52</v>
      </c>
      <c r="D580" s="69">
        <v>85</v>
      </c>
      <c r="E580" s="69">
        <v>19</v>
      </c>
      <c r="F580" s="69">
        <v>0</v>
      </c>
      <c r="G580" s="69" t="s">
        <v>13</v>
      </c>
      <c r="H580" s="69" t="s">
        <v>9</v>
      </c>
      <c r="I580" s="69" t="s">
        <v>477</v>
      </c>
      <c r="J580" s="69" t="s">
        <v>214</v>
      </c>
      <c r="K580" s="69" t="s">
        <v>501</v>
      </c>
      <c r="M580" s="69" t="s">
        <v>6</v>
      </c>
    </row>
    <row r="581" spans="2:13">
      <c r="B581" s="69">
        <v>579</v>
      </c>
      <c r="C581" s="69">
        <v>52</v>
      </c>
      <c r="D581" s="69">
        <v>85</v>
      </c>
      <c r="E581" s="69">
        <v>20</v>
      </c>
      <c r="F581" s="69">
        <v>0</v>
      </c>
      <c r="G581" s="69" t="s">
        <v>13</v>
      </c>
      <c r="H581" s="69" t="s">
        <v>9</v>
      </c>
      <c r="I581" s="69" t="s">
        <v>477</v>
      </c>
      <c r="J581" s="69" t="s">
        <v>55</v>
      </c>
      <c r="K581" s="69" t="s">
        <v>502</v>
      </c>
      <c r="M581" s="69" t="s">
        <v>6</v>
      </c>
    </row>
    <row r="582" spans="2:13">
      <c r="B582" s="69">
        <v>580</v>
      </c>
      <c r="C582" s="69">
        <v>52</v>
      </c>
      <c r="D582" s="69">
        <v>85</v>
      </c>
      <c r="E582" s="69">
        <v>21</v>
      </c>
      <c r="F582" s="69">
        <v>0</v>
      </c>
      <c r="G582" s="69" t="s">
        <v>13</v>
      </c>
      <c r="H582" s="69" t="s">
        <v>9</v>
      </c>
      <c r="I582" s="69" t="s">
        <v>477</v>
      </c>
      <c r="J582" s="69" t="s">
        <v>214</v>
      </c>
      <c r="K582" s="69" t="s">
        <v>496</v>
      </c>
      <c r="M582" s="69" t="s">
        <v>6</v>
      </c>
    </row>
    <row r="583" spans="2:13">
      <c r="B583" s="69">
        <v>581</v>
      </c>
      <c r="C583" s="69">
        <v>52</v>
      </c>
      <c r="D583" s="69">
        <v>85</v>
      </c>
      <c r="E583" s="69">
        <v>22</v>
      </c>
      <c r="F583" s="69">
        <v>0</v>
      </c>
      <c r="G583" s="69" t="s">
        <v>13</v>
      </c>
      <c r="H583" s="69" t="s">
        <v>9</v>
      </c>
      <c r="I583" s="69" t="s">
        <v>477</v>
      </c>
      <c r="J583" s="69" t="s">
        <v>214</v>
      </c>
      <c r="K583" s="69" t="s">
        <v>497</v>
      </c>
      <c r="M583" s="69" t="s">
        <v>6</v>
      </c>
    </row>
    <row r="584" spans="2:13">
      <c r="B584" s="69">
        <v>582</v>
      </c>
      <c r="C584" s="69">
        <v>52</v>
      </c>
      <c r="D584" s="69">
        <v>85</v>
      </c>
      <c r="E584" s="69">
        <v>23</v>
      </c>
      <c r="F584" s="69">
        <v>0</v>
      </c>
      <c r="G584" s="69" t="s">
        <v>13</v>
      </c>
      <c r="H584" s="69" t="s">
        <v>9</v>
      </c>
      <c r="I584" s="69" t="s">
        <v>477</v>
      </c>
      <c r="J584" s="69" t="s">
        <v>214</v>
      </c>
      <c r="K584" s="69" t="s">
        <v>503</v>
      </c>
      <c r="M584" s="69" t="s">
        <v>6</v>
      </c>
    </row>
    <row r="585" spans="2:13">
      <c r="B585" s="69">
        <v>583</v>
      </c>
      <c r="C585" s="69">
        <v>52</v>
      </c>
      <c r="D585" s="69">
        <v>85</v>
      </c>
      <c r="E585" s="69">
        <v>24</v>
      </c>
      <c r="F585" s="69">
        <v>0</v>
      </c>
      <c r="G585" s="69" t="s">
        <v>13</v>
      </c>
      <c r="H585" s="69" t="s">
        <v>9</v>
      </c>
      <c r="I585" s="69" t="s">
        <v>477</v>
      </c>
      <c r="J585" s="69" t="s">
        <v>214</v>
      </c>
      <c r="K585" s="69" t="s">
        <v>504</v>
      </c>
      <c r="M585" s="69" t="s">
        <v>6</v>
      </c>
    </row>
    <row r="586" spans="2:13">
      <c r="B586" s="69">
        <v>584</v>
      </c>
      <c r="C586" s="69">
        <v>52</v>
      </c>
      <c r="D586" s="69">
        <v>85</v>
      </c>
      <c r="E586" s="69">
        <v>25</v>
      </c>
      <c r="F586" s="69">
        <v>0</v>
      </c>
      <c r="G586" s="69" t="s">
        <v>13</v>
      </c>
      <c r="H586" s="69" t="s">
        <v>9</v>
      </c>
      <c r="I586" s="69" t="s">
        <v>477</v>
      </c>
      <c r="J586" s="69" t="s">
        <v>214</v>
      </c>
      <c r="K586" s="69" t="s">
        <v>505</v>
      </c>
      <c r="M586" s="69" t="s">
        <v>6</v>
      </c>
    </row>
    <row r="587" spans="2:13">
      <c r="B587" s="69">
        <v>585</v>
      </c>
      <c r="C587" s="69">
        <v>52</v>
      </c>
      <c r="D587" s="69">
        <v>85</v>
      </c>
      <c r="E587" s="69">
        <v>26</v>
      </c>
      <c r="F587" s="69">
        <v>0</v>
      </c>
      <c r="G587" s="69" t="s">
        <v>13</v>
      </c>
      <c r="H587" s="69" t="s">
        <v>9</v>
      </c>
      <c r="I587" s="69" t="s">
        <v>477</v>
      </c>
      <c r="J587" s="69" t="s">
        <v>214</v>
      </c>
      <c r="K587" s="69" t="s">
        <v>506</v>
      </c>
      <c r="M587" s="69" t="s">
        <v>6</v>
      </c>
    </row>
    <row r="588" spans="2:13">
      <c r="B588" s="69">
        <v>586</v>
      </c>
      <c r="C588" s="69">
        <v>52</v>
      </c>
      <c r="D588" s="69">
        <v>85</v>
      </c>
      <c r="E588" s="69">
        <v>27</v>
      </c>
      <c r="F588" s="69">
        <v>0</v>
      </c>
      <c r="G588" s="69" t="s">
        <v>13</v>
      </c>
      <c r="H588" s="69" t="s">
        <v>9</v>
      </c>
      <c r="I588" s="69" t="s">
        <v>477</v>
      </c>
      <c r="J588" s="69" t="s">
        <v>214</v>
      </c>
      <c r="K588" s="69" t="s">
        <v>501</v>
      </c>
      <c r="M588" s="69" t="s">
        <v>6</v>
      </c>
    </row>
    <row r="589" spans="2:13">
      <c r="B589" s="69">
        <v>587</v>
      </c>
      <c r="C589" s="69">
        <v>52</v>
      </c>
      <c r="D589" s="69">
        <v>85</v>
      </c>
      <c r="E589" s="69">
        <v>28</v>
      </c>
      <c r="F589" s="69">
        <v>0</v>
      </c>
      <c r="G589" s="69" t="s">
        <v>13</v>
      </c>
      <c r="H589" s="69" t="s">
        <v>9</v>
      </c>
      <c r="I589" s="69" t="s">
        <v>477</v>
      </c>
      <c r="J589" s="69" t="s">
        <v>214</v>
      </c>
      <c r="K589" s="69" t="s">
        <v>507</v>
      </c>
      <c r="M589" s="69" t="s">
        <v>6</v>
      </c>
    </row>
    <row r="590" spans="2:13">
      <c r="B590" s="69">
        <v>588</v>
      </c>
      <c r="C590" s="69">
        <v>52</v>
      </c>
      <c r="D590" s="69">
        <v>85</v>
      </c>
      <c r="E590" s="69">
        <v>29</v>
      </c>
      <c r="F590" s="69">
        <v>0</v>
      </c>
      <c r="G590" s="69" t="s">
        <v>13</v>
      </c>
      <c r="H590" s="69" t="s">
        <v>9</v>
      </c>
      <c r="I590" s="69" t="s">
        <v>477</v>
      </c>
      <c r="J590" s="69" t="s">
        <v>214</v>
      </c>
      <c r="K590" s="69" t="s">
        <v>508</v>
      </c>
      <c r="M590" s="69" t="s">
        <v>6</v>
      </c>
    </row>
    <row r="591" spans="2:13">
      <c r="B591" s="69">
        <v>589</v>
      </c>
      <c r="C591" s="69">
        <v>52</v>
      </c>
      <c r="D591" s="69">
        <v>85</v>
      </c>
      <c r="E591" s="69">
        <v>30</v>
      </c>
      <c r="F591" s="69">
        <v>0</v>
      </c>
      <c r="G591" s="69" t="s">
        <v>13</v>
      </c>
      <c r="H591" s="69" t="s">
        <v>9</v>
      </c>
      <c r="I591" s="69" t="s">
        <v>477</v>
      </c>
      <c r="J591" s="69" t="s">
        <v>437</v>
      </c>
      <c r="K591" s="69" t="s">
        <v>509</v>
      </c>
      <c r="L591" s="69" t="s">
        <v>510</v>
      </c>
      <c r="M591" s="69" t="s">
        <v>6</v>
      </c>
    </row>
    <row r="592" spans="2:13">
      <c r="B592" s="69">
        <v>590</v>
      </c>
      <c r="C592" s="69">
        <v>52</v>
      </c>
      <c r="D592" s="69">
        <v>85</v>
      </c>
      <c r="E592" s="69">
        <v>31</v>
      </c>
      <c r="F592" s="69">
        <v>0</v>
      </c>
      <c r="G592" s="69" t="s">
        <v>13</v>
      </c>
      <c r="H592" s="69" t="s">
        <v>9</v>
      </c>
      <c r="I592" s="69" t="s">
        <v>477</v>
      </c>
      <c r="J592" s="69" t="s">
        <v>214</v>
      </c>
      <c r="K592" s="69" t="s">
        <v>511</v>
      </c>
      <c r="M592" s="69" t="s">
        <v>6</v>
      </c>
    </row>
    <row r="593" spans="2:13">
      <c r="B593" s="69">
        <v>591</v>
      </c>
      <c r="C593" s="69">
        <v>52</v>
      </c>
      <c r="D593" s="69">
        <v>85</v>
      </c>
      <c r="E593" s="69">
        <v>32</v>
      </c>
      <c r="F593" s="69">
        <v>0</v>
      </c>
      <c r="G593" s="69" t="s">
        <v>13</v>
      </c>
      <c r="H593" s="69" t="s">
        <v>9</v>
      </c>
      <c r="I593" s="69" t="s">
        <v>477</v>
      </c>
      <c r="J593" s="69" t="s">
        <v>99</v>
      </c>
      <c r="K593" s="69" t="s">
        <v>512</v>
      </c>
      <c r="L593" s="69" t="s">
        <v>510</v>
      </c>
      <c r="M593" s="69" t="s">
        <v>6</v>
      </c>
    </row>
    <row r="594" spans="2:13">
      <c r="B594" s="69">
        <v>592</v>
      </c>
      <c r="C594" s="69">
        <v>52</v>
      </c>
      <c r="D594" s="69">
        <v>85</v>
      </c>
      <c r="E594" s="69">
        <v>33</v>
      </c>
      <c r="F594" s="69">
        <v>0</v>
      </c>
      <c r="G594" s="69" t="s">
        <v>13</v>
      </c>
      <c r="H594" s="69" t="s">
        <v>9</v>
      </c>
      <c r="I594" s="69" t="s">
        <v>477</v>
      </c>
      <c r="J594" s="69" t="s">
        <v>437</v>
      </c>
      <c r="K594" s="69" t="s">
        <v>513</v>
      </c>
      <c r="L594" s="69" t="s">
        <v>514</v>
      </c>
      <c r="M594" s="69" t="s">
        <v>6</v>
      </c>
    </row>
    <row r="595" spans="2:13">
      <c r="B595" s="69">
        <v>593</v>
      </c>
      <c r="C595" s="69">
        <v>52</v>
      </c>
      <c r="D595" s="69">
        <v>85</v>
      </c>
      <c r="E595" s="69">
        <v>34</v>
      </c>
      <c r="F595" s="69">
        <v>0</v>
      </c>
      <c r="G595" s="69" t="s">
        <v>13</v>
      </c>
      <c r="H595" s="69" t="s">
        <v>9</v>
      </c>
      <c r="I595" s="69" t="s">
        <v>477</v>
      </c>
      <c r="J595" s="69" t="s">
        <v>214</v>
      </c>
      <c r="K595" s="69" t="s">
        <v>515</v>
      </c>
      <c r="M595" s="69" t="s">
        <v>6</v>
      </c>
    </row>
    <row r="596" spans="2:13">
      <c r="B596" s="69">
        <v>594</v>
      </c>
      <c r="C596" s="69">
        <v>52</v>
      </c>
      <c r="D596" s="69">
        <v>85</v>
      </c>
      <c r="E596" s="69">
        <v>35</v>
      </c>
      <c r="F596" s="69">
        <v>0</v>
      </c>
      <c r="G596" s="69" t="s">
        <v>13</v>
      </c>
      <c r="H596" s="69" t="s">
        <v>9</v>
      </c>
      <c r="I596" s="69" t="s">
        <v>477</v>
      </c>
      <c r="J596" s="69" t="s">
        <v>55</v>
      </c>
      <c r="K596" s="69" t="s">
        <v>516</v>
      </c>
      <c r="M596" s="69" t="s">
        <v>6</v>
      </c>
    </row>
    <row r="597" spans="2:13">
      <c r="B597" s="69">
        <v>595</v>
      </c>
      <c r="C597" s="69">
        <v>52</v>
      </c>
      <c r="D597" s="69">
        <v>85</v>
      </c>
      <c r="E597" s="69">
        <v>36</v>
      </c>
      <c r="F597" s="69">
        <v>0</v>
      </c>
      <c r="G597" s="69" t="s">
        <v>13</v>
      </c>
      <c r="H597" s="69" t="s">
        <v>9</v>
      </c>
      <c r="I597" s="69" t="s">
        <v>477</v>
      </c>
      <c r="J597" s="69" t="s">
        <v>214</v>
      </c>
      <c r="K597" s="69" t="s">
        <v>517</v>
      </c>
      <c r="M597" s="69" t="s">
        <v>6</v>
      </c>
    </row>
    <row r="598" spans="2:13">
      <c r="B598" s="69">
        <v>596</v>
      </c>
      <c r="C598" s="69">
        <v>52</v>
      </c>
      <c r="D598" s="69">
        <v>85</v>
      </c>
      <c r="E598" s="69">
        <v>37</v>
      </c>
      <c r="F598" s="69">
        <v>0</v>
      </c>
      <c r="G598" s="69" t="s">
        <v>13</v>
      </c>
      <c r="H598" s="69" t="s">
        <v>9</v>
      </c>
      <c r="I598" s="69" t="s">
        <v>477</v>
      </c>
      <c r="J598" s="69" t="s">
        <v>214</v>
      </c>
      <c r="K598" s="69" t="s">
        <v>518</v>
      </c>
      <c r="M598" s="69" t="s">
        <v>6</v>
      </c>
    </row>
    <row r="599" spans="2:13">
      <c r="B599" s="69">
        <v>597</v>
      </c>
      <c r="C599" s="69">
        <v>52</v>
      </c>
      <c r="D599" s="69">
        <v>85</v>
      </c>
      <c r="E599" s="69">
        <v>38</v>
      </c>
      <c r="F599" s="69">
        <v>0</v>
      </c>
      <c r="G599" s="69" t="s">
        <v>13</v>
      </c>
      <c r="H599" s="69" t="s">
        <v>9</v>
      </c>
      <c r="I599" s="69" t="s">
        <v>477</v>
      </c>
      <c r="J599" s="69" t="s">
        <v>214</v>
      </c>
      <c r="K599" s="69" t="s">
        <v>519</v>
      </c>
      <c r="M599" s="69" t="s">
        <v>6</v>
      </c>
    </row>
    <row r="600" spans="2:13">
      <c r="B600" s="69">
        <v>598</v>
      </c>
      <c r="C600" s="69">
        <v>52</v>
      </c>
      <c r="D600" s="69">
        <v>85</v>
      </c>
      <c r="E600" s="69">
        <v>39</v>
      </c>
      <c r="F600" s="69">
        <v>0</v>
      </c>
      <c r="G600" s="69" t="s">
        <v>13</v>
      </c>
      <c r="H600" s="69" t="s">
        <v>9</v>
      </c>
      <c r="I600" s="69" t="s">
        <v>477</v>
      </c>
      <c r="J600" s="69" t="s">
        <v>214</v>
      </c>
      <c r="K600" s="69" t="s">
        <v>520</v>
      </c>
      <c r="M600" s="69" t="s">
        <v>6</v>
      </c>
    </row>
    <row r="601" spans="2:13">
      <c r="B601" s="69">
        <v>599</v>
      </c>
      <c r="C601" s="69">
        <v>52</v>
      </c>
      <c r="D601" s="69">
        <v>85</v>
      </c>
      <c r="E601" s="69">
        <v>40</v>
      </c>
      <c r="F601" s="69">
        <v>0</v>
      </c>
      <c r="G601" s="69" t="s">
        <v>13</v>
      </c>
      <c r="H601" s="69" t="s">
        <v>9</v>
      </c>
      <c r="I601" s="69" t="s">
        <v>477</v>
      </c>
      <c r="J601" s="69" t="s">
        <v>214</v>
      </c>
      <c r="K601" s="69" t="s">
        <v>521</v>
      </c>
      <c r="M601" s="69" t="s">
        <v>6</v>
      </c>
    </row>
    <row r="602" spans="2:13">
      <c r="B602" s="69">
        <v>600</v>
      </c>
      <c r="C602" s="69">
        <v>52</v>
      </c>
      <c r="D602" s="69">
        <v>85</v>
      </c>
      <c r="E602" s="69">
        <v>41</v>
      </c>
      <c r="F602" s="69">
        <v>0</v>
      </c>
      <c r="G602" s="69" t="s">
        <v>13</v>
      </c>
      <c r="H602" s="69" t="s">
        <v>9</v>
      </c>
      <c r="I602" s="69" t="s">
        <v>477</v>
      </c>
      <c r="J602" s="69" t="s">
        <v>479</v>
      </c>
      <c r="K602" s="69" t="s">
        <v>522</v>
      </c>
      <c r="L602" s="69" t="s">
        <v>481</v>
      </c>
      <c r="M602" s="69" t="s">
        <v>6</v>
      </c>
    </row>
    <row r="603" spans="2:13">
      <c r="B603" s="69">
        <v>601</v>
      </c>
      <c r="C603" s="69">
        <v>52</v>
      </c>
      <c r="D603" s="69">
        <v>85</v>
      </c>
      <c r="E603" s="69">
        <v>42</v>
      </c>
      <c r="F603" s="69">
        <v>0</v>
      </c>
      <c r="G603" s="69" t="s">
        <v>13</v>
      </c>
      <c r="H603" s="69" t="s">
        <v>9</v>
      </c>
      <c r="I603" s="69" t="s">
        <v>477</v>
      </c>
      <c r="J603" s="69" t="s">
        <v>55</v>
      </c>
      <c r="K603" s="69" t="s">
        <v>523</v>
      </c>
      <c r="M603" s="69" t="s">
        <v>6</v>
      </c>
    </row>
    <row r="604" spans="2:13">
      <c r="B604" s="69">
        <v>602</v>
      </c>
      <c r="C604" s="69">
        <v>52</v>
      </c>
      <c r="D604" s="69">
        <v>85</v>
      </c>
      <c r="E604" s="69">
        <v>43</v>
      </c>
      <c r="F604" s="69">
        <v>0</v>
      </c>
      <c r="G604" s="69" t="s">
        <v>13</v>
      </c>
      <c r="H604" s="69" t="s">
        <v>9</v>
      </c>
      <c r="I604" s="69" t="s">
        <v>477</v>
      </c>
      <c r="J604" s="69" t="s">
        <v>55</v>
      </c>
      <c r="K604" s="69" t="s">
        <v>524</v>
      </c>
      <c r="M604" s="69" t="s">
        <v>6</v>
      </c>
    </row>
    <row r="605" spans="2:13">
      <c r="B605" s="69">
        <v>603</v>
      </c>
      <c r="C605" s="69">
        <v>52</v>
      </c>
      <c r="D605" s="69">
        <v>85</v>
      </c>
      <c r="E605" s="69">
        <v>44</v>
      </c>
      <c r="F605" s="69">
        <v>0</v>
      </c>
      <c r="G605" s="69" t="s">
        <v>13</v>
      </c>
      <c r="H605" s="69" t="s">
        <v>9</v>
      </c>
      <c r="I605" s="69" t="s">
        <v>477</v>
      </c>
      <c r="J605" s="69" t="s">
        <v>55</v>
      </c>
      <c r="K605" s="69" t="s">
        <v>525</v>
      </c>
      <c r="M605" s="69" t="s">
        <v>6</v>
      </c>
    </row>
    <row r="606" spans="2:13">
      <c r="B606" s="69">
        <v>604</v>
      </c>
      <c r="C606" s="69">
        <v>52</v>
      </c>
      <c r="D606" s="69">
        <v>85</v>
      </c>
      <c r="E606" s="69">
        <v>45</v>
      </c>
      <c r="F606" s="69">
        <v>0</v>
      </c>
      <c r="G606" s="69" t="s">
        <v>13</v>
      </c>
      <c r="H606" s="69" t="s">
        <v>9</v>
      </c>
      <c r="I606" s="69" t="s">
        <v>477</v>
      </c>
      <c r="J606" s="69" t="s">
        <v>55</v>
      </c>
      <c r="K606" s="69" t="s">
        <v>526</v>
      </c>
      <c r="M606" s="69" t="s">
        <v>6</v>
      </c>
    </row>
    <row r="607" spans="2:13">
      <c r="B607" s="69">
        <v>605</v>
      </c>
      <c r="C607" s="69">
        <v>52</v>
      </c>
      <c r="D607" s="69">
        <v>85</v>
      </c>
      <c r="E607" s="69">
        <v>46</v>
      </c>
      <c r="F607" s="69">
        <v>0</v>
      </c>
      <c r="G607" s="69" t="s">
        <v>13</v>
      </c>
      <c r="H607" s="69" t="s">
        <v>9</v>
      </c>
      <c r="I607" s="69" t="s">
        <v>477</v>
      </c>
      <c r="J607" s="69" t="s">
        <v>214</v>
      </c>
      <c r="K607" s="69" t="s">
        <v>527</v>
      </c>
      <c r="M607" s="69" t="s">
        <v>6</v>
      </c>
    </row>
    <row r="608" spans="2:13">
      <c r="B608" s="69">
        <v>606</v>
      </c>
      <c r="C608" s="69">
        <v>52</v>
      </c>
      <c r="D608" s="69">
        <v>85</v>
      </c>
      <c r="E608" s="69">
        <v>47</v>
      </c>
      <c r="F608" s="69">
        <v>0</v>
      </c>
      <c r="G608" s="69" t="s">
        <v>13</v>
      </c>
      <c r="H608" s="69" t="s">
        <v>9</v>
      </c>
      <c r="I608" s="69" t="s">
        <v>477</v>
      </c>
      <c r="J608" s="69" t="s">
        <v>55</v>
      </c>
      <c r="K608" s="69" t="s">
        <v>528</v>
      </c>
      <c r="M608" s="69" t="s">
        <v>6</v>
      </c>
    </row>
    <row r="609" spans="2:13">
      <c r="B609" s="69">
        <v>607</v>
      </c>
      <c r="C609" s="69">
        <v>52</v>
      </c>
      <c r="D609" s="69">
        <v>85</v>
      </c>
      <c r="E609" s="69">
        <v>48</v>
      </c>
      <c r="F609" s="69">
        <v>0</v>
      </c>
      <c r="G609" s="69" t="s">
        <v>13</v>
      </c>
      <c r="H609" s="69" t="s">
        <v>9</v>
      </c>
      <c r="I609" s="69" t="s">
        <v>477</v>
      </c>
      <c r="J609" s="69" t="s">
        <v>64</v>
      </c>
      <c r="K609" s="69" t="s">
        <v>529</v>
      </c>
      <c r="M609" s="69" t="s">
        <v>6</v>
      </c>
    </row>
    <row r="610" spans="2:13">
      <c r="B610" s="69">
        <v>608</v>
      </c>
      <c r="C610" s="69">
        <v>52</v>
      </c>
      <c r="D610" s="69">
        <v>85</v>
      </c>
      <c r="E610" s="69">
        <v>49</v>
      </c>
      <c r="F610" s="69">
        <v>0</v>
      </c>
      <c r="G610" s="69" t="s">
        <v>13</v>
      </c>
      <c r="H610" s="69" t="s">
        <v>9</v>
      </c>
      <c r="I610" s="69" t="s">
        <v>477</v>
      </c>
      <c r="J610" s="69" t="s">
        <v>479</v>
      </c>
      <c r="K610" s="69" t="s">
        <v>530</v>
      </c>
      <c r="L610" s="69" t="s">
        <v>481</v>
      </c>
      <c r="M610" s="69" t="s">
        <v>6</v>
      </c>
    </row>
    <row r="611" spans="2:13">
      <c r="B611" s="69">
        <v>609</v>
      </c>
      <c r="C611" s="69">
        <v>52</v>
      </c>
      <c r="D611" s="69">
        <v>85</v>
      </c>
      <c r="E611" s="69">
        <v>50</v>
      </c>
      <c r="F611" s="69">
        <v>0</v>
      </c>
      <c r="G611" s="69" t="s">
        <v>13</v>
      </c>
      <c r="H611" s="69" t="s">
        <v>9</v>
      </c>
      <c r="I611" s="69" t="s">
        <v>477</v>
      </c>
      <c r="J611" s="69" t="s">
        <v>55</v>
      </c>
      <c r="K611" s="69" t="s">
        <v>531</v>
      </c>
      <c r="M611" s="69" t="s">
        <v>6</v>
      </c>
    </row>
    <row r="612" spans="2:13">
      <c r="B612" s="69">
        <v>610</v>
      </c>
      <c r="C612" s="69">
        <v>52</v>
      </c>
      <c r="D612" s="69">
        <v>85</v>
      </c>
      <c r="E612" s="69">
        <v>51</v>
      </c>
      <c r="F612" s="69">
        <v>0</v>
      </c>
      <c r="G612" s="69" t="s">
        <v>13</v>
      </c>
      <c r="H612" s="69" t="s">
        <v>9</v>
      </c>
      <c r="I612" s="69" t="s">
        <v>477</v>
      </c>
      <c r="J612" s="69" t="s">
        <v>214</v>
      </c>
      <c r="K612" s="69" t="s">
        <v>532</v>
      </c>
      <c r="M612" s="69" t="s">
        <v>6</v>
      </c>
    </row>
    <row r="613" spans="2:13">
      <c r="B613" s="69">
        <v>611</v>
      </c>
      <c r="C613" s="69">
        <v>52</v>
      </c>
      <c r="D613" s="69">
        <v>85</v>
      </c>
      <c r="E613" s="69">
        <v>52</v>
      </c>
      <c r="F613" s="69">
        <v>0</v>
      </c>
      <c r="G613" s="69" t="s">
        <v>13</v>
      </c>
      <c r="H613" s="69" t="s">
        <v>9</v>
      </c>
      <c r="I613" s="69" t="s">
        <v>477</v>
      </c>
      <c r="J613" s="69" t="s">
        <v>214</v>
      </c>
      <c r="K613" s="69" t="s">
        <v>533</v>
      </c>
      <c r="M613" s="69" t="s">
        <v>6</v>
      </c>
    </row>
    <row r="614" spans="2:13">
      <c r="B614" s="69">
        <v>612</v>
      </c>
      <c r="C614" s="69">
        <v>52</v>
      </c>
      <c r="D614" s="69">
        <v>85</v>
      </c>
      <c r="E614" s="69">
        <v>53</v>
      </c>
      <c r="F614" s="69">
        <v>0</v>
      </c>
      <c r="G614" s="69" t="s">
        <v>13</v>
      </c>
      <c r="H614" s="69" t="s">
        <v>9</v>
      </c>
      <c r="I614" s="69" t="s">
        <v>477</v>
      </c>
      <c r="J614" s="69" t="s">
        <v>214</v>
      </c>
      <c r="K614" s="69" t="s">
        <v>534</v>
      </c>
      <c r="M614" s="69" t="s">
        <v>6</v>
      </c>
    </row>
    <row r="615" spans="2:13">
      <c r="B615" s="69">
        <v>613</v>
      </c>
      <c r="C615" s="69">
        <v>52</v>
      </c>
      <c r="D615" s="69">
        <v>85</v>
      </c>
      <c r="E615" s="69">
        <v>54</v>
      </c>
      <c r="F615" s="69">
        <v>0</v>
      </c>
      <c r="G615" s="69" t="s">
        <v>13</v>
      </c>
      <c r="H615" s="69" t="s">
        <v>9</v>
      </c>
      <c r="I615" s="69" t="s">
        <v>477</v>
      </c>
      <c r="J615" s="69" t="s">
        <v>214</v>
      </c>
      <c r="K615" s="69" t="s">
        <v>535</v>
      </c>
      <c r="M615" s="69" t="s">
        <v>6</v>
      </c>
    </row>
    <row r="616" spans="2:13">
      <c r="B616" s="69">
        <v>614</v>
      </c>
      <c r="C616" s="69">
        <v>52</v>
      </c>
      <c r="D616" s="69">
        <v>85</v>
      </c>
      <c r="E616" s="69">
        <v>55</v>
      </c>
      <c r="F616" s="69">
        <v>0</v>
      </c>
      <c r="G616" s="69" t="s">
        <v>13</v>
      </c>
      <c r="H616" s="69" t="s">
        <v>9</v>
      </c>
      <c r="I616" s="69" t="s">
        <v>477</v>
      </c>
      <c r="J616" s="69" t="s">
        <v>214</v>
      </c>
      <c r="K616" s="69" t="s">
        <v>536</v>
      </c>
      <c r="M616" s="69" t="s">
        <v>6</v>
      </c>
    </row>
    <row r="617" spans="2:13">
      <c r="B617" s="69">
        <v>615</v>
      </c>
      <c r="C617" s="69">
        <v>52</v>
      </c>
      <c r="D617" s="69">
        <v>85</v>
      </c>
      <c r="E617" s="69">
        <v>56</v>
      </c>
      <c r="F617" s="69">
        <v>0</v>
      </c>
      <c r="G617" s="69" t="s">
        <v>13</v>
      </c>
      <c r="H617" s="69" t="s">
        <v>9</v>
      </c>
      <c r="I617" s="69" t="s">
        <v>477</v>
      </c>
      <c r="J617" s="69" t="s">
        <v>214</v>
      </c>
      <c r="K617" s="69" t="s">
        <v>537</v>
      </c>
      <c r="M617" s="69" t="s">
        <v>6</v>
      </c>
    </row>
    <row r="618" spans="2:13">
      <c r="B618" s="69">
        <v>616</v>
      </c>
      <c r="C618" s="69">
        <v>52</v>
      </c>
      <c r="D618" s="69">
        <v>85</v>
      </c>
      <c r="E618" s="69">
        <v>57</v>
      </c>
      <c r="F618" s="69">
        <v>0</v>
      </c>
      <c r="G618" s="69" t="s">
        <v>13</v>
      </c>
      <c r="H618" s="69" t="s">
        <v>9</v>
      </c>
      <c r="I618" s="69" t="s">
        <v>477</v>
      </c>
      <c r="J618" s="69" t="s">
        <v>99</v>
      </c>
      <c r="K618" s="69" t="s">
        <v>538</v>
      </c>
      <c r="M618" s="69" t="s">
        <v>6</v>
      </c>
    </row>
    <row r="619" spans="2:13">
      <c r="B619" s="69">
        <v>617</v>
      </c>
      <c r="C619" s="69">
        <v>52</v>
      </c>
      <c r="D619" s="69">
        <v>85</v>
      </c>
      <c r="E619" s="69">
        <v>58</v>
      </c>
      <c r="F619" s="69">
        <v>0</v>
      </c>
      <c r="G619" s="69" t="s">
        <v>13</v>
      </c>
      <c r="H619" s="69" t="s">
        <v>9</v>
      </c>
      <c r="I619" s="69" t="s">
        <v>477</v>
      </c>
      <c r="J619" s="69" t="s">
        <v>479</v>
      </c>
      <c r="K619" s="69" t="s">
        <v>539</v>
      </c>
      <c r="L619" s="69" t="s">
        <v>481</v>
      </c>
      <c r="M619" s="69" t="s">
        <v>6</v>
      </c>
    </row>
    <row r="620" spans="2:13">
      <c r="B620" s="69">
        <v>618</v>
      </c>
      <c r="C620" s="69">
        <v>52</v>
      </c>
      <c r="D620" s="69">
        <v>85</v>
      </c>
      <c r="E620" s="69">
        <v>59</v>
      </c>
      <c r="F620" s="69">
        <v>0</v>
      </c>
      <c r="G620" s="69" t="s">
        <v>13</v>
      </c>
      <c r="H620" s="69" t="s">
        <v>9</v>
      </c>
      <c r="I620" s="69" t="s">
        <v>477</v>
      </c>
      <c r="J620" s="69" t="s">
        <v>55</v>
      </c>
      <c r="K620" s="69" t="s">
        <v>540</v>
      </c>
      <c r="M620" s="69" t="s">
        <v>6</v>
      </c>
    </row>
    <row r="621" spans="2:13">
      <c r="B621" s="69">
        <v>619</v>
      </c>
      <c r="C621" s="69">
        <v>52</v>
      </c>
      <c r="D621" s="69">
        <v>85</v>
      </c>
      <c r="E621" s="69">
        <v>60</v>
      </c>
      <c r="F621" s="69">
        <v>0</v>
      </c>
      <c r="G621" s="69" t="s">
        <v>13</v>
      </c>
      <c r="H621" s="69" t="s">
        <v>9</v>
      </c>
      <c r="I621" s="69" t="s">
        <v>477</v>
      </c>
      <c r="J621" s="69" t="s">
        <v>214</v>
      </c>
      <c r="K621" s="69" t="s">
        <v>541</v>
      </c>
      <c r="M621" s="69" t="s">
        <v>6</v>
      </c>
    </row>
    <row r="622" spans="2:13">
      <c r="B622" s="69">
        <v>620</v>
      </c>
      <c r="C622" s="69">
        <v>52</v>
      </c>
      <c r="D622" s="69">
        <v>85</v>
      </c>
      <c r="E622" s="69">
        <v>61</v>
      </c>
      <c r="F622" s="69">
        <v>0</v>
      </c>
      <c r="G622" s="69" t="s">
        <v>13</v>
      </c>
      <c r="H622" s="69" t="s">
        <v>9</v>
      </c>
      <c r="I622" s="69" t="s">
        <v>477</v>
      </c>
      <c r="J622" s="69" t="s">
        <v>214</v>
      </c>
      <c r="K622" s="69" t="s">
        <v>542</v>
      </c>
      <c r="M622" s="69" t="s">
        <v>6</v>
      </c>
    </row>
    <row r="623" spans="2:13">
      <c r="B623" s="69">
        <v>621</v>
      </c>
      <c r="C623" s="69">
        <v>52</v>
      </c>
      <c r="D623" s="69">
        <v>85</v>
      </c>
      <c r="E623" s="69">
        <v>62</v>
      </c>
      <c r="F623" s="69">
        <v>0</v>
      </c>
      <c r="G623" s="69" t="s">
        <v>13</v>
      </c>
      <c r="H623" s="69" t="s">
        <v>9</v>
      </c>
      <c r="I623" s="69" t="s">
        <v>477</v>
      </c>
      <c r="J623" s="69" t="s">
        <v>214</v>
      </c>
      <c r="K623" s="69" t="s">
        <v>543</v>
      </c>
      <c r="M623" s="69" t="s">
        <v>6</v>
      </c>
    </row>
    <row r="624" spans="2:13">
      <c r="B624" s="69">
        <v>622</v>
      </c>
      <c r="C624" s="69">
        <v>52</v>
      </c>
      <c r="D624" s="69">
        <v>85</v>
      </c>
      <c r="E624" s="69">
        <v>63</v>
      </c>
      <c r="F624" s="69">
        <v>0</v>
      </c>
      <c r="G624" s="69" t="s">
        <v>13</v>
      </c>
      <c r="H624" s="69" t="s">
        <v>9</v>
      </c>
      <c r="I624" s="69" t="s">
        <v>477</v>
      </c>
      <c r="J624" s="69" t="s">
        <v>214</v>
      </c>
      <c r="K624" s="69" t="s">
        <v>544</v>
      </c>
      <c r="M624" s="69" t="s">
        <v>6</v>
      </c>
    </row>
    <row r="625" spans="2:13">
      <c r="B625" s="69">
        <v>623</v>
      </c>
      <c r="C625" s="69">
        <v>52</v>
      </c>
      <c r="D625" s="69">
        <v>85</v>
      </c>
      <c r="E625" s="69">
        <v>64</v>
      </c>
      <c r="F625" s="69">
        <v>0</v>
      </c>
      <c r="G625" s="69" t="s">
        <v>13</v>
      </c>
      <c r="H625" s="69" t="s">
        <v>9</v>
      </c>
      <c r="I625" s="69" t="s">
        <v>477</v>
      </c>
      <c r="J625" s="69" t="s">
        <v>437</v>
      </c>
      <c r="K625" s="69" t="s">
        <v>545</v>
      </c>
      <c r="L625" s="69" t="s">
        <v>546</v>
      </c>
      <c r="M625" s="69" t="s">
        <v>6</v>
      </c>
    </row>
    <row r="626" spans="2:13">
      <c r="B626" s="69">
        <v>624</v>
      </c>
      <c r="C626" s="69">
        <v>52</v>
      </c>
      <c r="D626" s="69">
        <v>85</v>
      </c>
      <c r="E626" s="69">
        <v>65</v>
      </c>
      <c r="F626" s="69">
        <v>0</v>
      </c>
      <c r="G626" s="69" t="s">
        <v>13</v>
      </c>
      <c r="H626" s="69" t="s">
        <v>9</v>
      </c>
      <c r="I626" s="69" t="s">
        <v>477</v>
      </c>
      <c r="J626" s="69" t="s">
        <v>214</v>
      </c>
      <c r="K626" s="69" t="s">
        <v>547</v>
      </c>
      <c r="M626" s="69" t="s">
        <v>6</v>
      </c>
    </row>
    <row r="627" spans="2:13">
      <c r="B627" s="69">
        <v>625</v>
      </c>
      <c r="C627" s="69">
        <v>52</v>
      </c>
      <c r="D627" s="69">
        <v>85</v>
      </c>
      <c r="E627" s="69">
        <v>66</v>
      </c>
      <c r="F627" s="69">
        <v>0</v>
      </c>
      <c r="G627" s="69" t="s">
        <v>13</v>
      </c>
      <c r="H627" s="69" t="s">
        <v>9</v>
      </c>
      <c r="I627" s="69" t="s">
        <v>477</v>
      </c>
      <c r="J627" s="69" t="s">
        <v>214</v>
      </c>
      <c r="K627" s="69" t="s">
        <v>548</v>
      </c>
      <c r="M627" s="69" t="s">
        <v>6</v>
      </c>
    </row>
    <row r="628" spans="2:13">
      <c r="B628" s="69">
        <v>626</v>
      </c>
      <c r="C628" s="69">
        <v>52</v>
      </c>
      <c r="D628" s="69">
        <v>85</v>
      </c>
      <c r="E628" s="69">
        <v>67</v>
      </c>
      <c r="F628" s="69">
        <v>0</v>
      </c>
      <c r="G628" s="69" t="s">
        <v>13</v>
      </c>
      <c r="H628" s="69" t="s">
        <v>9</v>
      </c>
      <c r="I628" s="69" t="s">
        <v>477</v>
      </c>
      <c r="J628" s="69" t="s">
        <v>214</v>
      </c>
      <c r="K628" s="69" t="s">
        <v>549</v>
      </c>
      <c r="M628" s="69" t="s">
        <v>6</v>
      </c>
    </row>
    <row r="629" spans="2:13">
      <c r="B629" s="69">
        <v>627</v>
      </c>
      <c r="C629" s="69">
        <v>52</v>
      </c>
      <c r="D629" s="69">
        <v>85</v>
      </c>
      <c r="E629" s="69">
        <v>68</v>
      </c>
      <c r="F629" s="69">
        <v>0</v>
      </c>
      <c r="G629" s="69" t="s">
        <v>13</v>
      </c>
      <c r="H629" s="69" t="s">
        <v>9</v>
      </c>
      <c r="I629" s="69" t="s">
        <v>477</v>
      </c>
      <c r="J629" s="69" t="s">
        <v>214</v>
      </c>
      <c r="K629" s="69" t="s">
        <v>550</v>
      </c>
      <c r="M629" s="69" t="s">
        <v>6</v>
      </c>
    </row>
    <row r="630" spans="2:13">
      <c r="B630" s="69">
        <v>628</v>
      </c>
      <c r="C630" s="69">
        <v>52</v>
      </c>
      <c r="D630" s="69">
        <v>85</v>
      </c>
      <c r="E630" s="69">
        <v>69</v>
      </c>
      <c r="F630" s="69">
        <v>0</v>
      </c>
      <c r="G630" s="69" t="s">
        <v>13</v>
      </c>
      <c r="H630" s="69" t="s">
        <v>9</v>
      </c>
      <c r="I630" s="69" t="s">
        <v>477</v>
      </c>
      <c r="J630" s="69" t="s">
        <v>55</v>
      </c>
      <c r="K630" s="69" t="s">
        <v>551</v>
      </c>
      <c r="M630" s="69" t="s">
        <v>6</v>
      </c>
    </row>
    <row r="631" spans="2:13">
      <c r="B631" s="69">
        <v>629</v>
      </c>
      <c r="C631" s="69">
        <v>52</v>
      </c>
      <c r="D631" s="69">
        <v>85</v>
      </c>
      <c r="E631" s="69">
        <v>70</v>
      </c>
      <c r="F631" s="69">
        <v>0</v>
      </c>
      <c r="G631" s="69" t="s">
        <v>13</v>
      </c>
      <c r="H631" s="69" t="s">
        <v>9</v>
      </c>
      <c r="I631" s="69" t="s">
        <v>477</v>
      </c>
      <c r="J631" s="69" t="s">
        <v>55</v>
      </c>
      <c r="K631" s="69" t="s">
        <v>552</v>
      </c>
      <c r="M631" s="69" t="s">
        <v>6</v>
      </c>
    </row>
    <row r="632" spans="2:13">
      <c r="B632" s="69">
        <v>630</v>
      </c>
      <c r="C632" s="69">
        <v>52</v>
      </c>
      <c r="D632" s="69">
        <v>85</v>
      </c>
      <c r="E632" s="69">
        <v>71</v>
      </c>
      <c r="F632" s="69">
        <v>0</v>
      </c>
      <c r="G632" s="69" t="s">
        <v>13</v>
      </c>
      <c r="H632" s="69" t="s">
        <v>9</v>
      </c>
      <c r="I632" s="69" t="s">
        <v>477</v>
      </c>
      <c r="J632" s="69" t="s">
        <v>214</v>
      </c>
      <c r="K632" s="69" t="s">
        <v>553</v>
      </c>
      <c r="M632" s="69" t="s">
        <v>6</v>
      </c>
    </row>
    <row r="633" spans="2:13">
      <c r="B633" s="69">
        <v>631</v>
      </c>
      <c r="C633" s="69">
        <v>52</v>
      </c>
      <c r="D633" s="69">
        <v>85</v>
      </c>
      <c r="E633" s="69">
        <v>72</v>
      </c>
      <c r="F633" s="69">
        <v>0</v>
      </c>
      <c r="G633" s="69" t="s">
        <v>13</v>
      </c>
      <c r="H633" s="69" t="s">
        <v>9</v>
      </c>
      <c r="I633" s="69" t="s">
        <v>477</v>
      </c>
      <c r="J633" s="69" t="s">
        <v>99</v>
      </c>
      <c r="K633" s="69" t="s">
        <v>554</v>
      </c>
      <c r="M633" s="69" t="s">
        <v>6</v>
      </c>
    </row>
    <row r="634" spans="2:13">
      <c r="B634" s="69">
        <v>632</v>
      </c>
      <c r="C634" s="69">
        <v>52</v>
      </c>
      <c r="D634" s="69">
        <v>85</v>
      </c>
      <c r="E634" s="69">
        <v>73</v>
      </c>
      <c r="F634" s="69">
        <v>0</v>
      </c>
      <c r="G634" s="69" t="s">
        <v>13</v>
      </c>
      <c r="H634" s="69" t="s">
        <v>9</v>
      </c>
      <c r="I634" s="69" t="s">
        <v>477</v>
      </c>
      <c r="J634" s="69" t="s">
        <v>99</v>
      </c>
      <c r="K634" s="69" t="s">
        <v>555</v>
      </c>
      <c r="M634" s="69" t="s">
        <v>6</v>
      </c>
    </row>
    <row r="635" spans="2:13">
      <c r="B635" s="69">
        <v>633</v>
      </c>
      <c r="C635" s="69">
        <v>52</v>
      </c>
      <c r="D635" s="69">
        <v>85</v>
      </c>
      <c r="E635" s="69">
        <v>74</v>
      </c>
      <c r="F635" s="69">
        <v>0</v>
      </c>
      <c r="G635" s="69" t="s">
        <v>13</v>
      </c>
      <c r="H635" s="69" t="s">
        <v>9</v>
      </c>
      <c r="I635" s="69" t="s">
        <v>477</v>
      </c>
      <c r="J635" s="69" t="s">
        <v>437</v>
      </c>
      <c r="K635" s="69" t="s">
        <v>556</v>
      </c>
      <c r="L635" s="69" t="s">
        <v>557</v>
      </c>
      <c r="M635" s="69" t="s">
        <v>6</v>
      </c>
    </row>
    <row r="636" spans="2:13">
      <c r="B636" s="69">
        <v>634</v>
      </c>
      <c r="C636" s="69">
        <v>52</v>
      </c>
      <c r="D636" s="69">
        <v>85</v>
      </c>
      <c r="E636" s="69">
        <v>75</v>
      </c>
      <c r="F636" s="69">
        <v>0</v>
      </c>
      <c r="G636" s="69" t="s">
        <v>13</v>
      </c>
      <c r="H636" s="69" t="s">
        <v>9</v>
      </c>
      <c r="I636" s="69" t="s">
        <v>477</v>
      </c>
      <c r="J636" s="69" t="s">
        <v>214</v>
      </c>
      <c r="K636" s="69" t="s">
        <v>558</v>
      </c>
      <c r="M636" s="69" t="s">
        <v>6</v>
      </c>
    </row>
    <row r="637" spans="2:13">
      <c r="B637" s="69">
        <v>635</v>
      </c>
      <c r="C637" s="69">
        <v>52</v>
      </c>
      <c r="D637" s="69">
        <v>85</v>
      </c>
      <c r="E637" s="69">
        <v>76</v>
      </c>
      <c r="F637" s="69">
        <v>0</v>
      </c>
      <c r="G637" s="69" t="s">
        <v>13</v>
      </c>
      <c r="H637" s="69" t="s">
        <v>9</v>
      </c>
      <c r="I637" s="69" t="s">
        <v>477</v>
      </c>
      <c r="J637" s="69" t="s">
        <v>479</v>
      </c>
      <c r="K637" s="69" t="s">
        <v>559</v>
      </c>
      <c r="L637" s="69" t="s">
        <v>481</v>
      </c>
      <c r="M637" s="69" t="s">
        <v>6</v>
      </c>
    </row>
    <row r="638" spans="2:13">
      <c r="B638" s="69">
        <v>636</v>
      </c>
      <c r="C638" s="69">
        <v>52</v>
      </c>
      <c r="D638" s="69">
        <v>85</v>
      </c>
      <c r="E638" s="69">
        <v>77</v>
      </c>
      <c r="F638" s="69">
        <v>0</v>
      </c>
      <c r="G638" s="69" t="s">
        <v>13</v>
      </c>
      <c r="H638" s="69" t="s">
        <v>9</v>
      </c>
      <c r="I638" s="69" t="s">
        <v>477</v>
      </c>
      <c r="J638" s="69" t="s">
        <v>55</v>
      </c>
      <c r="K638" s="69" t="s">
        <v>560</v>
      </c>
      <c r="M638" s="69" t="s">
        <v>6</v>
      </c>
    </row>
    <row r="639" spans="2:13">
      <c r="B639" s="69">
        <v>637</v>
      </c>
      <c r="C639" s="69">
        <v>52</v>
      </c>
      <c r="D639" s="69">
        <v>85</v>
      </c>
      <c r="E639" s="69">
        <v>78</v>
      </c>
      <c r="F639" s="69">
        <v>0</v>
      </c>
      <c r="G639" s="69" t="s">
        <v>13</v>
      </c>
      <c r="H639" s="69" t="s">
        <v>9</v>
      </c>
      <c r="I639" s="69" t="s">
        <v>477</v>
      </c>
      <c r="J639" s="69" t="s">
        <v>437</v>
      </c>
      <c r="K639" s="69" t="s">
        <v>561</v>
      </c>
      <c r="L639" s="69" t="s">
        <v>557</v>
      </c>
      <c r="M639" s="69" t="s">
        <v>6</v>
      </c>
    </row>
    <row r="640" spans="2:13">
      <c r="B640" s="69">
        <v>638</v>
      </c>
      <c r="C640" s="69">
        <v>52</v>
      </c>
      <c r="D640" s="69">
        <v>85</v>
      </c>
      <c r="E640" s="69">
        <v>79</v>
      </c>
      <c r="F640" s="69">
        <v>0</v>
      </c>
      <c r="G640" s="69" t="s">
        <v>13</v>
      </c>
      <c r="H640" s="69" t="s">
        <v>9</v>
      </c>
      <c r="I640" s="69" t="s">
        <v>477</v>
      </c>
      <c r="J640" s="69" t="s">
        <v>55</v>
      </c>
      <c r="K640" s="69" t="s">
        <v>562</v>
      </c>
      <c r="M640" s="69" t="s">
        <v>6</v>
      </c>
    </row>
    <row r="641" spans="2:13">
      <c r="B641" s="69">
        <v>639</v>
      </c>
      <c r="C641" s="69">
        <v>52</v>
      </c>
      <c r="D641" s="69">
        <v>85</v>
      </c>
      <c r="E641" s="69">
        <v>80</v>
      </c>
      <c r="F641" s="69">
        <v>0</v>
      </c>
      <c r="G641" s="69" t="s">
        <v>13</v>
      </c>
      <c r="H641" s="69" t="s">
        <v>9</v>
      </c>
      <c r="I641" s="69" t="s">
        <v>477</v>
      </c>
      <c r="J641" s="69" t="s">
        <v>214</v>
      </c>
      <c r="K641" s="69" t="s">
        <v>563</v>
      </c>
      <c r="M641" s="69" t="s">
        <v>6</v>
      </c>
    </row>
    <row r="642" spans="2:13">
      <c r="B642" s="69">
        <v>640</v>
      </c>
      <c r="C642" s="69">
        <v>52</v>
      </c>
      <c r="D642" s="69">
        <v>85</v>
      </c>
      <c r="E642" s="69">
        <v>81</v>
      </c>
      <c r="F642" s="69">
        <v>0</v>
      </c>
      <c r="G642" s="69" t="s">
        <v>13</v>
      </c>
      <c r="H642" s="69" t="s">
        <v>9</v>
      </c>
      <c r="I642" s="69" t="s">
        <v>477</v>
      </c>
      <c r="J642" s="69" t="s">
        <v>214</v>
      </c>
      <c r="K642" s="69" t="s">
        <v>564</v>
      </c>
      <c r="M642" s="69" t="s">
        <v>6</v>
      </c>
    </row>
    <row r="643" spans="2:13">
      <c r="B643" s="69">
        <v>641</v>
      </c>
      <c r="C643" s="69">
        <v>52</v>
      </c>
      <c r="D643" s="69">
        <v>85</v>
      </c>
      <c r="E643" s="69">
        <v>82</v>
      </c>
      <c r="F643" s="69">
        <v>0</v>
      </c>
      <c r="G643" s="69" t="s">
        <v>13</v>
      </c>
      <c r="H643" s="69" t="s">
        <v>9</v>
      </c>
      <c r="I643" s="69" t="s">
        <v>477</v>
      </c>
      <c r="J643" s="69" t="s">
        <v>55</v>
      </c>
      <c r="K643" s="69" t="s">
        <v>565</v>
      </c>
      <c r="M643" s="69" t="s">
        <v>6</v>
      </c>
    </row>
    <row r="644" spans="2:13">
      <c r="B644" s="69">
        <v>642</v>
      </c>
      <c r="C644" s="69">
        <v>52</v>
      </c>
      <c r="D644" s="69">
        <v>85</v>
      </c>
      <c r="E644" s="69">
        <v>83</v>
      </c>
      <c r="F644" s="69">
        <v>0</v>
      </c>
      <c r="G644" s="69" t="s">
        <v>13</v>
      </c>
      <c r="H644" s="69" t="s">
        <v>9</v>
      </c>
      <c r="I644" s="69" t="s">
        <v>477</v>
      </c>
      <c r="J644" s="69" t="s">
        <v>64</v>
      </c>
      <c r="K644" s="69" t="s">
        <v>422</v>
      </c>
      <c r="M644" s="69" t="s">
        <v>6</v>
      </c>
    </row>
    <row r="645" spans="2:13">
      <c r="B645" s="69">
        <v>643</v>
      </c>
      <c r="C645" s="69">
        <v>52</v>
      </c>
      <c r="D645" s="69">
        <v>85</v>
      </c>
      <c r="E645" s="69">
        <v>84</v>
      </c>
      <c r="F645" s="69">
        <v>0</v>
      </c>
      <c r="G645" s="69" t="s">
        <v>13</v>
      </c>
      <c r="H645" s="69" t="s">
        <v>9</v>
      </c>
      <c r="I645" s="69" t="s">
        <v>477</v>
      </c>
      <c r="J645" s="69" t="s">
        <v>55</v>
      </c>
      <c r="K645" s="69" t="s">
        <v>93</v>
      </c>
      <c r="M645" s="69" t="s">
        <v>6</v>
      </c>
    </row>
    <row r="646" spans="2:13">
      <c r="B646" s="69">
        <v>644</v>
      </c>
      <c r="C646" s="69">
        <v>52</v>
      </c>
      <c r="D646" s="69">
        <v>85</v>
      </c>
      <c r="E646" s="69">
        <v>85</v>
      </c>
      <c r="F646" s="69">
        <v>0</v>
      </c>
      <c r="G646" s="69" t="s">
        <v>13</v>
      </c>
      <c r="H646" s="69" t="s">
        <v>9</v>
      </c>
      <c r="I646" s="69" t="s">
        <v>477</v>
      </c>
      <c r="J646" s="69" t="s">
        <v>64</v>
      </c>
      <c r="K646" s="69" t="s">
        <v>94</v>
      </c>
      <c r="M646" s="69" t="s">
        <v>6</v>
      </c>
    </row>
    <row r="647" spans="2:13">
      <c r="B647" s="69">
        <v>645</v>
      </c>
      <c r="C647" s="69">
        <v>53</v>
      </c>
      <c r="D647" s="69">
        <v>13</v>
      </c>
      <c r="E647" s="69">
        <v>0</v>
      </c>
      <c r="F647" s="69">
        <v>0</v>
      </c>
      <c r="G647" s="69" t="s">
        <v>13</v>
      </c>
      <c r="H647" s="69" t="s">
        <v>9</v>
      </c>
      <c r="I647" s="69" t="s">
        <v>566</v>
      </c>
      <c r="J647" s="69" t="s">
        <v>54</v>
      </c>
      <c r="K647" s="69" t="s">
        <v>566</v>
      </c>
      <c r="M647" s="69" t="s">
        <v>6</v>
      </c>
    </row>
    <row r="648" spans="2:13">
      <c r="B648" s="69">
        <v>646</v>
      </c>
      <c r="C648" s="69">
        <v>53</v>
      </c>
      <c r="D648" s="69">
        <v>13</v>
      </c>
      <c r="E648" s="69">
        <v>1</v>
      </c>
      <c r="F648" s="69">
        <v>0</v>
      </c>
      <c r="G648" s="69" t="s">
        <v>13</v>
      </c>
      <c r="H648" s="69" t="s">
        <v>9</v>
      </c>
      <c r="I648" s="69" t="s">
        <v>566</v>
      </c>
      <c r="J648" s="69" t="s">
        <v>55</v>
      </c>
      <c r="K648" s="69" t="s">
        <v>567</v>
      </c>
      <c r="M648" s="69" t="s">
        <v>6</v>
      </c>
    </row>
    <row r="649" spans="2:13">
      <c r="B649" s="69">
        <v>647</v>
      </c>
      <c r="C649" s="69">
        <v>53</v>
      </c>
      <c r="D649" s="69">
        <v>13</v>
      </c>
      <c r="E649" s="69">
        <v>2</v>
      </c>
      <c r="F649" s="69">
        <v>0</v>
      </c>
      <c r="G649" s="69" t="s">
        <v>13</v>
      </c>
      <c r="H649" s="69" t="s">
        <v>9</v>
      </c>
      <c r="I649" s="69" t="s">
        <v>566</v>
      </c>
      <c r="J649" s="69" t="s">
        <v>214</v>
      </c>
      <c r="K649" s="69" t="s">
        <v>568</v>
      </c>
      <c r="M649" s="69" t="s">
        <v>6</v>
      </c>
    </row>
    <row r="650" spans="2:13">
      <c r="B650" s="69">
        <v>648</v>
      </c>
      <c r="C650" s="69">
        <v>53</v>
      </c>
      <c r="D650" s="69">
        <v>13</v>
      </c>
      <c r="E650" s="69">
        <v>3</v>
      </c>
      <c r="F650" s="69">
        <v>0</v>
      </c>
      <c r="G650" s="69" t="s">
        <v>13</v>
      </c>
      <c r="H650" s="69" t="s">
        <v>9</v>
      </c>
      <c r="I650" s="69" t="s">
        <v>566</v>
      </c>
      <c r="J650" s="69" t="s">
        <v>214</v>
      </c>
      <c r="K650" s="69" t="s">
        <v>569</v>
      </c>
      <c r="M650" s="69" t="s">
        <v>6</v>
      </c>
    </row>
    <row r="651" spans="2:13">
      <c r="B651" s="69">
        <v>649</v>
      </c>
      <c r="C651" s="69">
        <v>53</v>
      </c>
      <c r="D651" s="69">
        <v>13</v>
      </c>
      <c r="E651" s="69">
        <v>4</v>
      </c>
      <c r="F651" s="69">
        <v>0</v>
      </c>
      <c r="G651" s="69" t="s">
        <v>13</v>
      </c>
      <c r="H651" s="69" t="s">
        <v>9</v>
      </c>
      <c r="I651" s="69" t="s">
        <v>566</v>
      </c>
      <c r="J651" s="69" t="s">
        <v>214</v>
      </c>
      <c r="K651" s="69" t="s">
        <v>570</v>
      </c>
      <c r="M651" s="69" t="s">
        <v>6</v>
      </c>
    </row>
    <row r="652" spans="2:13">
      <c r="B652" s="69">
        <v>650</v>
      </c>
      <c r="C652" s="69">
        <v>53</v>
      </c>
      <c r="D652" s="69">
        <v>13</v>
      </c>
      <c r="E652" s="69">
        <v>5</v>
      </c>
      <c r="F652" s="69">
        <v>0</v>
      </c>
      <c r="G652" s="69" t="s">
        <v>13</v>
      </c>
      <c r="H652" s="69" t="s">
        <v>9</v>
      </c>
      <c r="I652" s="69" t="s">
        <v>566</v>
      </c>
      <c r="J652" s="69" t="s">
        <v>214</v>
      </c>
      <c r="K652" s="69" t="s">
        <v>571</v>
      </c>
      <c r="M652" s="69" t="s">
        <v>6</v>
      </c>
    </row>
    <row r="653" spans="2:13">
      <c r="B653" s="69">
        <v>651</v>
      </c>
      <c r="C653" s="69">
        <v>53</v>
      </c>
      <c r="D653" s="69">
        <v>13</v>
      </c>
      <c r="E653" s="69">
        <v>6</v>
      </c>
      <c r="F653" s="69">
        <v>0</v>
      </c>
      <c r="G653" s="69" t="s">
        <v>13</v>
      </c>
      <c r="H653" s="69" t="s">
        <v>9</v>
      </c>
      <c r="I653" s="69" t="s">
        <v>566</v>
      </c>
      <c r="J653" s="69" t="s">
        <v>214</v>
      </c>
      <c r="K653" s="69" t="s">
        <v>572</v>
      </c>
      <c r="M653" s="69" t="s">
        <v>6</v>
      </c>
    </row>
    <row r="654" spans="2:13">
      <c r="B654" s="69">
        <v>652</v>
      </c>
      <c r="C654" s="69">
        <v>53</v>
      </c>
      <c r="D654" s="69">
        <v>13</v>
      </c>
      <c r="E654" s="69">
        <v>7</v>
      </c>
      <c r="F654" s="69">
        <v>0</v>
      </c>
      <c r="G654" s="69" t="s">
        <v>13</v>
      </c>
      <c r="H654" s="69" t="s">
        <v>9</v>
      </c>
      <c r="I654" s="69" t="s">
        <v>566</v>
      </c>
      <c r="J654" s="69" t="s">
        <v>214</v>
      </c>
      <c r="K654" s="69" t="s">
        <v>573</v>
      </c>
      <c r="M654" s="69" t="s">
        <v>6</v>
      </c>
    </row>
    <row r="655" spans="2:13">
      <c r="B655" s="69">
        <v>653</v>
      </c>
      <c r="C655" s="69">
        <v>53</v>
      </c>
      <c r="D655" s="69">
        <v>13</v>
      </c>
      <c r="E655" s="69">
        <v>8</v>
      </c>
      <c r="F655" s="69">
        <v>0</v>
      </c>
      <c r="G655" s="69" t="s">
        <v>13</v>
      </c>
      <c r="H655" s="69" t="s">
        <v>9</v>
      </c>
      <c r="I655" s="69" t="s">
        <v>566</v>
      </c>
      <c r="J655" s="69" t="s">
        <v>55</v>
      </c>
      <c r="K655" s="69" t="s">
        <v>574</v>
      </c>
      <c r="M655" s="69" t="s">
        <v>6</v>
      </c>
    </row>
    <row r="656" spans="2:13">
      <c r="B656" s="69">
        <v>654</v>
      </c>
      <c r="C656" s="69">
        <v>53</v>
      </c>
      <c r="D656" s="69">
        <v>13</v>
      </c>
      <c r="E656" s="69">
        <v>9</v>
      </c>
      <c r="F656" s="69">
        <v>0</v>
      </c>
      <c r="G656" s="69" t="s">
        <v>13</v>
      </c>
      <c r="H656" s="69" t="s">
        <v>9</v>
      </c>
      <c r="I656" s="69" t="s">
        <v>566</v>
      </c>
      <c r="J656" s="69" t="s">
        <v>55</v>
      </c>
      <c r="K656" s="69" t="s">
        <v>575</v>
      </c>
      <c r="M656" s="69" t="s">
        <v>6</v>
      </c>
    </row>
    <row r="657" spans="2:13">
      <c r="B657" s="69">
        <v>655</v>
      </c>
      <c r="C657" s="69">
        <v>53</v>
      </c>
      <c r="D657" s="69">
        <v>13</v>
      </c>
      <c r="E657" s="69">
        <v>10</v>
      </c>
      <c r="F657" s="69">
        <v>0</v>
      </c>
      <c r="G657" s="69" t="s">
        <v>13</v>
      </c>
      <c r="H657" s="69" t="s">
        <v>9</v>
      </c>
      <c r="I657" s="69" t="s">
        <v>566</v>
      </c>
      <c r="J657" s="69" t="s">
        <v>55</v>
      </c>
      <c r="K657" s="69" t="s">
        <v>576</v>
      </c>
      <c r="M657" s="69" t="s">
        <v>6</v>
      </c>
    </row>
    <row r="658" spans="2:13">
      <c r="B658" s="69">
        <v>656</v>
      </c>
      <c r="C658" s="69">
        <v>53</v>
      </c>
      <c r="D658" s="69">
        <v>13</v>
      </c>
      <c r="E658" s="69">
        <v>11</v>
      </c>
      <c r="F658" s="69">
        <v>0</v>
      </c>
      <c r="G658" s="69" t="s">
        <v>13</v>
      </c>
      <c r="H658" s="69" t="s">
        <v>9</v>
      </c>
      <c r="I658" s="69" t="s">
        <v>566</v>
      </c>
      <c r="J658" s="69" t="s">
        <v>55</v>
      </c>
      <c r="K658" s="69" t="s">
        <v>577</v>
      </c>
      <c r="M658" s="69" t="s">
        <v>6</v>
      </c>
    </row>
    <row r="659" spans="2:13">
      <c r="B659" s="69">
        <v>657</v>
      </c>
      <c r="C659" s="69">
        <v>53</v>
      </c>
      <c r="D659" s="69">
        <v>13</v>
      </c>
      <c r="E659" s="69">
        <v>12</v>
      </c>
      <c r="F659" s="69">
        <v>0</v>
      </c>
      <c r="G659" s="69" t="s">
        <v>13</v>
      </c>
      <c r="H659" s="69" t="s">
        <v>9</v>
      </c>
      <c r="I659" s="69" t="s">
        <v>566</v>
      </c>
      <c r="J659" s="69" t="s">
        <v>55</v>
      </c>
      <c r="K659" s="69" t="s">
        <v>93</v>
      </c>
      <c r="M659" s="69" t="s">
        <v>6</v>
      </c>
    </row>
    <row r="660" spans="2:13">
      <c r="B660" s="69">
        <v>658</v>
      </c>
      <c r="C660" s="69">
        <v>53</v>
      </c>
      <c r="D660" s="69">
        <v>13</v>
      </c>
      <c r="E660" s="69">
        <v>13</v>
      </c>
      <c r="F660" s="69">
        <v>0</v>
      </c>
      <c r="G660" s="69" t="s">
        <v>13</v>
      </c>
      <c r="H660" s="69" t="s">
        <v>9</v>
      </c>
      <c r="I660" s="69" t="s">
        <v>566</v>
      </c>
      <c r="J660" s="69" t="s">
        <v>64</v>
      </c>
      <c r="K660" s="69" t="s">
        <v>94</v>
      </c>
      <c r="M660" s="69" t="s">
        <v>6</v>
      </c>
    </row>
    <row r="661" spans="2:13">
      <c r="B661" s="69">
        <v>659</v>
      </c>
      <c r="C661" s="69">
        <v>54</v>
      </c>
      <c r="D661" s="69">
        <v>9</v>
      </c>
      <c r="E661" s="69">
        <v>0</v>
      </c>
      <c r="F661" s="69">
        <v>0</v>
      </c>
      <c r="G661" s="69" t="s">
        <v>13</v>
      </c>
      <c r="H661" s="69" t="s">
        <v>9</v>
      </c>
      <c r="I661" s="69" t="s">
        <v>578</v>
      </c>
      <c r="J661" s="69" t="s">
        <v>54</v>
      </c>
      <c r="K661" s="69" t="s">
        <v>578</v>
      </c>
      <c r="M661" s="69" t="s">
        <v>6</v>
      </c>
    </row>
    <row r="662" spans="2:13">
      <c r="B662" s="69">
        <v>660</v>
      </c>
      <c r="C662" s="69">
        <v>54</v>
      </c>
      <c r="D662" s="69">
        <v>9</v>
      </c>
      <c r="E662" s="69">
        <v>1</v>
      </c>
      <c r="F662" s="69">
        <v>0</v>
      </c>
      <c r="G662" s="69" t="s">
        <v>13</v>
      </c>
      <c r="H662" s="69" t="s">
        <v>9</v>
      </c>
      <c r="I662" s="69" t="s">
        <v>578</v>
      </c>
      <c r="J662" s="69" t="s">
        <v>55</v>
      </c>
      <c r="K662" s="69" t="s">
        <v>461</v>
      </c>
      <c r="M662" s="69" t="s">
        <v>6</v>
      </c>
    </row>
    <row r="663" spans="2:13">
      <c r="B663" s="69">
        <v>661</v>
      </c>
      <c r="C663" s="69">
        <v>54</v>
      </c>
      <c r="D663" s="69">
        <v>9</v>
      </c>
      <c r="E663" s="69">
        <v>2</v>
      </c>
      <c r="F663" s="69">
        <v>0</v>
      </c>
      <c r="G663" s="69" t="s">
        <v>13</v>
      </c>
      <c r="H663" s="69" t="s">
        <v>9</v>
      </c>
      <c r="I663" s="69" t="s">
        <v>578</v>
      </c>
      <c r="J663" s="69" t="s">
        <v>55</v>
      </c>
      <c r="K663" s="69" t="s">
        <v>579</v>
      </c>
      <c r="M663" s="69" t="s">
        <v>6</v>
      </c>
    </row>
    <row r="664" spans="2:13">
      <c r="B664" s="69">
        <v>662</v>
      </c>
      <c r="C664" s="69">
        <v>54</v>
      </c>
      <c r="D664" s="69">
        <v>9</v>
      </c>
      <c r="E664" s="69">
        <v>3</v>
      </c>
      <c r="F664" s="69">
        <v>0</v>
      </c>
      <c r="G664" s="69" t="s">
        <v>13</v>
      </c>
      <c r="H664" s="69" t="s">
        <v>9</v>
      </c>
      <c r="I664" s="69" t="s">
        <v>578</v>
      </c>
      <c r="J664" s="69" t="s">
        <v>55</v>
      </c>
      <c r="K664" s="69" t="s">
        <v>580</v>
      </c>
      <c r="M664" s="69" t="s">
        <v>6</v>
      </c>
    </row>
    <row r="665" spans="2:13">
      <c r="B665" s="69">
        <v>663</v>
      </c>
      <c r="C665" s="69">
        <v>54</v>
      </c>
      <c r="D665" s="69">
        <v>9</v>
      </c>
      <c r="E665" s="69">
        <v>4</v>
      </c>
      <c r="F665" s="69">
        <v>0</v>
      </c>
      <c r="G665" s="69" t="s">
        <v>13</v>
      </c>
      <c r="H665" s="69" t="s">
        <v>9</v>
      </c>
      <c r="I665" s="69" t="s">
        <v>578</v>
      </c>
      <c r="J665" s="69" t="s">
        <v>55</v>
      </c>
      <c r="K665" s="69" t="s">
        <v>581</v>
      </c>
      <c r="M665" s="69" t="s">
        <v>6</v>
      </c>
    </row>
    <row r="666" spans="2:13">
      <c r="B666" s="69">
        <v>664</v>
      </c>
      <c r="C666" s="69">
        <v>54</v>
      </c>
      <c r="D666" s="69">
        <v>9</v>
      </c>
      <c r="E666" s="69">
        <v>5</v>
      </c>
      <c r="F666" s="69">
        <v>0</v>
      </c>
      <c r="G666" s="69" t="s">
        <v>13</v>
      </c>
      <c r="H666" s="69" t="s">
        <v>9</v>
      </c>
      <c r="I666" s="69" t="s">
        <v>578</v>
      </c>
      <c r="J666" s="69" t="s">
        <v>55</v>
      </c>
      <c r="K666" s="69" t="s">
        <v>582</v>
      </c>
      <c r="M666" s="69" t="s">
        <v>6</v>
      </c>
    </row>
    <row r="667" spans="2:13">
      <c r="B667" s="69">
        <v>665</v>
      </c>
      <c r="C667" s="69">
        <v>54</v>
      </c>
      <c r="D667" s="69">
        <v>9</v>
      </c>
      <c r="E667" s="69">
        <v>6</v>
      </c>
      <c r="F667" s="69">
        <v>0</v>
      </c>
      <c r="G667" s="69" t="s">
        <v>13</v>
      </c>
      <c r="H667" s="69" t="s">
        <v>9</v>
      </c>
      <c r="I667" s="69" t="s">
        <v>578</v>
      </c>
      <c r="J667" s="69" t="s">
        <v>99</v>
      </c>
      <c r="K667" s="69" t="s">
        <v>464</v>
      </c>
      <c r="M667" s="69" t="s">
        <v>6</v>
      </c>
    </row>
    <row r="668" spans="2:13">
      <c r="B668" s="69">
        <v>666</v>
      </c>
      <c r="C668" s="69">
        <v>54</v>
      </c>
      <c r="D668" s="69">
        <v>9</v>
      </c>
      <c r="E668" s="69">
        <v>7</v>
      </c>
      <c r="F668" s="69">
        <v>0</v>
      </c>
      <c r="G668" s="69" t="s">
        <v>13</v>
      </c>
      <c r="H668" s="69" t="s">
        <v>9</v>
      </c>
      <c r="I668" s="69" t="s">
        <v>578</v>
      </c>
      <c r="J668" s="69" t="s">
        <v>99</v>
      </c>
      <c r="K668" s="69" t="s">
        <v>445</v>
      </c>
      <c r="M668" s="69" t="s">
        <v>6</v>
      </c>
    </row>
    <row r="669" spans="2:13">
      <c r="B669" s="69">
        <v>667</v>
      </c>
      <c r="C669" s="69">
        <v>54</v>
      </c>
      <c r="D669" s="69">
        <v>9</v>
      </c>
      <c r="E669" s="69">
        <v>8</v>
      </c>
      <c r="F669" s="69">
        <v>0</v>
      </c>
      <c r="G669" s="69" t="s">
        <v>13</v>
      </c>
      <c r="H669" s="69" t="s">
        <v>9</v>
      </c>
      <c r="I669" s="69" t="s">
        <v>578</v>
      </c>
      <c r="J669" s="69" t="s">
        <v>55</v>
      </c>
      <c r="K669" s="69" t="s">
        <v>93</v>
      </c>
      <c r="M669" s="69" t="s">
        <v>6</v>
      </c>
    </row>
    <row r="670" spans="2:13">
      <c r="B670" s="69">
        <v>668</v>
      </c>
      <c r="C670" s="69">
        <v>54</v>
      </c>
      <c r="D670" s="69">
        <v>9</v>
      </c>
      <c r="E670" s="69">
        <v>9</v>
      </c>
      <c r="F670" s="69">
        <v>0</v>
      </c>
      <c r="G670" s="69" t="s">
        <v>13</v>
      </c>
      <c r="H670" s="69" t="s">
        <v>9</v>
      </c>
      <c r="I670" s="69" t="s">
        <v>578</v>
      </c>
      <c r="J670" s="69" t="s">
        <v>64</v>
      </c>
      <c r="K670" s="69" t="s">
        <v>94</v>
      </c>
      <c r="M670" s="69" t="s">
        <v>6</v>
      </c>
    </row>
    <row r="671" spans="2:13">
      <c r="B671" s="69">
        <v>669</v>
      </c>
      <c r="C671" s="69">
        <v>55</v>
      </c>
      <c r="D671" s="69">
        <v>4</v>
      </c>
      <c r="E671" s="69">
        <v>0</v>
      </c>
      <c r="F671" s="69">
        <v>0</v>
      </c>
      <c r="G671" s="69" t="s">
        <v>13</v>
      </c>
      <c r="H671" s="69" t="s">
        <v>9</v>
      </c>
      <c r="I671" s="69" t="s">
        <v>583</v>
      </c>
      <c r="J671" s="69" t="s">
        <v>54</v>
      </c>
      <c r="K671" s="69" t="s">
        <v>583</v>
      </c>
      <c r="M671" s="69" t="s">
        <v>6</v>
      </c>
    </row>
    <row r="672" spans="2:13">
      <c r="B672" s="69">
        <v>670</v>
      </c>
      <c r="C672" s="69">
        <v>55</v>
      </c>
      <c r="D672" s="69">
        <v>4</v>
      </c>
      <c r="E672" s="69">
        <v>1</v>
      </c>
      <c r="F672" s="69">
        <v>0</v>
      </c>
      <c r="G672" s="69" t="s">
        <v>13</v>
      </c>
      <c r="H672" s="69" t="s">
        <v>9</v>
      </c>
      <c r="I672" s="69" t="s">
        <v>583</v>
      </c>
      <c r="J672" s="69" t="s">
        <v>55</v>
      </c>
      <c r="K672" s="69" t="s">
        <v>584</v>
      </c>
      <c r="M672" s="69" t="s">
        <v>6</v>
      </c>
    </row>
    <row r="673" spans="2:13">
      <c r="B673" s="69">
        <v>671</v>
      </c>
      <c r="C673" s="69">
        <v>55</v>
      </c>
      <c r="D673" s="69">
        <v>4</v>
      </c>
      <c r="E673" s="69">
        <v>2</v>
      </c>
      <c r="F673" s="69">
        <v>0</v>
      </c>
      <c r="G673" s="69" t="s">
        <v>13</v>
      </c>
      <c r="H673" s="69" t="s">
        <v>9</v>
      </c>
      <c r="I673" s="69" t="s">
        <v>583</v>
      </c>
      <c r="J673" s="69" t="s">
        <v>55</v>
      </c>
      <c r="K673" s="69" t="s">
        <v>585</v>
      </c>
      <c r="M673" s="69" t="s">
        <v>6</v>
      </c>
    </row>
    <row r="674" spans="2:13">
      <c r="B674" s="69">
        <v>672</v>
      </c>
      <c r="C674" s="69">
        <v>55</v>
      </c>
      <c r="D674" s="69">
        <v>4</v>
      </c>
      <c r="E674" s="69">
        <v>3</v>
      </c>
      <c r="F674" s="69">
        <v>0</v>
      </c>
      <c r="G674" s="69" t="s">
        <v>13</v>
      </c>
      <c r="H674" s="69" t="s">
        <v>9</v>
      </c>
      <c r="I674" s="69" t="s">
        <v>583</v>
      </c>
      <c r="J674" s="69" t="s">
        <v>55</v>
      </c>
      <c r="K674" s="69" t="s">
        <v>93</v>
      </c>
      <c r="M674" s="69" t="s">
        <v>6</v>
      </c>
    </row>
    <row r="675" spans="2:13">
      <c r="B675" s="69">
        <v>673</v>
      </c>
      <c r="C675" s="69">
        <v>55</v>
      </c>
      <c r="D675" s="69">
        <v>4</v>
      </c>
      <c r="E675" s="69">
        <v>4</v>
      </c>
      <c r="F675" s="69">
        <v>0</v>
      </c>
      <c r="G675" s="69" t="s">
        <v>13</v>
      </c>
      <c r="H675" s="69" t="s">
        <v>9</v>
      </c>
      <c r="I675" s="69" t="s">
        <v>583</v>
      </c>
      <c r="J675" s="69" t="s">
        <v>64</v>
      </c>
      <c r="K675" s="69" t="s">
        <v>94</v>
      </c>
      <c r="M675" s="69" t="s">
        <v>6</v>
      </c>
    </row>
    <row r="676" spans="2:13">
      <c r="B676" s="69">
        <v>674</v>
      </c>
      <c r="C676" s="69">
        <v>56</v>
      </c>
      <c r="D676" s="69">
        <v>7</v>
      </c>
      <c r="E676" s="69">
        <v>0</v>
      </c>
      <c r="F676" s="69">
        <v>0</v>
      </c>
      <c r="G676" s="69" t="s">
        <v>13</v>
      </c>
      <c r="H676" s="69" t="s">
        <v>9</v>
      </c>
      <c r="I676" s="69" t="s">
        <v>586</v>
      </c>
      <c r="J676" s="69" t="s">
        <v>54</v>
      </c>
      <c r="K676" s="69" t="s">
        <v>586</v>
      </c>
      <c r="M676" s="69" t="s">
        <v>6</v>
      </c>
    </row>
    <row r="677" spans="2:13">
      <c r="B677" s="69">
        <v>675</v>
      </c>
      <c r="C677" s="69">
        <v>56</v>
      </c>
      <c r="D677" s="69">
        <v>7</v>
      </c>
      <c r="E677" s="69">
        <v>1</v>
      </c>
      <c r="F677" s="69">
        <v>0</v>
      </c>
      <c r="G677" s="69" t="s">
        <v>13</v>
      </c>
      <c r="H677" s="69" t="s">
        <v>9</v>
      </c>
      <c r="I677" s="69" t="s">
        <v>586</v>
      </c>
      <c r="J677" s="69" t="s">
        <v>55</v>
      </c>
      <c r="K677" s="69" t="s">
        <v>587</v>
      </c>
      <c r="M677" s="69" t="s">
        <v>6</v>
      </c>
    </row>
    <row r="678" spans="2:13">
      <c r="B678" s="69">
        <v>676</v>
      </c>
      <c r="C678" s="69">
        <v>56</v>
      </c>
      <c r="D678" s="69">
        <v>7</v>
      </c>
      <c r="E678" s="69">
        <v>2</v>
      </c>
      <c r="F678" s="69">
        <v>0</v>
      </c>
      <c r="G678" s="69" t="s">
        <v>13</v>
      </c>
      <c r="H678" s="69" t="s">
        <v>9</v>
      </c>
      <c r="I678" s="69" t="s">
        <v>586</v>
      </c>
      <c r="J678" s="69" t="s">
        <v>55</v>
      </c>
      <c r="K678" s="69" t="s">
        <v>588</v>
      </c>
      <c r="M678" s="69" t="s">
        <v>6</v>
      </c>
    </row>
    <row r="679" spans="2:13">
      <c r="B679" s="69">
        <v>677</v>
      </c>
      <c r="C679" s="69">
        <v>56</v>
      </c>
      <c r="D679" s="69">
        <v>7</v>
      </c>
      <c r="E679" s="69">
        <v>3</v>
      </c>
      <c r="F679" s="69">
        <v>0</v>
      </c>
      <c r="G679" s="69" t="s">
        <v>13</v>
      </c>
      <c r="H679" s="69" t="s">
        <v>9</v>
      </c>
      <c r="I679" s="69" t="s">
        <v>586</v>
      </c>
      <c r="J679" s="69" t="s">
        <v>55</v>
      </c>
      <c r="K679" s="69" t="s">
        <v>589</v>
      </c>
      <c r="M679" s="69" t="s">
        <v>6</v>
      </c>
    </row>
    <row r="680" spans="2:13">
      <c r="B680" s="69">
        <v>678</v>
      </c>
      <c r="C680" s="69">
        <v>56</v>
      </c>
      <c r="D680" s="69">
        <v>7</v>
      </c>
      <c r="E680" s="69">
        <v>4</v>
      </c>
      <c r="F680" s="69">
        <v>0</v>
      </c>
      <c r="G680" s="69" t="s">
        <v>13</v>
      </c>
      <c r="H680" s="69" t="s">
        <v>9</v>
      </c>
      <c r="I680" s="69" t="s">
        <v>586</v>
      </c>
      <c r="J680" s="69" t="s">
        <v>55</v>
      </c>
      <c r="K680" s="69" t="s">
        <v>590</v>
      </c>
      <c r="M680" s="69" t="s">
        <v>6</v>
      </c>
    </row>
    <row r="681" spans="2:13">
      <c r="B681" s="69">
        <v>679</v>
      </c>
      <c r="C681" s="69">
        <v>56</v>
      </c>
      <c r="D681" s="69">
        <v>7</v>
      </c>
      <c r="E681" s="69">
        <v>5</v>
      </c>
      <c r="F681" s="69">
        <v>0</v>
      </c>
      <c r="G681" s="69" t="s">
        <v>13</v>
      </c>
      <c r="H681" s="69" t="s">
        <v>9</v>
      </c>
      <c r="I681" s="69" t="s">
        <v>586</v>
      </c>
      <c r="J681" s="69" t="s">
        <v>55</v>
      </c>
      <c r="K681" s="69" t="s">
        <v>591</v>
      </c>
      <c r="M681" s="69" t="s">
        <v>6</v>
      </c>
    </row>
    <row r="682" spans="2:13">
      <c r="B682" s="69">
        <v>680</v>
      </c>
      <c r="C682" s="69">
        <v>56</v>
      </c>
      <c r="D682" s="69">
        <v>7</v>
      </c>
      <c r="E682" s="69">
        <v>6</v>
      </c>
      <c r="F682" s="69">
        <v>0</v>
      </c>
      <c r="G682" s="69" t="s">
        <v>13</v>
      </c>
      <c r="H682" s="69" t="s">
        <v>9</v>
      </c>
      <c r="I682" s="69" t="s">
        <v>586</v>
      </c>
      <c r="J682" s="69" t="s">
        <v>55</v>
      </c>
      <c r="K682" s="69" t="s">
        <v>93</v>
      </c>
      <c r="M682" s="69" t="s">
        <v>6</v>
      </c>
    </row>
    <row r="683" spans="2:13">
      <c r="B683" s="69">
        <v>681</v>
      </c>
      <c r="C683" s="69">
        <v>56</v>
      </c>
      <c r="D683" s="69">
        <v>7</v>
      </c>
      <c r="E683" s="69">
        <v>7</v>
      </c>
      <c r="F683" s="69">
        <v>0</v>
      </c>
      <c r="G683" s="69" t="s">
        <v>13</v>
      </c>
      <c r="H683" s="69" t="s">
        <v>9</v>
      </c>
      <c r="I683" s="69" t="s">
        <v>586</v>
      </c>
      <c r="J683" s="69" t="s">
        <v>64</v>
      </c>
      <c r="K683" s="69" t="s">
        <v>94</v>
      </c>
      <c r="M683" s="69" t="s">
        <v>6</v>
      </c>
    </row>
    <row r="684" spans="2:13">
      <c r="B684" s="69">
        <v>682</v>
      </c>
      <c r="C684" s="69">
        <v>57</v>
      </c>
      <c r="D684" s="69">
        <v>7</v>
      </c>
      <c r="E684" s="69">
        <v>0</v>
      </c>
      <c r="F684" s="69">
        <v>0</v>
      </c>
      <c r="G684" s="69" t="s">
        <v>13</v>
      </c>
      <c r="H684" s="69" t="s">
        <v>9</v>
      </c>
      <c r="I684" s="69" t="s">
        <v>592</v>
      </c>
      <c r="J684" s="69" t="s">
        <v>54</v>
      </c>
      <c r="K684" s="69" t="s">
        <v>592</v>
      </c>
      <c r="M684" s="69" t="s">
        <v>6</v>
      </c>
    </row>
    <row r="685" spans="2:13">
      <c r="B685" s="69">
        <v>683</v>
      </c>
      <c r="C685" s="69">
        <v>57</v>
      </c>
      <c r="D685" s="69">
        <v>7</v>
      </c>
      <c r="E685" s="69">
        <v>1</v>
      </c>
      <c r="F685" s="69">
        <v>0</v>
      </c>
      <c r="G685" s="69" t="s">
        <v>13</v>
      </c>
      <c r="H685" s="69" t="s">
        <v>9</v>
      </c>
      <c r="I685" s="69" t="s">
        <v>592</v>
      </c>
      <c r="J685" s="69" t="s">
        <v>55</v>
      </c>
      <c r="K685" s="69" t="s">
        <v>593</v>
      </c>
      <c r="M685" s="69" t="s">
        <v>6</v>
      </c>
    </row>
    <row r="686" spans="2:13">
      <c r="B686" s="69">
        <v>684</v>
      </c>
      <c r="C686" s="69">
        <v>57</v>
      </c>
      <c r="D686" s="69">
        <v>7</v>
      </c>
      <c r="E686" s="69">
        <v>2</v>
      </c>
      <c r="F686" s="69">
        <v>0</v>
      </c>
      <c r="G686" s="69" t="s">
        <v>13</v>
      </c>
      <c r="H686" s="69" t="s">
        <v>9</v>
      </c>
      <c r="I686" s="69" t="s">
        <v>592</v>
      </c>
      <c r="J686" s="69" t="s">
        <v>55</v>
      </c>
      <c r="K686" s="69" t="s">
        <v>594</v>
      </c>
      <c r="M686" s="69" t="s">
        <v>6</v>
      </c>
    </row>
    <row r="687" spans="2:13">
      <c r="B687" s="69">
        <v>685</v>
      </c>
      <c r="C687" s="69">
        <v>57</v>
      </c>
      <c r="D687" s="69">
        <v>7</v>
      </c>
      <c r="E687" s="69">
        <v>3</v>
      </c>
      <c r="F687" s="69">
        <v>0</v>
      </c>
      <c r="G687" s="69" t="s">
        <v>13</v>
      </c>
      <c r="H687" s="69" t="s">
        <v>9</v>
      </c>
      <c r="I687" s="69" t="s">
        <v>592</v>
      </c>
      <c r="J687" s="69" t="s">
        <v>55</v>
      </c>
      <c r="K687" s="69" t="s">
        <v>595</v>
      </c>
      <c r="M687" s="69" t="s">
        <v>6</v>
      </c>
    </row>
    <row r="688" spans="2:13">
      <c r="B688" s="69">
        <v>686</v>
      </c>
      <c r="C688" s="69">
        <v>57</v>
      </c>
      <c r="D688" s="69">
        <v>7</v>
      </c>
      <c r="E688" s="69">
        <v>4</v>
      </c>
      <c r="F688" s="69">
        <v>0</v>
      </c>
      <c r="G688" s="69" t="s">
        <v>13</v>
      </c>
      <c r="H688" s="69" t="s">
        <v>9</v>
      </c>
      <c r="I688" s="69" t="s">
        <v>592</v>
      </c>
      <c r="J688" s="69" t="s">
        <v>55</v>
      </c>
      <c r="K688" s="69" t="s">
        <v>596</v>
      </c>
      <c r="M688" s="69" t="s">
        <v>6</v>
      </c>
    </row>
    <row r="689" spans="2:13">
      <c r="B689" s="69">
        <v>687</v>
      </c>
      <c r="C689" s="69">
        <v>57</v>
      </c>
      <c r="D689" s="69">
        <v>7</v>
      </c>
      <c r="E689" s="69">
        <v>5</v>
      </c>
      <c r="F689" s="69">
        <v>0</v>
      </c>
      <c r="G689" s="69" t="s">
        <v>13</v>
      </c>
      <c r="H689" s="69" t="s">
        <v>9</v>
      </c>
      <c r="I689" s="69" t="s">
        <v>592</v>
      </c>
      <c r="J689" s="69" t="s">
        <v>55</v>
      </c>
      <c r="K689" s="69" t="s">
        <v>597</v>
      </c>
      <c r="M689" s="69" t="s">
        <v>6</v>
      </c>
    </row>
    <row r="690" spans="2:13">
      <c r="B690" s="69">
        <v>688</v>
      </c>
      <c r="C690" s="69">
        <v>57</v>
      </c>
      <c r="D690" s="69">
        <v>7</v>
      </c>
      <c r="E690" s="69">
        <v>6</v>
      </c>
      <c r="F690" s="69">
        <v>0</v>
      </c>
      <c r="G690" s="69" t="s">
        <v>13</v>
      </c>
      <c r="H690" s="69" t="s">
        <v>9</v>
      </c>
      <c r="I690" s="69" t="s">
        <v>592</v>
      </c>
      <c r="J690" s="69" t="s">
        <v>55</v>
      </c>
      <c r="K690" s="69" t="s">
        <v>93</v>
      </c>
      <c r="M690" s="69" t="s">
        <v>6</v>
      </c>
    </row>
    <row r="691" spans="2:13">
      <c r="B691" s="69">
        <v>689</v>
      </c>
      <c r="C691" s="69">
        <v>57</v>
      </c>
      <c r="D691" s="69">
        <v>7</v>
      </c>
      <c r="E691" s="69">
        <v>7</v>
      </c>
      <c r="F691" s="69">
        <v>0</v>
      </c>
      <c r="G691" s="69" t="s">
        <v>13</v>
      </c>
      <c r="H691" s="69" t="s">
        <v>9</v>
      </c>
      <c r="I691" s="69" t="s">
        <v>592</v>
      </c>
      <c r="J691" s="69" t="s">
        <v>64</v>
      </c>
      <c r="K691" s="69" t="s">
        <v>94</v>
      </c>
      <c r="M691" s="69" t="s">
        <v>6</v>
      </c>
    </row>
    <row r="692" spans="2:13">
      <c r="B692" s="69">
        <v>690</v>
      </c>
      <c r="C692" s="69">
        <v>58</v>
      </c>
      <c r="D692" s="69">
        <v>11</v>
      </c>
      <c r="E692" s="69">
        <v>0</v>
      </c>
      <c r="F692" s="69">
        <v>0</v>
      </c>
      <c r="G692" s="69" t="s">
        <v>13</v>
      </c>
      <c r="H692" s="69" t="s">
        <v>9</v>
      </c>
      <c r="I692" s="69" t="s">
        <v>598</v>
      </c>
      <c r="J692" s="69" t="s">
        <v>54</v>
      </c>
      <c r="K692" s="69" t="s">
        <v>598</v>
      </c>
      <c r="M692" s="69" t="s">
        <v>6</v>
      </c>
    </row>
    <row r="693" spans="2:13">
      <c r="B693" s="69">
        <v>691</v>
      </c>
      <c r="C693" s="69">
        <v>58</v>
      </c>
      <c r="D693" s="69">
        <v>11</v>
      </c>
      <c r="E693" s="69">
        <v>1</v>
      </c>
      <c r="F693" s="69">
        <v>0</v>
      </c>
      <c r="G693" s="69" t="s">
        <v>13</v>
      </c>
      <c r="H693" s="69" t="s">
        <v>9</v>
      </c>
      <c r="I693" s="69" t="s">
        <v>598</v>
      </c>
      <c r="J693" s="69" t="s">
        <v>55</v>
      </c>
      <c r="K693" s="69" t="s">
        <v>599</v>
      </c>
      <c r="M693" s="69" t="s">
        <v>6</v>
      </c>
    </row>
    <row r="694" spans="2:13">
      <c r="B694" s="69">
        <v>692</v>
      </c>
      <c r="C694" s="69">
        <v>58</v>
      </c>
      <c r="D694" s="69">
        <v>11</v>
      </c>
      <c r="E694" s="69">
        <v>2</v>
      </c>
      <c r="F694" s="69">
        <v>0</v>
      </c>
      <c r="G694" s="69" t="s">
        <v>13</v>
      </c>
      <c r="H694" s="69" t="s">
        <v>9</v>
      </c>
      <c r="I694" s="69" t="s">
        <v>598</v>
      </c>
      <c r="J694" s="69" t="s">
        <v>55</v>
      </c>
      <c r="K694" s="69" t="s">
        <v>600</v>
      </c>
      <c r="M694" s="69" t="s">
        <v>6</v>
      </c>
    </row>
    <row r="695" spans="2:13">
      <c r="B695" s="69">
        <v>693</v>
      </c>
      <c r="C695" s="69">
        <v>58</v>
      </c>
      <c r="D695" s="69">
        <v>11</v>
      </c>
      <c r="E695" s="69">
        <v>3</v>
      </c>
      <c r="F695" s="69">
        <v>0</v>
      </c>
      <c r="G695" s="69" t="s">
        <v>13</v>
      </c>
      <c r="H695" s="69" t="s">
        <v>9</v>
      </c>
      <c r="I695" s="69" t="s">
        <v>598</v>
      </c>
      <c r="J695" s="69" t="s">
        <v>55</v>
      </c>
      <c r="K695" s="69" t="s">
        <v>601</v>
      </c>
      <c r="M695" s="69" t="s">
        <v>6</v>
      </c>
    </row>
    <row r="696" spans="2:13">
      <c r="B696" s="69">
        <v>694</v>
      </c>
      <c r="C696" s="69">
        <v>58</v>
      </c>
      <c r="D696" s="69">
        <v>11</v>
      </c>
      <c r="E696" s="69">
        <v>4</v>
      </c>
      <c r="F696" s="69">
        <v>0</v>
      </c>
      <c r="G696" s="69" t="s">
        <v>13</v>
      </c>
      <c r="H696" s="69" t="s">
        <v>9</v>
      </c>
      <c r="I696" s="69" t="s">
        <v>598</v>
      </c>
      <c r="J696" s="69" t="s">
        <v>55</v>
      </c>
      <c r="K696" s="69" t="s">
        <v>602</v>
      </c>
      <c r="M696" s="69" t="s">
        <v>6</v>
      </c>
    </row>
    <row r="697" spans="2:13">
      <c r="B697" s="69">
        <v>695</v>
      </c>
      <c r="C697" s="69">
        <v>58</v>
      </c>
      <c r="D697" s="69">
        <v>11</v>
      </c>
      <c r="E697" s="69">
        <v>5</v>
      </c>
      <c r="F697" s="69">
        <v>0</v>
      </c>
      <c r="G697" s="69" t="s">
        <v>13</v>
      </c>
      <c r="H697" s="69" t="s">
        <v>9</v>
      </c>
      <c r="I697" s="69" t="s">
        <v>598</v>
      </c>
      <c r="J697" s="69" t="s">
        <v>55</v>
      </c>
      <c r="K697" s="69" t="s">
        <v>603</v>
      </c>
      <c r="M697" s="69" t="s">
        <v>6</v>
      </c>
    </row>
    <row r="698" spans="2:13">
      <c r="B698" s="69">
        <v>696</v>
      </c>
      <c r="C698" s="69">
        <v>58</v>
      </c>
      <c r="D698" s="69">
        <v>11</v>
      </c>
      <c r="E698" s="69">
        <v>6</v>
      </c>
      <c r="F698" s="69">
        <v>0</v>
      </c>
      <c r="G698" s="69" t="s">
        <v>13</v>
      </c>
      <c r="H698" s="69" t="s">
        <v>9</v>
      </c>
      <c r="I698" s="69" t="s">
        <v>598</v>
      </c>
      <c r="J698" s="69" t="s">
        <v>55</v>
      </c>
      <c r="K698" s="69" t="s">
        <v>604</v>
      </c>
      <c r="M698" s="69" t="s">
        <v>6</v>
      </c>
    </row>
    <row r="699" spans="2:13">
      <c r="B699" s="69">
        <v>697</v>
      </c>
      <c r="C699" s="69">
        <v>58</v>
      </c>
      <c r="D699" s="69">
        <v>11</v>
      </c>
      <c r="E699" s="69">
        <v>7</v>
      </c>
      <c r="F699" s="69">
        <v>0</v>
      </c>
      <c r="G699" s="69" t="s">
        <v>13</v>
      </c>
      <c r="H699" s="69" t="s">
        <v>9</v>
      </c>
      <c r="I699" s="69" t="s">
        <v>598</v>
      </c>
      <c r="J699" s="69" t="s">
        <v>55</v>
      </c>
      <c r="K699" s="69" t="s">
        <v>605</v>
      </c>
      <c r="M699" s="69" t="s">
        <v>6</v>
      </c>
    </row>
    <row r="700" spans="2:13">
      <c r="B700" s="69">
        <v>698</v>
      </c>
      <c r="C700" s="69">
        <v>58</v>
      </c>
      <c r="D700" s="69">
        <v>11</v>
      </c>
      <c r="E700" s="69">
        <v>8</v>
      </c>
      <c r="F700" s="69">
        <v>0</v>
      </c>
      <c r="G700" s="69" t="s">
        <v>13</v>
      </c>
      <c r="H700" s="69" t="s">
        <v>9</v>
      </c>
      <c r="I700" s="69" t="s">
        <v>598</v>
      </c>
      <c r="J700" s="69" t="s">
        <v>55</v>
      </c>
      <c r="K700" s="69" t="s">
        <v>606</v>
      </c>
      <c r="M700" s="69" t="s">
        <v>6</v>
      </c>
    </row>
    <row r="701" spans="2:13">
      <c r="B701" s="69">
        <v>699</v>
      </c>
      <c r="C701" s="69">
        <v>58</v>
      </c>
      <c r="D701" s="69">
        <v>11</v>
      </c>
      <c r="E701" s="69">
        <v>9</v>
      </c>
      <c r="F701" s="69">
        <v>0</v>
      </c>
      <c r="G701" s="69" t="s">
        <v>13</v>
      </c>
      <c r="H701" s="69" t="s">
        <v>9</v>
      </c>
      <c r="I701" s="69" t="s">
        <v>598</v>
      </c>
      <c r="J701" s="69" t="s">
        <v>99</v>
      </c>
      <c r="K701" s="69" t="s">
        <v>607</v>
      </c>
      <c r="M701" s="69" t="s">
        <v>6</v>
      </c>
    </row>
    <row r="702" spans="2:13">
      <c r="B702" s="69">
        <v>700</v>
      </c>
      <c r="C702" s="69">
        <v>58</v>
      </c>
      <c r="D702" s="69">
        <v>11</v>
      </c>
      <c r="E702" s="69">
        <v>10</v>
      </c>
      <c r="F702" s="69">
        <v>0</v>
      </c>
      <c r="G702" s="69" t="s">
        <v>13</v>
      </c>
      <c r="H702" s="69" t="s">
        <v>9</v>
      </c>
      <c r="I702" s="69" t="s">
        <v>598</v>
      </c>
      <c r="J702" s="69" t="s">
        <v>55</v>
      </c>
      <c r="K702" s="69" t="s">
        <v>93</v>
      </c>
      <c r="M702" s="69" t="s">
        <v>6</v>
      </c>
    </row>
    <row r="703" spans="2:13">
      <c r="B703" s="69">
        <v>701</v>
      </c>
      <c r="C703" s="69">
        <v>58</v>
      </c>
      <c r="D703" s="69">
        <v>11</v>
      </c>
      <c r="E703" s="69">
        <v>11</v>
      </c>
      <c r="F703" s="69">
        <v>0</v>
      </c>
      <c r="G703" s="69" t="s">
        <v>13</v>
      </c>
      <c r="H703" s="69" t="s">
        <v>9</v>
      </c>
      <c r="I703" s="69" t="s">
        <v>598</v>
      </c>
      <c r="J703" s="69" t="s">
        <v>64</v>
      </c>
      <c r="K703" s="69" t="s">
        <v>94</v>
      </c>
      <c r="M703" s="69" t="s">
        <v>6</v>
      </c>
    </row>
    <row r="704" spans="2:13">
      <c r="B704" s="69">
        <v>702</v>
      </c>
      <c r="C704" s="69">
        <v>59</v>
      </c>
      <c r="D704" s="69">
        <v>9</v>
      </c>
      <c r="E704" s="69">
        <v>0</v>
      </c>
      <c r="F704" s="69">
        <v>0</v>
      </c>
      <c r="G704" s="69" t="s">
        <v>13</v>
      </c>
      <c r="H704" s="69" t="s">
        <v>9</v>
      </c>
      <c r="I704" s="69" t="s">
        <v>608</v>
      </c>
      <c r="J704" s="69" t="s">
        <v>54</v>
      </c>
      <c r="K704" s="69" t="s">
        <v>608</v>
      </c>
      <c r="M704" s="69" t="s">
        <v>6</v>
      </c>
    </row>
    <row r="705" spans="2:13">
      <c r="B705" s="69">
        <v>703</v>
      </c>
      <c r="C705" s="69">
        <v>59</v>
      </c>
      <c r="D705" s="69">
        <v>9</v>
      </c>
      <c r="E705" s="69">
        <v>1</v>
      </c>
      <c r="F705" s="69">
        <v>0</v>
      </c>
      <c r="G705" s="69" t="s">
        <v>13</v>
      </c>
      <c r="H705" s="69" t="s">
        <v>9</v>
      </c>
      <c r="I705" s="69" t="s">
        <v>608</v>
      </c>
      <c r="J705" s="69" t="s">
        <v>55</v>
      </c>
      <c r="K705" s="69" t="s">
        <v>609</v>
      </c>
      <c r="M705" s="69" t="s">
        <v>6</v>
      </c>
    </row>
    <row r="706" spans="2:13">
      <c r="B706" s="69">
        <v>704</v>
      </c>
      <c r="C706" s="69">
        <v>59</v>
      </c>
      <c r="D706" s="69">
        <v>9</v>
      </c>
      <c r="E706" s="69">
        <v>2</v>
      </c>
      <c r="F706" s="69">
        <v>0</v>
      </c>
      <c r="G706" s="69" t="s">
        <v>13</v>
      </c>
      <c r="H706" s="69" t="s">
        <v>9</v>
      </c>
      <c r="I706" s="69" t="s">
        <v>608</v>
      </c>
      <c r="J706" s="69" t="s">
        <v>55</v>
      </c>
      <c r="K706" s="69" t="s">
        <v>610</v>
      </c>
      <c r="M706" s="69" t="s">
        <v>6</v>
      </c>
    </row>
    <row r="707" spans="2:13">
      <c r="B707" s="69">
        <v>705</v>
      </c>
      <c r="C707" s="69">
        <v>59</v>
      </c>
      <c r="D707" s="69">
        <v>9</v>
      </c>
      <c r="E707" s="69">
        <v>3</v>
      </c>
      <c r="F707" s="69">
        <v>0</v>
      </c>
      <c r="G707" s="69" t="s">
        <v>13</v>
      </c>
      <c r="H707" s="69" t="s">
        <v>9</v>
      </c>
      <c r="I707" s="69" t="s">
        <v>608</v>
      </c>
      <c r="J707" s="69" t="s">
        <v>55</v>
      </c>
      <c r="K707" s="69" t="s">
        <v>611</v>
      </c>
      <c r="M707" s="69" t="s">
        <v>6</v>
      </c>
    </row>
    <row r="708" spans="2:13">
      <c r="B708" s="69">
        <v>706</v>
      </c>
      <c r="C708" s="69">
        <v>59</v>
      </c>
      <c r="D708" s="69">
        <v>9</v>
      </c>
      <c r="E708" s="69">
        <v>4</v>
      </c>
      <c r="F708" s="69">
        <v>0</v>
      </c>
      <c r="G708" s="69" t="s">
        <v>13</v>
      </c>
      <c r="H708" s="69" t="s">
        <v>9</v>
      </c>
      <c r="I708" s="69" t="s">
        <v>608</v>
      </c>
      <c r="J708" s="69" t="s">
        <v>55</v>
      </c>
      <c r="K708" s="69" t="s">
        <v>612</v>
      </c>
      <c r="M708" s="69" t="s">
        <v>6</v>
      </c>
    </row>
    <row r="709" spans="2:13">
      <c r="B709" s="69">
        <v>707</v>
      </c>
      <c r="C709" s="69">
        <v>59</v>
      </c>
      <c r="D709" s="69">
        <v>9</v>
      </c>
      <c r="E709" s="69">
        <v>5</v>
      </c>
      <c r="F709" s="69">
        <v>0</v>
      </c>
      <c r="G709" s="69" t="s">
        <v>13</v>
      </c>
      <c r="H709" s="69" t="s">
        <v>9</v>
      </c>
      <c r="I709" s="69" t="s">
        <v>608</v>
      </c>
      <c r="J709" s="69" t="s">
        <v>55</v>
      </c>
      <c r="K709" s="69" t="s">
        <v>613</v>
      </c>
      <c r="M709" s="69" t="s">
        <v>6</v>
      </c>
    </row>
    <row r="710" spans="2:13">
      <c r="B710" s="69">
        <v>708</v>
      </c>
      <c r="C710" s="69">
        <v>59</v>
      </c>
      <c r="D710" s="69">
        <v>9</v>
      </c>
      <c r="E710" s="69">
        <v>6</v>
      </c>
      <c r="F710" s="69">
        <v>0</v>
      </c>
      <c r="G710" s="69" t="s">
        <v>13</v>
      </c>
      <c r="H710" s="69" t="s">
        <v>9</v>
      </c>
      <c r="I710" s="69" t="s">
        <v>608</v>
      </c>
      <c r="J710" s="69" t="s">
        <v>55</v>
      </c>
      <c r="K710" s="69" t="s">
        <v>614</v>
      </c>
      <c r="M710" s="69" t="s">
        <v>6</v>
      </c>
    </row>
    <row r="711" spans="2:13">
      <c r="B711" s="69">
        <v>709</v>
      </c>
      <c r="C711" s="69">
        <v>59</v>
      </c>
      <c r="D711" s="69">
        <v>9</v>
      </c>
      <c r="E711" s="69">
        <v>7</v>
      </c>
      <c r="F711" s="69">
        <v>0</v>
      </c>
      <c r="G711" s="69" t="s">
        <v>13</v>
      </c>
      <c r="H711" s="69" t="s">
        <v>9</v>
      </c>
      <c r="I711" s="69" t="s">
        <v>608</v>
      </c>
      <c r="J711" s="69" t="s">
        <v>55</v>
      </c>
      <c r="K711" s="69" t="s">
        <v>615</v>
      </c>
      <c r="M711" s="69" t="s">
        <v>6</v>
      </c>
    </row>
    <row r="712" spans="2:13">
      <c r="B712" s="69">
        <v>710</v>
      </c>
      <c r="C712" s="69">
        <v>59</v>
      </c>
      <c r="D712" s="69">
        <v>9</v>
      </c>
      <c r="E712" s="69">
        <v>8</v>
      </c>
      <c r="F712" s="69">
        <v>0</v>
      </c>
      <c r="G712" s="69" t="s">
        <v>13</v>
      </c>
      <c r="H712" s="69" t="s">
        <v>9</v>
      </c>
      <c r="I712" s="69" t="s">
        <v>608</v>
      </c>
      <c r="J712" s="69" t="s">
        <v>55</v>
      </c>
      <c r="K712" s="69" t="s">
        <v>93</v>
      </c>
      <c r="M712" s="69" t="s">
        <v>6</v>
      </c>
    </row>
    <row r="713" spans="2:13">
      <c r="B713" s="69">
        <v>711</v>
      </c>
      <c r="C713" s="69">
        <v>59</v>
      </c>
      <c r="D713" s="69">
        <v>9</v>
      </c>
      <c r="E713" s="69">
        <v>9</v>
      </c>
      <c r="F713" s="69">
        <v>0</v>
      </c>
      <c r="G713" s="69" t="s">
        <v>13</v>
      </c>
      <c r="H713" s="69" t="s">
        <v>9</v>
      </c>
      <c r="I713" s="69" t="s">
        <v>608</v>
      </c>
      <c r="J713" s="69" t="s">
        <v>64</v>
      </c>
      <c r="K713" s="69" t="s">
        <v>94</v>
      </c>
      <c r="M713" s="69" t="s">
        <v>6</v>
      </c>
    </row>
    <row r="714" spans="2:13">
      <c r="B714" s="69">
        <v>712</v>
      </c>
      <c r="C714" s="69">
        <v>60</v>
      </c>
      <c r="D714" s="69">
        <v>4</v>
      </c>
      <c r="E714" s="69">
        <v>0</v>
      </c>
      <c r="F714" s="69">
        <v>0</v>
      </c>
      <c r="G714" s="69" t="s">
        <v>22</v>
      </c>
      <c r="H714" s="69" t="s">
        <v>52</v>
      </c>
      <c r="I714" s="69" t="s">
        <v>616</v>
      </c>
      <c r="J714" s="69" t="s">
        <v>54</v>
      </c>
      <c r="K714" s="69" t="s">
        <v>616</v>
      </c>
      <c r="M714" s="69" t="s">
        <v>6</v>
      </c>
    </row>
    <row r="715" spans="2:13">
      <c r="B715" s="69">
        <v>713</v>
      </c>
      <c r="C715" s="69">
        <v>60</v>
      </c>
      <c r="D715" s="69">
        <v>4</v>
      </c>
      <c r="E715" s="69">
        <v>1</v>
      </c>
      <c r="F715" s="69">
        <v>0</v>
      </c>
      <c r="G715" s="69" t="s">
        <v>22</v>
      </c>
      <c r="H715" s="69" t="s">
        <v>52</v>
      </c>
      <c r="I715" s="69" t="s">
        <v>616</v>
      </c>
      <c r="J715" s="69" t="s">
        <v>55</v>
      </c>
      <c r="K715" s="69" t="s">
        <v>62</v>
      </c>
      <c r="M715" s="69" t="s">
        <v>6</v>
      </c>
    </row>
    <row r="716" spans="2:13">
      <c r="B716" s="69">
        <v>714</v>
      </c>
      <c r="C716" s="69">
        <v>60</v>
      </c>
      <c r="D716" s="69">
        <v>4</v>
      </c>
      <c r="E716" s="69">
        <v>2</v>
      </c>
      <c r="F716" s="69">
        <v>0</v>
      </c>
      <c r="G716" s="69" t="s">
        <v>22</v>
      </c>
      <c r="H716" s="69" t="s">
        <v>52</v>
      </c>
      <c r="I716" s="69" t="s">
        <v>616</v>
      </c>
      <c r="J716" s="69" t="s">
        <v>55</v>
      </c>
      <c r="K716" s="69" t="s">
        <v>63</v>
      </c>
      <c r="M716" s="69" t="s">
        <v>6</v>
      </c>
    </row>
    <row r="717" spans="2:13">
      <c r="B717" s="69">
        <v>715</v>
      </c>
      <c r="C717" s="69">
        <v>60</v>
      </c>
      <c r="D717" s="69">
        <v>4</v>
      </c>
      <c r="E717" s="69">
        <v>3</v>
      </c>
      <c r="F717" s="69">
        <v>0</v>
      </c>
      <c r="G717" s="69" t="s">
        <v>22</v>
      </c>
      <c r="H717" s="69" t="s">
        <v>52</v>
      </c>
      <c r="I717" s="69" t="s">
        <v>616</v>
      </c>
      <c r="J717" s="69" t="s">
        <v>64</v>
      </c>
      <c r="K717" s="69" t="s">
        <v>65</v>
      </c>
      <c r="M717" s="69" t="s">
        <v>6</v>
      </c>
    </row>
    <row r="718" spans="2:13">
      <c r="B718" s="69">
        <v>716</v>
      </c>
      <c r="C718" s="69">
        <v>60</v>
      </c>
      <c r="D718" s="69">
        <v>4</v>
      </c>
      <c r="E718" s="69">
        <v>4</v>
      </c>
      <c r="F718" s="69">
        <v>0</v>
      </c>
      <c r="G718" s="69" t="s">
        <v>22</v>
      </c>
      <c r="H718" s="69" t="s">
        <v>52</v>
      </c>
      <c r="I718" s="69" t="s">
        <v>616</v>
      </c>
      <c r="J718" s="69" t="s">
        <v>55</v>
      </c>
      <c r="K718" s="69" t="s">
        <v>617</v>
      </c>
      <c r="M718" s="69" t="s">
        <v>6</v>
      </c>
    </row>
    <row r="719" spans="2:13">
      <c r="B719" s="69">
        <v>717</v>
      </c>
      <c r="C719" s="69">
        <v>61</v>
      </c>
      <c r="D719" s="69">
        <v>4</v>
      </c>
      <c r="E719" s="69">
        <v>0</v>
      </c>
      <c r="F719" s="69">
        <v>0</v>
      </c>
      <c r="G719" s="69" t="s">
        <v>22</v>
      </c>
      <c r="H719" s="69" t="s">
        <v>52</v>
      </c>
      <c r="I719" s="69" t="s">
        <v>618</v>
      </c>
      <c r="J719" s="69" t="s">
        <v>54</v>
      </c>
      <c r="K719" s="69" t="s">
        <v>618</v>
      </c>
      <c r="M719" s="69" t="s">
        <v>6</v>
      </c>
    </row>
    <row r="720" spans="2:13">
      <c r="B720" s="69">
        <v>718</v>
      </c>
      <c r="C720" s="69">
        <v>61</v>
      </c>
      <c r="D720" s="69">
        <v>4</v>
      </c>
      <c r="E720" s="69">
        <v>1</v>
      </c>
      <c r="F720" s="69">
        <v>0</v>
      </c>
      <c r="G720" s="69" t="s">
        <v>22</v>
      </c>
      <c r="H720" s="69" t="s">
        <v>52</v>
      </c>
      <c r="I720" s="69" t="s">
        <v>618</v>
      </c>
      <c r="J720" s="69" t="s">
        <v>55</v>
      </c>
      <c r="K720" s="69" t="s">
        <v>62</v>
      </c>
      <c r="M720" s="69" t="s">
        <v>6</v>
      </c>
    </row>
    <row r="721" spans="2:13">
      <c r="B721" s="69">
        <v>719</v>
      </c>
      <c r="C721" s="69">
        <v>61</v>
      </c>
      <c r="D721" s="69">
        <v>4</v>
      </c>
      <c r="E721" s="69">
        <v>2</v>
      </c>
      <c r="F721" s="69">
        <v>0</v>
      </c>
      <c r="G721" s="69" t="s">
        <v>22</v>
      </c>
      <c r="H721" s="69" t="s">
        <v>52</v>
      </c>
      <c r="I721" s="69" t="s">
        <v>618</v>
      </c>
      <c r="J721" s="69" t="s">
        <v>55</v>
      </c>
      <c r="K721" s="69" t="s">
        <v>63</v>
      </c>
      <c r="M721" s="69" t="s">
        <v>6</v>
      </c>
    </row>
    <row r="722" spans="2:13">
      <c r="B722" s="69">
        <v>720</v>
      </c>
      <c r="C722" s="69">
        <v>61</v>
      </c>
      <c r="D722" s="69">
        <v>4</v>
      </c>
      <c r="E722" s="69">
        <v>3</v>
      </c>
      <c r="F722" s="69">
        <v>0</v>
      </c>
      <c r="G722" s="69" t="s">
        <v>22</v>
      </c>
      <c r="H722" s="69" t="s">
        <v>52</v>
      </c>
      <c r="I722" s="69" t="s">
        <v>618</v>
      </c>
      <c r="J722" s="69" t="s">
        <v>64</v>
      </c>
      <c r="K722" s="69" t="s">
        <v>65</v>
      </c>
      <c r="M722" s="69" t="s">
        <v>6</v>
      </c>
    </row>
    <row r="723" spans="2:13">
      <c r="B723" s="69">
        <v>721</v>
      </c>
      <c r="C723" s="69">
        <v>61</v>
      </c>
      <c r="D723" s="69">
        <v>4</v>
      </c>
      <c r="E723" s="69">
        <v>4</v>
      </c>
      <c r="F723" s="69">
        <v>0</v>
      </c>
      <c r="G723" s="69" t="s">
        <v>22</v>
      </c>
      <c r="H723" s="69" t="s">
        <v>52</v>
      </c>
      <c r="I723" s="69" t="s">
        <v>618</v>
      </c>
      <c r="J723" s="69" t="s">
        <v>55</v>
      </c>
      <c r="K723" s="69" t="s">
        <v>619</v>
      </c>
      <c r="M723" s="69" t="s">
        <v>6</v>
      </c>
    </row>
    <row r="724" spans="2:13">
      <c r="B724" s="69">
        <v>722</v>
      </c>
      <c r="C724" s="69">
        <v>62</v>
      </c>
      <c r="D724" s="69">
        <v>4</v>
      </c>
      <c r="E724" s="69">
        <v>0</v>
      </c>
      <c r="F724" s="69">
        <v>0</v>
      </c>
      <c r="G724" s="69" t="s">
        <v>22</v>
      </c>
      <c r="H724" s="69" t="s">
        <v>52</v>
      </c>
      <c r="I724" s="69" t="s">
        <v>620</v>
      </c>
      <c r="J724" s="69" t="s">
        <v>54</v>
      </c>
      <c r="K724" s="69" t="s">
        <v>620</v>
      </c>
      <c r="M724" s="69" t="s">
        <v>6</v>
      </c>
    </row>
    <row r="725" spans="2:13">
      <c r="B725" s="69">
        <v>723</v>
      </c>
      <c r="C725" s="69">
        <v>62</v>
      </c>
      <c r="D725" s="69">
        <v>4</v>
      </c>
      <c r="E725" s="69">
        <v>1</v>
      </c>
      <c r="F725" s="69">
        <v>0</v>
      </c>
      <c r="G725" s="69" t="s">
        <v>22</v>
      </c>
      <c r="H725" s="69" t="s">
        <v>52</v>
      </c>
      <c r="I725" s="69" t="s">
        <v>620</v>
      </c>
      <c r="J725" s="69" t="s">
        <v>55</v>
      </c>
      <c r="K725" s="69" t="s">
        <v>62</v>
      </c>
      <c r="M725" s="69" t="s">
        <v>6</v>
      </c>
    </row>
    <row r="726" spans="2:13">
      <c r="B726" s="69">
        <v>724</v>
      </c>
      <c r="C726" s="69">
        <v>62</v>
      </c>
      <c r="D726" s="69">
        <v>4</v>
      </c>
      <c r="E726" s="69">
        <v>2</v>
      </c>
      <c r="F726" s="69">
        <v>0</v>
      </c>
      <c r="G726" s="69" t="s">
        <v>22</v>
      </c>
      <c r="H726" s="69" t="s">
        <v>52</v>
      </c>
      <c r="I726" s="69" t="s">
        <v>620</v>
      </c>
      <c r="J726" s="69" t="s">
        <v>55</v>
      </c>
      <c r="K726" s="69" t="s">
        <v>63</v>
      </c>
      <c r="M726" s="69" t="s">
        <v>6</v>
      </c>
    </row>
    <row r="727" spans="2:13">
      <c r="B727" s="69">
        <v>725</v>
      </c>
      <c r="C727" s="69">
        <v>62</v>
      </c>
      <c r="D727" s="69">
        <v>4</v>
      </c>
      <c r="E727" s="69">
        <v>3</v>
      </c>
      <c r="F727" s="69">
        <v>0</v>
      </c>
      <c r="G727" s="69" t="s">
        <v>22</v>
      </c>
      <c r="H727" s="69" t="s">
        <v>52</v>
      </c>
      <c r="I727" s="69" t="s">
        <v>620</v>
      </c>
      <c r="J727" s="69" t="s">
        <v>64</v>
      </c>
      <c r="K727" s="69" t="s">
        <v>65</v>
      </c>
      <c r="M727" s="69" t="s">
        <v>6</v>
      </c>
    </row>
    <row r="728" spans="2:13">
      <c r="B728" s="69">
        <v>726</v>
      </c>
      <c r="C728" s="69">
        <v>62</v>
      </c>
      <c r="D728" s="69">
        <v>4</v>
      </c>
      <c r="E728" s="69">
        <v>4</v>
      </c>
      <c r="F728" s="69">
        <v>0</v>
      </c>
      <c r="G728" s="69" t="s">
        <v>22</v>
      </c>
      <c r="H728" s="69" t="s">
        <v>52</v>
      </c>
      <c r="I728" s="69" t="s">
        <v>620</v>
      </c>
      <c r="J728" s="69" t="s">
        <v>55</v>
      </c>
      <c r="K728" s="69" t="s">
        <v>621</v>
      </c>
      <c r="M728" s="69" t="s">
        <v>6</v>
      </c>
    </row>
    <row r="729" spans="2:13">
      <c r="B729" s="69">
        <v>727</v>
      </c>
      <c r="C729" s="69">
        <v>63</v>
      </c>
      <c r="D729" s="69">
        <v>4</v>
      </c>
      <c r="E729" s="69">
        <v>0</v>
      </c>
      <c r="F729" s="69">
        <v>0</v>
      </c>
      <c r="G729" s="69" t="s">
        <v>22</v>
      </c>
      <c r="H729" s="69" t="s">
        <v>52</v>
      </c>
      <c r="I729" s="69" t="s">
        <v>622</v>
      </c>
      <c r="J729" s="69" t="s">
        <v>54</v>
      </c>
      <c r="K729" s="69" t="s">
        <v>622</v>
      </c>
      <c r="M729" s="69" t="s">
        <v>6</v>
      </c>
    </row>
    <row r="730" spans="2:13">
      <c r="B730" s="69">
        <v>728</v>
      </c>
      <c r="C730" s="69">
        <v>63</v>
      </c>
      <c r="D730" s="69">
        <v>4</v>
      </c>
      <c r="E730" s="69">
        <v>1</v>
      </c>
      <c r="F730" s="69">
        <v>0</v>
      </c>
      <c r="G730" s="69" t="s">
        <v>22</v>
      </c>
      <c r="H730" s="69" t="s">
        <v>52</v>
      </c>
      <c r="I730" s="69" t="s">
        <v>622</v>
      </c>
      <c r="J730" s="69" t="s">
        <v>55</v>
      </c>
      <c r="K730" s="69" t="s">
        <v>62</v>
      </c>
      <c r="M730" s="69" t="s">
        <v>6</v>
      </c>
    </row>
    <row r="731" spans="2:13">
      <c r="B731" s="69">
        <v>729</v>
      </c>
      <c r="C731" s="69">
        <v>63</v>
      </c>
      <c r="D731" s="69">
        <v>4</v>
      </c>
      <c r="E731" s="69">
        <v>2</v>
      </c>
      <c r="F731" s="69">
        <v>0</v>
      </c>
      <c r="G731" s="69" t="s">
        <v>22</v>
      </c>
      <c r="H731" s="69" t="s">
        <v>52</v>
      </c>
      <c r="I731" s="69" t="s">
        <v>622</v>
      </c>
      <c r="J731" s="69" t="s">
        <v>55</v>
      </c>
      <c r="K731" s="69" t="s">
        <v>63</v>
      </c>
      <c r="M731" s="69" t="s">
        <v>6</v>
      </c>
    </row>
    <row r="732" spans="2:13">
      <c r="B732" s="69">
        <v>730</v>
      </c>
      <c r="C732" s="69">
        <v>63</v>
      </c>
      <c r="D732" s="69">
        <v>4</v>
      </c>
      <c r="E732" s="69">
        <v>3</v>
      </c>
      <c r="F732" s="69">
        <v>0</v>
      </c>
      <c r="G732" s="69" t="s">
        <v>22</v>
      </c>
      <c r="H732" s="69" t="s">
        <v>52</v>
      </c>
      <c r="I732" s="69" t="s">
        <v>622</v>
      </c>
      <c r="J732" s="69" t="s">
        <v>64</v>
      </c>
      <c r="K732" s="69" t="s">
        <v>65</v>
      </c>
      <c r="M732" s="69" t="s">
        <v>6</v>
      </c>
    </row>
    <row r="733" spans="2:13">
      <c r="B733" s="69">
        <v>731</v>
      </c>
      <c r="C733" s="69">
        <v>63</v>
      </c>
      <c r="D733" s="69">
        <v>4</v>
      </c>
      <c r="E733" s="69">
        <v>4</v>
      </c>
      <c r="F733" s="69">
        <v>0</v>
      </c>
      <c r="G733" s="69" t="s">
        <v>22</v>
      </c>
      <c r="H733" s="69" t="s">
        <v>52</v>
      </c>
      <c r="I733" s="69" t="s">
        <v>622</v>
      </c>
      <c r="J733" s="69" t="s">
        <v>55</v>
      </c>
      <c r="K733" s="69" t="s">
        <v>623</v>
      </c>
      <c r="M733" s="69" t="s">
        <v>6</v>
      </c>
    </row>
    <row r="734" spans="2:13">
      <c r="B734" s="69">
        <v>732</v>
      </c>
      <c r="C734" s="69">
        <v>64</v>
      </c>
      <c r="D734" s="69">
        <v>6</v>
      </c>
      <c r="E734" s="69">
        <v>0</v>
      </c>
      <c r="F734" s="69">
        <v>0</v>
      </c>
      <c r="G734" s="69" t="s">
        <v>22</v>
      </c>
      <c r="H734" s="69" t="s">
        <v>52</v>
      </c>
      <c r="I734" s="69" t="s">
        <v>624</v>
      </c>
      <c r="J734" s="69" t="s">
        <v>54</v>
      </c>
      <c r="K734" s="69" t="s">
        <v>624</v>
      </c>
      <c r="M734" s="69" t="s">
        <v>6</v>
      </c>
    </row>
    <row r="735" spans="2:13">
      <c r="B735" s="69">
        <v>733</v>
      </c>
      <c r="C735" s="69">
        <v>64</v>
      </c>
      <c r="D735" s="69">
        <v>6</v>
      </c>
      <c r="E735" s="69">
        <v>1</v>
      </c>
      <c r="F735" s="69">
        <v>0</v>
      </c>
      <c r="G735" s="69" t="s">
        <v>22</v>
      </c>
      <c r="H735" s="69" t="s">
        <v>52</v>
      </c>
      <c r="I735" s="69" t="s">
        <v>624</v>
      </c>
      <c r="J735" s="69" t="s">
        <v>55</v>
      </c>
      <c r="K735" s="69" t="s">
        <v>625</v>
      </c>
      <c r="M735" s="69" t="s">
        <v>6</v>
      </c>
    </row>
    <row r="736" spans="2:13">
      <c r="B736" s="69">
        <v>734</v>
      </c>
      <c r="C736" s="69">
        <v>64</v>
      </c>
      <c r="D736" s="69">
        <v>6</v>
      </c>
      <c r="E736" s="69">
        <v>2</v>
      </c>
      <c r="F736" s="69">
        <v>0</v>
      </c>
      <c r="G736" s="69" t="s">
        <v>22</v>
      </c>
      <c r="H736" s="69" t="s">
        <v>52</v>
      </c>
      <c r="I736" s="69" t="s">
        <v>624</v>
      </c>
      <c r="J736" s="69" t="s">
        <v>55</v>
      </c>
      <c r="K736" s="69" t="s">
        <v>626</v>
      </c>
      <c r="M736" s="69" t="s">
        <v>6</v>
      </c>
    </row>
    <row r="737" spans="2:13">
      <c r="B737" s="69">
        <v>735</v>
      </c>
      <c r="C737" s="69">
        <v>64</v>
      </c>
      <c r="D737" s="69">
        <v>6</v>
      </c>
      <c r="E737" s="69">
        <v>3</v>
      </c>
      <c r="F737" s="69">
        <v>0</v>
      </c>
      <c r="G737" s="69" t="s">
        <v>22</v>
      </c>
      <c r="H737" s="69" t="s">
        <v>52</v>
      </c>
      <c r="I737" s="69" t="s">
        <v>624</v>
      </c>
      <c r="J737" s="69" t="s">
        <v>55</v>
      </c>
      <c r="K737" s="69" t="s">
        <v>627</v>
      </c>
      <c r="M737" s="69" t="s">
        <v>6</v>
      </c>
    </row>
    <row r="738" spans="2:13">
      <c r="B738" s="69">
        <v>736</v>
      </c>
      <c r="C738" s="69">
        <v>64</v>
      </c>
      <c r="D738" s="69">
        <v>6</v>
      </c>
      <c r="E738" s="69">
        <v>4</v>
      </c>
      <c r="F738" s="69">
        <v>0</v>
      </c>
      <c r="G738" s="69" t="s">
        <v>22</v>
      </c>
      <c r="H738" s="69" t="s">
        <v>52</v>
      </c>
      <c r="I738" s="69" t="s">
        <v>624</v>
      </c>
      <c r="J738" s="69" t="s">
        <v>55</v>
      </c>
      <c r="K738" s="69" t="s">
        <v>628</v>
      </c>
      <c r="M738" s="69" t="s">
        <v>6</v>
      </c>
    </row>
    <row r="739" spans="2:13">
      <c r="B739" s="69">
        <v>737</v>
      </c>
      <c r="C739" s="69">
        <v>64</v>
      </c>
      <c r="D739" s="69">
        <v>6</v>
      </c>
      <c r="E739" s="69">
        <v>5</v>
      </c>
      <c r="F739" s="69">
        <v>0</v>
      </c>
      <c r="G739" s="69" t="s">
        <v>22</v>
      </c>
      <c r="H739" s="69" t="s">
        <v>52</v>
      </c>
      <c r="I739" s="69" t="s">
        <v>624</v>
      </c>
      <c r="J739" s="69" t="s">
        <v>55</v>
      </c>
      <c r="K739" s="69" t="s">
        <v>629</v>
      </c>
      <c r="M739" s="69" t="s">
        <v>6</v>
      </c>
    </row>
    <row r="740" spans="2:13">
      <c r="B740" s="69">
        <v>738</v>
      </c>
      <c r="C740" s="69">
        <v>64</v>
      </c>
      <c r="D740" s="69">
        <v>6</v>
      </c>
      <c r="E740" s="69">
        <v>6</v>
      </c>
      <c r="F740" s="69">
        <v>0</v>
      </c>
      <c r="G740" s="69" t="s">
        <v>22</v>
      </c>
      <c r="H740" s="69" t="s">
        <v>52</v>
      </c>
      <c r="I740" s="69" t="s">
        <v>624</v>
      </c>
      <c r="J740" s="69" t="s">
        <v>55</v>
      </c>
      <c r="K740" s="69" t="s">
        <v>630</v>
      </c>
      <c r="M740" s="69" t="s">
        <v>6</v>
      </c>
    </row>
    <row r="741" spans="2:13">
      <c r="B741" s="69">
        <v>739</v>
      </c>
      <c r="C741" s="69">
        <v>65</v>
      </c>
      <c r="D741" s="69">
        <v>6</v>
      </c>
      <c r="E741" s="69">
        <v>0</v>
      </c>
      <c r="F741" s="69">
        <v>0</v>
      </c>
      <c r="G741" s="69" t="s">
        <v>22</v>
      </c>
      <c r="H741" s="69" t="s">
        <v>52</v>
      </c>
      <c r="I741" s="69" t="s">
        <v>631</v>
      </c>
      <c r="J741" s="69" t="s">
        <v>478</v>
      </c>
      <c r="K741" s="69" t="s">
        <v>631</v>
      </c>
      <c r="M741" s="69" t="s">
        <v>6</v>
      </c>
    </row>
    <row r="742" spans="2:13">
      <c r="B742" s="69">
        <v>740</v>
      </c>
      <c r="C742" s="69">
        <v>65</v>
      </c>
      <c r="D742" s="69">
        <v>6</v>
      </c>
      <c r="E742" s="69">
        <v>1</v>
      </c>
      <c r="F742" s="69">
        <v>0</v>
      </c>
      <c r="G742" s="69" t="s">
        <v>22</v>
      </c>
      <c r="H742" s="69" t="s">
        <v>52</v>
      </c>
      <c r="I742" s="69" t="s">
        <v>631</v>
      </c>
      <c r="J742" s="69" t="s">
        <v>55</v>
      </c>
      <c r="K742" s="69" t="s">
        <v>632</v>
      </c>
      <c r="M742" s="69" t="s">
        <v>6</v>
      </c>
    </row>
    <row r="743" spans="2:13">
      <c r="B743" s="69">
        <v>741</v>
      </c>
      <c r="C743" s="69">
        <v>65</v>
      </c>
      <c r="D743" s="69">
        <v>6</v>
      </c>
      <c r="E743" s="69">
        <v>2</v>
      </c>
      <c r="F743" s="69">
        <v>0</v>
      </c>
      <c r="G743" s="69" t="s">
        <v>22</v>
      </c>
      <c r="H743" s="69" t="s">
        <v>52</v>
      </c>
      <c r="I743" s="69" t="s">
        <v>631</v>
      </c>
      <c r="J743" s="69" t="s">
        <v>420</v>
      </c>
      <c r="K743" s="69" t="s">
        <v>633</v>
      </c>
      <c r="M743" s="69" t="s">
        <v>6</v>
      </c>
    </row>
    <row r="744" spans="2:13">
      <c r="B744" s="69">
        <v>742</v>
      </c>
      <c r="C744" s="69">
        <v>65</v>
      </c>
      <c r="D744" s="69">
        <v>6</v>
      </c>
      <c r="E744" s="69">
        <v>3</v>
      </c>
      <c r="F744" s="69">
        <v>0</v>
      </c>
      <c r="G744" s="69" t="s">
        <v>22</v>
      </c>
      <c r="H744" s="69" t="s">
        <v>52</v>
      </c>
      <c r="I744" s="69" t="s">
        <v>631</v>
      </c>
      <c r="J744" s="69" t="s">
        <v>55</v>
      </c>
      <c r="K744" s="69" t="s">
        <v>634</v>
      </c>
      <c r="M744" s="69" t="s">
        <v>6</v>
      </c>
    </row>
    <row r="745" spans="2:13">
      <c r="B745" s="69">
        <v>743</v>
      </c>
      <c r="C745" s="69">
        <v>65</v>
      </c>
      <c r="D745" s="69">
        <v>6</v>
      </c>
      <c r="E745" s="69">
        <v>4</v>
      </c>
      <c r="F745" s="69">
        <v>0</v>
      </c>
      <c r="G745" s="69" t="s">
        <v>22</v>
      </c>
      <c r="H745" s="69" t="s">
        <v>52</v>
      </c>
      <c r="I745" s="69" t="s">
        <v>631</v>
      </c>
      <c r="J745" s="69" t="s">
        <v>420</v>
      </c>
      <c r="K745" s="69" t="s">
        <v>633</v>
      </c>
      <c r="M745" s="69" t="s">
        <v>6</v>
      </c>
    </row>
    <row r="746" spans="2:13">
      <c r="B746" s="69">
        <v>744</v>
      </c>
      <c r="C746" s="69">
        <v>65</v>
      </c>
      <c r="D746" s="69">
        <v>6</v>
      </c>
      <c r="E746" s="69">
        <v>5</v>
      </c>
      <c r="F746" s="69">
        <v>0</v>
      </c>
      <c r="G746" s="69" t="s">
        <v>22</v>
      </c>
      <c r="H746" s="69" t="s">
        <v>52</v>
      </c>
      <c r="I746" s="69" t="s">
        <v>631</v>
      </c>
      <c r="J746" s="69" t="s">
        <v>214</v>
      </c>
      <c r="K746" s="69" t="s">
        <v>443</v>
      </c>
      <c r="M746" s="69" t="s">
        <v>6</v>
      </c>
    </row>
    <row r="747" spans="2:13">
      <c r="B747" s="69">
        <v>745</v>
      </c>
      <c r="C747" s="69">
        <v>65</v>
      </c>
      <c r="D747" s="69">
        <v>6</v>
      </c>
      <c r="E747" s="69">
        <v>6</v>
      </c>
      <c r="F747" s="69">
        <v>0</v>
      </c>
      <c r="G747" s="69" t="s">
        <v>22</v>
      </c>
      <c r="H747" s="69" t="s">
        <v>52</v>
      </c>
      <c r="I747" s="69" t="s">
        <v>631</v>
      </c>
      <c r="J747" s="69" t="s">
        <v>55</v>
      </c>
      <c r="K747" s="69" t="s">
        <v>442</v>
      </c>
      <c r="M747" s="69" t="s">
        <v>6</v>
      </c>
    </row>
    <row r="748" spans="2:13">
      <c r="B748" s="69">
        <v>746</v>
      </c>
      <c r="C748" s="69">
        <v>66</v>
      </c>
      <c r="D748" s="69">
        <v>4</v>
      </c>
      <c r="E748" s="69">
        <v>0</v>
      </c>
      <c r="F748" s="69">
        <v>0</v>
      </c>
      <c r="G748" s="69" t="s">
        <v>22</v>
      </c>
      <c r="H748" s="69" t="s">
        <v>52</v>
      </c>
      <c r="I748" s="69" t="s">
        <v>635</v>
      </c>
      <c r="J748" s="69" t="s">
        <v>54</v>
      </c>
      <c r="K748" s="69" t="s">
        <v>635</v>
      </c>
      <c r="M748" s="69" t="s">
        <v>6</v>
      </c>
    </row>
    <row r="749" spans="2:13">
      <c r="B749" s="69">
        <v>747</v>
      </c>
      <c r="C749" s="69">
        <v>66</v>
      </c>
      <c r="D749" s="69">
        <v>4</v>
      </c>
      <c r="E749" s="69">
        <v>1</v>
      </c>
      <c r="F749" s="69">
        <v>0</v>
      </c>
      <c r="G749" s="69" t="s">
        <v>22</v>
      </c>
      <c r="H749" s="69" t="s">
        <v>52</v>
      </c>
      <c r="I749" s="69" t="s">
        <v>635</v>
      </c>
      <c r="J749" s="69" t="s">
        <v>55</v>
      </c>
      <c r="K749" s="69" t="s">
        <v>62</v>
      </c>
      <c r="M749" s="69" t="s">
        <v>6</v>
      </c>
    </row>
    <row r="750" spans="2:13">
      <c r="B750" s="69">
        <v>748</v>
      </c>
      <c r="C750" s="69">
        <v>66</v>
      </c>
      <c r="D750" s="69">
        <v>4</v>
      </c>
      <c r="E750" s="69">
        <v>2</v>
      </c>
      <c r="F750" s="69">
        <v>0</v>
      </c>
      <c r="G750" s="69" t="s">
        <v>22</v>
      </c>
      <c r="H750" s="69" t="s">
        <v>52</v>
      </c>
      <c r="I750" s="69" t="s">
        <v>635</v>
      </c>
      <c r="J750" s="69" t="s">
        <v>55</v>
      </c>
      <c r="K750" s="69" t="s">
        <v>63</v>
      </c>
      <c r="M750" s="69" t="s">
        <v>6</v>
      </c>
    </row>
    <row r="751" spans="2:13">
      <c r="B751" s="69">
        <v>749</v>
      </c>
      <c r="C751" s="69">
        <v>66</v>
      </c>
      <c r="D751" s="69">
        <v>4</v>
      </c>
      <c r="E751" s="69">
        <v>3</v>
      </c>
      <c r="F751" s="69">
        <v>0</v>
      </c>
      <c r="G751" s="69" t="s">
        <v>22</v>
      </c>
      <c r="H751" s="69" t="s">
        <v>52</v>
      </c>
      <c r="I751" s="69" t="s">
        <v>635</v>
      </c>
      <c r="J751" s="69" t="s">
        <v>64</v>
      </c>
      <c r="K751" s="69" t="s">
        <v>65</v>
      </c>
      <c r="M751" s="69" t="s">
        <v>6</v>
      </c>
    </row>
    <row r="752" spans="2:13">
      <c r="B752" s="69">
        <v>750</v>
      </c>
      <c r="C752" s="69">
        <v>66</v>
      </c>
      <c r="D752" s="69">
        <v>4</v>
      </c>
      <c r="E752" s="69">
        <v>4</v>
      </c>
      <c r="F752" s="69">
        <v>0</v>
      </c>
      <c r="G752" s="69" t="s">
        <v>22</v>
      </c>
      <c r="H752" s="69" t="s">
        <v>52</v>
      </c>
      <c r="I752" s="69" t="s">
        <v>635</v>
      </c>
      <c r="J752" s="69" t="s">
        <v>55</v>
      </c>
      <c r="K752" s="69" t="s">
        <v>636</v>
      </c>
      <c r="M752" s="69" t="s">
        <v>6</v>
      </c>
    </row>
    <row r="753" spans="2:13">
      <c r="B753" s="69">
        <v>751</v>
      </c>
      <c r="C753" s="69">
        <v>67</v>
      </c>
      <c r="D753" s="69">
        <v>4</v>
      </c>
      <c r="E753" s="69">
        <v>0</v>
      </c>
      <c r="F753" s="69">
        <v>0</v>
      </c>
      <c r="G753" s="69" t="s">
        <v>22</v>
      </c>
      <c r="H753" s="69" t="s">
        <v>52</v>
      </c>
      <c r="I753" s="69" t="s">
        <v>637</v>
      </c>
      <c r="J753" s="69" t="s">
        <v>54</v>
      </c>
      <c r="K753" s="69" t="s">
        <v>637</v>
      </c>
      <c r="M753" s="69" t="s">
        <v>6</v>
      </c>
    </row>
    <row r="754" spans="2:13">
      <c r="B754" s="69">
        <v>752</v>
      </c>
      <c r="C754" s="69">
        <v>67</v>
      </c>
      <c r="D754" s="69">
        <v>4</v>
      </c>
      <c r="E754" s="69">
        <v>1</v>
      </c>
      <c r="F754" s="69">
        <v>0</v>
      </c>
      <c r="G754" s="69" t="s">
        <v>22</v>
      </c>
      <c r="H754" s="69" t="s">
        <v>52</v>
      </c>
      <c r="I754" s="69" t="s">
        <v>637</v>
      </c>
      <c r="J754" s="69" t="s">
        <v>55</v>
      </c>
      <c r="K754" s="69" t="s">
        <v>62</v>
      </c>
      <c r="M754" s="69" t="s">
        <v>6</v>
      </c>
    </row>
    <row r="755" spans="2:13">
      <c r="B755" s="69">
        <v>753</v>
      </c>
      <c r="C755" s="69">
        <v>67</v>
      </c>
      <c r="D755" s="69">
        <v>4</v>
      </c>
      <c r="E755" s="69">
        <v>2</v>
      </c>
      <c r="F755" s="69">
        <v>0</v>
      </c>
      <c r="G755" s="69" t="s">
        <v>22</v>
      </c>
      <c r="H755" s="69" t="s">
        <v>52</v>
      </c>
      <c r="I755" s="69" t="s">
        <v>637</v>
      </c>
      <c r="J755" s="69" t="s">
        <v>55</v>
      </c>
      <c r="K755" s="69" t="s">
        <v>63</v>
      </c>
      <c r="M755" s="69" t="s">
        <v>6</v>
      </c>
    </row>
    <row r="756" spans="2:13">
      <c r="B756" s="69">
        <v>754</v>
      </c>
      <c r="C756" s="69">
        <v>67</v>
      </c>
      <c r="D756" s="69">
        <v>4</v>
      </c>
      <c r="E756" s="69">
        <v>3</v>
      </c>
      <c r="F756" s="69">
        <v>0</v>
      </c>
      <c r="G756" s="69" t="s">
        <v>22</v>
      </c>
      <c r="H756" s="69" t="s">
        <v>52</v>
      </c>
      <c r="I756" s="69" t="s">
        <v>637</v>
      </c>
      <c r="J756" s="69" t="s">
        <v>64</v>
      </c>
      <c r="K756" s="69" t="s">
        <v>65</v>
      </c>
      <c r="M756" s="69" t="s">
        <v>6</v>
      </c>
    </row>
    <row r="757" spans="2:13">
      <c r="B757" s="69">
        <v>755</v>
      </c>
      <c r="C757" s="69">
        <v>67</v>
      </c>
      <c r="D757" s="69">
        <v>4</v>
      </c>
      <c r="E757" s="69">
        <v>4</v>
      </c>
      <c r="F757" s="69">
        <v>0</v>
      </c>
      <c r="G757" s="69" t="s">
        <v>22</v>
      </c>
      <c r="H757" s="69" t="s">
        <v>52</v>
      </c>
      <c r="I757" s="69" t="s">
        <v>637</v>
      </c>
      <c r="J757" s="69" t="s">
        <v>55</v>
      </c>
      <c r="K757" s="69" t="s">
        <v>638</v>
      </c>
      <c r="M757" s="69" t="s">
        <v>6</v>
      </c>
    </row>
    <row r="758" spans="2:13">
      <c r="B758" s="69">
        <v>756</v>
      </c>
      <c r="C758" s="69">
        <v>69</v>
      </c>
      <c r="D758" s="69">
        <v>5</v>
      </c>
      <c r="E758" s="69">
        <v>0</v>
      </c>
      <c r="F758" s="69">
        <v>0</v>
      </c>
      <c r="G758" s="69" t="s">
        <v>22</v>
      </c>
      <c r="H758" s="69" t="s">
        <v>52</v>
      </c>
      <c r="I758" s="69" t="s">
        <v>639</v>
      </c>
      <c r="J758" s="69" t="s">
        <v>54</v>
      </c>
      <c r="K758" s="69" t="s">
        <v>639</v>
      </c>
      <c r="M758" s="69" t="s">
        <v>6</v>
      </c>
    </row>
    <row r="759" spans="2:13">
      <c r="B759" s="69">
        <v>757</v>
      </c>
      <c r="C759" s="69">
        <v>69</v>
      </c>
      <c r="D759" s="69">
        <v>5</v>
      </c>
      <c r="E759" s="69">
        <v>1</v>
      </c>
      <c r="F759" s="69">
        <v>0</v>
      </c>
      <c r="G759" s="69" t="s">
        <v>22</v>
      </c>
      <c r="H759" s="69" t="s">
        <v>52</v>
      </c>
      <c r="I759" s="69" t="s">
        <v>639</v>
      </c>
      <c r="J759" s="69" t="s">
        <v>55</v>
      </c>
      <c r="K759" s="69" t="s">
        <v>640</v>
      </c>
      <c r="M759" s="69" t="s">
        <v>6</v>
      </c>
    </row>
    <row r="760" spans="2:13">
      <c r="B760" s="69">
        <v>758</v>
      </c>
      <c r="C760" s="69">
        <v>69</v>
      </c>
      <c r="D760" s="69">
        <v>5</v>
      </c>
      <c r="E760" s="69">
        <v>2</v>
      </c>
      <c r="F760" s="69">
        <v>0</v>
      </c>
      <c r="G760" s="69" t="s">
        <v>22</v>
      </c>
      <c r="H760" s="69" t="s">
        <v>52</v>
      </c>
      <c r="I760" s="69" t="s">
        <v>639</v>
      </c>
      <c r="J760" s="69" t="s">
        <v>55</v>
      </c>
      <c r="K760" s="69" t="s">
        <v>641</v>
      </c>
      <c r="M760" s="69" t="s">
        <v>6</v>
      </c>
    </row>
    <row r="761" spans="2:13">
      <c r="B761" s="69">
        <v>759</v>
      </c>
      <c r="C761" s="69">
        <v>69</v>
      </c>
      <c r="D761" s="69">
        <v>5</v>
      </c>
      <c r="E761" s="69">
        <v>3</v>
      </c>
      <c r="F761" s="69">
        <v>0</v>
      </c>
      <c r="G761" s="69" t="s">
        <v>22</v>
      </c>
      <c r="H761" s="69" t="s">
        <v>52</v>
      </c>
      <c r="I761" s="69" t="s">
        <v>639</v>
      </c>
      <c r="J761" s="69" t="s">
        <v>55</v>
      </c>
      <c r="K761" s="69" t="s">
        <v>642</v>
      </c>
      <c r="M761" s="69" t="s">
        <v>6</v>
      </c>
    </row>
    <row r="762" spans="2:13">
      <c r="B762" s="69">
        <v>760</v>
      </c>
      <c r="C762" s="69">
        <v>69</v>
      </c>
      <c r="D762" s="69">
        <v>5</v>
      </c>
      <c r="E762" s="69">
        <v>4</v>
      </c>
      <c r="F762" s="69">
        <v>0</v>
      </c>
      <c r="G762" s="69" t="s">
        <v>22</v>
      </c>
      <c r="H762" s="69" t="s">
        <v>52</v>
      </c>
      <c r="I762" s="69" t="s">
        <v>639</v>
      </c>
      <c r="J762" s="69" t="s">
        <v>64</v>
      </c>
      <c r="K762" s="69" t="s">
        <v>65</v>
      </c>
      <c r="M762" s="69" t="s">
        <v>6</v>
      </c>
    </row>
    <row r="763" spans="2:13">
      <c r="B763" s="69">
        <v>761</v>
      </c>
      <c r="C763" s="69">
        <v>69</v>
      </c>
      <c r="D763" s="69">
        <v>5</v>
      </c>
      <c r="E763" s="69">
        <v>5</v>
      </c>
      <c r="F763" s="69">
        <v>0</v>
      </c>
      <c r="G763" s="69" t="s">
        <v>22</v>
      </c>
      <c r="H763" s="69" t="s">
        <v>52</v>
      </c>
      <c r="I763" s="69" t="s">
        <v>639</v>
      </c>
      <c r="J763" s="69" t="s">
        <v>55</v>
      </c>
      <c r="K763" s="69" t="s">
        <v>643</v>
      </c>
      <c r="M763" s="69" t="s">
        <v>6</v>
      </c>
    </row>
    <row r="764" spans="2:13">
      <c r="B764" s="69">
        <v>762</v>
      </c>
      <c r="C764" s="69">
        <v>70</v>
      </c>
      <c r="D764" s="69">
        <v>4</v>
      </c>
      <c r="E764" s="69">
        <v>0</v>
      </c>
      <c r="F764" s="69">
        <v>0</v>
      </c>
      <c r="G764" s="69" t="s">
        <v>22</v>
      </c>
      <c r="H764" s="69" t="s">
        <v>52</v>
      </c>
      <c r="I764" s="69" t="s">
        <v>644</v>
      </c>
      <c r="J764" s="69" t="s">
        <v>54</v>
      </c>
      <c r="K764" s="69" t="s">
        <v>644</v>
      </c>
      <c r="M764" s="69" t="s">
        <v>6</v>
      </c>
    </row>
    <row r="765" spans="2:13">
      <c r="B765" s="69">
        <v>763</v>
      </c>
      <c r="C765" s="69">
        <v>70</v>
      </c>
      <c r="D765" s="69">
        <v>4</v>
      </c>
      <c r="E765" s="69">
        <v>1</v>
      </c>
      <c r="F765" s="69">
        <v>0</v>
      </c>
      <c r="G765" s="69" t="s">
        <v>22</v>
      </c>
      <c r="H765" s="69" t="s">
        <v>52</v>
      </c>
      <c r="I765" s="69" t="s">
        <v>644</v>
      </c>
      <c r="J765" s="69" t="s">
        <v>55</v>
      </c>
      <c r="K765" s="69" t="s">
        <v>62</v>
      </c>
      <c r="M765" s="69" t="s">
        <v>6</v>
      </c>
    </row>
    <row r="766" spans="2:13">
      <c r="B766" s="69">
        <v>764</v>
      </c>
      <c r="C766" s="69">
        <v>70</v>
      </c>
      <c r="D766" s="69">
        <v>4</v>
      </c>
      <c r="E766" s="69">
        <v>2</v>
      </c>
      <c r="F766" s="69">
        <v>0</v>
      </c>
      <c r="G766" s="69" t="s">
        <v>22</v>
      </c>
      <c r="H766" s="69" t="s">
        <v>52</v>
      </c>
      <c r="I766" s="69" t="s">
        <v>644</v>
      </c>
      <c r="J766" s="69" t="s">
        <v>55</v>
      </c>
      <c r="K766" s="69" t="s">
        <v>63</v>
      </c>
      <c r="M766" s="69" t="s">
        <v>6</v>
      </c>
    </row>
    <row r="767" spans="2:13">
      <c r="B767" s="69">
        <v>765</v>
      </c>
      <c r="C767" s="69">
        <v>70</v>
      </c>
      <c r="D767" s="69">
        <v>4</v>
      </c>
      <c r="E767" s="69">
        <v>3</v>
      </c>
      <c r="F767" s="69">
        <v>0</v>
      </c>
      <c r="G767" s="69" t="s">
        <v>22</v>
      </c>
      <c r="H767" s="69" t="s">
        <v>52</v>
      </c>
      <c r="I767" s="69" t="s">
        <v>644</v>
      </c>
      <c r="J767" s="69" t="s">
        <v>64</v>
      </c>
      <c r="K767" s="69" t="s">
        <v>65</v>
      </c>
      <c r="M767" s="69" t="s">
        <v>6</v>
      </c>
    </row>
    <row r="768" spans="2:13">
      <c r="B768" s="69">
        <v>766</v>
      </c>
      <c r="C768" s="69">
        <v>70</v>
      </c>
      <c r="D768" s="69">
        <v>4</v>
      </c>
      <c r="E768" s="69">
        <v>4</v>
      </c>
      <c r="F768" s="69">
        <v>0</v>
      </c>
      <c r="G768" s="69" t="s">
        <v>22</v>
      </c>
      <c r="H768" s="69" t="s">
        <v>52</v>
      </c>
      <c r="I768" s="69" t="s">
        <v>644</v>
      </c>
      <c r="J768" s="69" t="s">
        <v>55</v>
      </c>
      <c r="K768" s="69" t="s">
        <v>645</v>
      </c>
      <c r="M768" s="69" t="s">
        <v>6</v>
      </c>
    </row>
    <row r="769" spans="2:13">
      <c r="B769" s="69">
        <v>767</v>
      </c>
      <c r="C769" s="69">
        <v>71</v>
      </c>
      <c r="D769" s="69">
        <v>4</v>
      </c>
      <c r="E769" s="69">
        <v>0</v>
      </c>
      <c r="F769" s="69">
        <v>0</v>
      </c>
      <c r="G769" s="69" t="s">
        <v>22</v>
      </c>
      <c r="H769" s="69" t="s">
        <v>52</v>
      </c>
      <c r="I769" s="69" t="s">
        <v>646</v>
      </c>
      <c r="J769" s="69" t="s">
        <v>54</v>
      </c>
      <c r="K769" s="69" t="s">
        <v>646</v>
      </c>
      <c r="M769" s="69" t="s">
        <v>6</v>
      </c>
    </row>
    <row r="770" spans="2:13">
      <c r="B770" s="69">
        <v>768</v>
      </c>
      <c r="C770" s="69">
        <v>71</v>
      </c>
      <c r="D770" s="69">
        <v>4</v>
      </c>
      <c r="E770" s="69">
        <v>1</v>
      </c>
      <c r="F770" s="69">
        <v>0</v>
      </c>
      <c r="G770" s="69" t="s">
        <v>22</v>
      </c>
      <c r="H770" s="69" t="s">
        <v>52</v>
      </c>
      <c r="I770" s="69" t="s">
        <v>646</v>
      </c>
      <c r="J770" s="69" t="s">
        <v>55</v>
      </c>
      <c r="K770" s="69" t="s">
        <v>62</v>
      </c>
      <c r="M770" s="69" t="s">
        <v>6</v>
      </c>
    </row>
    <row r="771" spans="2:13">
      <c r="B771" s="69">
        <v>769</v>
      </c>
      <c r="C771" s="69">
        <v>71</v>
      </c>
      <c r="D771" s="69">
        <v>4</v>
      </c>
      <c r="E771" s="69">
        <v>2</v>
      </c>
      <c r="F771" s="69">
        <v>0</v>
      </c>
      <c r="G771" s="69" t="s">
        <v>22</v>
      </c>
      <c r="H771" s="69" t="s">
        <v>52</v>
      </c>
      <c r="I771" s="69" t="s">
        <v>646</v>
      </c>
      <c r="J771" s="69" t="s">
        <v>55</v>
      </c>
      <c r="K771" s="69" t="s">
        <v>63</v>
      </c>
      <c r="M771" s="69" t="s">
        <v>6</v>
      </c>
    </row>
    <row r="772" spans="2:13">
      <c r="B772" s="69">
        <v>770</v>
      </c>
      <c r="C772" s="69">
        <v>71</v>
      </c>
      <c r="D772" s="69">
        <v>4</v>
      </c>
      <c r="E772" s="69">
        <v>3</v>
      </c>
      <c r="F772" s="69">
        <v>0</v>
      </c>
      <c r="G772" s="69" t="s">
        <v>22</v>
      </c>
      <c r="H772" s="69" t="s">
        <v>52</v>
      </c>
      <c r="I772" s="69" t="s">
        <v>646</v>
      </c>
      <c r="J772" s="69" t="s">
        <v>64</v>
      </c>
      <c r="K772" s="69" t="s">
        <v>65</v>
      </c>
      <c r="M772" s="69" t="s">
        <v>6</v>
      </c>
    </row>
    <row r="773" spans="2:13">
      <c r="B773" s="69">
        <v>771</v>
      </c>
      <c r="C773" s="69">
        <v>71</v>
      </c>
      <c r="D773" s="69">
        <v>4</v>
      </c>
      <c r="E773" s="69">
        <v>4</v>
      </c>
      <c r="F773" s="69">
        <v>0</v>
      </c>
      <c r="G773" s="69" t="s">
        <v>22</v>
      </c>
      <c r="H773" s="69" t="s">
        <v>52</v>
      </c>
      <c r="I773" s="69" t="s">
        <v>646</v>
      </c>
      <c r="J773" s="69" t="s">
        <v>55</v>
      </c>
      <c r="K773" s="69" t="s">
        <v>647</v>
      </c>
      <c r="M773" s="69" t="s">
        <v>6</v>
      </c>
    </row>
    <row r="774" spans="2:13">
      <c r="B774" s="69">
        <v>772</v>
      </c>
      <c r="C774" s="69">
        <v>72</v>
      </c>
      <c r="D774" s="69">
        <v>4</v>
      </c>
      <c r="E774" s="69">
        <v>0</v>
      </c>
      <c r="F774" s="69">
        <v>0</v>
      </c>
      <c r="G774" s="69" t="s">
        <v>22</v>
      </c>
      <c r="H774" s="69" t="s">
        <v>52</v>
      </c>
      <c r="I774" s="69" t="s">
        <v>648</v>
      </c>
      <c r="J774" s="69" t="s">
        <v>54</v>
      </c>
      <c r="K774" s="69" t="s">
        <v>648</v>
      </c>
      <c r="M774" s="69" t="s">
        <v>6</v>
      </c>
    </row>
    <row r="775" spans="2:13">
      <c r="B775" s="69">
        <v>773</v>
      </c>
      <c r="C775" s="69">
        <v>72</v>
      </c>
      <c r="D775" s="69">
        <v>4</v>
      </c>
      <c r="E775" s="69">
        <v>1</v>
      </c>
      <c r="F775" s="69">
        <v>0</v>
      </c>
      <c r="G775" s="69" t="s">
        <v>22</v>
      </c>
      <c r="H775" s="69" t="s">
        <v>52</v>
      </c>
      <c r="I775" s="69" t="s">
        <v>648</v>
      </c>
      <c r="J775" s="69" t="s">
        <v>55</v>
      </c>
      <c r="K775" s="69" t="s">
        <v>62</v>
      </c>
      <c r="M775" s="69" t="s">
        <v>6</v>
      </c>
    </row>
    <row r="776" spans="2:13">
      <c r="B776" s="69">
        <v>774</v>
      </c>
      <c r="C776" s="69">
        <v>72</v>
      </c>
      <c r="D776" s="69">
        <v>4</v>
      </c>
      <c r="E776" s="69">
        <v>2</v>
      </c>
      <c r="F776" s="69">
        <v>0</v>
      </c>
      <c r="G776" s="69" t="s">
        <v>22</v>
      </c>
      <c r="H776" s="69" t="s">
        <v>52</v>
      </c>
      <c r="I776" s="69" t="s">
        <v>648</v>
      </c>
      <c r="J776" s="69" t="s">
        <v>55</v>
      </c>
      <c r="K776" s="69" t="s">
        <v>63</v>
      </c>
      <c r="M776" s="69" t="s">
        <v>6</v>
      </c>
    </row>
    <row r="777" spans="2:13">
      <c r="B777" s="69">
        <v>775</v>
      </c>
      <c r="C777" s="69">
        <v>72</v>
      </c>
      <c r="D777" s="69">
        <v>4</v>
      </c>
      <c r="E777" s="69">
        <v>3</v>
      </c>
      <c r="F777" s="69">
        <v>0</v>
      </c>
      <c r="G777" s="69" t="s">
        <v>22</v>
      </c>
      <c r="H777" s="69" t="s">
        <v>52</v>
      </c>
      <c r="I777" s="69" t="s">
        <v>648</v>
      </c>
      <c r="J777" s="69" t="s">
        <v>64</v>
      </c>
      <c r="K777" s="69" t="s">
        <v>65</v>
      </c>
      <c r="M777" s="69" t="s">
        <v>6</v>
      </c>
    </row>
    <row r="778" spans="2:13">
      <c r="B778" s="69">
        <v>776</v>
      </c>
      <c r="C778" s="69">
        <v>72</v>
      </c>
      <c r="D778" s="69">
        <v>4</v>
      </c>
      <c r="E778" s="69">
        <v>4</v>
      </c>
      <c r="F778" s="69">
        <v>0</v>
      </c>
      <c r="G778" s="69" t="s">
        <v>22</v>
      </c>
      <c r="H778" s="69" t="s">
        <v>52</v>
      </c>
      <c r="I778" s="69" t="s">
        <v>648</v>
      </c>
      <c r="J778" s="69" t="s">
        <v>55</v>
      </c>
      <c r="K778" s="69" t="s">
        <v>649</v>
      </c>
      <c r="M778" s="69" t="s">
        <v>6</v>
      </c>
    </row>
    <row r="779" spans="2:13">
      <c r="B779" s="69">
        <v>777</v>
      </c>
      <c r="C779" s="69">
        <v>73</v>
      </c>
      <c r="D779" s="69">
        <v>4</v>
      </c>
      <c r="E779" s="69">
        <v>0</v>
      </c>
      <c r="F779" s="69">
        <v>0</v>
      </c>
      <c r="G779" s="69" t="s">
        <v>22</v>
      </c>
      <c r="H779" s="69" t="s">
        <v>52</v>
      </c>
      <c r="I779" s="69" t="s">
        <v>650</v>
      </c>
      <c r="J779" s="69" t="s">
        <v>54</v>
      </c>
      <c r="K779" s="69" t="s">
        <v>650</v>
      </c>
      <c r="M779" s="69" t="s">
        <v>6</v>
      </c>
    </row>
    <row r="780" spans="2:13">
      <c r="B780" s="69">
        <v>778</v>
      </c>
      <c r="C780" s="69">
        <v>73</v>
      </c>
      <c r="D780" s="69">
        <v>4</v>
      </c>
      <c r="E780" s="69">
        <v>1</v>
      </c>
      <c r="F780" s="69">
        <v>0</v>
      </c>
      <c r="G780" s="69" t="s">
        <v>22</v>
      </c>
      <c r="H780" s="69" t="s">
        <v>52</v>
      </c>
      <c r="I780" s="69" t="s">
        <v>650</v>
      </c>
      <c r="J780" s="69" t="s">
        <v>55</v>
      </c>
      <c r="K780" s="69" t="s">
        <v>62</v>
      </c>
      <c r="M780" s="69" t="s">
        <v>6</v>
      </c>
    </row>
    <row r="781" spans="2:13">
      <c r="B781" s="69">
        <v>779</v>
      </c>
      <c r="C781" s="69">
        <v>73</v>
      </c>
      <c r="D781" s="69">
        <v>4</v>
      </c>
      <c r="E781" s="69">
        <v>2</v>
      </c>
      <c r="F781" s="69">
        <v>0</v>
      </c>
      <c r="G781" s="69" t="s">
        <v>22</v>
      </c>
      <c r="H781" s="69" t="s">
        <v>52</v>
      </c>
      <c r="I781" s="69" t="s">
        <v>650</v>
      </c>
      <c r="J781" s="69" t="s">
        <v>55</v>
      </c>
      <c r="K781" s="69" t="s">
        <v>63</v>
      </c>
      <c r="M781" s="69" t="s">
        <v>6</v>
      </c>
    </row>
    <row r="782" spans="2:13">
      <c r="B782" s="69">
        <v>780</v>
      </c>
      <c r="C782" s="69">
        <v>73</v>
      </c>
      <c r="D782" s="69">
        <v>4</v>
      </c>
      <c r="E782" s="69">
        <v>3</v>
      </c>
      <c r="F782" s="69">
        <v>0</v>
      </c>
      <c r="G782" s="69" t="s">
        <v>22</v>
      </c>
      <c r="H782" s="69" t="s">
        <v>52</v>
      </c>
      <c r="I782" s="69" t="s">
        <v>650</v>
      </c>
      <c r="J782" s="69" t="s">
        <v>64</v>
      </c>
      <c r="K782" s="69" t="s">
        <v>65</v>
      </c>
      <c r="M782" s="69" t="s">
        <v>6</v>
      </c>
    </row>
    <row r="783" spans="2:13">
      <c r="B783" s="69">
        <v>781</v>
      </c>
      <c r="C783" s="69">
        <v>73</v>
      </c>
      <c r="D783" s="69">
        <v>4</v>
      </c>
      <c r="E783" s="69">
        <v>4</v>
      </c>
      <c r="F783" s="69">
        <v>0</v>
      </c>
      <c r="G783" s="69" t="s">
        <v>22</v>
      </c>
      <c r="H783" s="69" t="s">
        <v>52</v>
      </c>
      <c r="I783" s="69" t="s">
        <v>650</v>
      </c>
      <c r="J783" s="69" t="s">
        <v>55</v>
      </c>
      <c r="K783" s="69" t="s">
        <v>651</v>
      </c>
      <c r="M783" s="69" t="s">
        <v>6</v>
      </c>
    </row>
    <row r="784" spans="2:13">
      <c r="B784" s="69">
        <v>782</v>
      </c>
      <c r="C784" s="69">
        <v>74</v>
      </c>
      <c r="D784" s="69">
        <v>4</v>
      </c>
      <c r="E784" s="69">
        <v>0</v>
      </c>
      <c r="F784" s="69">
        <v>0</v>
      </c>
      <c r="G784" s="69" t="s">
        <v>22</v>
      </c>
      <c r="H784" s="69" t="s">
        <v>52</v>
      </c>
      <c r="I784" s="69" t="s">
        <v>652</v>
      </c>
      <c r="J784" s="69" t="s">
        <v>54</v>
      </c>
      <c r="K784" s="69" t="s">
        <v>652</v>
      </c>
      <c r="M784" s="69" t="s">
        <v>6</v>
      </c>
    </row>
    <row r="785" spans="2:13">
      <c r="B785" s="69">
        <v>783</v>
      </c>
      <c r="C785" s="69">
        <v>74</v>
      </c>
      <c r="D785" s="69">
        <v>4</v>
      </c>
      <c r="E785" s="69">
        <v>1</v>
      </c>
      <c r="F785" s="69">
        <v>0</v>
      </c>
      <c r="G785" s="69" t="s">
        <v>22</v>
      </c>
      <c r="H785" s="69" t="s">
        <v>52</v>
      </c>
      <c r="I785" s="69" t="s">
        <v>652</v>
      </c>
      <c r="J785" s="69" t="s">
        <v>55</v>
      </c>
      <c r="K785" s="69" t="s">
        <v>62</v>
      </c>
      <c r="M785" s="69" t="s">
        <v>6</v>
      </c>
    </row>
    <row r="786" spans="2:13">
      <c r="B786" s="69">
        <v>784</v>
      </c>
      <c r="C786" s="69">
        <v>74</v>
      </c>
      <c r="D786" s="69">
        <v>4</v>
      </c>
      <c r="E786" s="69">
        <v>2</v>
      </c>
      <c r="F786" s="69">
        <v>0</v>
      </c>
      <c r="G786" s="69" t="s">
        <v>22</v>
      </c>
      <c r="H786" s="69" t="s">
        <v>52</v>
      </c>
      <c r="I786" s="69" t="s">
        <v>652</v>
      </c>
      <c r="J786" s="69" t="s">
        <v>55</v>
      </c>
      <c r="K786" s="69" t="s">
        <v>63</v>
      </c>
      <c r="M786" s="69" t="s">
        <v>6</v>
      </c>
    </row>
    <row r="787" spans="2:13">
      <c r="B787" s="69">
        <v>785</v>
      </c>
      <c r="C787" s="69">
        <v>74</v>
      </c>
      <c r="D787" s="69">
        <v>4</v>
      </c>
      <c r="E787" s="69">
        <v>3</v>
      </c>
      <c r="F787" s="69">
        <v>0</v>
      </c>
      <c r="G787" s="69" t="s">
        <v>22</v>
      </c>
      <c r="H787" s="69" t="s">
        <v>52</v>
      </c>
      <c r="I787" s="69" t="s">
        <v>652</v>
      </c>
      <c r="J787" s="69" t="s">
        <v>64</v>
      </c>
      <c r="K787" s="69" t="s">
        <v>65</v>
      </c>
      <c r="M787" s="69" t="s">
        <v>6</v>
      </c>
    </row>
    <row r="788" spans="2:13">
      <c r="B788" s="69">
        <v>786</v>
      </c>
      <c r="C788" s="69">
        <v>74</v>
      </c>
      <c r="D788" s="69">
        <v>4</v>
      </c>
      <c r="E788" s="69">
        <v>4</v>
      </c>
      <c r="F788" s="69">
        <v>0</v>
      </c>
      <c r="G788" s="69" t="s">
        <v>22</v>
      </c>
      <c r="H788" s="69" t="s">
        <v>52</v>
      </c>
      <c r="I788" s="69" t="s">
        <v>652</v>
      </c>
      <c r="J788" s="69" t="s">
        <v>55</v>
      </c>
      <c r="K788" s="69" t="s">
        <v>653</v>
      </c>
      <c r="M788" s="69" t="s">
        <v>6</v>
      </c>
    </row>
    <row r="789" spans="2:13">
      <c r="B789" s="69">
        <v>787</v>
      </c>
      <c r="C789" s="69">
        <v>75</v>
      </c>
      <c r="D789" s="69">
        <v>4</v>
      </c>
      <c r="E789" s="69">
        <v>0</v>
      </c>
      <c r="F789" s="69">
        <v>0</v>
      </c>
      <c r="G789" s="69" t="s">
        <v>22</v>
      </c>
      <c r="H789" s="69" t="s">
        <v>52</v>
      </c>
      <c r="I789" s="69" t="s">
        <v>654</v>
      </c>
      <c r="J789" s="69" t="s">
        <v>54</v>
      </c>
      <c r="K789" s="69" t="s">
        <v>654</v>
      </c>
      <c r="M789" s="69" t="s">
        <v>6</v>
      </c>
    </row>
    <row r="790" spans="2:13">
      <c r="B790" s="69">
        <v>788</v>
      </c>
      <c r="C790" s="69">
        <v>75</v>
      </c>
      <c r="D790" s="69">
        <v>4</v>
      </c>
      <c r="E790" s="69">
        <v>1</v>
      </c>
      <c r="F790" s="69">
        <v>0</v>
      </c>
      <c r="G790" s="69" t="s">
        <v>22</v>
      </c>
      <c r="H790" s="69" t="s">
        <v>52</v>
      </c>
      <c r="I790" s="69" t="s">
        <v>654</v>
      </c>
      <c r="J790" s="69" t="s">
        <v>655</v>
      </c>
      <c r="K790" s="69" t="s">
        <v>62</v>
      </c>
      <c r="M790" s="69" t="s">
        <v>6</v>
      </c>
    </row>
    <row r="791" spans="2:13">
      <c r="B791" s="69">
        <v>789</v>
      </c>
      <c r="C791" s="69">
        <v>75</v>
      </c>
      <c r="D791" s="69">
        <v>4</v>
      </c>
      <c r="E791" s="69">
        <v>2</v>
      </c>
      <c r="F791" s="69">
        <v>0</v>
      </c>
      <c r="G791" s="69" t="s">
        <v>22</v>
      </c>
      <c r="H791" s="69" t="s">
        <v>52</v>
      </c>
      <c r="I791" s="69" t="s">
        <v>654</v>
      </c>
      <c r="J791" s="69" t="s">
        <v>655</v>
      </c>
      <c r="K791" s="69" t="s">
        <v>63</v>
      </c>
      <c r="M791" s="69" t="s">
        <v>6</v>
      </c>
    </row>
    <row r="792" spans="2:13">
      <c r="B792" s="69">
        <v>790</v>
      </c>
      <c r="C792" s="69">
        <v>75</v>
      </c>
      <c r="D792" s="69">
        <v>4</v>
      </c>
      <c r="E792" s="69">
        <v>3</v>
      </c>
      <c r="F792" s="69">
        <v>0</v>
      </c>
      <c r="G792" s="69" t="s">
        <v>22</v>
      </c>
      <c r="H792" s="69" t="s">
        <v>52</v>
      </c>
      <c r="I792" s="69" t="s">
        <v>654</v>
      </c>
      <c r="J792" s="69" t="s">
        <v>64</v>
      </c>
      <c r="K792" s="69" t="s">
        <v>65</v>
      </c>
      <c r="M792" s="69" t="s">
        <v>6</v>
      </c>
    </row>
    <row r="793" spans="2:13">
      <c r="B793" s="69">
        <v>791</v>
      </c>
      <c r="C793" s="69">
        <v>75</v>
      </c>
      <c r="D793" s="69">
        <v>4</v>
      </c>
      <c r="E793" s="69">
        <v>4</v>
      </c>
      <c r="F793" s="69">
        <v>0</v>
      </c>
      <c r="G793" s="69" t="s">
        <v>22</v>
      </c>
      <c r="H793" s="69" t="s">
        <v>52</v>
      </c>
      <c r="I793" s="69" t="s">
        <v>654</v>
      </c>
      <c r="J793" s="69" t="s">
        <v>655</v>
      </c>
      <c r="K793" s="69" t="s">
        <v>656</v>
      </c>
      <c r="M793" s="69" t="s">
        <v>6</v>
      </c>
    </row>
    <row r="794" spans="2:13">
      <c r="B794" s="69">
        <v>792</v>
      </c>
      <c r="C794" s="69">
        <v>76</v>
      </c>
      <c r="D794" s="69">
        <v>4</v>
      </c>
      <c r="E794" s="69">
        <v>0</v>
      </c>
      <c r="F794" s="69">
        <v>0</v>
      </c>
      <c r="G794" s="69" t="s">
        <v>22</v>
      </c>
      <c r="H794" s="69" t="s">
        <v>52</v>
      </c>
      <c r="I794" s="69" t="s">
        <v>657</v>
      </c>
      <c r="J794" s="69" t="s">
        <v>54</v>
      </c>
      <c r="K794" s="69" t="s">
        <v>657</v>
      </c>
      <c r="M794" s="69" t="s">
        <v>6</v>
      </c>
    </row>
    <row r="795" spans="2:13">
      <c r="B795" s="69">
        <v>793</v>
      </c>
      <c r="C795" s="69">
        <v>76</v>
      </c>
      <c r="D795" s="69">
        <v>4</v>
      </c>
      <c r="E795" s="69">
        <v>1</v>
      </c>
      <c r="F795" s="69">
        <v>0</v>
      </c>
      <c r="G795" s="69" t="s">
        <v>22</v>
      </c>
      <c r="H795" s="69" t="s">
        <v>52</v>
      </c>
      <c r="I795" s="69" t="s">
        <v>657</v>
      </c>
      <c r="J795" s="69" t="s">
        <v>55</v>
      </c>
      <c r="K795" s="69" t="s">
        <v>62</v>
      </c>
      <c r="M795" s="69" t="s">
        <v>6</v>
      </c>
    </row>
    <row r="796" spans="2:13">
      <c r="B796" s="69">
        <v>794</v>
      </c>
      <c r="C796" s="69">
        <v>76</v>
      </c>
      <c r="D796" s="69">
        <v>4</v>
      </c>
      <c r="E796" s="69">
        <v>2</v>
      </c>
      <c r="F796" s="69">
        <v>0</v>
      </c>
      <c r="G796" s="69" t="s">
        <v>22</v>
      </c>
      <c r="H796" s="69" t="s">
        <v>52</v>
      </c>
      <c r="I796" s="69" t="s">
        <v>657</v>
      </c>
      <c r="J796" s="69" t="s">
        <v>55</v>
      </c>
      <c r="K796" s="69" t="s">
        <v>63</v>
      </c>
      <c r="M796" s="69" t="s">
        <v>6</v>
      </c>
    </row>
    <row r="797" spans="2:13">
      <c r="B797" s="69">
        <v>795</v>
      </c>
      <c r="C797" s="69">
        <v>76</v>
      </c>
      <c r="D797" s="69">
        <v>4</v>
      </c>
      <c r="E797" s="69">
        <v>3</v>
      </c>
      <c r="F797" s="69">
        <v>0</v>
      </c>
      <c r="G797" s="69" t="s">
        <v>22</v>
      </c>
      <c r="H797" s="69" t="s">
        <v>52</v>
      </c>
      <c r="I797" s="69" t="s">
        <v>657</v>
      </c>
      <c r="J797" s="69" t="s">
        <v>64</v>
      </c>
      <c r="K797" s="69" t="s">
        <v>65</v>
      </c>
      <c r="M797" s="69" t="s">
        <v>6</v>
      </c>
    </row>
    <row r="798" spans="2:13">
      <c r="B798" s="69">
        <v>796</v>
      </c>
      <c r="C798" s="69">
        <v>76</v>
      </c>
      <c r="D798" s="69">
        <v>4</v>
      </c>
      <c r="E798" s="69">
        <v>4</v>
      </c>
      <c r="F798" s="69">
        <v>0</v>
      </c>
      <c r="G798" s="69" t="s">
        <v>22</v>
      </c>
      <c r="H798" s="69" t="s">
        <v>52</v>
      </c>
      <c r="I798" s="69" t="s">
        <v>657</v>
      </c>
      <c r="J798" s="69" t="s">
        <v>55</v>
      </c>
      <c r="K798" s="69" t="s">
        <v>658</v>
      </c>
      <c r="M798" s="69" t="s">
        <v>6</v>
      </c>
    </row>
    <row r="799" spans="2:13">
      <c r="B799" s="69">
        <v>797</v>
      </c>
      <c r="C799" s="69">
        <v>77</v>
      </c>
      <c r="D799" s="69">
        <v>4</v>
      </c>
      <c r="E799" s="69">
        <v>0</v>
      </c>
      <c r="F799" s="69">
        <v>0</v>
      </c>
      <c r="G799" s="69" t="s">
        <v>22</v>
      </c>
      <c r="H799" s="69" t="s">
        <v>52</v>
      </c>
      <c r="I799" s="69" t="s">
        <v>659</v>
      </c>
      <c r="J799" s="69" t="s">
        <v>54</v>
      </c>
      <c r="K799" s="69" t="s">
        <v>659</v>
      </c>
      <c r="M799" s="69" t="s">
        <v>6</v>
      </c>
    </row>
    <row r="800" spans="2:13">
      <c r="B800" s="69">
        <v>798</v>
      </c>
      <c r="C800" s="69">
        <v>77</v>
      </c>
      <c r="D800" s="69">
        <v>4</v>
      </c>
      <c r="E800" s="69">
        <v>1</v>
      </c>
      <c r="F800" s="69">
        <v>0</v>
      </c>
      <c r="G800" s="69" t="s">
        <v>22</v>
      </c>
      <c r="H800" s="69" t="s">
        <v>52</v>
      </c>
      <c r="I800" s="69" t="s">
        <v>659</v>
      </c>
      <c r="J800" s="69" t="s">
        <v>55</v>
      </c>
      <c r="K800" s="69" t="s">
        <v>62</v>
      </c>
      <c r="M800" s="69" t="s">
        <v>6</v>
      </c>
    </row>
    <row r="801" spans="2:13">
      <c r="B801" s="69">
        <v>799</v>
      </c>
      <c r="C801" s="69">
        <v>77</v>
      </c>
      <c r="D801" s="69">
        <v>4</v>
      </c>
      <c r="E801" s="69">
        <v>2</v>
      </c>
      <c r="F801" s="69">
        <v>0</v>
      </c>
      <c r="G801" s="69" t="s">
        <v>22</v>
      </c>
      <c r="H801" s="69" t="s">
        <v>52</v>
      </c>
      <c r="I801" s="69" t="s">
        <v>659</v>
      </c>
      <c r="J801" s="69" t="s">
        <v>55</v>
      </c>
      <c r="K801" s="69" t="s">
        <v>63</v>
      </c>
      <c r="M801" s="69" t="s">
        <v>6</v>
      </c>
    </row>
    <row r="802" spans="2:13">
      <c r="B802" s="69">
        <v>800</v>
      </c>
      <c r="C802" s="69">
        <v>77</v>
      </c>
      <c r="D802" s="69">
        <v>4</v>
      </c>
      <c r="E802" s="69">
        <v>3</v>
      </c>
      <c r="F802" s="69">
        <v>0</v>
      </c>
      <c r="G802" s="69" t="s">
        <v>22</v>
      </c>
      <c r="H802" s="69" t="s">
        <v>52</v>
      </c>
      <c r="I802" s="69" t="s">
        <v>659</v>
      </c>
      <c r="J802" s="69" t="s">
        <v>64</v>
      </c>
      <c r="K802" s="69" t="s">
        <v>65</v>
      </c>
      <c r="M802" s="69" t="s">
        <v>6</v>
      </c>
    </row>
    <row r="803" spans="2:13">
      <c r="B803" s="69">
        <v>801</v>
      </c>
      <c r="C803" s="69">
        <v>77</v>
      </c>
      <c r="D803" s="69">
        <v>4</v>
      </c>
      <c r="E803" s="69">
        <v>4</v>
      </c>
      <c r="F803" s="69">
        <v>0</v>
      </c>
      <c r="G803" s="69" t="s">
        <v>22</v>
      </c>
      <c r="H803" s="69" t="s">
        <v>52</v>
      </c>
      <c r="I803" s="69" t="s">
        <v>659</v>
      </c>
      <c r="J803" s="69" t="s">
        <v>55</v>
      </c>
      <c r="K803" s="69" t="s">
        <v>660</v>
      </c>
      <c r="M803" s="69" t="s">
        <v>6</v>
      </c>
    </row>
    <row r="804" spans="2:13">
      <c r="B804" s="69">
        <v>802</v>
      </c>
      <c r="C804" s="69">
        <v>78</v>
      </c>
      <c r="D804" s="69">
        <v>4</v>
      </c>
      <c r="E804" s="69">
        <v>0</v>
      </c>
      <c r="F804" s="69">
        <v>0</v>
      </c>
      <c r="G804" s="69" t="s">
        <v>22</v>
      </c>
      <c r="H804" s="69" t="s">
        <v>52</v>
      </c>
      <c r="I804" s="69" t="s">
        <v>661</v>
      </c>
      <c r="J804" s="69" t="s">
        <v>54</v>
      </c>
      <c r="K804" s="69" t="s">
        <v>661</v>
      </c>
      <c r="M804" s="69" t="s">
        <v>6</v>
      </c>
    </row>
    <row r="805" spans="2:13">
      <c r="B805" s="69">
        <v>803</v>
      </c>
      <c r="C805" s="69">
        <v>78</v>
      </c>
      <c r="D805" s="69">
        <v>4</v>
      </c>
      <c r="E805" s="69">
        <v>1</v>
      </c>
      <c r="F805" s="69">
        <v>0</v>
      </c>
      <c r="G805" s="69" t="s">
        <v>22</v>
      </c>
      <c r="H805" s="69" t="s">
        <v>52</v>
      </c>
      <c r="I805" s="69" t="s">
        <v>661</v>
      </c>
      <c r="J805" s="69" t="s">
        <v>55</v>
      </c>
      <c r="K805" s="69" t="s">
        <v>62</v>
      </c>
      <c r="M805" s="69" t="s">
        <v>6</v>
      </c>
    </row>
    <row r="806" spans="2:13">
      <c r="B806" s="69">
        <v>804</v>
      </c>
      <c r="C806" s="69">
        <v>78</v>
      </c>
      <c r="D806" s="69">
        <v>4</v>
      </c>
      <c r="E806" s="69">
        <v>2</v>
      </c>
      <c r="F806" s="69">
        <v>0</v>
      </c>
      <c r="G806" s="69" t="s">
        <v>22</v>
      </c>
      <c r="H806" s="69" t="s">
        <v>52</v>
      </c>
      <c r="I806" s="69" t="s">
        <v>661</v>
      </c>
      <c r="J806" s="69" t="s">
        <v>55</v>
      </c>
      <c r="K806" s="69" t="s">
        <v>63</v>
      </c>
      <c r="M806" s="69" t="s">
        <v>6</v>
      </c>
    </row>
    <row r="807" spans="2:13">
      <c r="B807" s="69">
        <v>805</v>
      </c>
      <c r="C807" s="69">
        <v>78</v>
      </c>
      <c r="D807" s="69">
        <v>4</v>
      </c>
      <c r="E807" s="69">
        <v>3</v>
      </c>
      <c r="F807" s="69">
        <v>0</v>
      </c>
      <c r="G807" s="69" t="s">
        <v>22</v>
      </c>
      <c r="H807" s="69" t="s">
        <v>52</v>
      </c>
      <c r="I807" s="69" t="s">
        <v>661</v>
      </c>
      <c r="J807" s="69" t="s">
        <v>64</v>
      </c>
      <c r="K807" s="69" t="s">
        <v>65</v>
      </c>
      <c r="M807" s="69" t="s">
        <v>6</v>
      </c>
    </row>
    <row r="808" spans="2:13">
      <c r="B808" s="69">
        <v>806</v>
      </c>
      <c r="C808" s="69">
        <v>78</v>
      </c>
      <c r="D808" s="69">
        <v>4</v>
      </c>
      <c r="E808" s="69">
        <v>4</v>
      </c>
      <c r="F808" s="69">
        <v>0</v>
      </c>
      <c r="G808" s="69" t="s">
        <v>22</v>
      </c>
      <c r="H808" s="69" t="s">
        <v>52</v>
      </c>
      <c r="I808" s="69" t="s">
        <v>661</v>
      </c>
      <c r="J808" s="69" t="s">
        <v>55</v>
      </c>
      <c r="K808" s="69" t="s">
        <v>662</v>
      </c>
      <c r="M808" s="69" t="s">
        <v>6</v>
      </c>
    </row>
    <row r="809" spans="2:13">
      <c r="B809" s="69">
        <v>807</v>
      </c>
      <c r="C809" s="69">
        <v>79</v>
      </c>
      <c r="D809" s="69">
        <v>4</v>
      </c>
      <c r="E809" s="69">
        <v>0</v>
      </c>
      <c r="F809" s="69">
        <v>0</v>
      </c>
      <c r="G809" s="69" t="s">
        <v>22</v>
      </c>
      <c r="H809" s="69" t="s">
        <v>52</v>
      </c>
      <c r="I809" s="69" t="s">
        <v>663</v>
      </c>
      <c r="J809" s="69" t="s">
        <v>54</v>
      </c>
      <c r="K809" s="69" t="s">
        <v>663</v>
      </c>
      <c r="M809" s="69" t="s">
        <v>6</v>
      </c>
    </row>
    <row r="810" spans="2:13">
      <c r="B810" s="69">
        <v>808</v>
      </c>
      <c r="C810" s="69">
        <v>79</v>
      </c>
      <c r="D810" s="69">
        <v>4</v>
      </c>
      <c r="E810" s="69">
        <v>1</v>
      </c>
      <c r="F810" s="69">
        <v>0</v>
      </c>
      <c r="G810" s="69" t="s">
        <v>22</v>
      </c>
      <c r="H810" s="69" t="s">
        <v>52</v>
      </c>
      <c r="I810" s="69" t="s">
        <v>663</v>
      </c>
      <c r="J810" s="69" t="s">
        <v>55</v>
      </c>
      <c r="K810" s="69" t="s">
        <v>62</v>
      </c>
      <c r="M810" s="69" t="s">
        <v>6</v>
      </c>
    </row>
    <row r="811" spans="2:13">
      <c r="B811" s="69">
        <v>809</v>
      </c>
      <c r="C811" s="69">
        <v>79</v>
      </c>
      <c r="D811" s="69">
        <v>4</v>
      </c>
      <c r="E811" s="69">
        <v>2</v>
      </c>
      <c r="F811" s="69">
        <v>0</v>
      </c>
      <c r="G811" s="69" t="s">
        <v>22</v>
      </c>
      <c r="H811" s="69" t="s">
        <v>52</v>
      </c>
      <c r="I811" s="69" t="s">
        <v>663</v>
      </c>
      <c r="J811" s="69" t="s">
        <v>55</v>
      </c>
      <c r="K811" s="69" t="s">
        <v>63</v>
      </c>
      <c r="M811" s="69" t="s">
        <v>6</v>
      </c>
    </row>
    <row r="812" spans="2:13">
      <c r="B812" s="69">
        <v>810</v>
      </c>
      <c r="C812" s="69">
        <v>79</v>
      </c>
      <c r="D812" s="69">
        <v>4</v>
      </c>
      <c r="E812" s="69">
        <v>3</v>
      </c>
      <c r="F812" s="69">
        <v>0</v>
      </c>
      <c r="G812" s="69" t="s">
        <v>22</v>
      </c>
      <c r="H812" s="69" t="s">
        <v>52</v>
      </c>
      <c r="I812" s="69" t="s">
        <v>663</v>
      </c>
      <c r="J812" s="69" t="s">
        <v>64</v>
      </c>
      <c r="K812" s="69" t="s">
        <v>65</v>
      </c>
      <c r="M812" s="69" t="s">
        <v>6</v>
      </c>
    </row>
    <row r="813" spans="2:13">
      <c r="B813" s="69">
        <v>811</v>
      </c>
      <c r="C813" s="69">
        <v>79</v>
      </c>
      <c r="D813" s="69">
        <v>4</v>
      </c>
      <c r="E813" s="69">
        <v>4</v>
      </c>
      <c r="F813" s="69">
        <v>0</v>
      </c>
      <c r="G813" s="69" t="s">
        <v>22</v>
      </c>
      <c r="H813" s="69" t="s">
        <v>52</v>
      </c>
      <c r="I813" s="69" t="s">
        <v>663</v>
      </c>
      <c r="J813" s="69" t="s">
        <v>55</v>
      </c>
      <c r="K813" s="69" t="s">
        <v>664</v>
      </c>
      <c r="M813" s="69" t="s">
        <v>6</v>
      </c>
    </row>
    <row r="814" spans="2:13">
      <c r="B814" s="69">
        <v>812</v>
      </c>
      <c r="C814" s="69">
        <v>80</v>
      </c>
      <c r="D814" s="69">
        <v>4</v>
      </c>
      <c r="E814" s="69">
        <v>0</v>
      </c>
      <c r="F814" s="69">
        <v>0</v>
      </c>
      <c r="G814" s="69" t="s">
        <v>22</v>
      </c>
      <c r="H814" s="69" t="s">
        <v>52</v>
      </c>
      <c r="I814" s="69" t="s">
        <v>665</v>
      </c>
      <c r="J814" s="69" t="s">
        <v>54</v>
      </c>
      <c r="K814" s="69" t="s">
        <v>665</v>
      </c>
      <c r="M814" s="69" t="s">
        <v>6</v>
      </c>
    </row>
    <row r="815" spans="2:13">
      <c r="B815" s="69">
        <v>813</v>
      </c>
      <c r="C815" s="69">
        <v>80</v>
      </c>
      <c r="D815" s="69">
        <v>4</v>
      </c>
      <c r="E815" s="69">
        <v>1</v>
      </c>
      <c r="F815" s="69">
        <v>0</v>
      </c>
      <c r="G815" s="69" t="s">
        <v>22</v>
      </c>
      <c r="H815" s="69" t="s">
        <v>52</v>
      </c>
      <c r="I815" s="69" t="s">
        <v>665</v>
      </c>
      <c r="J815" s="69" t="s">
        <v>55</v>
      </c>
      <c r="K815" s="69" t="s">
        <v>62</v>
      </c>
      <c r="M815" s="69" t="s">
        <v>6</v>
      </c>
    </row>
    <row r="816" spans="2:13">
      <c r="B816" s="69">
        <v>814</v>
      </c>
      <c r="C816" s="69">
        <v>80</v>
      </c>
      <c r="D816" s="69">
        <v>4</v>
      </c>
      <c r="E816" s="69">
        <v>2</v>
      </c>
      <c r="F816" s="69">
        <v>0</v>
      </c>
      <c r="G816" s="69" t="s">
        <v>22</v>
      </c>
      <c r="H816" s="69" t="s">
        <v>52</v>
      </c>
      <c r="I816" s="69" t="s">
        <v>665</v>
      </c>
      <c r="J816" s="69" t="s">
        <v>55</v>
      </c>
      <c r="K816" s="69" t="s">
        <v>63</v>
      </c>
      <c r="M816" s="69" t="s">
        <v>6</v>
      </c>
    </row>
    <row r="817" spans="2:13">
      <c r="B817" s="69">
        <v>815</v>
      </c>
      <c r="C817" s="69">
        <v>80</v>
      </c>
      <c r="D817" s="69">
        <v>4</v>
      </c>
      <c r="E817" s="69">
        <v>3</v>
      </c>
      <c r="F817" s="69">
        <v>0</v>
      </c>
      <c r="G817" s="69" t="s">
        <v>22</v>
      </c>
      <c r="H817" s="69" t="s">
        <v>52</v>
      </c>
      <c r="I817" s="69" t="s">
        <v>665</v>
      </c>
      <c r="J817" s="69" t="s">
        <v>64</v>
      </c>
      <c r="K817" s="69" t="s">
        <v>65</v>
      </c>
      <c r="M817" s="69" t="s">
        <v>6</v>
      </c>
    </row>
    <row r="818" spans="2:13">
      <c r="B818" s="69">
        <v>816</v>
      </c>
      <c r="C818" s="69">
        <v>80</v>
      </c>
      <c r="D818" s="69">
        <v>4</v>
      </c>
      <c r="E818" s="69">
        <v>4</v>
      </c>
      <c r="F818" s="69">
        <v>0</v>
      </c>
      <c r="G818" s="69" t="s">
        <v>22</v>
      </c>
      <c r="H818" s="69" t="s">
        <v>52</v>
      </c>
      <c r="I818" s="69" t="s">
        <v>665</v>
      </c>
      <c r="J818" s="69" t="s">
        <v>55</v>
      </c>
      <c r="K818" s="69" t="s">
        <v>666</v>
      </c>
      <c r="M818" s="69" t="s">
        <v>6</v>
      </c>
    </row>
    <row r="819" spans="2:13">
      <c r="B819" s="69">
        <v>817</v>
      </c>
      <c r="C819" s="69">
        <v>81</v>
      </c>
      <c r="D819" s="69">
        <v>4</v>
      </c>
      <c r="E819" s="69">
        <v>0</v>
      </c>
      <c r="F819" s="69">
        <v>0</v>
      </c>
      <c r="G819" s="69" t="s">
        <v>22</v>
      </c>
      <c r="H819" s="69" t="s">
        <v>52</v>
      </c>
      <c r="I819" s="69" t="s">
        <v>667</v>
      </c>
      <c r="J819" s="69" t="s">
        <v>54</v>
      </c>
      <c r="K819" s="69" t="s">
        <v>667</v>
      </c>
      <c r="M819" s="69" t="s">
        <v>6</v>
      </c>
    </row>
    <row r="820" spans="2:13">
      <c r="B820" s="69">
        <v>818</v>
      </c>
      <c r="C820" s="69">
        <v>81</v>
      </c>
      <c r="D820" s="69">
        <v>4</v>
      </c>
      <c r="E820" s="69">
        <v>1</v>
      </c>
      <c r="F820" s="69">
        <v>0</v>
      </c>
      <c r="G820" s="69" t="s">
        <v>22</v>
      </c>
      <c r="H820" s="69" t="s">
        <v>52</v>
      </c>
      <c r="I820" s="69" t="s">
        <v>667</v>
      </c>
      <c r="J820" s="69" t="s">
        <v>55</v>
      </c>
      <c r="K820" s="69" t="s">
        <v>62</v>
      </c>
      <c r="M820" s="69" t="s">
        <v>6</v>
      </c>
    </row>
    <row r="821" spans="2:13">
      <c r="B821" s="69">
        <v>819</v>
      </c>
      <c r="C821" s="69">
        <v>81</v>
      </c>
      <c r="D821" s="69">
        <v>4</v>
      </c>
      <c r="E821" s="69">
        <v>2</v>
      </c>
      <c r="F821" s="69">
        <v>0</v>
      </c>
      <c r="G821" s="69" t="s">
        <v>22</v>
      </c>
      <c r="H821" s="69" t="s">
        <v>52</v>
      </c>
      <c r="I821" s="69" t="s">
        <v>667</v>
      </c>
      <c r="J821" s="69" t="s">
        <v>55</v>
      </c>
      <c r="K821" s="69" t="s">
        <v>63</v>
      </c>
      <c r="M821" s="69" t="s">
        <v>6</v>
      </c>
    </row>
    <row r="822" spans="2:13">
      <c r="B822" s="69">
        <v>820</v>
      </c>
      <c r="C822" s="69">
        <v>81</v>
      </c>
      <c r="D822" s="69">
        <v>4</v>
      </c>
      <c r="E822" s="69">
        <v>3</v>
      </c>
      <c r="F822" s="69">
        <v>0</v>
      </c>
      <c r="G822" s="69" t="s">
        <v>22</v>
      </c>
      <c r="H822" s="69" t="s">
        <v>52</v>
      </c>
      <c r="I822" s="69" t="s">
        <v>667</v>
      </c>
      <c r="J822" s="69" t="s">
        <v>64</v>
      </c>
      <c r="K822" s="69" t="s">
        <v>65</v>
      </c>
      <c r="M822" s="69" t="s">
        <v>6</v>
      </c>
    </row>
    <row r="823" spans="2:13">
      <c r="B823" s="69">
        <v>821</v>
      </c>
      <c r="C823" s="69">
        <v>81</v>
      </c>
      <c r="D823" s="69">
        <v>4</v>
      </c>
      <c r="E823" s="69">
        <v>4</v>
      </c>
      <c r="F823" s="69">
        <v>0</v>
      </c>
      <c r="G823" s="69" t="s">
        <v>22</v>
      </c>
      <c r="H823" s="69" t="s">
        <v>52</v>
      </c>
      <c r="I823" s="69" t="s">
        <v>667</v>
      </c>
      <c r="J823" s="69" t="s">
        <v>55</v>
      </c>
      <c r="K823" s="69" t="s">
        <v>668</v>
      </c>
      <c r="M823" s="69" t="s">
        <v>6</v>
      </c>
    </row>
    <row r="824" spans="2:13">
      <c r="B824" s="69">
        <v>822</v>
      </c>
      <c r="C824" s="69">
        <v>82</v>
      </c>
      <c r="D824" s="69">
        <v>4</v>
      </c>
      <c r="E824" s="69">
        <v>0</v>
      </c>
      <c r="F824" s="69">
        <v>0</v>
      </c>
      <c r="G824" s="69" t="s">
        <v>22</v>
      </c>
      <c r="H824" s="69" t="s">
        <v>52</v>
      </c>
      <c r="I824" s="69" t="s">
        <v>669</v>
      </c>
      <c r="J824" s="69" t="s">
        <v>54</v>
      </c>
      <c r="K824" s="69" t="s">
        <v>669</v>
      </c>
      <c r="M824" s="69" t="s">
        <v>6</v>
      </c>
    </row>
    <row r="825" spans="2:13">
      <c r="B825" s="69">
        <v>823</v>
      </c>
      <c r="C825" s="69">
        <v>82</v>
      </c>
      <c r="D825" s="69">
        <v>4</v>
      </c>
      <c r="E825" s="69">
        <v>1</v>
      </c>
      <c r="F825" s="69">
        <v>0</v>
      </c>
      <c r="G825" s="69" t="s">
        <v>22</v>
      </c>
      <c r="H825" s="69" t="s">
        <v>52</v>
      </c>
      <c r="I825" s="69" t="s">
        <v>669</v>
      </c>
      <c r="J825" s="69" t="s">
        <v>55</v>
      </c>
      <c r="K825" s="69" t="s">
        <v>62</v>
      </c>
      <c r="M825" s="69" t="s">
        <v>6</v>
      </c>
    </row>
    <row r="826" spans="2:13">
      <c r="B826" s="69">
        <v>824</v>
      </c>
      <c r="C826" s="69">
        <v>82</v>
      </c>
      <c r="D826" s="69">
        <v>4</v>
      </c>
      <c r="E826" s="69">
        <v>2</v>
      </c>
      <c r="F826" s="69">
        <v>0</v>
      </c>
      <c r="G826" s="69" t="s">
        <v>22</v>
      </c>
      <c r="H826" s="69" t="s">
        <v>52</v>
      </c>
      <c r="I826" s="69" t="s">
        <v>669</v>
      </c>
      <c r="J826" s="69" t="s">
        <v>55</v>
      </c>
      <c r="K826" s="69" t="s">
        <v>63</v>
      </c>
      <c r="M826" s="69" t="s">
        <v>6</v>
      </c>
    </row>
    <row r="827" spans="2:13">
      <c r="B827" s="69">
        <v>825</v>
      </c>
      <c r="C827" s="69">
        <v>82</v>
      </c>
      <c r="D827" s="69">
        <v>4</v>
      </c>
      <c r="E827" s="69">
        <v>3</v>
      </c>
      <c r="F827" s="69">
        <v>0</v>
      </c>
      <c r="G827" s="69" t="s">
        <v>22</v>
      </c>
      <c r="H827" s="69" t="s">
        <v>52</v>
      </c>
      <c r="I827" s="69" t="s">
        <v>669</v>
      </c>
      <c r="J827" s="69" t="s">
        <v>64</v>
      </c>
      <c r="K827" s="69" t="s">
        <v>65</v>
      </c>
      <c r="M827" s="69" t="s">
        <v>6</v>
      </c>
    </row>
    <row r="828" spans="2:13">
      <c r="B828" s="69">
        <v>826</v>
      </c>
      <c r="C828" s="69">
        <v>82</v>
      </c>
      <c r="D828" s="69">
        <v>4</v>
      </c>
      <c r="E828" s="69">
        <v>4</v>
      </c>
      <c r="F828" s="69">
        <v>0</v>
      </c>
      <c r="G828" s="69" t="s">
        <v>22</v>
      </c>
      <c r="H828" s="69" t="s">
        <v>52</v>
      </c>
      <c r="I828" s="69" t="s">
        <v>669</v>
      </c>
      <c r="J828" s="69" t="s">
        <v>55</v>
      </c>
      <c r="K828" s="69" t="s">
        <v>670</v>
      </c>
      <c r="M828" s="69" t="s">
        <v>6</v>
      </c>
    </row>
    <row r="829" spans="2:13">
      <c r="B829" s="69">
        <v>827</v>
      </c>
      <c r="C829" s="69">
        <v>83</v>
      </c>
      <c r="D829" s="69">
        <v>4</v>
      </c>
      <c r="E829" s="69">
        <v>0</v>
      </c>
      <c r="F829" s="69">
        <v>0</v>
      </c>
      <c r="G829" s="69" t="s">
        <v>22</v>
      </c>
      <c r="H829" s="69" t="s">
        <v>52</v>
      </c>
      <c r="I829" s="69" t="s">
        <v>671</v>
      </c>
      <c r="J829" s="69" t="s">
        <v>54</v>
      </c>
      <c r="K829" s="69" t="s">
        <v>671</v>
      </c>
      <c r="M829" s="69" t="s">
        <v>6</v>
      </c>
    </row>
    <row r="830" spans="2:13">
      <c r="B830" s="69">
        <v>828</v>
      </c>
      <c r="C830" s="69">
        <v>83</v>
      </c>
      <c r="D830" s="69">
        <v>4</v>
      </c>
      <c r="E830" s="69">
        <v>1</v>
      </c>
      <c r="F830" s="69">
        <v>0</v>
      </c>
      <c r="G830" s="69" t="s">
        <v>22</v>
      </c>
      <c r="H830" s="69" t="s">
        <v>52</v>
      </c>
      <c r="I830" s="69" t="s">
        <v>671</v>
      </c>
      <c r="J830" s="69" t="s">
        <v>55</v>
      </c>
      <c r="K830" s="69" t="s">
        <v>62</v>
      </c>
      <c r="M830" s="69" t="s">
        <v>6</v>
      </c>
    </row>
    <row r="831" spans="2:13">
      <c r="B831" s="69">
        <v>829</v>
      </c>
      <c r="C831" s="69">
        <v>83</v>
      </c>
      <c r="D831" s="69">
        <v>4</v>
      </c>
      <c r="E831" s="69">
        <v>2</v>
      </c>
      <c r="F831" s="69">
        <v>0</v>
      </c>
      <c r="G831" s="69" t="s">
        <v>22</v>
      </c>
      <c r="H831" s="69" t="s">
        <v>52</v>
      </c>
      <c r="I831" s="69" t="s">
        <v>671</v>
      </c>
      <c r="J831" s="69" t="s">
        <v>55</v>
      </c>
      <c r="K831" s="69" t="s">
        <v>63</v>
      </c>
      <c r="M831" s="69" t="s">
        <v>6</v>
      </c>
    </row>
    <row r="832" spans="2:13">
      <c r="B832" s="69">
        <v>830</v>
      </c>
      <c r="C832" s="69">
        <v>83</v>
      </c>
      <c r="D832" s="69">
        <v>4</v>
      </c>
      <c r="E832" s="69">
        <v>3</v>
      </c>
      <c r="F832" s="69">
        <v>0</v>
      </c>
      <c r="G832" s="69" t="s">
        <v>22</v>
      </c>
      <c r="H832" s="69" t="s">
        <v>52</v>
      </c>
      <c r="I832" s="69" t="s">
        <v>671</v>
      </c>
      <c r="J832" s="69" t="s">
        <v>64</v>
      </c>
      <c r="K832" s="69" t="s">
        <v>65</v>
      </c>
      <c r="M832" s="69" t="s">
        <v>6</v>
      </c>
    </row>
    <row r="833" spans="2:13">
      <c r="B833" s="69">
        <v>831</v>
      </c>
      <c r="C833" s="69">
        <v>83</v>
      </c>
      <c r="D833" s="69">
        <v>4</v>
      </c>
      <c r="E833" s="69">
        <v>4</v>
      </c>
      <c r="F833" s="69">
        <v>0</v>
      </c>
      <c r="G833" s="69" t="s">
        <v>22</v>
      </c>
      <c r="H833" s="69" t="s">
        <v>52</v>
      </c>
      <c r="I833" s="69" t="s">
        <v>671</v>
      </c>
      <c r="J833" s="69" t="s">
        <v>55</v>
      </c>
      <c r="K833" s="69" t="s">
        <v>672</v>
      </c>
      <c r="M833" s="69" t="s">
        <v>6</v>
      </c>
    </row>
    <row r="834" spans="2:13">
      <c r="B834" s="69">
        <v>832</v>
      </c>
      <c r="C834" s="69">
        <v>84</v>
      </c>
      <c r="D834" s="69">
        <v>4</v>
      </c>
      <c r="E834" s="69">
        <v>0</v>
      </c>
      <c r="F834" s="69">
        <v>0</v>
      </c>
      <c r="G834" s="69" t="s">
        <v>22</v>
      </c>
      <c r="H834" s="69" t="s">
        <v>52</v>
      </c>
      <c r="I834" s="69" t="s">
        <v>673</v>
      </c>
      <c r="J834" s="69" t="s">
        <v>54</v>
      </c>
      <c r="K834" s="69" t="s">
        <v>673</v>
      </c>
      <c r="M834" s="69" t="s">
        <v>6</v>
      </c>
    </row>
    <row r="835" spans="2:13">
      <c r="B835" s="69">
        <v>833</v>
      </c>
      <c r="C835" s="69">
        <v>84</v>
      </c>
      <c r="D835" s="69">
        <v>4</v>
      </c>
      <c r="E835" s="69">
        <v>1</v>
      </c>
      <c r="F835" s="69">
        <v>0</v>
      </c>
      <c r="G835" s="69" t="s">
        <v>22</v>
      </c>
      <c r="H835" s="69" t="s">
        <v>52</v>
      </c>
      <c r="I835" s="69" t="s">
        <v>673</v>
      </c>
      <c r="J835" s="69" t="s">
        <v>55</v>
      </c>
      <c r="K835" s="69" t="s">
        <v>62</v>
      </c>
      <c r="M835" s="69" t="s">
        <v>6</v>
      </c>
    </row>
    <row r="836" spans="2:13">
      <c r="B836" s="69">
        <v>834</v>
      </c>
      <c r="C836" s="69">
        <v>84</v>
      </c>
      <c r="D836" s="69">
        <v>4</v>
      </c>
      <c r="E836" s="69">
        <v>2</v>
      </c>
      <c r="F836" s="69">
        <v>0</v>
      </c>
      <c r="G836" s="69" t="s">
        <v>22</v>
      </c>
      <c r="H836" s="69" t="s">
        <v>52</v>
      </c>
      <c r="I836" s="69" t="s">
        <v>673</v>
      </c>
      <c r="J836" s="69" t="s">
        <v>55</v>
      </c>
      <c r="K836" s="69" t="s">
        <v>63</v>
      </c>
      <c r="M836" s="69" t="s">
        <v>6</v>
      </c>
    </row>
    <row r="837" spans="2:13">
      <c r="B837" s="69">
        <v>835</v>
      </c>
      <c r="C837" s="69">
        <v>84</v>
      </c>
      <c r="D837" s="69">
        <v>4</v>
      </c>
      <c r="E837" s="69">
        <v>3</v>
      </c>
      <c r="F837" s="69">
        <v>0</v>
      </c>
      <c r="G837" s="69" t="s">
        <v>22</v>
      </c>
      <c r="H837" s="69" t="s">
        <v>52</v>
      </c>
      <c r="I837" s="69" t="s">
        <v>673</v>
      </c>
      <c r="J837" s="69" t="s">
        <v>64</v>
      </c>
      <c r="K837" s="69" t="s">
        <v>65</v>
      </c>
      <c r="M837" s="69" t="s">
        <v>6</v>
      </c>
    </row>
    <row r="838" spans="2:13">
      <c r="B838" s="69">
        <v>836</v>
      </c>
      <c r="C838" s="69">
        <v>84</v>
      </c>
      <c r="D838" s="69">
        <v>4</v>
      </c>
      <c r="E838" s="69">
        <v>4</v>
      </c>
      <c r="F838" s="69">
        <v>0</v>
      </c>
      <c r="G838" s="69" t="s">
        <v>22</v>
      </c>
      <c r="H838" s="69" t="s">
        <v>52</v>
      </c>
      <c r="I838" s="69" t="s">
        <v>673</v>
      </c>
      <c r="J838" s="69" t="s">
        <v>55</v>
      </c>
      <c r="K838" s="69" t="s">
        <v>674</v>
      </c>
      <c r="M838" s="69" t="s">
        <v>6</v>
      </c>
    </row>
    <row r="839" spans="2:13">
      <c r="B839" s="69">
        <v>837</v>
      </c>
      <c r="C839" s="69">
        <v>85</v>
      </c>
      <c r="D839" s="69">
        <v>4</v>
      </c>
      <c r="E839" s="69">
        <v>0</v>
      </c>
      <c r="F839" s="69">
        <v>0</v>
      </c>
      <c r="G839" s="69" t="s">
        <v>22</v>
      </c>
      <c r="H839" s="69" t="s">
        <v>52</v>
      </c>
      <c r="I839" s="69" t="s">
        <v>675</v>
      </c>
      <c r="J839" s="69" t="s">
        <v>54</v>
      </c>
      <c r="K839" s="69" t="s">
        <v>675</v>
      </c>
      <c r="M839" s="69" t="s">
        <v>6</v>
      </c>
    </row>
    <row r="840" spans="2:13">
      <c r="B840" s="69">
        <v>838</v>
      </c>
      <c r="C840" s="69">
        <v>85</v>
      </c>
      <c r="D840" s="69">
        <v>4</v>
      </c>
      <c r="E840" s="69">
        <v>1</v>
      </c>
      <c r="F840" s="69">
        <v>0</v>
      </c>
      <c r="G840" s="69" t="s">
        <v>22</v>
      </c>
      <c r="H840" s="69" t="s">
        <v>52</v>
      </c>
      <c r="I840" s="69" t="s">
        <v>675</v>
      </c>
      <c r="J840" s="69" t="s">
        <v>55</v>
      </c>
      <c r="K840" s="69" t="s">
        <v>62</v>
      </c>
      <c r="M840" s="69" t="s">
        <v>6</v>
      </c>
    </row>
    <row r="841" spans="2:13">
      <c r="B841" s="69">
        <v>839</v>
      </c>
      <c r="C841" s="69">
        <v>85</v>
      </c>
      <c r="D841" s="69">
        <v>4</v>
      </c>
      <c r="E841" s="69">
        <v>2</v>
      </c>
      <c r="F841" s="69">
        <v>0</v>
      </c>
      <c r="G841" s="69" t="s">
        <v>22</v>
      </c>
      <c r="H841" s="69" t="s">
        <v>52</v>
      </c>
      <c r="I841" s="69" t="s">
        <v>675</v>
      </c>
      <c r="J841" s="69" t="s">
        <v>55</v>
      </c>
      <c r="K841" s="69" t="s">
        <v>63</v>
      </c>
      <c r="M841" s="69" t="s">
        <v>6</v>
      </c>
    </row>
    <row r="842" spans="2:13">
      <c r="B842" s="69">
        <v>840</v>
      </c>
      <c r="C842" s="69">
        <v>85</v>
      </c>
      <c r="D842" s="69">
        <v>4</v>
      </c>
      <c r="E842" s="69">
        <v>3</v>
      </c>
      <c r="F842" s="69">
        <v>0</v>
      </c>
      <c r="G842" s="69" t="s">
        <v>22</v>
      </c>
      <c r="H842" s="69" t="s">
        <v>52</v>
      </c>
      <c r="I842" s="69" t="s">
        <v>675</v>
      </c>
      <c r="J842" s="69" t="s">
        <v>64</v>
      </c>
      <c r="K842" s="69" t="s">
        <v>65</v>
      </c>
      <c r="M842" s="69" t="s">
        <v>6</v>
      </c>
    </row>
    <row r="843" spans="2:13">
      <c r="B843" s="69">
        <v>841</v>
      </c>
      <c r="C843" s="69">
        <v>85</v>
      </c>
      <c r="D843" s="69">
        <v>4</v>
      </c>
      <c r="E843" s="69">
        <v>4</v>
      </c>
      <c r="F843" s="69">
        <v>0</v>
      </c>
      <c r="G843" s="69" t="s">
        <v>22</v>
      </c>
      <c r="H843" s="69" t="s">
        <v>52</v>
      </c>
      <c r="I843" s="69" t="s">
        <v>675</v>
      </c>
      <c r="J843" s="69" t="s">
        <v>55</v>
      </c>
      <c r="K843" s="69" t="s">
        <v>647</v>
      </c>
      <c r="M843" s="69" t="s">
        <v>6</v>
      </c>
    </row>
    <row r="844" spans="2:13">
      <c r="B844" s="69">
        <v>842</v>
      </c>
      <c r="C844" s="69">
        <v>86</v>
      </c>
      <c r="D844" s="69">
        <v>4</v>
      </c>
      <c r="E844" s="69">
        <v>0</v>
      </c>
      <c r="F844" s="69">
        <v>0</v>
      </c>
      <c r="G844" s="69" t="s">
        <v>22</v>
      </c>
      <c r="H844" s="69" t="s">
        <v>52</v>
      </c>
      <c r="I844" s="69" t="s">
        <v>676</v>
      </c>
      <c r="J844" s="69" t="s">
        <v>54</v>
      </c>
      <c r="K844" s="69" t="s">
        <v>676</v>
      </c>
      <c r="M844" s="69" t="s">
        <v>6</v>
      </c>
    </row>
    <row r="845" spans="2:13">
      <c r="B845" s="69">
        <v>843</v>
      </c>
      <c r="C845" s="69">
        <v>86</v>
      </c>
      <c r="D845" s="69">
        <v>4</v>
      </c>
      <c r="E845" s="69">
        <v>1</v>
      </c>
      <c r="F845" s="69">
        <v>0</v>
      </c>
      <c r="G845" s="69" t="s">
        <v>22</v>
      </c>
      <c r="H845" s="69" t="s">
        <v>52</v>
      </c>
      <c r="I845" s="69" t="s">
        <v>676</v>
      </c>
      <c r="J845" s="69" t="s">
        <v>55</v>
      </c>
      <c r="K845" s="69" t="s">
        <v>62</v>
      </c>
      <c r="M845" s="69" t="s">
        <v>6</v>
      </c>
    </row>
    <row r="846" spans="2:13">
      <c r="B846" s="69">
        <v>844</v>
      </c>
      <c r="C846" s="69">
        <v>86</v>
      </c>
      <c r="D846" s="69">
        <v>4</v>
      </c>
      <c r="E846" s="69">
        <v>2</v>
      </c>
      <c r="F846" s="69">
        <v>0</v>
      </c>
      <c r="G846" s="69" t="s">
        <v>22</v>
      </c>
      <c r="H846" s="69" t="s">
        <v>52</v>
      </c>
      <c r="I846" s="69" t="s">
        <v>676</v>
      </c>
      <c r="J846" s="69" t="s">
        <v>55</v>
      </c>
      <c r="K846" s="69" t="s">
        <v>63</v>
      </c>
      <c r="M846" s="69" t="s">
        <v>6</v>
      </c>
    </row>
    <row r="847" spans="2:13">
      <c r="B847" s="69">
        <v>845</v>
      </c>
      <c r="C847" s="69">
        <v>86</v>
      </c>
      <c r="D847" s="69">
        <v>4</v>
      </c>
      <c r="E847" s="69">
        <v>3</v>
      </c>
      <c r="F847" s="69">
        <v>0</v>
      </c>
      <c r="G847" s="69" t="s">
        <v>22</v>
      </c>
      <c r="H847" s="69" t="s">
        <v>52</v>
      </c>
      <c r="I847" s="69" t="s">
        <v>676</v>
      </c>
      <c r="J847" s="69" t="s">
        <v>64</v>
      </c>
      <c r="K847" s="69" t="s">
        <v>65</v>
      </c>
      <c r="M847" s="69" t="s">
        <v>6</v>
      </c>
    </row>
    <row r="848" spans="2:13">
      <c r="B848" s="69">
        <v>846</v>
      </c>
      <c r="C848" s="69">
        <v>86</v>
      </c>
      <c r="D848" s="69">
        <v>4</v>
      </c>
      <c r="E848" s="69">
        <v>4</v>
      </c>
      <c r="F848" s="69">
        <v>0</v>
      </c>
      <c r="G848" s="69" t="s">
        <v>22</v>
      </c>
      <c r="H848" s="69" t="s">
        <v>52</v>
      </c>
      <c r="I848" s="69" t="s">
        <v>676</v>
      </c>
      <c r="J848" s="69" t="s">
        <v>55</v>
      </c>
      <c r="K848" s="69" t="s">
        <v>677</v>
      </c>
      <c r="M848" s="69" t="s">
        <v>6</v>
      </c>
    </row>
    <row r="849" spans="2:13">
      <c r="B849" s="69">
        <v>847</v>
      </c>
      <c r="C849" s="69">
        <v>87</v>
      </c>
      <c r="D849" s="69">
        <v>4</v>
      </c>
      <c r="E849" s="69">
        <v>0</v>
      </c>
      <c r="F849" s="69">
        <v>0</v>
      </c>
      <c r="G849" s="69" t="s">
        <v>22</v>
      </c>
      <c r="H849" s="69" t="s">
        <v>52</v>
      </c>
      <c r="I849" s="69" t="s">
        <v>678</v>
      </c>
      <c r="J849" s="69" t="s">
        <v>54</v>
      </c>
      <c r="K849" s="69" t="s">
        <v>678</v>
      </c>
      <c r="M849" s="69" t="s">
        <v>6</v>
      </c>
    </row>
    <row r="850" spans="2:13">
      <c r="B850" s="69">
        <v>848</v>
      </c>
      <c r="C850" s="69">
        <v>87</v>
      </c>
      <c r="D850" s="69">
        <v>4</v>
      </c>
      <c r="E850" s="69">
        <v>1</v>
      </c>
      <c r="F850" s="69">
        <v>0</v>
      </c>
      <c r="G850" s="69" t="s">
        <v>22</v>
      </c>
      <c r="H850" s="69" t="s">
        <v>52</v>
      </c>
      <c r="I850" s="69" t="s">
        <v>678</v>
      </c>
      <c r="J850" s="69" t="s">
        <v>55</v>
      </c>
      <c r="K850" s="69" t="s">
        <v>62</v>
      </c>
      <c r="M850" s="69" t="s">
        <v>6</v>
      </c>
    </row>
    <row r="851" spans="2:13">
      <c r="B851" s="69">
        <v>849</v>
      </c>
      <c r="C851" s="69">
        <v>87</v>
      </c>
      <c r="D851" s="69">
        <v>4</v>
      </c>
      <c r="E851" s="69">
        <v>2</v>
      </c>
      <c r="F851" s="69">
        <v>0</v>
      </c>
      <c r="G851" s="69" t="s">
        <v>22</v>
      </c>
      <c r="H851" s="69" t="s">
        <v>52</v>
      </c>
      <c r="I851" s="69" t="s">
        <v>678</v>
      </c>
      <c r="J851" s="69" t="s">
        <v>55</v>
      </c>
      <c r="K851" s="69" t="s">
        <v>63</v>
      </c>
      <c r="M851" s="69" t="s">
        <v>6</v>
      </c>
    </row>
    <row r="852" spans="2:13">
      <c r="B852" s="69">
        <v>850</v>
      </c>
      <c r="C852" s="69">
        <v>87</v>
      </c>
      <c r="D852" s="69">
        <v>4</v>
      </c>
      <c r="E852" s="69">
        <v>3</v>
      </c>
      <c r="F852" s="69">
        <v>0</v>
      </c>
      <c r="G852" s="69" t="s">
        <v>22</v>
      </c>
      <c r="H852" s="69" t="s">
        <v>52</v>
      </c>
      <c r="I852" s="69" t="s">
        <v>678</v>
      </c>
      <c r="J852" s="69" t="s">
        <v>64</v>
      </c>
      <c r="K852" s="69" t="s">
        <v>65</v>
      </c>
      <c r="M852" s="69" t="s">
        <v>6</v>
      </c>
    </row>
    <row r="853" spans="2:13">
      <c r="B853" s="69">
        <v>851</v>
      </c>
      <c r="C853" s="69">
        <v>87</v>
      </c>
      <c r="D853" s="69">
        <v>4</v>
      </c>
      <c r="E853" s="69">
        <v>4</v>
      </c>
      <c r="F853" s="69">
        <v>0</v>
      </c>
      <c r="G853" s="69" t="s">
        <v>22</v>
      </c>
      <c r="H853" s="69" t="s">
        <v>52</v>
      </c>
      <c r="I853" s="69" t="s">
        <v>678</v>
      </c>
      <c r="J853" s="69" t="s">
        <v>55</v>
      </c>
      <c r="K853" s="69" t="s">
        <v>679</v>
      </c>
      <c r="M853" s="69" t="s">
        <v>6</v>
      </c>
    </row>
    <row r="854" spans="2:13">
      <c r="B854" s="69">
        <v>852</v>
      </c>
      <c r="C854" s="69">
        <v>88</v>
      </c>
      <c r="D854" s="69">
        <v>5</v>
      </c>
      <c r="E854" s="69">
        <v>0</v>
      </c>
      <c r="F854" s="69">
        <v>0</v>
      </c>
      <c r="G854" s="69" t="s">
        <v>22</v>
      </c>
      <c r="H854" s="69" t="s">
        <v>52</v>
      </c>
      <c r="I854" s="69" t="s">
        <v>680</v>
      </c>
      <c r="J854" s="69" t="s">
        <v>54</v>
      </c>
      <c r="K854" s="69" t="s">
        <v>680</v>
      </c>
      <c r="M854" s="69" t="s">
        <v>6</v>
      </c>
    </row>
    <row r="855" spans="2:13">
      <c r="B855" s="69">
        <v>853</v>
      </c>
      <c r="C855" s="69">
        <v>88</v>
      </c>
      <c r="D855" s="69">
        <v>5</v>
      </c>
      <c r="E855" s="69">
        <v>1</v>
      </c>
      <c r="F855" s="69">
        <v>0</v>
      </c>
      <c r="G855" s="69" t="s">
        <v>22</v>
      </c>
      <c r="H855" s="69" t="s">
        <v>52</v>
      </c>
      <c r="I855" s="69" t="s">
        <v>680</v>
      </c>
      <c r="J855" s="69" t="s">
        <v>269</v>
      </c>
      <c r="K855" s="69" t="s">
        <v>681</v>
      </c>
      <c r="M855" s="69" t="s">
        <v>6</v>
      </c>
    </row>
    <row r="856" spans="2:13">
      <c r="B856" s="69">
        <v>854</v>
      </c>
      <c r="C856" s="69">
        <v>88</v>
      </c>
      <c r="D856" s="69">
        <v>5</v>
      </c>
      <c r="E856" s="69">
        <v>2</v>
      </c>
      <c r="F856" s="69">
        <v>0</v>
      </c>
      <c r="G856" s="69" t="s">
        <v>22</v>
      </c>
      <c r="H856" s="69" t="s">
        <v>52</v>
      </c>
      <c r="I856" s="69" t="s">
        <v>680</v>
      </c>
      <c r="J856" s="69" t="s">
        <v>269</v>
      </c>
      <c r="K856" s="69" t="s">
        <v>682</v>
      </c>
      <c r="M856" s="69" t="s">
        <v>6</v>
      </c>
    </row>
    <row r="857" spans="2:13">
      <c r="B857" s="69">
        <v>855</v>
      </c>
      <c r="C857" s="69">
        <v>88</v>
      </c>
      <c r="D857" s="69">
        <v>5</v>
      </c>
      <c r="E857" s="69">
        <v>3</v>
      </c>
      <c r="F857" s="69">
        <v>0</v>
      </c>
      <c r="G857" s="69" t="s">
        <v>22</v>
      </c>
      <c r="H857" s="69" t="s">
        <v>52</v>
      </c>
      <c r="I857" s="69" t="s">
        <v>680</v>
      </c>
      <c r="J857" s="69" t="s">
        <v>269</v>
      </c>
      <c r="K857" s="69" t="s">
        <v>683</v>
      </c>
      <c r="M857" s="69" t="s">
        <v>6</v>
      </c>
    </row>
    <row r="858" spans="2:13">
      <c r="B858" s="69">
        <v>856</v>
      </c>
      <c r="C858" s="69">
        <v>88</v>
      </c>
      <c r="D858" s="69">
        <v>5</v>
      </c>
      <c r="E858" s="69">
        <v>4</v>
      </c>
      <c r="F858" s="69">
        <v>0</v>
      </c>
      <c r="G858" s="69" t="s">
        <v>22</v>
      </c>
      <c r="H858" s="69" t="s">
        <v>52</v>
      </c>
      <c r="I858" s="69" t="s">
        <v>680</v>
      </c>
      <c r="J858" s="69" t="s">
        <v>64</v>
      </c>
      <c r="K858" s="69" t="s">
        <v>684</v>
      </c>
      <c r="M858" s="69" t="s">
        <v>6</v>
      </c>
    </row>
    <row r="859" spans="2:13">
      <c r="B859" s="69">
        <v>857</v>
      </c>
      <c r="C859" s="69">
        <v>88</v>
      </c>
      <c r="D859" s="69">
        <v>5</v>
      </c>
      <c r="E859" s="69">
        <v>5</v>
      </c>
      <c r="F859" s="69">
        <v>0</v>
      </c>
      <c r="G859" s="69" t="s">
        <v>22</v>
      </c>
      <c r="H859" s="69" t="s">
        <v>52</v>
      </c>
      <c r="I859" s="69" t="s">
        <v>680</v>
      </c>
      <c r="J859" s="69" t="s">
        <v>55</v>
      </c>
      <c r="K859" s="69" t="s">
        <v>685</v>
      </c>
      <c r="M859" s="69" t="s">
        <v>6</v>
      </c>
    </row>
    <row r="860" spans="2:13">
      <c r="B860" s="69">
        <v>858</v>
      </c>
      <c r="C860" s="69">
        <v>89</v>
      </c>
      <c r="D860" s="69">
        <v>7</v>
      </c>
      <c r="E860" s="69">
        <v>0</v>
      </c>
      <c r="F860" s="69">
        <v>0</v>
      </c>
      <c r="G860" s="69" t="s">
        <v>22</v>
      </c>
      <c r="H860" s="69" t="s">
        <v>9</v>
      </c>
      <c r="I860" s="69" t="s">
        <v>686</v>
      </c>
      <c r="J860" s="69" t="s">
        <v>54</v>
      </c>
      <c r="K860" s="69" t="s">
        <v>686</v>
      </c>
      <c r="M860" s="69" t="s">
        <v>6</v>
      </c>
    </row>
    <row r="861" spans="2:13">
      <c r="B861" s="69">
        <v>859</v>
      </c>
      <c r="C861" s="69">
        <v>89</v>
      </c>
      <c r="D861" s="69">
        <v>7</v>
      </c>
      <c r="E861" s="69">
        <v>1</v>
      </c>
      <c r="F861" s="69">
        <v>0</v>
      </c>
      <c r="G861" s="69" t="s">
        <v>22</v>
      </c>
      <c r="H861" s="69" t="s">
        <v>9</v>
      </c>
      <c r="I861" s="69" t="s">
        <v>686</v>
      </c>
      <c r="J861" s="69" t="s">
        <v>55</v>
      </c>
      <c r="K861" s="69" t="s">
        <v>687</v>
      </c>
      <c r="M861" s="69" t="s">
        <v>6</v>
      </c>
    </row>
    <row r="862" spans="2:13">
      <c r="B862" s="69">
        <v>860</v>
      </c>
      <c r="C862" s="69">
        <v>89</v>
      </c>
      <c r="D862" s="69">
        <v>7</v>
      </c>
      <c r="E862" s="69">
        <v>2</v>
      </c>
      <c r="F862" s="69">
        <v>0</v>
      </c>
      <c r="G862" s="69" t="s">
        <v>22</v>
      </c>
      <c r="H862" s="69" t="s">
        <v>9</v>
      </c>
      <c r="I862" s="69" t="s">
        <v>686</v>
      </c>
      <c r="J862" s="69" t="s">
        <v>55</v>
      </c>
      <c r="K862" s="69" t="s">
        <v>688</v>
      </c>
      <c r="M862" s="69" t="s">
        <v>6</v>
      </c>
    </row>
    <row r="863" spans="2:13">
      <c r="B863" s="69">
        <v>861</v>
      </c>
      <c r="C863" s="69">
        <v>89</v>
      </c>
      <c r="D863" s="69">
        <v>7</v>
      </c>
      <c r="E863" s="69">
        <v>3</v>
      </c>
      <c r="F863" s="69">
        <v>0</v>
      </c>
      <c r="G863" s="69" t="s">
        <v>22</v>
      </c>
      <c r="H863" s="69" t="s">
        <v>9</v>
      </c>
      <c r="I863" s="69" t="s">
        <v>686</v>
      </c>
      <c r="J863" s="69" t="s">
        <v>55</v>
      </c>
      <c r="K863" s="69" t="s">
        <v>689</v>
      </c>
      <c r="M863" s="69" t="s">
        <v>6</v>
      </c>
    </row>
    <row r="864" spans="2:13">
      <c r="B864" s="69">
        <v>862</v>
      </c>
      <c r="C864" s="69">
        <v>89</v>
      </c>
      <c r="D864" s="69">
        <v>7</v>
      </c>
      <c r="E864" s="69">
        <v>4</v>
      </c>
      <c r="F864" s="69">
        <v>0</v>
      </c>
      <c r="G864" s="69" t="s">
        <v>22</v>
      </c>
      <c r="H864" s="69" t="s">
        <v>9</v>
      </c>
      <c r="I864" s="69" t="s">
        <v>686</v>
      </c>
      <c r="J864" s="69" t="s">
        <v>55</v>
      </c>
      <c r="K864" s="69" t="s">
        <v>690</v>
      </c>
      <c r="M864" s="69" t="s">
        <v>6</v>
      </c>
    </row>
    <row r="865" spans="2:13">
      <c r="B865" s="69">
        <v>863</v>
      </c>
      <c r="C865" s="69">
        <v>89</v>
      </c>
      <c r="D865" s="69">
        <v>7</v>
      </c>
      <c r="E865" s="69">
        <v>5</v>
      </c>
      <c r="F865" s="69">
        <v>0</v>
      </c>
      <c r="G865" s="69" t="s">
        <v>22</v>
      </c>
      <c r="H865" s="69" t="s">
        <v>9</v>
      </c>
      <c r="I865" s="69" t="s">
        <v>686</v>
      </c>
      <c r="J865" s="69" t="s">
        <v>55</v>
      </c>
      <c r="K865" s="69" t="s">
        <v>691</v>
      </c>
      <c r="M865" s="69" t="s">
        <v>6</v>
      </c>
    </row>
    <row r="866" spans="2:13">
      <c r="B866" s="69">
        <v>864</v>
      </c>
      <c r="C866" s="69">
        <v>89</v>
      </c>
      <c r="D866" s="69">
        <v>7</v>
      </c>
      <c r="E866" s="69">
        <v>6</v>
      </c>
      <c r="F866" s="69">
        <v>0</v>
      </c>
      <c r="G866" s="69" t="s">
        <v>22</v>
      </c>
      <c r="H866" s="69" t="s">
        <v>9</v>
      </c>
      <c r="I866" s="69" t="s">
        <v>686</v>
      </c>
      <c r="J866" s="69" t="s">
        <v>55</v>
      </c>
      <c r="K866" s="69" t="s">
        <v>93</v>
      </c>
      <c r="M866" s="69" t="s">
        <v>6</v>
      </c>
    </row>
    <row r="867" spans="2:13">
      <c r="B867" s="69">
        <v>865</v>
      </c>
      <c r="C867" s="69">
        <v>89</v>
      </c>
      <c r="D867" s="69">
        <v>7</v>
      </c>
      <c r="E867" s="69">
        <v>7</v>
      </c>
      <c r="F867" s="69">
        <v>0</v>
      </c>
      <c r="G867" s="69" t="s">
        <v>22</v>
      </c>
      <c r="H867" s="69" t="s">
        <v>9</v>
      </c>
      <c r="I867" s="69" t="s">
        <v>686</v>
      </c>
      <c r="J867" s="69" t="s">
        <v>64</v>
      </c>
      <c r="K867" s="69" t="s">
        <v>94</v>
      </c>
      <c r="M867" s="69" t="s">
        <v>6</v>
      </c>
    </row>
    <row r="868" spans="2:13">
      <c r="B868" s="69">
        <v>866</v>
      </c>
      <c r="C868" s="69">
        <v>90</v>
      </c>
      <c r="D868" s="69">
        <v>11</v>
      </c>
      <c r="E868" s="69">
        <v>0</v>
      </c>
      <c r="F868" s="69">
        <v>0</v>
      </c>
      <c r="G868" s="69" t="s">
        <v>22</v>
      </c>
      <c r="H868" s="69" t="s">
        <v>9</v>
      </c>
      <c r="I868" s="69" t="s">
        <v>692</v>
      </c>
      <c r="J868" s="69" t="s">
        <v>54</v>
      </c>
      <c r="K868" s="69" t="s">
        <v>692</v>
      </c>
      <c r="M868" s="69" t="s">
        <v>6</v>
      </c>
    </row>
    <row r="869" spans="2:13">
      <c r="B869" s="69">
        <v>867</v>
      </c>
      <c r="C869" s="69">
        <v>90</v>
      </c>
      <c r="D869" s="69">
        <v>11</v>
      </c>
      <c r="E869" s="69">
        <v>1</v>
      </c>
      <c r="F869" s="69">
        <v>0</v>
      </c>
      <c r="G869" s="69" t="s">
        <v>22</v>
      </c>
      <c r="H869" s="69" t="s">
        <v>9</v>
      </c>
      <c r="I869" s="69" t="s">
        <v>692</v>
      </c>
      <c r="J869" s="69" t="s">
        <v>55</v>
      </c>
      <c r="K869" s="69" t="s">
        <v>693</v>
      </c>
      <c r="M869" s="69" t="s">
        <v>6</v>
      </c>
    </row>
    <row r="870" spans="2:13">
      <c r="B870" s="69">
        <v>868</v>
      </c>
      <c r="C870" s="69">
        <v>90</v>
      </c>
      <c r="D870" s="69">
        <v>11</v>
      </c>
      <c r="E870" s="69">
        <v>2</v>
      </c>
      <c r="F870" s="69">
        <v>0</v>
      </c>
      <c r="G870" s="69" t="s">
        <v>22</v>
      </c>
      <c r="H870" s="69" t="s">
        <v>9</v>
      </c>
      <c r="I870" s="69" t="s">
        <v>692</v>
      </c>
      <c r="J870" s="69" t="s">
        <v>55</v>
      </c>
      <c r="K870" s="69" t="s">
        <v>694</v>
      </c>
      <c r="M870" s="69" t="s">
        <v>6</v>
      </c>
    </row>
    <row r="871" spans="2:13">
      <c r="B871" s="69">
        <v>869</v>
      </c>
      <c r="C871" s="69">
        <v>90</v>
      </c>
      <c r="D871" s="69">
        <v>11</v>
      </c>
      <c r="E871" s="69">
        <v>3</v>
      </c>
      <c r="F871" s="69">
        <v>0</v>
      </c>
      <c r="G871" s="69" t="s">
        <v>22</v>
      </c>
      <c r="H871" s="69" t="s">
        <v>9</v>
      </c>
      <c r="I871" s="69" t="s">
        <v>692</v>
      </c>
      <c r="J871" s="69" t="s">
        <v>55</v>
      </c>
      <c r="K871" s="69" t="s">
        <v>695</v>
      </c>
      <c r="M871" s="69" t="s">
        <v>6</v>
      </c>
    </row>
    <row r="872" spans="2:13">
      <c r="B872" s="69">
        <v>870</v>
      </c>
      <c r="C872" s="69">
        <v>90</v>
      </c>
      <c r="D872" s="69">
        <v>11</v>
      </c>
      <c r="E872" s="69">
        <v>4</v>
      </c>
      <c r="F872" s="69">
        <v>0</v>
      </c>
      <c r="G872" s="69" t="s">
        <v>22</v>
      </c>
      <c r="H872" s="69" t="s">
        <v>9</v>
      </c>
      <c r="I872" s="69" t="s">
        <v>692</v>
      </c>
      <c r="J872" s="69" t="s">
        <v>55</v>
      </c>
      <c r="K872" s="69" t="s">
        <v>696</v>
      </c>
      <c r="M872" s="69" t="s">
        <v>6</v>
      </c>
    </row>
    <row r="873" spans="2:13">
      <c r="B873" s="69">
        <v>871</v>
      </c>
      <c r="C873" s="69">
        <v>90</v>
      </c>
      <c r="D873" s="69">
        <v>11</v>
      </c>
      <c r="E873" s="69">
        <v>5</v>
      </c>
      <c r="F873" s="69">
        <v>0</v>
      </c>
      <c r="G873" s="69" t="s">
        <v>22</v>
      </c>
      <c r="H873" s="69" t="s">
        <v>9</v>
      </c>
      <c r="I873" s="69" t="s">
        <v>692</v>
      </c>
      <c r="J873" s="69" t="s">
        <v>55</v>
      </c>
      <c r="K873" s="69" t="s">
        <v>697</v>
      </c>
      <c r="M873" s="69" t="s">
        <v>6</v>
      </c>
    </row>
    <row r="874" spans="2:13">
      <c r="B874" s="69">
        <v>872</v>
      </c>
      <c r="C874" s="69">
        <v>90</v>
      </c>
      <c r="D874" s="69">
        <v>11</v>
      </c>
      <c r="E874" s="69">
        <v>6</v>
      </c>
      <c r="F874" s="69">
        <v>0</v>
      </c>
      <c r="G874" s="69" t="s">
        <v>22</v>
      </c>
      <c r="H874" s="69" t="s">
        <v>9</v>
      </c>
      <c r="I874" s="69" t="s">
        <v>692</v>
      </c>
      <c r="J874" s="69" t="s">
        <v>55</v>
      </c>
      <c r="K874" s="69" t="s">
        <v>698</v>
      </c>
      <c r="M874" s="69" t="s">
        <v>6</v>
      </c>
    </row>
    <row r="875" spans="2:13">
      <c r="B875" s="69">
        <v>873</v>
      </c>
      <c r="C875" s="69">
        <v>90</v>
      </c>
      <c r="D875" s="69">
        <v>11</v>
      </c>
      <c r="E875" s="69">
        <v>7</v>
      </c>
      <c r="F875" s="69">
        <v>0</v>
      </c>
      <c r="G875" s="69" t="s">
        <v>22</v>
      </c>
      <c r="H875" s="69" t="s">
        <v>9</v>
      </c>
      <c r="I875" s="69" t="s">
        <v>692</v>
      </c>
      <c r="J875" s="69" t="s">
        <v>55</v>
      </c>
      <c r="K875" s="69" t="s">
        <v>699</v>
      </c>
      <c r="M875" s="69" t="s">
        <v>6</v>
      </c>
    </row>
    <row r="876" spans="2:13">
      <c r="B876" s="69">
        <v>874</v>
      </c>
      <c r="C876" s="69">
        <v>90</v>
      </c>
      <c r="D876" s="69">
        <v>11</v>
      </c>
      <c r="E876" s="69">
        <v>8</v>
      </c>
      <c r="F876" s="69">
        <v>0</v>
      </c>
      <c r="G876" s="69" t="s">
        <v>22</v>
      </c>
      <c r="H876" s="69" t="s">
        <v>9</v>
      </c>
      <c r="I876" s="69" t="s">
        <v>692</v>
      </c>
      <c r="J876" s="69" t="s">
        <v>55</v>
      </c>
      <c r="K876" s="69" t="s">
        <v>700</v>
      </c>
      <c r="M876" s="69" t="s">
        <v>6</v>
      </c>
    </row>
    <row r="877" spans="2:13">
      <c r="B877" s="69">
        <v>875</v>
      </c>
      <c r="C877" s="69">
        <v>90</v>
      </c>
      <c r="D877" s="69">
        <v>11</v>
      </c>
      <c r="E877" s="69">
        <v>9</v>
      </c>
      <c r="F877" s="69">
        <v>0</v>
      </c>
      <c r="G877" s="69" t="s">
        <v>22</v>
      </c>
      <c r="H877" s="69" t="s">
        <v>9</v>
      </c>
      <c r="I877" s="69" t="s">
        <v>692</v>
      </c>
      <c r="J877" s="69" t="s">
        <v>55</v>
      </c>
      <c r="K877" s="69" t="s">
        <v>619</v>
      </c>
      <c r="M877" s="69" t="s">
        <v>6</v>
      </c>
    </row>
    <row r="878" spans="2:13">
      <c r="B878" s="69">
        <v>876</v>
      </c>
      <c r="C878" s="69">
        <v>90</v>
      </c>
      <c r="D878" s="69">
        <v>11</v>
      </c>
      <c r="E878" s="69">
        <v>10</v>
      </c>
      <c r="F878" s="69">
        <v>0</v>
      </c>
      <c r="G878" s="69" t="s">
        <v>22</v>
      </c>
      <c r="H878" s="69" t="s">
        <v>9</v>
      </c>
      <c r="I878" s="69" t="s">
        <v>692</v>
      </c>
      <c r="J878" s="69" t="s">
        <v>55</v>
      </c>
      <c r="K878" s="69" t="s">
        <v>93</v>
      </c>
      <c r="M878" s="69" t="s">
        <v>6</v>
      </c>
    </row>
    <row r="879" spans="2:13">
      <c r="B879" s="69">
        <v>877</v>
      </c>
      <c r="C879" s="69">
        <v>90</v>
      </c>
      <c r="D879" s="69">
        <v>11</v>
      </c>
      <c r="E879" s="69">
        <v>11</v>
      </c>
      <c r="F879" s="69">
        <v>0</v>
      </c>
      <c r="G879" s="69" t="s">
        <v>22</v>
      </c>
      <c r="H879" s="69" t="s">
        <v>9</v>
      </c>
      <c r="I879" s="69" t="s">
        <v>692</v>
      </c>
      <c r="J879" s="69" t="s">
        <v>64</v>
      </c>
      <c r="K879" s="69" t="s">
        <v>94</v>
      </c>
      <c r="M879" s="69" t="s">
        <v>6</v>
      </c>
    </row>
    <row r="880" spans="2:13">
      <c r="B880" s="69">
        <v>878</v>
      </c>
      <c r="C880" s="69">
        <v>91</v>
      </c>
      <c r="D880" s="69">
        <v>13</v>
      </c>
      <c r="E880" s="69">
        <v>0</v>
      </c>
      <c r="F880" s="69">
        <v>0</v>
      </c>
      <c r="G880" s="69" t="s">
        <v>22</v>
      </c>
      <c r="H880" s="69" t="s">
        <v>9</v>
      </c>
      <c r="I880" s="69" t="s">
        <v>701</v>
      </c>
      <c r="J880" s="69" t="s">
        <v>54</v>
      </c>
      <c r="K880" s="69" t="s">
        <v>701</v>
      </c>
      <c r="M880" s="69" t="s">
        <v>6</v>
      </c>
    </row>
    <row r="881" spans="2:13">
      <c r="B881" s="69">
        <v>879</v>
      </c>
      <c r="C881" s="69">
        <v>91</v>
      </c>
      <c r="D881" s="69">
        <v>13</v>
      </c>
      <c r="E881" s="69">
        <v>1</v>
      </c>
      <c r="F881" s="69">
        <v>0</v>
      </c>
      <c r="G881" s="69" t="s">
        <v>22</v>
      </c>
      <c r="H881" s="69" t="s">
        <v>9</v>
      </c>
      <c r="I881" s="69" t="s">
        <v>701</v>
      </c>
      <c r="J881" s="69" t="s">
        <v>55</v>
      </c>
      <c r="K881" s="69" t="s">
        <v>693</v>
      </c>
      <c r="M881" s="69" t="s">
        <v>6</v>
      </c>
    </row>
    <row r="882" spans="2:13">
      <c r="B882" s="69">
        <v>880</v>
      </c>
      <c r="C882" s="69">
        <v>91</v>
      </c>
      <c r="D882" s="69">
        <v>13</v>
      </c>
      <c r="E882" s="69">
        <v>2</v>
      </c>
      <c r="F882" s="69">
        <v>0</v>
      </c>
      <c r="G882" s="69" t="s">
        <v>22</v>
      </c>
      <c r="H882" s="69" t="s">
        <v>9</v>
      </c>
      <c r="I882" s="69" t="s">
        <v>701</v>
      </c>
      <c r="J882" s="69" t="s">
        <v>55</v>
      </c>
      <c r="K882" s="69" t="s">
        <v>694</v>
      </c>
      <c r="M882" s="69" t="s">
        <v>6</v>
      </c>
    </row>
    <row r="883" spans="2:13">
      <c r="B883" s="69">
        <v>881</v>
      </c>
      <c r="C883" s="69">
        <v>91</v>
      </c>
      <c r="D883" s="69">
        <v>13</v>
      </c>
      <c r="E883" s="69">
        <v>3</v>
      </c>
      <c r="F883" s="69">
        <v>0</v>
      </c>
      <c r="G883" s="69" t="s">
        <v>22</v>
      </c>
      <c r="H883" s="69" t="s">
        <v>9</v>
      </c>
      <c r="I883" s="69" t="s">
        <v>701</v>
      </c>
      <c r="J883" s="69" t="s">
        <v>55</v>
      </c>
      <c r="K883" s="69" t="s">
        <v>695</v>
      </c>
      <c r="M883" s="69" t="s">
        <v>6</v>
      </c>
    </row>
    <row r="884" spans="2:13">
      <c r="B884" s="69">
        <v>882</v>
      </c>
      <c r="C884" s="69">
        <v>91</v>
      </c>
      <c r="D884" s="69">
        <v>13</v>
      </c>
      <c r="E884" s="69">
        <v>4</v>
      </c>
      <c r="F884" s="69">
        <v>0</v>
      </c>
      <c r="G884" s="69" t="s">
        <v>22</v>
      </c>
      <c r="H884" s="69" t="s">
        <v>9</v>
      </c>
      <c r="I884" s="69" t="s">
        <v>701</v>
      </c>
      <c r="J884" s="69" t="s">
        <v>55</v>
      </c>
      <c r="K884" s="69" t="s">
        <v>702</v>
      </c>
      <c r="M884" s="69" t="s">
        <v>6</v>
      </c>
    </row>
    <row r="885" spans="2:13">
      <c r="B885" s="69">
        <v>883</v>
      </c>
      <c r="C885" s="69">
        <v>91</v>
      </c>
      <c r="D885" s="69">
        <v>13</v>
      </c>
      <c r="E885" s="69">
        <v>5</v>
      </c>
      <c r="F885" s="69">
        <v>0</v>
      </c>
      <c r="G885" s="69" t="s">
        <v>22</v>
      </c>
      <c r="H885" s="69" t="s">
        <v>9</v>
      </c>
      <c r="I885" s="69" t="s">
        <v>701</v>
      </c>
      <c r="J885" s="69" t="s">
        <v>55</v>
      </c>
      <c r="K885" s="69" t="s">
        <v>697</v>
      </c>
      <c r="M885" s="69" t="s">
        <v>6</v>
      </c>
    </row>
    <row r="886" spans="2:13">
      <c r="B886" s="69">
        <v>884</v>
      </c>
      <c r="C886" s="69">
        <v>91</v>
      </c>
      <c r="D886" s="69">
        <v>13</v>
      </c>
      <c r="E886" s="69">
        <v>6</v>
      </c>
      <c r="F886" s="69">
        <v>0</v>
      </c>
      <c r="G886" s="69" t="s">
        <v>22</v>
      </c>
      <c r="H886" s="69" t="s">
        <v>9</v>
      </c>
      <c r="I886" s="69" t="s">
        <v>701</v>
      </c>
      <c r="J886" s="69" t="s">
        <v>55</v>
      </c>
      <c r="K886" s="69" t="s">
        <v>698</v>
      </c>
      <c r="M886" s="69" t="s">
        <v>6</v>
      </c>
    </row>
    <row r="887" spans="2:13">
      <c r="B887" s="69">
        <v>885</v>
      </c>
      <c r="C887" s="69">
        <v>91</v>
      </c>
      <c r="D887" s="69">
        <v>13</v>
      </c>
      <c r="E887" s="69">
        <v>7</v>
      </c>
      <c r="F887" s="69">
        <v>0</v>
      </c>
      <c r="G887" s="69" t="s">
        <v>22</v>
      </c>
      <c r="H887" s="69" t="s">
        <v>9</v>
      </c>
      <c r="I887" s="69" t="s">
        <v>701</v>
      </c>
      <c r="J887" s="69" t="s">
        <v>55</v>
      </c>
      <c r="K887" s="69" t="s">
        <v>703</v>
      </c>
      <c r="M887" s="69" t="s">
        <v>6</v>
      </c>
    </row>
    <row r="888" spans="2:13">
      <c r="B888" s="69">
        <v>886</v>
      </c>
      <c r="C888" s="69">
        <v>91</v>
      </c>
      <c r="D888" s="69">
        <v>13</v>
      </c>
      <c r="E888" s="69">
        <v>8</v>
      </c>
      <c r="F888" s="69">
        <v>0</v>
      </c>
      <c r="G888" s="69" t="s">
        <v>22</v>
      </c>
      <c r="H888" s="69" t="s">
        <v>9</v>
      </c>
      <c r="I888" s="69" t="s">
        <v>701</v>
      </c>
      <c r="J888" s="69" t="s">
        <v>55</v>
      </c>
      <c r="K888" s="69" t="s">
        <v>704</v>
      </c>
      <c r="M888" s="69" t="s">
        <v>6</v>
      </c>
    </row>
    <row r="889" spans="2:13">
      <c r="B889" s="69">
        <v>887</v>
      </c>
      <c r="C889" s="69">
        <v>91</v>
      </c>
      <c r="D889" s="69">
        <v>13</v>
      </c>
      <c r="E889" s="69">
        <v>9</v>
      </c>
      <c r="F889" s="69">
        <v>0</v>
      </c>
      <c r="G889" s="69" t="s">
        <v>22</v>
      </c>
      <c r="H889" s="69" t="s">
        <v>9</v>
      </c>
      <c r="I889" s="69" t="s">
        <v>701</v>
      </c>
      <c r="J889" s="69" t="s">
        <v>55</v>
      </c>
      <c r="K889" s="69" t="s">
        <v>705</v>
      </c>
      <c r="M889" s="69" t="s">
        <v>6</v>
      </c>
    </row>
    <row r="890" spans="2:13">
      <c r="B890" s="69">
        <v>888</v>
      </c>
      <c r="C890" s="69">
        <v>91</v>
      </c>
      <c r="D890" s="69">
        <v>13</v>
      </c>
      <c r="E890" s="69">
        <v>10</v>
      </c>
      <c r="F890" s="69">
        <v>0</v>
      </c>
      <c r="G890" s="69" t="s">
        <v>22</v>
      </c>
      <c r="H890" s="69" t="s">
        <v>9</v>
      </c>
      <c r="I890" s="69" t="s">
        <v>701</v>
      </c>
      <c r="J890" s="69" t="s">
        <v>55</v>
      </c>
      <c r="K890" s="69" t="s">
        <v>700</v>
      </c>
      <c r="M890" s="69" t="s">
        <v>6</v>
      </c>
    </row>
    <row r="891" spans="2:13">
      <c r="B891" s="69">
        <v>889</v>
      </c>
      <c r="C891" s="69">
        <v>91</v>
      </c>
      <c r="D891" s="69">
        <v>13</v>
      </c>
      <c r="E891" s="69">
        <v>11</v>
      </c>
      <c r="F891" s="69">
        <v>0</v>
      </c>
      <c r="G891" s="69" t="s">
        <v>22</v>
      </c>
      <c r="H891" s="69" t="s">
        <v>9</v>
      </c>
      <c r="I891" s="69" t="s">
        <v>701</v>
      </c>
      <c r="J891" s="69" t="s">
        <v>55</v>
      </c>
      <c r="K891" s="69" t="s">
        <v>621</v>
      </c>
      <c r="M891" s="69" t="s">
        <v>6</v>
      </c>
    </row>
    <row r="892" spans="2:13">
      <c r="B892" s="69">
        <v>890</v>
      </c>
      <c r="C892" s="69">
        <v>91</v>
      </c>
      <c r="D892" s="69">
        <v>13</v>
      </c>
      <c r="E892" s="69">
        <v>12</v>
      </c>
      <c r="F892" s="69">
        <v>0</v>
      </c>
      <c r="G892" s="69" t="s">
        <v>22</v>
      </c>
      <c r="H892" s="69" t="s">
        <v>9</v>
      </c>
      <c r="I892" s="69" t="s">
        <v>701</v>
      </c>
      <c r="J892" s="69" t="s">
        <v>55</v>
      </c>
      <c r="K892" s="69" t="s">
        <v>93</v>
      </c>
      <c r="M892" s="69" t="s">
        <v>6</v>
      </c>
    </row>
    <row r="893" spans="2:13">
      <c r="B893" s="69">
        <v>891</v>
      </c>
      <c r="C893" s="69">
        <v>91</v>
      </c>
      <c r="D893" s="69">
        <v>13</v>
      </c>
      <c r="E893" s="69">
        <v>13</v>
      </c>
      <c r="F893" s="69">
        <v>0</v>
      </c>
      <c r="G893" s="69" t="s">
        <v>22</v>
      </c>
      <c r="H893" s="69" t="s">
        <v>9</v>
      </c>
      <c r="I893" s="69" t="s">
        <v>701</v>
      </c>
      <c r="J893" s="69" t="s">
        <v>64</v>
      </c>
      <c r="K893" s="69" t="s">
        <v>94</v>
      </c>
      <c r="M893" s="69" t="s">
        <v>6</v>
      </c>
    </row>
    <row r="894" spans="2:13">
      <c r="B894" s="69">
        <v>892</v>
      </c>
      <c r="C894" s="69">
        <v>92</v>
      </c>
      <c r="D894" s="69">
        <v>6</v>
      </c>
      <c r="E894" s="69">
        <v>0</v>
      </c>
      <c r="F894" s="69">
        <v>0</v>
      </c>
      <c r="G894" s="69" t="s">
        <v>22</v>
      </c>
      <c r="H894" s="69" t="s">
        <v>9</v>
      </c>
      <c r="I894" s="69" t="s">
        <v>706</v>
      </c>
      <c r="J894" s="69" t="s">
        <v>54</v>
      </c>
      <c r="K894" s="69" t="s">
        <v>706</v>
      </c>
      <c r="M894" s="69" t="s">
        <v>6</v>
      </c>
    </row>
    <row r="895" spans="2:13">
      <c r="B895" s="69">
        <v>893</v>
      </c>
      <c r="C895" s="69">
        <v>92</v>
      </c>
      <c r="D895" s="69">
        <v>6</v>
      </c>
      <c r="E895" s="69">
        <v>1</v>
      </c>
      <c r="F895" s="69">
        <v>0</v>
      </c>
      <c r="G895" s="69" t="s">
        <v>22</v>
      </c>
      <c r="H895" s="69" t="s">
        <v>9</v>
      </c>
      <c r="I895" s="69" t="s">
        <v>706</v>
      </c>
      <c r="J895" s="69" t="s">
        <v>55</v>
      </c>
      <c r="K895" s="69" t="s">
        <v>707</v>
      </c>
      <c r="M895" s="69" t="s">
        <v>6</v>
      </c>
    </row>
    <row r="896" spans="2:13">
      <c r="B896" s="69">
        <v>894</v>
      </c>
      <c r="C896" s="69">
        <v>92</v>
      </c>
      <c r="D896" s="69">
        <v>6</v>
      </c>
      <c r="E896" s="69">
        <v>2</v>
      </c>
      <c r="F896" s="69">
        <v>0</v>
      </c>
      <c r="G896" s="69" t="s">
        <v>22</v>
      </c>
      <c r="H896" s="69" t="s">
        <v>9</v>
      </c>
      <c r="I896" s="69" t="s">
        <v>706</v>
      </c>
      <c r="J896" s="69" t="s">
        <v>55</v>
      </c>
      <c r="K896" s="69" t="s">
        <v>708</v>
      </c>
      <c r="M896" s="69" t="s">
        <v>6</v>
      </c>
    </row>
    <row r="897" spans="2:13">
      <c r="B897" s="69">
        <v>895</v>
      </c>
      <c r="C897" s="69">
        <v>92</v>
      </c>
      <c r="D897" s="69">
        <v>6</v>
      </c>
      <c r="E897" s="69">
        <v>3</v>
      </c>
      <c r="F897" s="69">
        <v>0</v>
      </c>
      <c r="G897" s="69" t="s">
        <v>22</v>
      </c>
      <c r="H897" s="69" t="s">
        <v>9</v>
      </c>
      <c r="I897" s="69" t="s">
        <v>706</v>
      </c>
      <c r="J897" s="69" t="s">
        <v>55</v>
      </c>
      <c r="K897" s="69" t="s">
        <v>709</v>
      </c>
      <c r="M897" s="69" t="s">
        <v>6</v>
      </c>
    </row>
    <row r="898" spans="2:13">
      <c r="B898" s="69">
        <v>896</v>
      </c>
      <c r="C898" s="69">
        <v>92</v>
      </c>
      <c r="D898" s="69">
        <v>6</v>
      </c>
      <c r="E898" s="69">
        <v>4</v>
      </c>
      <c r="F898" s="69">
        <v>0</v>
      </c>
      <c r="G898" s="69" t="s">
        <v>22</v>
      </c>
      <c r="H898" s="69" t="s">
        <v>9</v>
      </c>
      <c r="I898" s="69" t="s">
        <v>706</v>
      </c>
      <c r="J898" s="69" t="s">
        <v>55</v>
      </c>
      <c r="K898" s="69" t="s">
        <v>623</v>
      </c>
      <c r="M898" s="69" t="s">
        <v>6</v>
      </c>
    </row>
    <row r="899" spans="2:13">
      <c r="B899" s="69">
        <v>897</v>
      </c>
      <c r="C899" s="69">
        <v>92</v>
      </c>
      <c r="D899" s="69">
        <v>6</v>
      </c>
      <c r="E899" s="69">
        <v>5</v>
      </c>
      <c r="F899" s="69">
        <v>0</v>
      </c>
      <c r="G899" s="69" t="s">
        <v>22</v>
      </c>
      <c r="H899" s="69" t="s">
        <v>9</v>
      </c>
      <c r="I899" s="69" t="s">
        <v>706</v>
      </c>
      <c r="J899" s="69" t="s">
        <v>55</v>
      </c>
      <c r="K899" s="69" t="s">
        <v>93</v>
      </c>
      <c r="M899" s="69" t="s">
        <v>6</v>
      </c>
    </row>
    <row r="900" spans="2:13">
      <c r="B900" s="69">
        <v>898</v>
      </c>
      <c r="C900" s="69">
        <v>92</v>
      </c>
      <c r="D900" s="69">
        <v>6</v>
      </c>
      <c r="E900" s="69">
        <v>6</v>
      </c>
      <c r="F900" s="69">
        <v>0</v>
      </c>
      <c r="G900" s="69" t="s">
        <v>22</v>
      </c>
      <c r="H900" s="69" t="s">
        <v>9</v>
      </c>
      <c r="I900" s="69" t="s">
        <v>706</v>
      </c>
      <c r="J900" s="69" t="s">
        <v>64</v>
      </c>
      <c r="K900" s="69" t="s">
        <v>94</v>
      </c>
      <c r="M900" s="69" t="s">
        <v>6</v>
      </c>
    </row>
    <row r="901" spans="2:13">
      <c r="B901" s="69">
        <v>899</v>
      </c>
      <c r="C901" s="69">
        <v>93</v>
      </c>
      <c r="D901" s="69">
        <v>30</v>
      </c>
      <c r="E901" s="69">
        <v>0</v>
      </c>
      <c r="F901" s="69">
        <v>0</v>
      </c>
      <c r="G901" s="69" t="s">
        <v>22</v>
      </c>
      <c r="H901" s="69" t="s">
        <v>9</v>
      </c>
      <c r="I901" s="69" t="s">
        <v>710</v>
      </c>
      <c r="J901" s="69" t="s">
        <v>478</v>
      </c>
      <c r="K901" s="69" t="s">
        <v>710</v>
      </c>
      <c r="M901" s="69" t="s">
        <v>6</v>
      </c>
    </row>
    <row r="902" spans="2:13">
      <c r="B902" s="69">
        <v>900</v>
      </c>
      <c r="C902" s="69">
        <v>93</v>
      </c>
      <c r="D902" s="69">
        <v>30</v>
      </c>
      <c r="E902" s="69">
        <v>1</v>
      </c>
      <c r="F902" s="69">
        <v>0</v>
      </c>
      <c r="G902" s="69" t="s">
        <v>22</v>
      </c>
      <c r="H902" s="69" t="s">
        <v>9</v>
      </c>
      <c r="I902" s="69" t="s">
        <v>710</v>
      </c>
      <c r="J902" s="69" t="s">
        <v>479</v>
      </c>
      <c r="K902" s="69" t="s">
        <v>711</v>
      </c>
      <c r="M902" s="69" t="s">
        <v>6</v>
      </c>
    </row>
    <row r="903" spans="2:13">
      <c r="B903" s="69">
        <v>901</v>
      </c>
      <c r="C903" s="69">
        <v>93</v>
      </c>
      <c r="D903" s="69">
        <v>30</v>
      </c>
      <c r="E903" s="69">
        <v>2</v>
      </c>
      <c r="F903" s="69">
        <v>0</v>
      </c>
      <c r="G903" s="69" t="s">
        <v>22</v>
      </c>
      <c r="H903" s="69" t="s">
        <v>9</v>
      </c>
      <c r="I903" s="69" t="s">
        <v>710</v>
      </c>
      <c r="J903" s="69" t="s">
        <v>55</v>
      </c>
      <c r="K903" s="69" t="s">
        <v>712</v>
      </c>
      <c r="M903" s="69" t="s">
        <v>6</v>
      </c>
    </row>
    <row r="904" spans="2:13">
      <c r="B904" s="69">
        <v>902</v>
      </c>
      <c r="C904" s="69">
        <v>93</v>
      </c>
      <c r="D904" s="69">
        <v>30</v>
      </c>
      <c r="E904" s="69">
        <v>3</v>
      </c>
      <c r="F904" s="69">
        <v>0</v>
      </c>
      <c r="G904" s="69" t="s">
        <v>22</v>
      </c>
      <c r="H904" s="69" t="s">
        <v>9</v>
      </c>
      <c r="I904" s="69" t="s">
        <v>710</v>
      </c>
      <c r="J904" s="69" t="s">
        <v>55</v>
      </c>
      <c r="K904" s="69" t="s">
        <v>713</v>
      </c>
      <c r="M904" s="69" t="s">
        <v>6</v>
      </c>
    </row>
    <row r="905" spans="2:13">
      <c r="B905" s="69">
        <v>903</v>
      </c>
      <c r="C905" s="69">
        <v>93</v>
      </c>
      <c r="D905" s="69">
        <v>30</v>
      </c>
      <c r="E905" s="69">
        <v>4</v>
      </c>
      <c r="F905" s="69">
        <v>0</v>
      </c>
      <c r="G905" s="69" t="s">
        <v>22</v>
      </c>
      <c r="H905" s="69" t="s">
        <v>9</v>
      </c>
      <c r="I905" s="69" t="s">
        <v>710</v>
      </c>
      <c r="J905" s="69" t="s">
        <v>479</v>
      </c>
      <c r="K905" s="69" t="s">
        <v>714</v>
      </c>
      <c r="M905" s="69" t="s">
        <v>6</v>
      </c>
    </row>
    <row r="906" spans="2:13">
      <c r="B906" s="69">
        <v>904</v>
      </c>
      <c r="C906" s="69">
        <v>93</v>
      </c>
      <c r="D906" s="69">
        <v>30</v>
      </c>
      <c r="E906" s="69">
        <v>5</v>
      </c>
      <c r="F906" s="69">
        <v>0</v>
      </c>
      <c r="G906" s="69" t="s">
        <v>22</v>
      </c>
      <c r="H906" s="69" t="s">
        <v>9</v>
      </c>
      <c r="I906" s="69" t="s">
        <v>710</v>
      </c>
      <c r="J906" s="69" t="s">
        <v>55</v>
      </c>
      <c r="K906" s="69" t="s">
        <v>715</v>
      </c>
      <c r="M906" s="69" t="s">
        <v>6</v>
      </c>
    </row>
    <row r="907" spans="2:13">
      <c r="B907" s="69">
        <v>905</v>
      </c>
      <c r="C907" s="69">
        <v>93</v>
      </c>
      <c r="D907" s="69">
        <v>30</v>
      </c>
      <c r="E907" s="69">
        <v>6</v>
      </c>
      <c r="F907" s="69">
        <v>0</v>
      </c>
      <c r="G907" s="69" t="s">
        <v>22</v>
      </c>
      <c r="H907" s="69" t="s">
        <v>9</v>
      </c>
      <c r="I907" s="69" t="s">
        <v>710</v>
      </c>
      <c r="J907" s="69" t="s">
        <v>55</v>
      </c>
      <c r="K907" s="69" t="s">
        <v>716</v>
      </c>
      <c r="M907" s="69" t="s">
        <v>6</v>
      </c>
    </row>
    <row r="908" spans="2:13">
      <c r="B908" s="69">
        <v>906</v>
      </c>
      <c r="C908" s="69">
        <v>93</v>
      </c>
      <c r="D908" s="69">
        <v>30</v>
      </c>
      <c r="E908" s="69">
        <v>7</v>
      </c>
      <c r="F908" s="69">
        <v>0</v>
      </c>
      <c r="G908" s="69" t="s">
        <v>22</v>
      </c>
      <c r="H908" s="69" t="s">
        <v>9</v>
      </c>
      <c r="I908" s="69" t="s">
        <v>710</v>
      </c>
      <c r="J908" s="69" t="s">
        <v>55</v>
      </c>
      <c r="K908" s="69" t="s">
        <v>717</v>
      </c>
      <c r="M908" s="69" t="s">
        <v>6</v>
      </c>
    </row>
    <row r="909" spans="2:13">
      <c r="B909" s="69">
        <v>907</v>
      </c>
      <c r="C909" s="69">
        <v>93</v>
      </c>
      <c r="D909" s="69">
        <v>30</v>
      </c>
      <c r="E909" s="69">
        <v>8</v>
      </c>
      <c r="F909" s="69">
        <v>0</v>
      </c>
      <c r="G909" s="69" t="s">
        <v>22</v>
      </c>
      <c r="H909" s="69" t="s">
        <v>9</v>
      </c>
      <c r="I909" s="69" t="s">
        <v>710</v>
      </c>
      <c r="J909" s="69" t="s">
        <v>55</v>
      </c>
      <c r="K909" s="69" t="s">
        <v>718</v>
      </c>
      <c r="M909" s="69" t="s">
        <v>6</v>
      </c>
    </row>
    <row r="910" spans="2:13">
      <c r="B910" s="69">
        <v>908</v>
      </c>
      <c r="C910" s="69">
        <v>93</v>
      </c>
      <c r="D910" s="69">
        <v>30</v>
      </c>
      <c r="E910" s="69">
        <v>9</v>
      </c>
      <c r="F910" s="69">
        <v>0</v>
      </c>
      <c r="G910" s="69" t="s">
        <v>22</v>
      </c>
      <c r="H910" s="69" t="s">
        <v>9</v>
      </c>
      <c r="I910" s="69" t="s">
        <v>710</v>
      </c>
      <c r="J910" s="69" t="s">
        <v>55</v>
      </c>
      <c r="K910" s="69" t="s">
        <v>719</v>
      </c>
      <c r="M910" s="69" t="s">
        <v>6</v>
      </c>
    </row>
    <row r="911" spans="2:13">
      <c r="B911" s="69">
        <v>909</v>
      </c>
      <c r="C911" s="69">
        <v>93</v>
      </c>
      <c r="D911" s="69">
        <v>30</v>
      </c>
      <c r="E911" s="69">
        <v>10</v>
      </c>
      <c r="F911" s="69">
        <v>0</v>
      </c>
      <c r="G911" s="69" t="s">
        <v>22</v>
      </c>
      <c r="H911" s="69" t="s">
        <v>9</v>
      </c>
      <c r="I911" s="69" t="s">
        <v>710</v>
      </c>
      <c r="J911" s="69" t="s">
        <v>55</v>
      </c>
      <c r="K911" s="69" t="s">
        <v>720</v>
      </c>
      <c r="M911" s="69" t="s">
        <v>6</v>
      </c>
    </row>
    <row r="912" spans="2:13">
      <c r="B912" s="69">
        <v>910</v>
      </c>
      <c r="C912" s="69">
        <v>93</v>
      </c>
      <c r="D912" s="69">
        <v>30</v>
      </c>
      <c r="E912" s="69">
        <v>11</v>
      </c>
      <c r="F912" s="69">
        <v>0</v>
      </c>
      <c r="G912" s="69" t="s">
        <v>22</v>
      </c>
      <c r="H912" s="69" t="s">
        <v>9</v>
      </c>
      <c r="I912" s="69" t="s">
        <v>710</v>
      </c>
      <c r="J912" s="69" t="s">
        <v>479</v>
      </c>
      <c r="K912" s="69" t="s">
        <v>721</v>
      </c>
      <c r="M912" s="69" t="s">
        <v>6</v>
      </c>
    </row>
    <row r="913" spans="2:13">
      <c r="B913" s="69">
        <v>911</v>
      </c>
      <c r="C913" s="69">
        <v>93</v>
      </c>
      <c r="D913" s="69">
        <v>30</v>
      </c>
      <c r="E913" s="69">
        <v>12</v>
      </c>
      <c r="F913" s="69">
        <v>0</v>
      </c>
      <c r="G913" s="69" t="s">
        <v>22</v>
      </c>
      <c r="H913" s="69" t="s">
        <v>9</v>
      </c>
      <c r="I913" s="69" t="s">
        <v>710</v>
      </c>
      <c r="J913" s="69" t="s">
        <v>722</v>
      </c>
      <c r="K913" s="69" t="s">
        <v>723</v>
      </c>
      <c r="M913" s="69" t="s">
        <v>6</v>
      </c>
    </row>
    <row r="914" spans="2:13">
      <c r="B914" s="69">
        <v>912</v>
      </c>
      <c r="C914" s="69">
        <v>93</v>
      </c>
      <c r="D914" s="69">
        <v>30</v>
      </c>
      <c r="E914" s="69">
        <v>13</v>
      </c>
      <c r="F914" s="69">
        <v>0</v>
      </c>
      <c r="G914" s="69" t="s">
        <v>22</v>
      </c>
      <c r="H914" s="69" t="s">
        <v>9</v>
      </c>
      <c r="I914" s="69" t="s">
        <v>710</v>
      </c>
      <c r="J914" s="69" t="s">
        <v>724</v>
      </c>
      <c r="K914" s="69" t="s">
        <v>723</v>
      </c>
      <c r="M914" s="69" t="s">
        <v>6</v>
      </c>
    </row>
    <row r="915" spans="2:13">
      <c r="B915" s="69">
        <v>913</v>
      </c>
      <c r="C915" s="69">
        <v>93</v>
      </c>
      <c r="D915" s="69">
        <v>30</v>
      </c>
      <c r="E915" s="69">
        <v>14</v>
      </c>
      <c r="F915" s="69">
        <v>0</v>
      </c>
      <c r="G915" s="69" t="s">
        <v>22</v>
      </c>
      <c r="H915" s="69" t="s">
        <v>9</v>
      </c>
      <c r="I915" s="69" t="s">
        <v>710</v>
      </c>
      <c r="J915" s="69" t="s">
        <v>55</v>
      </c>
      <c r="K915" s="69" t="s">
        <v>725</v>
      </c>
      <c r="M915" s="69" t="s">
        <v>6</v>
      </c>
    </row>
    <row r="916" spans="2:13">
      <c r="B916" s="69">
        <v>914</v>
      </c>
      <c r="C916" s="69">
        <v>93</v>
      </c>
      <c r="D916" s="69">
        <v>30</v>
      </c>
      <c r="E916" s="69">
        <v>15</v>
      </c>
      <c r="F916" s="69">
        <v>0</v>
      </c>
      <c r="G916" s="69" t="s">
        <v>22</v>
      </c>
      <c r="H916" s="69" t="s">
        <v>9</v>
      </c>
      <c r="I916" s="69" t="s">
        <v>710</v>
      </c>
      <c r="J916" s="69" t="s">
        <v>420</v>
      </c>
      <c r="K916" s="69" t="s">
        <v>726</v>
      </c>
      <c r="M916" s="69" t="s">
        <v>6</v>
      </c>
    </row>
    <row r="917" spans="2:13">
      <c r="B917" s="69">
        <v>915</v>
      </c>
      <c r="C917" s="69">
        <v>93</v>
      </c>
      <c r="D917" s="69">
        <v>30</v>
      </c>
      <c r="E917" s="69">
        <v>16</v>
      </c>
      <c r="F917" s="69">
        <v>0</v>
      </c>
      <c r="G917" s="69" t="s">
        <v>22</v>
      </c>
      <c r="H917" s="69" t="s">
        <v>9</v>
      </c>
      <c r="I917" s="69" t="s">
        <v>710</v>
      </c>
      <c r="J917" s="69" t="s">
        <v>55</v>
      </c>
      <c r="K917" s="69" t="s">
        <v>727</v>
      </c>
      <c r="M917" s="69" t="s">
        <v>6</v>
      </c>
    </row>
    <row r="918" spans="2:13">
      <c r="B918" s="69">
        <v>916</v>
      </c>
      <c r="C918" s="69">
        <v>93</v>
      </c>
      <c r="D918" s="69">
        <v>30</v>
      </c>
      <c r="E918" s="69">
        <v>17</v>
      </c>
      <c r="F918" s="69">
        <v>0</v>
      </c>
      <c r="G918" s="69" t="s">
        <v>22</v>
      </c>
      <c r="H918" s="69" t="s">
        <v>9</v>
      </c>
      <c r="I918" s="69" t="s">
        <v>710</v>
      </c>
      <c r="J918" s="69" t="s">
        <v>420</v>
      </c>
      <c r="K918" s="69" t="s">
        <v>728</v>
      </c>
      <c r="M918" s="69" t="s">
        <v>6</v>
      </c>
    </row>
    <row r="919" spans="2:13">
      <c r="B919" s="69">
        <v>917</v>
      </c>
      <c r="C919" s="69">
        <v>93</v>
      </c>
      <c r="D919" s="69">
        <v>30</v>
      </c>
      <c r="E919" s="69">
        <v>18</v>
      </c>
      <c r="F919" s="69">
        <v>0</v>
      </c>
      <c r="G919" s="69" t="s">
        <v>22</v>
      </c>
      <c r="H919" s="69" t="s">
        <v>9</v>
      </c>
      <c r="I919" s="69" t="s">
        <v>710</v>
      </c>
      <c r="J919" s="69" t="s">
        <v>55</v>
      </c>
      <c r="K919" s="69" t="s">
        <v>729</v>
      </c>
      <c r="M919" s="69" t="s">
        <v>6</v>
      </c>
    </row>
    <row r="920" spans="2:13">
      <c r="B920" s="69">
        <v>918</v>
      </c>
      <c r="C920" s="69">
        <v>93</v>
      </c>
      <c r="D920" s="69">
        <v>30</v>
      </c>
      <c r="E920" s="69">
        <v>19</v>
      </c>
      <c r="F920" s="69">
        <v>0</v>
      </c>
      <c r="G920" s="69" t="s">
        <v>22</v>
      </c>
      <c r="H920" s="69" t="s">
        <v>9</v>
      </c>
      <c r="I920" s="69" t="s">
        <v>710</v>
      </c>
      <c r="J920" s="69" t="s">
        <v>55</v>
      </c>
      <c r="K920" s="69" t="s">
        <v>730</v>
      </c>
      <c r="M920" s="69" t="s">
        <v>6</v>
      </c>
    </row>
    <row r="921" spans="2:13">
      <c r="B921" s="69">
        <v>919</v>
      </c>
      <c r="C921" s="69">
        <v>93</v>
      </c>
      <c r="D921" s="69">
        <v>30</v>
      </c>
      <c r="E921" s="69">
        <v>20</v>
      </c>
      <c r="F921" s="69">
        <v>0</v>
      </c>
      <c r="G921" s="69" t="s">
        <v>22</v>
      </c>
      <c r="H921" s="69" t="s">
        <v>9</v>
      </c>
      <c r="I921" s="69" t="s">
        <v>710</v>
      </c>
      <c r="J921" s="69" t="s">
        <v>724</v>
      </c>
      <c r="K921" s="69" t="s">
        <v>731</v>
      </c>
      <c r="M921" s="69" t="s">
        <v>6</v>
      </c>
    </row>
    <row r="922" spans="2:13">
      <c r="B922" s="69">
        <v>920</v>
      </c>
      <c r="C922" s="69">
        <v>93</v>
      </c>
      <c r="D922" s="69">
        <v>30</v>
      </c>
      <c r="E922" s="69">
        <v>21</v>
      </c>
      <c r="F922" s="69">
        <v>0</v>
      </c>
      <c r="G922" s="69" t="s">
        <v>22</v>
      </c>
      <c r="H922" s="69" t="s">
        <v>9</v>
      </c>
      <c r="I922" s="69" t="s">
        <v>710</v>
      </c>
      <c r="J922" s="69" t="s">
        <v>64</v>
      </c>
      <c r="K922" s="69" t="s">
        <v>94</v>
      </c>
      <c r="M922" s="69" t="s">
        <v>6</v>
      </c>
    </row>
    <row r="923" spans="2:13">
      <c r="B923" s="69">
        <v>921</v>
      </c>
      <c r="C923" s="69">
        <v>93</v>
      </c>
      <c r="D923" s="69">
        <v>30</v>
      </c>
      <c r="E923" s="69">
        <v>22</v>
      </c>
      <c r="F923" s="69">
        <v>0</v>
      </c>
      <c r="G923" s="69" t="s">
        <v>22</v>
      </c>
      <c r="H923" s="69" t="s">
        <v>9</v>
      </c>
      <c r="I923" s="69" t="s">
        <v>710</v>
      </c>
      <c r="J923" s="69" t="s">
        <v>479</v>
      </c>
      <c r="K923" s="69" t="s">
        <v>732</v>
      </c>
      <c r="M923" s="69" t="s">
        <v>6</v>
      </c>
    </row>
    <row r="924" spans="2:13">
      <c r="B924" s="69">
        <v>922</v>
      </c>
      <c r="C924" s="69">
        <v>93</v>
      </c>
      <c r="D924" s="69">
        <v>30</v>
      </c>
      <c r="E924" s="69">
        <v>23</v>
      </c>
      <c r="F924" s="69">
        <v>0</v>
      </c>
      <c r="G924" s="69" t="s">
        <v>22</v>
      </c>
      <c r="H924" s="69" t="s">
        <v>9</v>
      </c>
      <c r="I924" s="69" t="s">
        <v>710</v>
      </c>
      <c r="J924" s="69" t="s">
        <v>55</v>
      </c>
      <c r="K924" s="69" t="s">
        <v>725</v>
      </c>
      <c r="M924" s="69" t="s">
        <v>6</v>
      </c>
    </row>
    <row r="925" spans="2:13">
      <c r="B925" s="69">
        <v>923</v>
      </c>
      <c r="C925" s="69">
        <v>93</v>
      </c>
      <c r="D925" s="69">
        <v>30</v>
      </c>
      <c r="E925" s="69">
        <v>24</v>
      </c>
      <c r="F925" s="69">
        <v>0</v>
      </c>
      <c r="G925" s="69" t="s">
        <v>22</v>
      </c>
      <c r="H925" s="69" t="s">
        <v>9</v>
      </c>
      <c r="I925" s="69" t="s">
        <v>710</v>
      </c>
      <c r="J925" s="69" t="s">
        <v>420</v>
      </c>
      <c r="K925" s="69" t="s">
        <v>726</v>
      </c>
      <c r="M925" s="69" t="s">
        <v>6</v>
      </c>
    </row>
    <row r="926" spans="2:13">
      <c r="B926" s="69">
        <v>924</v>
      </c>
      <c r="C926" s="69">
        <v>93</v>
      </c>
      <c r="D926" s="69">
        <v>30</v>
      </c>
      <c r="E926" s="69">
        <v>25</v>
      </c>
      <c r="F926" s="69">
        <v>0</v>
      </c>
      <c r="G926" s="69" t="s">
        <v>22</v>
      </c>
      <c r="H926" s="69" t="s">
        <v>9</v>
      </c>
      <c r="I926" s="69" t="s">
        <v>710</v>
      </c>
      <c r="J926" s="69" t="s">
        <v>55</v>
      </c>
      <c r="K926" s="69" t="s">
        <v>727</v>
      </c>
      <c r="M926" s="69" t="s">
        <v>6</v>
      </c>
    </row>
    <row r="927" spans="2:13">
      <c r="B927" s="69">
        <v>925</v>
      </c>
      <c r="C927" s="69">
        <v>93</v>
      </c>
      <c r="D927" s="69">
        <v>30</v>
      </c>
      <c r="E927" s="69">
        <v>26</v>
      </c>
      <c r="F927" s="69">
        <v>0</v>
      </c>
      <c r="G927" s="69" t="s">
        <v>22</v>
      </c>
      <c r="H927" s="69" t="s">
        <v>9</v>
      </c>
      <c r="I927" s="69" t="s">
        <v>710</v>
      </c>
      <c r="J927" s="69" t="s">
        <v>420</v>
      </c>
      <c r="K927" s="69" t="s">
        <v>728</v>
      </c>
      <c r="M927" s="69" t="s">
        <v>6</v>
      </c>
    </row>
    <row r="928" spans="2:13">
      <c r="B928" s="69">
        <v>926</v>
      </c>
      <c r="C928" s="69">
        <v>93</v>
      </c>
      <c r="D928" s="69">
        <v>30</v>
      </c>
      <c r="E928" s="69">
        <v>27</v>
      </c>
      <c r="F928" s="69">
        <v>0</v>
      </c>
      <c r="G928" s="69" t="s">
        <v>22</v>
      </c>
      <c r="H928" s="69" t="s">
        <v>9</v>
      </c>
      <c r="I928" s="69" t="s">
        <v>710</v>
      </c>
      <c r="J928" s="69" t="s">
        <v>55</v>
      </c>
      <c r="K928" s="69" t="s">
        <v>729</v>
      </c>
      <c r="M928" s="69" t="s">
        <v>6</v>
      </c>
    </row>
    <row r="929" spans="2:13">
      <c r="B929" s="69">
        <v>927</v>
      </c>
      <c r="C929" s="69">
        <v>93</v>
      </c>
      <c r="D929" s="69">
        <v>30</v>
      </c>
      <c r="E929" s="69">
        <v>28</v>
      </c>
      <c r="F929" s="69">
        <v>0</v>
      </c>
      <c r="G929" s="69" t="s">
        <v>22</v>
      </c>
      <c r="H929" s="69" t="s">
        <v>9</v>
      </c>
      <c r="I929" s="69" t="s">
        <v>710</v>
      </c>
      <c r="J929" s="69" t="s">
        <v>55</v>
      </c>
      <c r="K929" s="69" t="s">
        <v>730</v>
      </c>
      <c r="M929" s="69" t="s">
        <v>6</v>
      </c>
    </row>
    <row r="930" spans="2:13">
      <c r="B930" s="69">
        <v>928</v>
      </c>
      <c r="C930" s="69">
        <v>93</v>
      </c>
      <c r="D930" s="69">
        <v>30</v>
      </c>
      <c r="E930" s="69">
        <v>29</v>
      </c>
      <c r="F930" s="69">
        <v>0</v>
      </c>
      <c r="G930" s="69" t="s">
        <v>22</v>
      </c>
      <c r="H930" s="69" t="s">
        <v>9</v>
      </c>
      <c r="I930" s="69" t="s">
        <v>710</v>
      </c>
      <c r="J930" s="69" t="s">
        <v>724</v>
      </c>
      <c r="K930" s="69" t="s">
        <v>731</v>
      </c>
      <c r="M930" s="69" t="s">
        <v>6</v>
      </c>
    </row>
    <row r="931" spans="2:13">
      <c r="B931" s="69">
        <v>929</v>
      </c>
      <c r="C931" s="69">
        <v>93</v>
      </c>
      <c r="D931" s="69">
        <v>30</v>
      </c>
      <c r="E931" s="69">
        <v>30</v>
      </c>
      <c r="F931" s="69">
        <v>0</v>
      </c>
      <c r="G931" s="69" t="s">
        <v>22</v>
      </c>
      <c r="H931" s="69" t="s">
        <v>9</v>
      </c>
      <c r="I931" s="69" t="s">
        <v>710</v>
      </c>
      <c r="J931" s="69" t="s">
        <v>64</v>
      </c>
      <c r="K931" s="69" t="s">
        <v>733</v>
      </c>
      <c r="M931" s="69" t="s">
        <v>6</v>
      </c>
    </row>
    <row r="932" spans="2:13">
      <c r="B932" s="69">
        <v>930</v>
      </c>
      <c r="C932" s="69">
        <v>94</v>
      </c>
      <c r="D932" s="69">
        <v>17</v>
      </c>
      <c r="E932" s="69">
        <v>0</v>
      </c>
      <c r="F932" s="69">
        <v>0</v>
      </c>
      <c r="G932" s="69" t="s">
        <v>22</v>
      </c>
      <c r="H932" s="69" t="s">
        <v>9</v>
      </c>
      <c r="I932" s="69" t="s">
        <v>734</v>
      </c>
      <c r="J932" s="69" t="s">
        <v>478</v>
      </c>
      <c r="K932" s="69" t="s">
        <v>734</v>
      </c>
      <c r="M932" s="69" t="s">
        <v>6</v>
      </c>
    </row>
    <row r="933" spans="2:13">
      <c r="B933" s="69">
        <v>931</v>
      </c>
      <c r="C933" s="69">
        <v>94</v>
      </c>
      <c r="D933" s="69">
        <v>17</v>
      </c>
      <c r="E933" s="69">
        <v>1</v>
      </c>
      <c r="F933" s="69">
        <v>0</v>
      </c>
      <c r="G933" s="69" t="s">
        <v>22</v>
      </c>
      <c r="H933" s="69" t="s">
        <v>9</v>
      </c>
      <c r="I933" s="69" t="s">
        <v>734</v>
      </c>
      <c r="J933" s="69" t="s">
        <v>735</v>
      </c>
      <c r="K933" s="69" t="s">
        <v>736</v>
      </c>
      <c r="M933" s="69" t="s">
        <v>6</v>
      </c>
    </row>
    <row r="934" spans="2:13">
      <c r="B934" s="69">
        <v>932</v>
      </c>
      <c r="C934" s="69">
        <v>94</v>
      </c>
      <c r="D934" s="69">
        <v>17</v>
      </c>
      <c r="E934" s="69">
        <v>2</v>
      </c>
      <c r="F934" s="69">
        <v>0</v>
      </c>
      <c r="G934" s="69" t="s">
        <v>22</v>
      </c>
      <c r="H934" s="69" t="s">
        <v>9</v>
      </c>
      <c r="I934" s="69" t="s">
        <v>734</v>
      </c>
      <c r="J934" s="69" t="s">
        <v>55</v>
      </c>
      <c r="K934" s="69" t="s">
        <v>737</v>
      </c>
      <c r="M934" s="69" t="s">
        <v>6</v>
      </c>
    </row>
    <row r="935" spans="2:13">
      <c r="B935" s="69">
        <v>933</v>
      </c>
      <c r="C935" s="69">
        <v>94</v>
      </c>
      <c r="D935" s="69">
        <v>17</v>
      </c>
      <c r="E935" s="69">
        <v>3</v>
      </c>
      <c r="F935" s="69">
        <v>0</v>
      </c>
      <c r="G935" s="69" t="s">
        <v>22</v>
      </c>
      <c r="H935" s="69" t="s">
        <v>9</v>
      </c>
      <c r="I935" s="69" t="s">
        <v>734</v>
      </c>
      <c r="J935" s="69" t="s">
        <v>55</v>
      </c>
      <c r="K935" s="69" t="s">
        <v>738</v>
      </c>
      <c r="M935" s="69" t="s">
        <v>6</v>
      </c>
    </row>
    <row r="936" spans="2:13">
      <c r="B936" s="69">
        <v>934</v>
      </c>
      <c r="C936" s="69">
        <v>94</v>
      </c>
      <c r="D936" s="69">
        <v>17</v>
      </c>
      <c r="E936" s="69">
        <v>4</v>
      </c>
      <c r="F936" s="69">
        <v>0</v>
      </c>
      <c r="G936" s="69" t="s">
        <v>22</v>
      </c>
      <c r="H936" s="69" t="s">
        <v>9</v>
      </c>
      <c r="I936" s="69" t="s">
        <v>734</v>
      </c>
      <c r="J936" s="69" t="s">
        <v>55</v>
      </c>
      <c r="K936" s="69" t="s">
        <v>739</v>
      </c>
      <c r="M936" s="69" t="s">
        <v>6</v>
      </c>
    </row>
    <row r="937" spans="2:13">
      <c r="B937" s="69">
        <v>935</v>
      </c>
      <c r="C937" s="69">
        <v>94</v>
      </c>
      <c r="D937" s="69">
        <v>17</v>
      </c>
      <c r="E937" s="69">
        <v>5</v>
      </c>
      <c r="F937" s="69">
        <v>0</v>
      </c>
      <c r="G937" s="69" t="s">
        <v>22</v>
      </c>
      <c r="H937" s="69" t="s">
        <v>9</v>
      </c>
      <c r="I937" s="69" t="s">
        <v>734</v>
      </c>
      <c r="J937" s="69" t="s">
        <v>735</v>
      </c>
      <c r="K937" s="69" t="s">
        <v>740</v>
      </c>
      <c r="M937" s="69" t="s">
        <v>6</v>
      </c>
    </row>
    <row r="938" spans="2:13">
      <c r="B938" s="69">
        <v>936</v>
      </c>
      <c r="C938" s="69">
        <v>94</v>
      </c>
      <c r="D938" s="69">
        <v>17</v>
      </c>
      <c r="E938" s="69">
        <v>6</v>
      </c>
      <c r="F938" s="69">
        <v>0</v>
      </c>
      <c r="G938" s="69" t="s">
        <v>22</v>
      </c>
      <c r="H938" s="69" t="s">
        <v>9</v>
      </c>
      <c r="I938" s="69" t="s">
        <v>734</v>
      </c>
      <c r="J938" s="69" t="s">
        <v>55</v>
      </c>
      <c r="K938" s="69" t="s">
        <v>741</v>
      </c>
      <c r="M938" s="69" t="s">
        <v>6</v>
      </c>
    </row>
    <row r="939" spans="2:13">
      <c r="B939" s="69">
        <v>937</v>
      </c>
      <c r="C939" s="69">
        <v>94</v>
      </c>
      <c r="D939" s="69">
        <v>17</v>
      </c>
      <c r="E939" s="69">
        <v>7</v>
      </c>
      <c r="F939" s="69">
        <v>0</v>
      </c>
      <c r="G939" s="69" t="s">
        <v>22</v>
      </c>
      <c r="H939" s="69" t="s">
        <v>9</v>
      </c>
      <c r="I939" s="69" t="s">
        <v>734</v>
      </c>
      <c r="J939" s="69" t="s">
        <v>55</v>
      </c>
      <c r="K939" s="69" t="s">
        <v>742</v>
      </c>
      <c r="M939" s="69" t="s">
        <v>6</v>
      </c>
    </row>
    <row r="940" spans="2:13">
      <c r="B940" s="69">
        <v>938</v>
      </c>
      <c r="C940" s="69">
        <v>94</v>
      </c>
      <c r="D940" s="69">
        <v>17</v>
      </c>
      <c r="E940" s="69">
        <v>8</v>
      </c>
      <c r="F940" s="69">
        <v>0</v>
      </c>
      <c r="G940" s="69" t="s">
        <v>22</v>
      </c>
      <c r="H940" s="69" t="s">
        <v>9</v>
      </c>
      <c r="I940" s="69" t="s">
        <v>734</v>
      </c>
      <c r="J940" s="69" t="s">
        <v>55</v>
      </c>
      <c r="K940" s="69" t="s">
        <v>743</v>
      </c>
      <c r="M940" s="69" t="s">
        <v>6</v>
      </c>
    </row>
    <row r="941" spans="2:13">
      <c r="B941" s="69">
        <v>939</v>
      </c>
      <c r="C941" s="69">
        <v>94</v>
      </c>
      <c r="D941" s="69">
        <v>17</v>
      </c>
      <c r="E941" s="69">
        <v>9</v>
      </c>
      <c r="F941" s="69">
        <v>0</v>
      </c>
      <c r="G941" s="69" t="s">
        <v>22</v>
      </c>
      <c r="H941" s="69" t="s">
        <v>9</v>
      </c>
      <c r="I941" s="69" t="s">
        <v>734</v>
      </c>
      <c r="J941" s="69" t="s">
        <v>55</v>
      </c>
      <c r="K941" s="69" t="s">
        <v>744</v>
      </c>
      <c r="M941" s="69" t="s">
        <v>6</v>
      </c>
    </row>
    <row r="942" spans="2:13">
      <c r="B942" s="69">
        <v>940</v>
      </c>
      <c r="C942" s="69">
        <v>94</v>
      </c>
      <c r="D942" s="69">
        <v>17</v>
      </c>
      <c r="E942" s="69">
        <v>10</v>
      </c>
      <c r="F942" s="69">
        <v>0</v>
      </c>
      <c r="G942" s="69" t="s">
        <v>22</v>
      </c>
      <c r="H942" s="69" t="s">
        <v>9</v>
      </c>
      <c r="I942" s="69" t="s">
        <v>734</v>
      </c>
      <c r="J942" s="69" t="s">
        <v>55</v>
      </c>
      <c r="K942" s="69" t="s">
        <v>745</v>
      </c>
      <c r="M942" s="69" t="s">
        <v>6</v>
      </c>
    </row>
    <row r="943" spans="2:13">
      <c r="B943" s="69">
        <v>941</v>
      </c>
      <c r="C943" s="69">
        <v>94</v>
      </c>
      <c r="D943" s="69">
        <v>17</v>
      </c>
      <c r="E943" s="69">
        <v>11</v>
      </c>
      <c r="F943" s="69">
        <v>0</v>
      </c>
      <c r="G943" s="69" t="s">
        <v>22</v>
      </c>
      <c r="H943" s="69" t="s">
        <v>9</v>
      </c>
      <c r="I943" s="69" t="s">
        <v>734</v>
      </c>
      <c r="J943" s="69" t="s">
        <v>55</v>
      </c>
      <c r="K943" s="69" t="s">
        <v>746</v>
      </c>
      <c r="M943" s="69" t="s">
        <v>6</v>
      </c>
    </row>
    <row r="944" spans="2:13">
      <c r="B944" s="69">
        <v>942</v>
      </c>
      <c r="C944" s="69">
        <v>94</v>
      </c>
      <c r="D944" s="69">
        <v>17</v>
      </c>
      <c r="E944" s="69">
        <v>12</v>
      </c>
      <c r="F944" s="69">
        <v>0</v>
      </c>
      <c r="G944" s="69" t="s">
        <v>22</v>
      </c>
      <c r="H944" s="69" t="s">
        <v>9</v>
      </c>
      <c r="I944" s="69" t="s">
        <v>734</v>
      </c>
      <c r="J944" s="69" t="s">
        <v>55</v>
      </c>
      <c r="K944" s="69" t="s">
        <v>747</v>
      </c>
      <c r="M944" s="69" t="s">
        <v>6</v>
      </c>
    </row>
    <row r="945" spans="2:13">
      <c r="B945" s="69">
        <v>943</v>
      </c>
      <c r="C945" s="69">
        <v>94</v>
      </c>
      <c r="D945" s="69">
        <v>17</v>
      </c>
      <c r="E945" s="69">
        <v>13</v>
      </c>
      <c r="F945" s="69">
        <v>0</v>
      </c>
      <c r="G945" s="69" t="s">
        <v>22</v>
      </c>
      <c r="H945" s="69" t="s">
        <v>9</v>
      </c>
      <c r="I945" s="69" t="s">
        <v>734</v>
      </c>
      <c r="J945" s="69" t="s">
        <v>55</v>
      </c>
      <c r="K945" s="69" t="s">
        <v>748</v>
      </c>
      <c r="M945" s="69" t="s">
        <v>6</v>
      </c>
    </row>
    <row r="946" spans="2:13">
      <c r="B946" s="69">
        <v>944</v>
      </c>
      <c r="C946" s="69">
        <v>94</v>
      </c>
      <c r="D946" s="69">
        <v>17</v>
      </c>
      <c r="E946" s="69">
        <v>14</v>
      </c>
      <c r="F946" s="69">
        <v>0</v>
      </c>
      <c r="G946" s="69" t="s">
        <v>22</v>
      </c>
      <c r="H946" s="69" t="s">
        <v>9</v>
      </c>
      <c r="I946" s="69" t="s">
        <v>734</v>
      </c>
      <c r="J946" s="69" t="s">
        <v>55</v>
      </c>
      <c r="K946" s="69" t="s">
        <v>749</v>
      </c>
      <c r="M946" s="69" t="s">
        <v>6</v>
      </c>
    </row>
    <row r="947" spans="2:13">
      <c r="B947" s="69">
        <v>945</v>
      </c>
      <c r="C947" s="69">
        <v>94</v>
      </c>
      <c r="D947" s="69">
        <v>17</v>
      </c>
      <c r="E947" s="69">
        <v>15</v>
      </c>
      <c r="F947" s="69">
        <v>0</v>
      </c>
      <c r="G947" s="69" t="s">
        <v>22</v>
      </c>
      <c r="H947" s="69" t="s">
        <v>9</v>
      </c>
      <c r="I947" s="69" t="s">
        <v>734</v>
      </c>
      <c r="J947" s="69" t="s">
        <v>55</v>
      </c>
      <c r="K947" s="69" t="s">
        <v>750</v>
      </c>
      <c r="M947" s="69" t="s">
        <v>6</v>
      </c>
    </row>
    <row r="948" spans="2:13">
      <c r="B948" s="69">
        <v>946</v>
      </c>
      <c r="C948" s="69">
        <v>94</v>
      </c>
      <c r="D948" s="69">
        <v>17</v>
      </c>
      <c r="E948" s="69">
        <v>16</v>
      </c>
      <c r="F948" s="69">
        <v>0</v>
      </c>
      <c r="G948" s="69" t="s">
        <v>22</v>
      </c>
      <c r="H948" s="69" t="s">
        <v>9</v>
      </c>
      <c r="I948" s="69" t="s">
        <v>734</v>
      </c>
      <c r="J948" s="69" t="s">
        <v>55</v>
      </c>
      <c r="K948" s="69" t="s">
        <v>93</v>
      </c>
      <c r="M948" s="69" t="s">
        <v>6</v>
      </c>
    </row>
    <row r="949" spans="2:13">
      <c r="B949" s="69">
        <v>947</v>
      </c>
      <c r="C949" s="69">
        <v>94</v>
      </c>
      <c r="D949" s="69">
        <v>17</v>
      </c>
      <c r="E949" s="69">
        <v>17</v>
      </c>
      <c r="F949" s="69">
        <v>0</v>
      </c>
      <c r="G949" s="69" t="s">
        <v>22</v>
      </c>
      <c r="H949" s="69" t="s">
        <v>9</v>
      </c>
      <c r="I949" s="69" t="s">
        <v>734</v>
      </c>
      <c r="J949" s="69" t="s">
        <v>64</v>
      </c>
      <c r="K949" s="69" t="s">
        <v>94</v>
      </c>
      <c r="M949" s="69" t="s">
        <v>6</v>
      </c>
    </row>
    <row r="950" spans="2:13">
      <c r="B950" s="69">
        <v>948</v>
      </c>
      <c r="C950" s="69">
        <v>95</v>
      </c>
      <c r="D950" s="69">
        <v>6</v>
      </c>
      <c r="E950" s="69">
        <v>0</v>
      </c>
      <c r="F950" s="69">
        <v>0</v>
      </c>
      <c r="G950" s="69" t="s">
        <v>22</v>
      </c>
      <c r="H950" s="69" t="s">
        <v>9</v>
      </c>
      <c r="I950" s="69" t="s">
        <v>751</v>
      </c>
      <c r="J950" s="69" t="s">
        <v>478</v>
      </c>
      <c r="K950" s="69" t="s">
        <v>751</v>
      </c>
      <c r="M950" s="69" t="s">
        <v>6</v>
      </c>
    </row>
    <row r="951" spans="2:13">
      <c r="B951" s="69">
        <v>949</v>
      </c>
      <c r="C951" s="69">
        <v>95</v>
      </c>
      <c r="D951" s="69">
        <v>6</v>
      </c>
      <c r="E951" s="69">
        <v>1</v>
      </c>
      <c r="F951" s="69">
        <v>0</v>
      </c>
      <c r="G951" s="69" t="s">
        <v>22</v>
      </c>
      <c r="H951" s="69" t="s">
        <v>9</v>
      </c>
      <c r="I951" s="69" t="s">
        <v>751</v>
      </c>
      <c r="J951" s="69" t="s">
        <v>55</v>
      </c>
      <c r="K951" s="69" t="s">
        <v>752</v>
      </c>
      <c r="M951" s="69" t="s">
        <v>6</v>
      </c>
    </row>
    <row r="952" spans="2:13">
      <c r="B952" s="69">
        <v>950</v>
      </c>
      <c r="C952" s="69">
        <v>95</v>
      </c>
      <c r="D952" s="69">
        <v>6</v>
      </c>
      <c r="E952" s="69">
        <v>2</v>
      </c>
      <c r="F952" s="69">
        <v>0</v>
      </c>
      <c r="G952" s="69" t="s">
        <v>22</v>
      </c>
      <c r="H952" s="69" t="s">
        <v>9</v>
      </c>
      <c r="I952" s="69" t="s">
        <v>751</v>
      </c>
      <c r="J952" s="69" t="s">
        <v>55</v>
      </c>
      <c r="K952" s="69" t="s">
        <v>753</v>
      </c>
      <c r="M952" s="69" t="s">
        <v>6</v>
      </c>
    </row>
    <row r="953" spans="2:13">
      <c r="B953" s="69">
        <v>951</v>
      </c>
      <c r="C953" s="69">
        <v>95</v>
      </c>
      <c r="D953" s="69">
        <v>6</v>
      </c>
      <c r="E953" s="69">
        <v>3</v>
      </c>
      <c r="F953" s="69">
        <v>0</v>
      </c>
      <c r="G953" s="69" t="s">
        <v>22</v>
      </c>
      <c r="H953" s="69" t="s">
        <v>9</v>
      </c>
      <c r="I953" s="69" t="s">
        <v>751</v>
      </c>
      <c r="J953" s="69" t="s">
        <v>55</v>
      </c>
      <c r="K953" s="69" t="s">
        <v>754</v>
      </c>
      <c r="M953" s="69" t="s">
        <v>6</v>
      </c>
    </row>
    <row r="954" spans="2:13">
      <c r="B954" s="69">
        <v>952</v>
      </c>
      <c r="C954" s="69">
        <v>95</v>
      </c>
      <c r="D954" s="69">
        <v>6</v>
      </c>
      <c r="E954" s="69">
        <v>4</v>
      </c>
      <c r="F954" s="69">
        <v>0</v>
      </c>
      <c r="G954" s="69" t="s">
        <v>22</v>
      </c>
      <c r="H954" s="69" t="s">
        <v>9</v>
      </c>
      <c r="I954" s="69" t="s">
        <v>751</v>
      </c>
      <c r="J954" s="69" t="s">
        <v>55</v>
      </c>
      <c r="K954" s="69" t="s">
        <v>755</v>
      </c>
      <c r="M954" s="69" t="s">
        <v>6</v>
      </c>
    </row>
    <row r="955" spans="2:13">
      <c r="B955" s="69">
        <v>953</v>
      </c>
      <c r="C955" s="69">
        <v>95</v>
      </c>
      <c r="D955" s="69">
        <v>6</v>
      </c>
      <c r="E955" s="69">
        <v>5</v>
      </c>
      <c r="F955" s="69">
        <v>0</v>
      </c>
      <c r="G955" s="69" t="s">
        <v>22</v>
      </c>
      <c r="H955" s="69" t="s">
        <v>9</v>
      </c>
      <c r="I955" s="69" t="s">
        <v>751</v>
      </c>
      <c r="J955" s="69" t="s">
        <v>55</v>
      </c>
      <c r="K955" s="69" t="s">
        <v>93</v>
      </c>
      <c r="M955" s="69" t="s">
        <v>6</v>
      </c>
    </row>
    <row r="956" spans="2:13">
      <c r="B956" s="69">
        <v>954</v>
      </c>
      <c r="C956" s="69">
        <v>95</v>
      </c>
      <c r="D956" s="69">
        <v>6</v>
      </c>
      <c r="E956" s="69">
        <v>6</v>
      </c>
      <c r="F956" s="69">
        <v>0</v>
      </c>
      <c r="G956" s="69" t="s">
        <v>22</v>
      </c>
      <c r="H956" s="69" t="s">
        <v>9</v>
      </c>
      <c r="I956" s="69" t="s">
        <v>751</v>
      </c>
      <c r="J956" s="69" t="s">
        <v>64</v>
      </c>
      <c r="K956" s="69" t="s">
        <v>94</v>
      </c>
      <c r="M956" s="69" t="s">
        <v>6</v>
      </c>
    </row>
    <row r="957" spans="2:13">
      <c r="B957" s="69">
        <v>955</v>
      </c>
      <c r="C957" s="69">
        <v>96</v>
      </c>
      <c r="D957" s="69">
        <v>9</v>
      </c>
      <c r="E957" s="69">
        <v>0</v>
      </c>
      <c r="F957" s="69">
        <v>0</v>
      </c>
      <c r="G957" s="69" t="s">
        <v>22</v>
      </c>
      <c r="H957" s="69" t="s">
        <v>9</v>
      </c>
      <c r="I957" s="69" t="s">
        <v>756</v>
      </c>
      <c r="J957" s="69" t="s">
        <v>54</v>
      </c>
      <c r="K957" s="69" t="s">
        <v>756</v>
      </c>
      <c r="M957" s="69" t="s">
        <v>6</v>
      </c>
    </row>
    <row r="958" spans="2:13">
      <c r="B958" s="69">
        <v>956</v>
      </c>
      <c r="C958" s="69">
        <v>96</v>
      </c>
      <c r="D958" s="69">
        <v>9</v>
      </c>
      <c r="E958" s="69">
        <v>1</v>
      </c>
      <c r="F958" s="69">
        <v>0</v>
      </c>
      <c r="G958" s="69" t="s">
        <v>22</v>
      </c>
      <c r="H958" s="69" t="s">
        <v>9</v>
      </c>
      <c r="I958" s="69" t="s">
        <v>756</v>
      </c>
      <c r="J958" s="69" t="s">
        <v>55</v>
      </c>
      <c r="K958" s="69" t="s">
        <v>757</v>
      </c>
      <c r="M958" s="69" t="s">
        <v>6</v>
      </c>
    </row>
    <row r="959" spans="2:13">
      <c r="B959" s="69">
        <v>957</v>
      </c>
      <c r="C959" s="69">
        <v>96</v>
      </c>
      <c r="D959" s="69">
        <v>9</v>
      </c>
      <c r="E959" s="69">
        <v>2</v>
      </c>
      <c r="F959" s="69">
        <v>0</v>
      </c>
      <c r="G959" s="69" t="s">
        <v>22</v>
      </c>
      <c r="H959" s="69" t="s">
        <v>9</v>
      </c>
      <c r="I959" s="69" t="s">
        <v>756</v>
      </c>
      <c r="J959" s="69" t="s">
        <v>55</v>
      </c>
      <c r="K959" s="69" t="s">
        <v>758</v>
      </c>
      <c r="M959" s="69" t="s">
        <v>6</v>
      </c>
    </row>
    <row r="960" spans="2:13">
      <c r="B960" s="69">
        <v>958</v>
      </c>
      <c r="C960" s="69">
        <v>96</v>
      </c>
      <c r="D960" s="69">
        <v>9</v>
      </c>
      <c r="E960" s="69">
        <v>3</v>
      </c>
      <c r="F960" s="69">
        <v>0</v>
      </c>
      <c r="G960" s="69" t="s">
        <v>22</v>
      </c>
      <c r="H960" s="69" t="s">
        <v>9</v>
      </c>
      <c r="I960" s="69" t="s">
        <v>756</v>
      </c>
      <c r="J960" s="69" t="s">
        <v>55</v>
      </c>
      <c r="K960" s="69" t="s">
        <v>759</v>
      </c>
      <c r="M960" s="69" t="s">
        <v>6</v>
      </c>
    </row>
    <row r="961" spans="2:13">
      <c r="B961" s="69">
        <v>959</v>
      </c>
      <c r="C961" s="69">
        <v>96</v>
      </c>
      <c r="D961" s="69">
        <v>9</v>
      </c>
      <c r="E961" s="69">
        <v>4</v>
      </c>
      <c r="F961" s="69">
        <v>0</v>
      </c>
      <c r="G961" s="69" t="s">
        <v>22</v>
      </c>
      <c r="H961" s="69" t="s">
        <v>9</v>
      </c>
      <c r="I961" s="69" t="s">
        <v>756</v>
      </c>
      <c r="J961" s="69" t="s">
        <v>55</v>
      </c>
      <c r="K961" s="69" t="s">
        <v>760</v>
      </c>
      <c r="M961" s="69" t="s">
        <v>6</v>
      </c>
    </row>
    <row r="962" spans="2:13">
      <c r="B962" s="69">
        <v>960</v>
      </c>
      <c r="C962" s="69">
        <v>96</v>
      </c>
      <c r="D962" s="69">
        <v>9</v>
      </c>
      <c r="E962" s="69">
        <v>5</v>
      </c>
      <c r="F962" s="69">
        <v>0</v>
      </c>
      <c r="G962" s="69" t="s">
        <v>22</v>
      </c>
      <c r="H962" s="69" t="s">
        <v>9</v>
      </c>
      <c r="I962" s="69" t="s">
        <v>756</v>
      </c>
      <c r="J962" s="69" t="s">
        <v>55</v>
      </c>
      <c r="K962" s="69" t="s">
        <v>761</v>
      </c>
      <c r="M962" s="69" t="s">
        <v>6</v>
      </c>
    </row>
    <row r="963" spans="2:13">
      <c r="B963" s="69">
        <v>961</v>
      </c>
      <c r="C963" s="69">
        <v>96</v>
      </c>
      <c r="D963" s="69">
        <v>9</v>
      </c>
      <c r="E963" s="69">
        <v>6</v>
      </c>
      <c r="F963" s="69">
        <v>0</v>
      </c>
      <c r="G963" s="69" t="s">
        <v>22</v>
      </c>
      <c r="H963" s="69" t="s">
        <v>9</v>
      </c>
      <c r="I963" s="69" t="s">
        <v>756</v>
      </c>
      <c r="J963" s="69" t="s">
        <v>55</v>
      </c>
      <c r="K963" s="69" t="s">
        <v>762</v>
      </c>
      <c r="M963" s="69" t="s">
        <v>6</v>
      </c>
    </row>
    <row r="964" spans="2:13">
      <c r="B964" s="69">
        <v>962</v>
      </c>
      <c r="C964" s="69">
        <v>96</v>
      </c>
      <c r="D964" s="69">
        <v>9</v>
      </c>
      <c r="E964" s="69">
        <v>7</v>
      </c>
      <c r="F964" s="69">
        <v>0</v>
      </c>
      <c r="G964" s="69" t="s">
        <v>22</v>
      </c>
      <c r="H964" s="69" t="s">
        <v>9</v>
      </c>
      <c r="I964" s="69" t="s">
        <v>756</v>
      </c>
      <c r="J964" s="69" t="s">
        <v>55</v>
      </c>
      <c r="K964" s="69" t="s">
        <v>763</v>
      </c>
      <c r="M964" s="69" t="s">
        <v>6</v>
      </c>
    </row>
    <row r="965" spans="2:13">
      <c r="B965" s="69">
        <v>963</v>
      </c>
      <c r="C965" s="69">
        <v>96</v>
      </c>
      <c r="D965" s="69">
        <v>9</v>
      </c>
      <c r="E965" s="69">
        <v>8</v>
      </c>
      <c r="F965" s="69">
        <v>0</v>
      </c>
      <c r="G965" s="69" t="s">
        <v>22</v>
      </c>
      <c r="H965" s="69" t="s">
        <v>9</v>
      </c>
      <c r="I965" s="69" t="s">
        <v>756</v>
      </c>
      <c r="J965" s="69" t="s">
        <v>55</v>
      </c>
      <c r="K965" s="69" t="s">
        <v>93</v>
      </c>
      <c r="M965" s="69" t="s">
        <v>6</v>
      </c>
    </row>
    <row r="966" spans="2:13">
      <c r="B966" s="69">
        <v>964</v>
      </c>
      <c r="C966" s="69">
        <v>96</v>
      </c>
      <c r="D966" s="69">
        <v>9</v>
      </c>
      <c r="E966" s="69">
        <v>9</v>
      </c>
      <c r="F966" s="69">
        <v>0</v>
      </c>
      <c r="G966" s="69" t="s">
        <v>22</v>
      </c>
      <c r="H966" s="69" t="s">
        <v>9</v>
      </c>
      <c r="I966" s="69" t="s">
        <v>756</v>
      </c>
      <c r="J966" s="69" t="s">
        <v>64</v>
      </c>
      <c r="K966" s="69" t="s">
        <v>94</v>
      </c>
      <c r="M966" s="69" t="s">
        <v>6</v>
      </c>
    </row>
    <row r="967" spans="2:13">
      <c r="B967" s="69">
        <v>965</v>
      </c>
      <c r="C967" s="69">
        <v>97</v>
      </c>
      <c r="D967" s="69">
        <v>10</v>
      </c>
      <c r="E967" s="69">
        <v>0</v>
      </c>
      <c r="F967" s="69">
        <v>0</v>
      </c>
      <c r="G967" s="69" t="s">
        <v>22</v>
      </c>
      <c r="H967" s="69" t="s">
        <v>9</v>
      </c>
      <c r="I967" s="69" t="s">
        <v>764</v>
      </c>
      <c r="J967" s="69" t="s">
        <v>54</v>
      </c>
      <c r="K967" s="69" t="s">
        <v>764</v>
      </c>
      <c r="M967" s="69" t="s">
        <v>6</v>
      </c>
    </row>
    <row r="968" spans="2:13">
      <c r="B968" s="69">
        <v>966</v>
      </c>
      <c r="C968" s="69">
        <v>97</v>
      </c>
      <c r="D968" s="69">
        <v>10</v>
      </c>
      <c r="E968" s="69">
        <v>1</v>
      </c>
      <c r="F968" s="69">
        <v>0</v>
      </c>
      <c r="G968" s="69" t="s">
        <v>22</v>
      </c>
      <c r="H968" s="69" t="s">
        <v>9</v>
      </c>
      <c r="I968" s="69" t="s">
        <v>764</v>
      </c>
      <c r="J968" s="69" t="s">
        <v>55</v>
      </c>
      <c r="K968" s="69" t="s">
        <v>765</v>
      </c>
      <c r="M968" s="69" t="s">
        <v>6</v>
      </c>
    </row>
    <row r="969" spans="2:13">
      <c r="B969" s="69">
        <v>967</v>
      </c>
      <c r="C969" s="69">
        <v>97</v>
      </c>
      <c r="D969" s="69">
        <v>10</v>
      </c>
      <c r="E969" s="69">
        <v>2</v>
      </c>
      <c r="F969" s="69">
        <v>0</v>
      </c>
      <c r="G969" s="69" t="s">
        <v>22</v>
      </c>
      <c r="H969" s="69" t="s">
        <v>9</v>
      </c>
      <c r="I969" s="69" t="s">
        <v>764</v>
      </c>
      <c r="J969" s="69" t="s">
        <v>420</v>
      </c>
      <c r="K969" s="69" t="s">
        <v>766</v>
      </c>
      <c r="M969" s="69" t="s">
        <v>6</v>
      </c>
    </row>
    <row r="970" spans="2:13">
      <c r="B970" s="69">
        <v>968</v>
      </c>
      <c r="C970" s="69">
        <v>97</v>
      </c>
      <c r="D970" s="69">
        <v>10</v>
      </c>
      <c r="E970" s="69">
        <v>3</v>
      </c>
      <c r="F970" s="69">
        <v>0</v>
      </c>
      <c r="G970" s="69" t="s">
        <v>22</v>
      </c>
      <c r="H970" s="69" t="s">
        <v>9</v>
      </c>
      <c r="I970" s="69" t="s">
        <v>764</v>
      </c>
      <c r="J970" s="69" t="s">
        <v>55</v>
      </c>
      <c r="K970" s="69" t="s">
        <v>767</v>
      </c>
      <c r="M970" s="69" t="s">
        <v>6</v>
      </c>
    </row>
    <row r="971" spans="2:13">
      <c r="B971" s="69">
        <v>969</v>
      </c>
      <c r="C971" s="69">
        <v>97</v>
      </c>
      <c r="D971" s="69">
        <v>10</v>
      </c>
      <c r="E971" s="69">
        <v>4</v>
      </c>
      <c r="F971" s="69">
        <v>0</v>
      </c>
      <c r="G971" s="69" t="s">
        <v>22</v>
      </c>
      <c r="H971" s="69" t="s">
        <v>9</v>
      </c>
      <c r="I971" s="69" t="s">
        <v>764</v>
      </c>
      <c r="J971" s="69" t="s">
        <v>55</v>
      </c>
      <c r="K971" s="69" t="s">
        <v>768</v>
      </c>
      <c r="M971" s="69" t="s">
        <v>6</v>
      </c>
    </row>
    <row r="972" spans="2:13">
      <c r="B972" s="69">
        <v>970</v>
      </c>
      <c r="C972" s="69">
        <v>97</v>
      </c>
      <c r="D972" s="69">
        <v>10</v>
      </c>
      <c r="E972" s="69">
        <v>5</v>
      </c>
      <c r="F972" s="69">
        <v>0</v>
      </c>
      <c r="G972" s="69" t="s">
        <v>22</v>
      </c>
      <c r="H972" s="69" t="s">
        <v>9</v>
      </c>
      <c r="I972" s="69" t="s">
        <v>764</v>
      </c>
      <c r="J972" s="69" t="s">
        <v>55</v>
      </c>
      <c r="K972" s="69" t="s">
        <v>769</v>
      </c>
      <c r="M972" s="69" t="s">
        <v>6</v>
      </c>
    </row>
    <row r="973" spans="2:13">
      <c r="B973" s="69">
        <v>971</v>
      </c>
      <c r="C973" s="69">
        <v>97</v>
      </c>
      <c r="D973" s="69">
        <v>10</v>
      </c>
      <c r="E973" s="69">
        <v>6</v>
      </c>
      <c r="F973" s="69">
        <v>0</v>
      </c>
      <c r="G973" s="69" t="s">
        <v>22</v>
      </c>
      <c r="H973" s="69" t="s">
        <v>9</v>
      </c>
      <c r="I973" s="69" t="s">
        <v>764</v>
      </c>
      <c r="J973" s="69" t="s">
        <v>55</v>
      </c>
      <c r="K973" s="69" t="s">
        <v>770</v>
      </c>
      <c r="M973" s="69" t="s">
        <v>6</v>
      </c>
    </row>
    <row r="974" spans="2:13">
      <c r="B974" s="69">
        <v>972</v>
      </c>
      <c r="C974" s="69">
        <v>97</v>
      </c>
      <c r="D974" s="69">
        <v>10</v>
      </c>
      <c r="E974" s="69">
        <v>7</v>
      </c>
      <c r="F974" s="69">
        <v>0</v>
      </c>
      <c r="G974" s="69" t="s">
        <v>22</v>
      </c>
      <c r="H974" s="69" t="s">
        <v>9</v>
      </c>
      <c r="I974" s="69" t="s">
        <v>764</v>
      </c>
      <c r="J974" s="69" t="s">
        <v>55</v>
      </c>
      <c r="K974" s="69" t="s">
        <v>771</v>
      </c>
      <c r="M974" s="69" t="s">
        <v>6</v>
      </c>
    </row>
    <row r="975" spans="2:13">
      <c r="B975" s="69">
        <v>973</v>
      </c>
      <c r="C975" s="69">
        <v>97</v>
      </c>
      <c r="D975" s="69">
        <v>10</v>
      </c>
      <c r="E975" s="69">
        <v>8</v>
      </c>
      <c r="F975" s="69">
        <v>0</v>
      </c>
      <c r="G975" s="69" t="s">
        <v>22</v>
      </c>
      <c r="H975" s="69" t="s">
        <v>9</v>
      </c>
      <c r="I975" s="69" t="s">
        <v>764</v>
      </c>
      <c r="J975" s="69" t="s">
        <v>64</v>
      </c>
      <c r="K975" s="69" t="s">
        <v>772</v>
      </c>
      <c r="M975" s="69" t="s">
        <v>6</v>
      </c>
    </row>
    <row r="976" spans="2:13">
      <c r="B976" s="69">
        <v>974</v>
      </c>
      <c r="C976" s="69">
        <v>97</v>
      </c>
      <c r="D976" s="69">
        <v>10</v>
      </c>
      <c r="E976" s="69">
        <v>9</v>
      </c>
      <c r="F976" s="69">
        <v>0</v>
      </c>
      <c r="G976" s="69" t="s">
        <v>22</v>
      </c>
      <c r="H976" s="69" t="s">
        <v>9</v>
      </c>
      <c r="I976" s="69" t="s">
        <v>764</v>
      </c>
      <c r="J976" s="69" t="s">
        <v>55</v>
      </c>
      <c r="K976" s="69" t="s">
        <v>93</v>
      </c>
      <c r="M976" s="69" t="s">
        <v>6</v>
      </c>
    </row>
    <row r="977" spans="2:13">
      <c r="B977" s="69">
        <v>975</v>
      </c>
      <c r="C977" s="69">
        <v>97</v>
      </c>
      <c r="D977" s="69">
        <v>10</v>
      </c>
      <c r="E977" s="69">
        <v>10</v>
      </c>
      <c r="F977" s="69">
        <v>0</v>
      </c>
      <c r="G977" s="69" t="s">
        <v>22</v>
      </c>
      <c r="H977" s="69" t="s">
        <v>9</v>
      </c>
      <c r="I977" s="69" t="s">
        <v>764</v>
      </c>
      <c r="J977" s="69" t="s">
        <v>64</v>
      </c>
      <c r="K977" s="69" t="s">
        <v>94</v>
      </c>
      <c r="M977" s="69" t="s">
        <v>6</v>
      </c>
    </row>
    <row r="978" spans="2:13">
      <c r="B978" s="69">
        <v>976</v>
      </c>
      <c r="C978" s="69">
        <v>98</v>
      </c>
      <c r="D978" s="69">
        <v>8</v>
      </c>
      <c r="E978" s="69">
        <v>0</v>
      </c>
      <c r="F978" s="69">
        <v>0</v>
      </c>
      <c r="G978" s="69" t="s">
        <v>22</v>
      </c>
      <c r="H978" s="69" t="s">
        <v>9</v>
      </c>
      <c r="I978" s="69" t="s">
        <v>773</v>
      </c>
      <c r="J978" s="69" t="s">
        <v>54</v>
      </c>
      <c r="K978" s="69" t="s">
        <v>773</v>
      </c>
      <c r="M978" s="69" t="s">
        <v>6</v>
      </c>
    </row>
    <row r="979" spans="2:13">
      <c r="B979" s="69">
        <v>977</v>
      </c>
      <c r="C979" s="69">
        <v>98</v>
      </c>
      <c r="D979" s="69">
        <v>8</v>
      </c>
      <c r="E979" s="69">
        <v>1</v>
      </c>
      <c r="F979" s="69">
        <v>0</v>
      </c>
      <c r="G979" s="69" t="s">
        <v>22</v>
      </c>
      <c r="H979" s="69" t="s">
        <v>9</v>
      </c>
      <c r="I979" s="69" t="s">
        <v>773</v>
      </c>
      <c r="J979" s="69" t="s">
        <v>55</v>
      </c>
      <c r="K979" s="69" t="s">
        <v>774</v>
      </c>
      <c r="M979" s="69" t="s">
        <v>6</v>
      </c>
    </row>
    <row r="980" spans="2:13">
      <c r="B980" s="69">
        <v>978</v>
      </c>
      <c r="C980" s="69">
        <v>98</v>
      </c>
      <c r="D980" s="69">
        <v>8</v>
      </c>
      <c r="E980" s="69">
        <v>2</v>
      </c>
      <c r="F980" s="69">
        <v>0</v>
      </c>
      <c r="G980" s="69" t="s">
        <v>22</v>
      </c>
      <c r="H980" s="69" t="s">
        <v>9</v>
      </c>
      <c r="I980" s="69" t="s">
        <v>773</v>
      </c>
      <c r="J980" s="69" t="s">
        <v>55</v>
      </c>
      <c r="K980" s="69" t="s">
        <v>775</v>
      </c>
      <c r="M980" s="69" t="s">
        <v>6</v>
      </c>
    </row>
    <row r="981" spans="2:13">
      <c r="B981" s="69">
        <v>979</v>
      </c>
      <c r="C981" s="69">
        <v>98</v>
      </c>
      <c r="D981" s="69">
        <v>8</v>
      </c>
      <c r="E981" s="69">
        <v>3</v>
      </c>
      <c r="F981" s="69">
        <v>0</v>
      </c>
      <c r="G981" s="69" t="s">
        <v>22</v>
      </c>
      <c r="H981" s="69" t="s">
        <v>9</v>
      </c>
      <c r="I981" s="69" t="s">
        <v>773</v>
      </c>
      <c r="J981" s="69" t="s">
        <v>55</v>
      </c>
      <c r="K981" s="69" t="s">
        <v>776</v>
      </c>
      <c r="M981" s="69" t="s">
        <v>6</v>
      </c>
    </row>
    <row r="982" spans="2:13">
      <c r="B982" s="69">
        <v>980</v>
      </c>
      <c r="C982" s="69">
        <v>98</v>
      </c>
      <c r="D982" s="69">
        <v>8</v>
      </c>
      <c r="E982" s="69">
        <v>4</v>
      </c>
      <c r="F982" s="69">
        <v>0</v>
      </c>
      <c r="G982" s="69" t="s">
        <v>22</v>
      </c>
      <c r="H982" s="69" t="s">
        <v>9</v>
      </c>
      <c r="I982" s="69" t="s">
        <v>773</v>
      </c>
      <c r="J982" s="69" t="s">
        <v>55</v>
      </c>
      <c r="K982" s="69" t="s">
        <v>777</v>
      </c>
      <c r="M982" s="69" t="s">
        <v>6</v>
      </c>
    </row>
    <row r="983" spans="2:13">
      <c r="B983" s="69">
        <v>981</v>
      </c>
      <c r="C983" s="69">
        <v>98</v>
      </c>
      <c r="D983" s="69">
        <v>8</v>
      </c>
      <c r="E983" s="69">
        <v>5</v>
      </c>
      <c r="F983" s="69">
        <v>0</v>
      </c>
      <c r="G983" s="69" t="s">
        <v>22</v>
      </c>
      <c r="H983" s="69" t="s">
        <v>9</v>
      </c>
      <c r="I983" s="69" t="s">
        <v>773</v>
      </c>
      <c r="J983" s="69" t="s">
        <v>55</v>
      </c>
      <c r="K983" s="69" t="s">
        <v>778</v>
      </c>
      <c r="M983" s="69" t="s">
        <v>6</v>
      </c>
    </row>
    <row r="984" spans="2:13">
      <c r="B984" s="69">
        <v>982</v>
      </c>
      <c r="C984" s="69">
        <v>98</v>
      </c>
      <c r="D984" s="69">
        <v>8</v>
      </c>
      <c r="E984" s="69">
        <v>6</v>
      </c>
      <c r="F984" s="69">
        <v>0</v>
      </c>
      <c r="G984" s="69" t="s">
        <v>22</v>
      </c>
      <c r="H984" s="69" t="s">
        <v>9</v>
      </c>
      <c r="I984" s="69" t="s">
        <v>773</v>
      </c>
      <c r="J984" s="69" t="s">
        <v>55</v>
      </c>
      <c r="K984" s="69" t="s">
        <v>779</v>
      </c>
      <c r="M984" s="69" t="s">
        <v>6</v>
      </c>
    </row>
    <row r="985" spans="2:13">
      <c r="B985" s="69">
        <v>983</v>
      </c>
      <c r="C985" s="69">
        <v>98</v>
      </c>
      <c r="D985" s="69">
        <v>8</v>
      </c>
      <c r="E985" s="69">
        <v>7</v>
      </c>
      <c r="F985" s="69">
        <v>0</v>
      </c>
      <c r="G985" s="69" t="s">
        <v>22</v>
      </c>
      <c r="H985" s="69" t="s">
        <v>9</v>
      </c>
      <c r="I985" s="69" t="s">
        <v>773</v>
      </c>
      <c r="J985" s="69" t="s">
        <v>55</v>
      </c>
      <c r="K985" s="69" t="s">
        <v>93</v>
      </c>
      <c r="M985" s="69" t="s">
        <v>6</v>
      </c>
    </row>
    <row r="986" spans="2:13">
      <c r="B986" s="69">
        <v>984</v>
      </c>
      <c r="C986" s="69">
        <v>98</v>
      </c>
      <c r="D986" s="69">
        <v>8</v>
      </c>
      <c r="E986" s="69">
        <v>8</v>
      </c>
      <c r="F986" s="69">
        <v>0</v>
      </c>
      <c r="G986" s="69" t="s">
        <v>22</v>
      </c>
      <c r="H986" s="69" t="s">
        <v>9</v>
      </c>
      <c r="I986" s="69" t="s">
        <v>773</v>
      </c>
      <c r="J986" s="69" t="s">
        <v>64</v>
      </c>
      <c r="K986" s="69" t="s">
        <v>94</v>
      </c>
      <c r="M986" s="69" t="s">
        <v>6</v>
      </c>
    </row>
    <row r="987" spans="2:13">
      <c r="B987" s="69">
        <v>985</v>
      </c>
      <c r="C987" s="69">
        <v>99</v>
      </c>
      <c r="D987" s="69">
        <v>9</v>
      </c>
      <c r="E987" s="69">
        <v>0</v>
      </c>
      <c r="F987" s="69">
        <v>0</v>
      </c>
      <c r="G987" s="69" t="s">
        <v>22</v>
      </c>
      <c r="H987" s="69" t="s">
        <v>9</v>
      </c>
      <c r="I987" s="69" t="s">
        <v>780</v>
      </c>
      <c r="J987" s="69" t="s">
        <v>54</v>
      </c>
      <c r="K987" s="69" t="s">
        <v>780</v>
      </c>
      <c r="M987" s="69" t="s">
        <v>6</v>
      </c>
    </row>
    <row r="988" spans="2:13">
      <c r="B988" s="69">
        <v>986</v>
      </c>
      <c r="C988" s="69">
        <v>99</v>
      </c>
      <c r="D988" s="69">
        <v>9</v>
      </c>
      <c r="E988" s="69">
        <v>1</v>
      </c>
      <c r="F988" s="69">
        <v>0</v>
      </c>
      <c r="G988" s="69" t="s">
        <v>22</v>
      </c>
      <c r="H988" s="69" t="s">
        <v>9</v>
      </c>
      <c r="I988" s="69" t="s">
        <v>780</v>
      </c>
      <c r="J988" s="69" t="s">
        <v>55</v>
      </c>
      <c r="K988" s="69" t="s">
        <v>757</v>
      </c>
      <c r="M988" s="69" t="s">
        <v>6</v>
      </c>
    </row>
    <row r="989" spans="2:13">
      <c r="B989" s="69">
        <v>987</v>
      </c>
      <c r="C989" s="69">
        <v>99</v>
      </c>
      <c r="D989" s="69">
        <v>9</v>
      </c>
      <c r="E989" s="69">
        <v>2</v>
      </c>
      <c r="F989" s="69">
        <v>0</v>
      </c>
      <c r="G989" s="69" t="s">
        <v>22</v>
      </c>
      <c r="H989" s="69" t="s">
        <v>9</v>
      </c>
      <c r="I989" s="69" t="s">
        <v>780</v>
      </c>
      <c r="J989" s="69" t="s">
        <v>55</v>
      </c>
      <c r="K989" s="69" t="s">
        <v>758</v>
      </c>
      <c r="M989" s="69" t="s">
        <v>6</v>
      </c>
    </row>
    <row r="990" spans="2:13">
      <c r="B990" s="69">
        <v>988</v>
      </c>
      <c r="C990" s="69">
        <v>99</v>
      </c>
      <c r="D990" s="69">
        <v>9</v>
      </c>
      <c r="E990" s="69">
        <v>3</v>
      </c>
      <c r="F990" s="69">
        <v>0</v>
      </c>
      <c r="G990" s="69" t="s">
        <v>22</v>
      </c>
      <c r="H990" s="69" t="s">
        <v>9</v>
      </c>
      <c r="I990" s="69" t="s">
        <v>780</v>
      </c>
      <c r="J990" s="69" t="s">
        <v>55</v>
      </c>
      <c r="K990" s="69" t="s">
        <v>759</v>
      </c>
      <c r="M990" s="69" t="s">
        <v>6</v>
      </c>
    </row>
    <row r="991" spans="2:13">
      <c r="B991" s="69">
        <v>989</v>
      </c>
      <c r="C991" s="69">
        <v>99</v>
      </c>
      <c r="D991" s="69">
        <v>9</v>
      </c>
      <c r="E991" s="69">
        <v>4</v>
      </c>
      <c r="F991" s="69">
        <v>0</v>
      </c>
      <c r="G991" s="69" t="s">
        <v>22</v>
      </c>
      <c r="H991" s="69" t="s">
        <v>9</v>
      </c>
      <c r="I991" s="69" t="s">
        <v>780</v>
      </c>
      <c r="J991" s="69" t="s">
        <v>55</v>
      </c>
      <c r="K991" s="69" t="s">
        <v>760</v>
      </c>
      <c r="M991" s="69" t="s">
        <v>6</v>
      </c>
    </row>
    <row r="992" spans="2:13">
      <c r="B992" s="69">
        <v>990</v>
      </c>
      <c r="C992" s="69">
        <v>99</v>
      </c>
      <c r="D992" s="69">
        <v>9</v>
      </c>
      <c r="E992" s="69">
        <v>5</v>
      </c>
      <c r="F992" s="69">
        <v>0</v>
      </c>
      <c r="G992" s="69" t="s">
        <v>22</v>
      </c>
      <c r="H992" s="69" t="s">
        <v>9</v>
      </c>
      <c r="I992" s="69" t="s">
        <v>780</v>
      </c>
      <c r="J992" s="69" t="s">
        <v>55</v>
      </c>
      <c r="K992" s="69" t="s">
        <v>761</v>
      </c>
      <c r="M992" s="69" t="s">
        <v>6</v>
      </c>
    </row>
    <row r="993" spans="2:13">
      <c r="B993" s="69">
        <v>991</v>
      </c>
      <c r="C993" s="69">
        <v>99</v>
      </c>
      <c r="D993" s="69">
        <v>9</v>
      </c>
      <c r="E993" s="69">
        <v>6</v>
      </c>
      <c r="F993" s="69">
        <v>0</v>
      </c>
      <c r="G993" s="69" t="s">
        <v>22</v>
      </c>
      <c r="H993" s="69" t="s">
        <v>9</v>
      </c>
      <c r="I993" s="69" t="s">
        <v>780</v>
      </c>
      <c r="J993" s="69" t="s">
        <v>55</v>
      </c>
      <c r="K993" s="69" t="s">
        <v>762</v>
      </c>
      <c r="M993" s="69" t="s">
        <v>6</v>
      </c>
    </row>
    <row r="994" spans="2:13">
      <c r="B994" s="69">
        <v>992</v>
      </c>
      <c r="C994" s="69">
        <v>99</v>
      </c>
      <c r="D994" s="69">
        <v>9</v>
      </c>
      <c r="E994" s="69">
        <v>7</v>
      </c>
      <c r="F994" s="69">
        <v>0</v>
      </c>
      <c r="G994" s="69" t="s">
        <v>22</v>
      </c>
      <c r="H994" s="69" t="s">
        <v>9</v>
      </c>
      <c r="I994" s="69" t="s">
        <v>780</v>
      </c>
      <c r="J994" s="69" t="s">
        <v>55</v>
      </c>
      <c r="K994" s="69" t="s">
        <v>763</v>
      </c>
      <c r="M994" s="69" t="s">
        <v>6</v>
      </c>
    </row>
    <row r="995" spans="2:13">
      <c r="B995" s="69">
        <v>993</v>
      </c>
      <c r="C995" s="69">
        <v>99</v>
      </c>
      <c r="D995" s="69">
        <v>9</v>
      </c>
      <c r="E995" s="69">
        <v>8</v>
      </c>
      <c r="F995" s="69">
        <v>0</v>
      </c>
      <c r="G995" s="69" t="s">
        <v>22</v>
      </c>
      <c r="H995" s="69" t="s">
        <v>9</v>
      </c>
      <c r="I995" s="69" t="s">
        <v>780</v>
      </c>
      <c r="J995" s="69" t="s">
        <v>55</v>
      </c>
      <c r="K995" s="69" t="s">
        <v>93</v>
      </c>
      <c r="M995" s="69" t="s">
        <v>6</v>
      </c>
    </row>
    <row r="996" spans="2:13">
      <c r="B996" s="69">
        <v>994</v>
      </c>
      <c r="C996" s="69">
        <v>99</v>
      </c>
      <c r="D996" s="69">
        <v>9</v>
      </c>
      <c r="E996" s="69">
        <v>9</v>
      </c>
      <c r="F996" s="69">
        <v>0</v>
      </c>
      <c r="G996" s="69" t="s">
        <v>22</v>
      </c>
      <c r="H996" s="69" t="s">
        <v>9</v>
      </c>
      <c r="I996" s="69" t="s">
        <v>780</v>
      </c>
      <c r="J996" s="69" t="s">
        <v>64</v>
      </c>
      <c r="K996" s="69" t="s">
        <v>94</v>
      </c>
      <c r="M996" s="69" t="s">
        <v>6</v>
      </c>
    </row>
    <row r="997" spans="2:13">
      <c r="B997" s="69">
        <v>995</v>
      </c>
      <c r="C997" s="69">
        <v>100</v>
      </c>
      <c r="D997" s="69">
        <v>10</v>
      </c>
      <c r="E997" s="69">
        <v>0</v>
      </c>
      <c r="F997" s="69">
        <v>0</v>
      </c>
      <c r="G997" s="69" t="s">
        <v>22</v>
      </c>
      <c r="H997" s="69" t="s">
        <v>9</v>
      </c>
      <c r="I997" s="69" t="s">
        <v>781</v>
      </c>
      <c r="J997" s="69" t="s">
        <v>54</v>
      </c>
      <c r="K997" s="69" t="s">
        <v>781</v>
      </c>
      <c r="M997" s="69" t="s">
        <v>6</v>
      </c>
    </row>
    <row r="998" spans="2:13">
      <c r="B998" s="69">
        <v>996</v>
      </c>
      <c r="C998" s="69">
        <v>100</v>
      </c>
      <c r="D998" s="69">
        <v>10</v>
      </c>
      <c r="E998" s="69">
        <v>1</v>
      </c>
      <c r="F998" s="69">
        <v>0</v>
      </c>
      <c r="G998" s="69" t="s">
        <v>22</v>
      </c>
      <c r="H998" s="69" t="s">
        <v>9</v>
      </c>
      <c r="I998" s="69" t="s">
        <v>781</v>
      </c>
      <c r="J998" s="69" t="s">
        <v>55</v>
      </c>
      <c r="K998" s="69" t="s">
        <v>782</v>
      </c>
      <c r="M998" s="69" t="s">
        <v>6</v>
      </c>
    </row>
    <row r="999" spans="2:13">
      <c r="B999" s="69">
        <v>997</v>
      </c>
      <c r="C999" s="69">
        <v>100</v>
      </c>
      <c r="D999" s="69">
        <v>10</v>
      </c>
      <c r="E999" s="69">
        <v>2</v>
      </c>
      <c r="F999" s="69">
        <v>0</v>
      </c>
      <c r="G999" s="69" t="s">
        <v>22</v>
      </c>
      <c r="H999" s="69" t="s">
        <v>9</v>
      </c>
      <c r="I999" s="69" t="s">
        <v>781</v>
      </c>
      <c r="J999" s="69" t="s">
        <v>55</v>
      </c>
      <c r="K999" s="69" t="s">
        <v>783</v>
      </c>
      <c r="M999" s="69" t="s">
        <v>6</v>
      </c>
    </row>
    <row r="1000" spans="2:13">
      <c r="B1000" s="69">
        <v>998</v>
      </c>
      <c r="C1000" s="69">
        <v>100</v>
      </c>
      <c r="D1000" s="69">
        <v>10</v>
      </c>
      <c r="E1000" s="69">
        <v>3</v>
      </c>
      <c r="F1000" s="69">
        <v>0</v>
      </c>
      <c r="G1000" s="69" t="s">
        <v>22</v>
      </c>
      <c r="H1000" s="69" t="s">
        <v>9</v>
      </c>
      <c r="I1000" s="69" t="s">
        <v>781</v>
      </c>
      <c r="J1000" s="69" t="s">
        <v>55</v>
      </c>
      <c r="K1000" s="69" t="s">
        <v>784</v>
      </c>
      <c r="M1000" s="69" t="s">
        <v>6</v>
      </c>
    </row>
    <row r="1001" spans="2:13">
      <c r="B1001" s="69">
        <v>999</v>
      </c>
      <c r="C1001" s="69">
        <v>100</v>
      </c>
      <c r="D1001" s="69">
        <v>10</v>
      </c>
      <c r="E1001" s="69">
        <v>4</v>
      </c>
      <c r="F1001" s="69">
        <v>0</v>
      </c>
      <c r="G1001" s="69" t="s">
        <v>22</v>
      </c>
      <c r="H1001" s="69" t="s">
        <v>9</v>
      </c>
      <c r="I1001" s="69" t="s">
        <v>781</v>
      </c>
      <c r="J1001" s="69" t="s">
        <v>55</v>
      </c>
      <c r="K1001" s="69" t="s">
        <v>785</v>
      </c>
      <c r="M1001" s="69" t="s">
        <v>6</v>
      </c>
    </row>
    <row r="1002" spans="2:13">
      <c r="B1002" s="69">
        <v>1000</v>
      </c>
      <c r="C1002" s="69">
        <v>100</v>
      </c>
      <c r="D1002" s="69">
        <v>10</v>
      </c>
      <c r="E1002" s="69">
        <v>5</v>
      </c>
      <c r="F1002" s="69">
        <v>0</v>
      </c>
      <c r="G1002" s="69" t="s">
        <v>22</v>
      </c>
      <c r="H1002" s="69" t="s">
        <v>9</v>
      </c>
      <c r="I1002" s="69" t="s">
        <v>781</v>
      </c>
      <c r="J1002" s="69" t="s">
        <v>55</v>
      </c>
      <c r="K1002" s="69" t="s">
        <v>786</v>
      </c>
      <c r="M1002" s="69" t="s">
        <v>6</v>
      </c>
    </row>
    <row r="1003" spans="2:13">
      <c r="B1003" s="69">
        <v>1001</v>
      </c>
      <c r="C1003" s="69">
        <v>100</v>
      </c>
      <c r="D1003" s="69">
        <v>10</v>
      </c>
      <c r="E1003" s="69">
        <v>6</v>
      </c>
      <c r="F1003" s="69">
        <v>0</v>
      </c>
      <c r="G1003" s="69" t="s">
        <v>22</v>
      </c>
      <c r="H1003" s="69" t="s">
        <v>9</v>
      </c>
      <c r="I1003" s="69" t="s">
        <v>781</v>
      </c>
      <c r="J1003" s="69" t="s">
        <v>55</v>
      </c>
      <c r="K1003" s="69" t="s">
        <v>787</v>
      </c>
      <c r="M1003" s="69" t="s">
        <v>6</v>
      </c>
    </row>
    <row r="1004" spans="2:13">
      <c r="B1004" s="69">
        <v>1002</v>
      </c>
      <c r="C1004" s="69">
        <v>100</v>
      </c>
      <c r="D1004" s="69">
        <v>10</v>
      </c>
      <c r="E1004" s="69">
        <v>7</v>
      </c>
      <c r="F1004" s="69">
        <v>0</v>
      </c>
      <c r="G1004" s="69" t="s">
        <v>22</v>
      </c>
      <c r="H1004" s="69" t="s">
        <v>9</v>
      </c>
      <c r="I1004" s="69" t="s">
        <v>781</v>
      </c>
      <c r="J1004" s="69" t="s">
        <v>55</v>
      </c>
      <c r="K1004" s="69" t="s">
        <v>788</v>
      </c>
      <c r="M1004" s="69" t="s">
        <v>6</v>
      </c>
    </row>
    <row r="1005" spans="2:13">
      <c r="B1005" s="69">
        <v>1003</v>
      </c>
      <c r="C1005" s="69">
        <v>100</v>
      </c>
      <c r="D1005" s="69">
        <v>10</v>
      </c>
      <c r="E1005" s="69">
        <v>8</v>
      </c>
      <c r="F1005" s="69">
        <v>0</v>
      </c>
      <c r="G1005" s="69" t="s">
        <v>22</v>
      </c>
      <c r="H1005" s="69" t="s">
        <v>9</v>
      </c>
      <c r="I1005" s="69" t="s">
        <v>781</v>
      </c>
      <c r="J1005" s="69" t="s">
        <v>64</v>
      </c>
      <c r="K1005" s="69" t="s">
        <v>772</v>
      </c>
      <c r="M1005" s="69" t="s">
        <v>6</v>
      </c>
    </row>
    <row r="1006" spans="2:13">
      <c r="B1006" s="69">
        <v>1004</v>
      </c>
      <c r="C1006" s="69">
        <v>100</v>
      </c>
      <c r="D1006" s="69">
        <v>10</v>
      </c>
      <c r="E1006" s="69">
        <v>9</v>
      </c>
      <c r="F1006" s="69">
        <v>0</v>
      </c>
      <c r="G1006" s="69" t="s">
        <v>22</v>
      </c>
      <c r="H1006" s="69" t="s">
        <v>9</v>
      </c>
      <c r="I1006" s="69" t="s">
        <v>781</v>
      </c>
      <c r="J1006" s="69" t="s">
        <v>55</v>
      </c>
      <c r="K1006" s="69" t="s">
        <v>93</v>
      </c>
      <c r="M1006" s="69" t="s">
        <v>6</v>
      </c>
    </row>
    <row r="1007" spans="2:13">
      <c r="B1007" s="69">
        <v>1005</v>
      </c>
      <c r="C1007" s="69">
        <v>100</v>
      </c>
      <c r="D1007" s="69">
        <v>10</v>
      </c>
      <c r="E1007" s="69">
        <v>10</v>
      </c>
      <c r="F1007" s="69">
        <v>0</v>
      </c>
      <c r="G1007" s="69" t="s">
        <v>22</v>
      </c>
      <c r="H1007" s="69" t="s">
        <v>9</v>
      </c>
      <c r="I1007" s="69" t="s">
        <v>781</v>
      </c>
      <c r="J1007" s="69" t="s">
        <v>64</v>
      </c>
      <c r="K1007" s="69" t="s">
        <v>94</v>
      </c>
      <c r="M1007" s="69" t="s">
        <v>6</v>
      </c>
    </row>
    <row r="1008" spans="2:13">
      <c r="B1008" s="69">
        <v>1006</v>
      </c>
      <c r="C1008" s="69">
        <v>101</v>
      </c>
      <c r="D1008" s="69">
        <v>7</v>
      </c>
      <c r="E1008" s="69">
        <v>0</v>
      </c>
      <c r="F1008" s="69">
        <v>0</v>
      </c>
      <c r="G1008" s="69" t="s">
        <v>22</v>
      </c>
      <c r="H1008" s="69" t="s">
        <v>9</v>
      </c>
      <c r="I1008" s="69" t="s">
        <v>789</v>
      </c>
      <c r="J1008" s="69" t="s">
        <v>478</v>
      </c>
      <c r="K1008" s="69" t="s">
        <v>789</v>
      </c>
      <c r="M1008" s="69" t="s">
        <v>6</v>
      </c>
    </row>
    <row r="1009" spans="2:13">
      <c r="B1009" s="69">
        <v>1007</v>
      </c>
      <c r="C1009" s="69">
        <v>101</v>
      </c>
      <c r="D1009" s="69">
        <v>7</v>
      </c>
      <c r="E1009" s="69">
        <v>1</v>
      </c>
      <c r="F1009" s="69">
        <v>0</v>
      </c>
      <c r="G1009" s="69" t="s">
        <v>22</v>
      </c>
      <c r="H1009" s="69" t="s">
        <v>9</v>
      </c>
      <c r="I1009" s="69" t="s">
        <v>789</v>
      </c>
      <c r="J1009" s="69" t="s">
        <v>55</v>
      </c>
      <c r="K1009" s="69" t="s">
        <v>790</v>
      </c>
      <c r="M1009" s="69" t="s">
        <v>6</v>
      </c>
    </row>
    <row r="1010" spans="2:13">
      <c r="B1010" s="69">
        <v>1008</v>
      </c>
      <c r="C1010" s="69">
        <v>101</v>
      </c>
      <c r="D1010" s="69">
        <v>7</v>
      </c>
      <c r="E1010" s="69">
        <v>2</v>
      </c>
      <c r="F1010" s="69">
        <v>0</v>
      </c>
      <c r="G1010" s="69" t="s">
        <v>22</v>
      </c>
      <c r="H1010" s="69" t="s">
        <v>9</v>
      </c>
      <c r="I1010" s="69" t="s">
        <v>789</v>
      </c>
      <c r="J1010" s="69" t="s">
        <v>55</v>
      </c>
      <c r="K1010" s="69" t="s">
        <v>791</v>
      </c>
      <c r="M1010" s="69" t="s">
        <v>6</v>
      </c>
    </row>
    <row r="1011" spans="2:13">
      <c r="B1011" s="69">
        <v>1009</v>
      </c>
      <c r="C1011" s="69">
        <v>101</v>
      </c>
      <c r="D1011" s="69">
        <v>7</v>
      </c>
      <c r="E1011" s="69">
        <v>3</v>
      </c>
      <c r="F1011" s="69">
        <v>0</v>
      </c>
      <c r="G1011" s="69" t="s">
        <v>22</v>
      </c>
      <c r="H1011" s="69" t="s">
        <v>9</v>
      </c>
      <c r="I1011" s="69" t="s">
        <v>789</v>
      </c>
      <c r="J1011" s="69" t="s">
        <v>55</v>
      </c>
      <c r="K1011" s="69" t="s">
        <v>792</v>
      </c>
      <c r="M1011" s="69" t="s">
        <v>6</v>
      </c>
    </row>
    <row r="1012" spans="2:13">
      <c r="B1012" s="69">
        <v>1010</v>
      </c>
      <c r="C1012" s="69">
        <v>101</v>
      </c>
      <c r="D1012" s="69">
        <v>7</v>
      </c>
      <c r="E1012" s="69">
        <v>4</v>
      </c>
      <c r="F1012" s="69">
        <v>0</v>
      </c>
      <c r="G1012" s="69" t="s">
        <v>22</v>
      </c>
      <c r="H1012" s="69" t="s">
        <v>9</v>
      </c>
      <c r="I1012" s="69" t="s">
        <v>789</v>
      </c>
      <c r="J1012" s="69" t="s">
        <v>55</v>
      </c>
      <c r="K1012" s="69" t="s">
        <v>793</v>
      </c>
      <c r="M1012" s="69" t="s">
        <v>6</v>
      </c>
    </row>
    <row r="1013" spans="2:13">
      <c r="B1013" s="69">
        <v>1011</v>
      </c>
      <c r="C1013" s="69">
        <v>101</v>
      </c>
      <c r="D1013" s="69">
        <v>7</v>
      </c>
      <c r="E1013" s="69">
        <v>5</v>
      </c>
      <c r="F1013" s="69">
        <v>0</v>
      </c>
      <c r="G1013" s="69" t="s">
        <v>22</v>
      </c>
      <c r="H1013" s="69" t="s">
        <v>9</v>
      </c>
      <c r="I1013" s="69" t="s">
        <v>789</v>
      </c>
      <c r="J1013" s="69" t="s">
        <v>55</v>
      </c>
      <c r="K1013" s="69" t="s">
        <v>794</v>
      </c>
      <c r="M1013" s="69" t="s">
        <v>6</v>
      </c>
    </row>
    <row r="1014" spans="2:13">
      <c r="B1014" s="69">
        <v>1012</v>
      </c>
      <c r="C1014" s="69">
        <v>101</v>
      </c>
      <c r="D1014" s="69">
        <v>7</v>
      </c>
      <c r="E1014" s="69">
        <v>6</v>
      </c>
      <c r="F1014" s="69">
        <v>0</v>
      </c>
      <c r="G1014" s="69" t="s">
        <v>22</v>
      </c>
      <c r="H1014" s="69" t="s">
        <v>9</v>
      </c>
      <c r="I1014" s="69" t="s">
        <v>789</v>
      </c>
      <c r="J1014" s="69" t="s">
        <v>55</v>
      </c>
      <c r="K1014" s="69" t="s">
        <v>93</v>
      </c>
      <c r="M1014" s="69" t="s">
        <v>6</v>
      </c>
    </row>
    <row r="1015" spans="2:13">
      <c r="B1015" s="69">
        <v>1013</v>
      </c>
      <c r="C1015" s="69">
        <v>101</v>
      </c>
      <c r="D1015" s="69">
        <v>7</v>
      </c>
      <c r="E1015" s="69">
        <v>7</v>
      </c>
      <c r="F1015" s="69">
        <v>0</v>
      </c>
      <c r="G1015" s="69" t="s">
        <v>22</v>
      </c>
      <c r="H1015" s="69" t="s">
        <v>9</v>
      </c>
      <c r="I1015" s="69" t="s">
        <v>789</v>
      </c>
      <c r="J1015" s="69" t="s">
        <v>64</v>
      </c>
      <c r="K1015" s="69" t="s">
        <v>94</v>
      </c>
      <c r="M1015" s="69" t="s">
        <v>6</v>
      </c>
    </row>
    <row r="1016" spans="2:13">
      <c r="B1016" s="69">
        <v>1014</v>
      </c>
      <c r="C1016" s="69">
        <v>102</v>
      </c>
      <c r="D1016" s="69">
        <v>9</v>
      </c>
      <c r="E1016" s="69">
        <v>0</v>
      </c>
      <c r="F1016" s="69">
        <v>0</v>
      </c>
      <c r="G1016" s="69" t="s">
        <v>22</v>
      </c>
      <c r="H1016" s="69" t="s">
        <v>9</v>
      </c>
      <c r="I1016" s="69" t="s">
        <v>795</v>
      </c>
      <c r="J1016" s="69" t="s">
        <v>54</v>
      </c>
      <c r="K1016" s="69" t="s">
        <v>795</v>
      </c>
      <c r="M1016" s="69" t="s">
        <v>6</v>
      </c>
    </row>
    <row r="1017" spans="2:13">
      <c r="B1017" s="69">
        <v>1015</v>
      </c>
      <c r="C1017" s="69">
        <v>102</v>
      </c>
      <c r="D1017" s="69">
        <v>9</v>
      </c>
      <c r="E1017" s="69">
        <v>1</v>
      </c>
      <c r="F1017" s="69">
        <v>0</v>
      </c>
      <c r="G1017" s="69" t="s">
        <v>22</v>
      </c>
      <c r="H1017" s="69" t="s">
        <v>9</v>
      </c>
      <c r="I1017" s="69" t="s">
        <v>795</v>
      </c>
      <c r="J1017" s="69" t="s">
        <v>55</v>
      </c>
      <c r="K1017" s="69" t="s">
        <v>757</v>
      </c>
      <c r="M1017" s="69" t="s">
        <v>6</v>
      </c>
    </row>
    <row r="1018" spans="2:13">
      <c r="B1018" s="69">
        <v>1016</v>
      </c>
      <c r="C1018" s="69">
        <v>102</v>
      </c>
      <c r="D1018" s="69">
        <v>9</v>
      </c>
      <c r="E1018" s="69">
        <v>2</v>
      </c>
      <c r="F1018" s="69">
        <v>0</v>
      </c>
      <c r="G1018" s="69" t="s">
        <v>22</v>
      </c>
      <c r="H1018" s="69" t="s">
        <v>9</v>
      </c>
      <c r="I1018" s="69" t="s">
        <v>795</v>
      </c>
      <c r="J1018" s="69" t="s">
        <v>55</v>
      </c>
      <c r="K1018" s="69" t="s">
        <v>758</v>
      </c>
      <c r="M1018" s="69" t="s">
        <v>6</v>
      </c>
    </row>
    <row r="1019" spans="2:13">
      <c r="B1019" s="69">
        <v>1017</v>
      </c>
      <c r="C1019" s="69">
        <v>102</v>
      </c>
      <c r="D1019" s="69">
        <v>9</v>
      </c>
      <c r="E1019" s="69">
        <v>3</v>
      </c>
      <c r="F1019" s="69">
        <v>0</v>
      </c>
      <c r="G1019" s="69" t="s">
        <v>22</v>
      </c>
      <c r="H1019" s="69" t="s">
        <v>9</v>
      </c>
      <c r="I1019" s="69" t="s">
        <v>795</v>
      </c>
      <c r="J1019" s="69" t="s">
        <v>55</v>
      </c>
      <c r="K1019" s="69" t="s">
        <v>759</v>
      </c>
      <c r="M1019" s="69" t="s">
        <v>6</v>
      </c>
    </row>
    <row r="1020" spans="2:13">
      <c r="B1020" s="69">
        <v>1018</v>
      </c>
      <c r="C1020" s="69">
        <v>102</v>
      </c>
      <c r="D1020" s="69">
        <v>9</v>
      </c>
      <c r="E1020" s="69">
        <v>4</v>
      </c>
      <c r="F1020" s="69">
        <v>0</v>
      </c>
      <c r="G1020" s="69" t="s">
        <v>22</v>
      </c>
      <c r="H1020" s="69" t="s">
        <v>9</v>
      </c>
      <c r="I1020" s="69" t="s">
        <v>795</v>
      </c>
      <c r="J1020" s="69" t="s">
        <v>55</v>
      </c>
      <c r="K1020" s="69" t="s">
        <v>760</v>
      </c>
      <c r="M1020" s="69" t="s">
        <v>6</v>
      </c>
    </row>
    <row r="1021" spans="2:13">
      <c r="B1021" s="69">
        <v>1019</v>
      </c>
      <c r="C1021" s="69">
        <v>102</v>
      </c>
      <c r="D1021" s="69">
        <v>9</v>
      </c>
      <c r="E1021" s="69">
        <v>5</v>
      </c>
      <c r="F1021" s="69">
        <v>0</v>
      </c>
      <c r="G1021" s="69" t="s">
        <v>22</v>
      </c>
      <c r="H1021" s="69" t="s">
        <v>9</v>
      </c>
      <c r="I1021" s="69" t="s">
        <v>795</v>
      </c>
      <c r="J1021" s="69" t="s">
        <v>55</v>
      </c>
      <c r="K1021" s="69" t="s">
        <v>761</v>
      </c>
      <c r="M1021" s="69" t="s">
        <v>6</v>
      </c>
    </row>
    <row r="1022" spans="2:13">
      <c r="B1022" s="69">
        <v>1020</v>
      </c>
      <c r="C1022" s="69">
        <v>102</v>
      </c>
      <c r="D1022" s="69">
        <v>9</v>
      </c>
      <c r="E1022" s="69">
        <v>6</v>
      </c>
      <c r="F1022" s="69">
        <v>0</v>
      </c>
      <c r="G1022" s="69" t="s">
        <v>22</v>
      </c>
      <c r="H1022" s="69" t="s">
        <v>9</v>
      </c>
      <c r="I1022" s="69" t="s">
        <v>795</v>
      </c>
      <c r="J1022" s="69" t="s">
        <v>55</v>
      </c>
      <c r="K1022" s="69" t="s">
        <v>762</v>
      </c>
      <c r="M1022" s="69" t="s">
        <v>6</v>
      </c>
    </row>
    <row r="1023" spans="2:13">
      <c r="B1023" s="69">
        <v>1021</v>
      </c>
      <c r="C1023" s="69">
        <v>102</v>
      </c>
      <c r="D1023" s="69">
        <v>9</v>
      </c>
      <c r="E1023" s="69">
        <v>7</v>
      </c>
      <c r="F1023" s="69">
        <v>0</v>
      </c>
      <c r="G1023" s="69" t="s">
        <v>22</v>
      </c>
      <c r="H1023" s="69" t="s">
        <v>9</v>
      </c>
      <c r="I1023" s="69" t="s">
        <v>795</v>
      </c>
      <c r="J1023" s="69" t="s">
        <v>55</v>
      </c>
      <c r="K1023" s="69" t="s">
        <v>763</v>
      </c>
      <c r="M1023" s="69" t="s">
        <v>6</v>
      </c>
    </row>
    <row r="1024" spans="2:13">
      <c r="B1024" s="69">
        <v>1022</v>
      </c>
      <c r="C1024" s="69">
        <v>102</v>
      </c>
      <c r="D1024" s="69">
        <v>9</v>
      </c>
      <c r="E1024" s="69">
        <v>8</v>
      </c>
      <c r="F1024" s="69">
        <v>0</v>
      </c>
      <c r="G1024" s="69" t="s">
        <v>22</v>
      </c>
      <c r="H1024" s="69" t="s">
        <v>9</v>
      </c>
      <c r="I1024" s="69" t="s">
        <v>795</v>
      </c>
      <c r="J1024" s="69" t="s">
        <v>55</v>
      </c>
      <c r="K1024" s="69" t="s">
        <v>93</v>
      </c>
      <c r="M1024" s="69" t="s">
        <v>6</v>
      </c>
    </row>
    <row r="1025" spans="2:13">
      <c r="B1025" s="69">
        <v>1023</v>
      </c>
      <c r="C1025" s="69">
        <v>102</v>
      </c>
      <c r="D1025" s="69">
        <v>9</v>
      </c>
      <c r="E1025" s="69">
        <v>9</v>
      </c>
      <c r="F1025" s="69">
        <v>0</v>
      </c>
      <c r="G1025" s="69" t="s">
        <v>22</v>
      </c>
      <c r="H1025" s="69" t="s">
        <v>9</v>
      </c>
      <c r="I1025" s="69" t="s">
        <v>795</v>
      </c>
      <c r="J1025" s="69" t="s">
        <v>64</v>
      </c>
      <c r="K1025" s="69" t="s">
        <v>94</v>
      </c>
      <c r="M1025" s="69" t="s">
        <v>6</v>
      </c>
    </row>
    <row r="1026" spans="2:13">
      <c r="B1026" s="69">
        <v>1024</v>
      </c>
      <c r="C1026" s="69">
        <v>103</v>
      </c>
      <c r="D1026" s="69">
        <v>9</v>
      </c>
      <c r="E1026" s="69">
        <v>0</v>
      </c>
      <c r="F1026" s="69">
        <v>0</v>
      </c>
      <c r="G1026" s="69" t="s">
        <v>22</v>
      </c>
      <c r="H1026" s="69" t="s">
        <v>9</v>
      </c>
      <c r="I1026" s="69" t="s">
        <v>796</v>
      </c>
      <c r="J1026" s="69" t="s">
        <v>54</v>
      </c>
      <c r="K1026" s="69" t="s">
        <v>796</v>
      </c>
      <c r="M1026" s="69" t="s">
        <v>6</v>
      </c>
    </row>
    <row r="1027" spans="2:13">
      <c r="B1027" s="69">
        <v>1025</v>
      </c>
      <c r="C1027" s="69">
        <v>103</v>
      </c>
      <c r="D1027" s="69">
        <v>9</v>
      </c>
      <c r="E1027" s="69">
        <v>1</v>
      </c>
      <c r="F1027" s="69">
        <v>0</v>
      </c>
      <c r="G1027" s="69" t="s">
        <v>22</v>
      </c>
      <c r="H1027" s="69" t="s">
        <v>9</v>
      </c>
      <c r="I1027" s="69" t="s">
        <v>796</v>
      </c>
      <c r="J1027" s="69" t="s">
        <v>55</v>
      </c>
      <c r="K1027" s="69" t="s">
        <v>757</v>
      </c>
      <c r="M1027" s="69" t="s">
        <v>6</v>
      </c>
    </row>
    <row r="1028" spans="2:13">
      <c r="B1028" s="69">
        <v>1026</v>
      </c>
      <c r="C1028" s="69">
        <v>103</v>
      </c>
      <c r="D1028" s="69">
        <v>9</v>
      </c>
      <c r="E1028" s="69">
        <v>2</v>
      </c>
      <c r="F1028" s="69">
        <v>0</v>
      </c>
      <c r="G1028" s="69" t="s">
        <v>22</v>
      </c>
      <c r="H1028" s="69" t="s">
        <v>9</v>
      </c>
      <c r="I1028" s="69" t="s">
        <v>796</v>
      </c>
      <c r="J1028" s="69" t="s">
        <v>55</v>
      </c>
      <c r="K1028" s="69" t="s">
        <v>758</v>
      </c>
      <c r="M1028" s="69" t="s">
        <v>6</v>
      </c>
    </row>
    <row r="1029" spans="2:13">
      <c r="B1029" s="69">
        <v>1027</v>
      </c>
      <c r="C1029" s="69">
        <v>103</v>
      </c>
      <c r="D1029" s="69">
        <v>9</v>
      </c>
      <c r="E1029" s="69">
        <v>3</v>
      </c>
      <c r="F1029" s="69">
        <v>0</v>
      </c>
      <c r="G1029" s="69" t="s">
        <v>22</v>
      </c>
      <c r="H1029" s="69" t="s">
        <v>9</v>
      </c>
      <c r="I1029" s="69" t="s">
        <v>796</v>
      </c>
      <c r="J1029" s="69" t="s">
        <v>55</v>
      </c>
      <c r="K1029" s="69" t="s">
        <v>759</v>
      </c>
      <c r="M1029" s="69" t="s">
        <v>6</v>
      </c>
    </row>
    <row r="1030" spans="2:13">
      <c r="B1030" s="69">
        <v>1028</v>
      </c>
      <c r="C1030" s="69">
        <v>103</v>
      </c>
      <c r="D1030" s="69">
        <v>9</v>
      </c>
      <c r="E1030" s="69">
        <v>4</v>
      </c>
      <c r="F1030" s="69">
        <v>0</v>
      </c>
      <c r="G1030" s="69" t="s">
        <v>22</v>
      </c>
      <c r="H1030" s="69" t="s">
        <v>9</v>
      </c>
      <c r="I1030" s="69" t="s">
        <v>796</v>
      </c>
      <c r="J1030" s="69" t="s">
        <v>55</v>
      </c>
      <c r="K1030" s="69" t="s">
        <v>760</v>
      </c>
      <c r="M1030" s="69" t="s">
        <v>6</v>
      </c>
    </row>
    <row r="1031" spans="2:13">
      <c r="B1031" s="69">
        <v>1029</v>
      </c>
      <c r="C1031" s="69">
        <v>103</v>
      </c>
      <c r="D1031" s="69">
        <v>9</v>
      </c>
      <c r="E1031" s="69">
        <v>5</v>
      </c>
      <c r="F1031" s="69">
        <v>0</v>
      </c>
      <c r="G1031" s="69" t="s">
        <v>22</v>
      </c>
      <c r="H1031" s="69" t="s">
        <v>9</v>
      </c>
      <c r="I1031" s="69" t="s">
        <v>796</v>
      </c>
      <c r="J1031" s="69" t="s">
        <v>55</v>
      </c>
      <c r="K1031" s="69" t="s">
        <v>761</v>
      </c>
      <c r="M1031" s="69" t="s">
        <v>6</v>
      </c>
    </row>
    <row r="1032" spans="2:13">
      <c r="B1032" s="69">
        <v>1030</v>
      </c>
      <c r="C1032" s="69">
        <v>103</v>
      </c>
      <c r="D1032" s="69">
        <v>9</v>
      </c>
      <c r="E1032" s="69">
        <v>6</v>
      </c>
      <c r="F1032" s="69">
        <v>0</v>
      </c>
      <c r="G1032" s="69" t="s">
        <v>22</v>
      </c>
      <c r="H1032" s="69" t="s">
        <v>9</v>
      </c>
      <c r="I1032" s="69" t="s">
        <v>796</v>
      </c>
      <c r="J1032" s="69" t="s">
        <v>55</v>
      </c>
      <c r="K1032" s="69" t="s">
        <v>762</v>
      </c>
      <c r="M1032" s="69" t="s">
        <v>6</v>
      </c>
    </row>
    <row r="1033" spans="2:13">
      <c r="B1033" s="69">
        <v>1031</v>
      </c>
      <c r="C1033" s="69">
        <v>103</v>
      </c>
      <c r="D1033" s="69">
        <v>9</v>
      </c>
      <c r="E1033" s="69">
        <v>7</v>
      </c>
      <c r="F1033" s="69">
        <v>0</v>
      </c>
      <c r="G1033" s="69" t="s">
        <v>22</v>
      </c>
      <c r="H1033" s="69" t="s">
        <v>9</v>
      </c>
      <c r="I1033" s="69" t="s">
        <v>796</v>
      </c>
      <c r="J1033" s="69" t="s">
        <v>55</v>
      </c>
      <c r="K1033" s="69" t="s">
        <v>763</v>
      </c>
      <c r="M1033" s="69" t="s">
        <v>6</v>
      </c>
    </row>
    <row r="1034" spans="2:13">
      <c r="B1034" s="69">
        <v>1032</v>
      </c>
      <c r="C1034" s="69">
        <v>103</v>
      </c>
      <c r="D1034" s="69">
        <v>9</v>
      </c>
      <c r="E1034" s="69">
        <v>8</v>
      </c>
      <c r="F1034" s="69">
        <v>0</v>
      </c>
      <c r="G1034" s="69" t="s">
        <v>22</v>
      </c>
      <c r="H1034" s="69" t="s">
        <v>9</v>
      </c>
      <c r="I1034" s="69" t="s">
        <v>796</v>
      </c>
      <c r="J1034" s="69" t="s">
        <v>55</v>
      </c>
      <c r="K1034" s="69" t="s">
        <v>93</v>
      </c>
      <c r="M1034" s="69" t="s">
        <v>6</v>
      </c>
    </row>
    <row r="1035" spans="2:13">
      <c r="B1035" s="69">
        <v>1033</v>
      </c>
      <c r="C1035" s="69">
        <v>103</v>
      </c>
      <c r="D1035" s="69">
        <v>9</v>
      </c>
      <c r="E1035" s="69">
        <v>9</v>
      </c>
      <c r="F1035" s="69">
        <v>0</v>
      </c>
      <c r="G1035" s="69" t="s">
        <v>22</v>
      </c>
      <c r="H1035" s="69" t="s">
        <v>9</v>
      </c>
      <c r="I1035" s="69" t="s">
        <v>796</v>
      </c>
      <c r="J1035" s="69" t="s">
        <v>64</v>
      </c>
      <c r="K1035" s="69" t="s">
        <v>94</v>
      </c>
      <c r="M1035" s="69" t="s">
        <v>6</v>
      </c>
    </row>
    <row r="1036" spans="2:13">
      <c r="B1036" s="69">
        <v>1034</v>
      </c>
      <c r="C1036" s="69">
        <v>104</v>
      </c>
      <c r="D1036" s="69">
        <v>13</v>
      </c>
      <c r="E1036" s="69">
        <v>0</v>
      </c>
      <c r="F1036" s="69">
        <v>0</v>
      </c>
      <c r="G1036" s="69" t="s">
        <v>22</v>
      </c>
      <c r="H1036" s="69" t="s">
        <v>9</v>
      </c>
      <c r="I1036" s="69" t="s">
        <v>797</v>
      </c>
      <c r="J1036" s="69" t="s">
        <v>478</v>
      </c>
      <c r="K1036" s="69" t="s">
        <v>797</v>
      </c>
      <c r="M1036" s="69" t="s">
        <v>6</v>
      </c>
    </row>
    <row r="1037" spans="2:13">
      <c r="B1037" s="69">
        <v>1035</v>
      </c>
      <c r="C1037" s="69">
        <v>104</v>
      </c>
      <c r="D1037" s="69">
        <v>13</v>
      </c>
      <c r="E1037" s="69">
        <v>1</v>
      </c>
      <c r="F1037" s="69">
        <v>0</v>
      </c>
      <c r="G1037" s="69" t="s">
        <v>22</v>
      </c>
      <c r="H1037" s="69" t="s">
        <v>9</v>
      </c>
      <c r="I1037" s="69" t="s">
        <v>797</v>
      </c>
      <c r="J1037" s="69" t="s">
        <v>479</v>
      </c>
      <c r="K1037" s="69" t="s">
        <v>711</v>
      </c>
      <c r="M1037" s="69" t="s">
        <v>6</v>
      </c>
    </row>
    <row r="1038" spans="2:13">
      <c r="B1038" s="69">
        <v>1036</v>
      </c>
      <c r="C1038" s="69">
        <v>104</v>
      </c>
      <c r="D1038" s="69">
        <v>13</v>
      </c>
      <c r="E1038" s="69">
        <v>2</v>
      </c>
      <c r="F1038" s="69">
        <v>0</v>
      </c>
      <c r="G1038" s="69" t="s">
        <v>22</v>
      </c>
      <c r="H1038" s="69" t="s">
        <v>9</v>
      </c>
      <c r="I1038" s="69" t="s">
        <v>797</v>
      </c>
      <c r="J1038" s="69" t="s">
        <v>55</v>
      </c>
      <c r="K1038" s="69" t="s">
        <v>712</v>
      </c>
      <c r="M1038" s="69" t="s">
        <v>6</v>
      </c>
    </row>
    <row r="1039" spans="2:13">
      <c r="B1039" s="69">
        <v>1037</v>
      </c>
      <c r="C1039" s="69">
        <v>104</v>
      </c>
      <c r="D1039" s="69">
        <v>13</v>
      </c>
      <c r="E1039" s="69">
        <v>3</v>
      </c>
      <c r="F1039" s="69">
        <v>0</v>
      </c>
      <c r="G1039" s="69" t="s">
        <v>22</v>
      </c>
      <c r="H1039" s="69" t="s">
        <v>9</v>
      </c>
      <c r="I1039" s="69" t="s">
        <v>797</v>
      </c>
      <c r="J1039" s="69" t="s">
        <v>55</v>
      </c>
      <c r="K1039" s="69" t="s">
        <v>713</v>
      </c>
      <c r="M1039" s="69" t="s">
        <v>6</v>
      </c>
    </row>
    <row r="1040" spans="2:13">
      <c r="B1040" s="69">
        <v>1038</v>
      </c>
      <c r="C1040" s="69">
        <v>104</v>
      </c>
      <c r="D1040" s="69">
        <v>13</v>
      </c>
      <c r="E1040" s="69">
        <v>4</v>
      </c>
      <c r="F1040" s="69">
        <v>0</v>
      </c>
      <c r="G1040" s="69" t="s">
        <v>22</v>
      </c>
      <c r="H1040" s="69" t="s">
        <v>9</v>
      </c>
      <c r="I1040" s="69" t="s">
        <v>797</v>
      </c>
      <c r="J1040" s="69" t="s">
        <v>479</v>
      </c>
      <c r="K1040" s="69" t="s">
        <v>714</v>
      </c>
      <c r="M1040" s="69" t="s">
        <v>6</v>
      </c>
    </row>
    <row r="1041" spans="2:13">
      <c r="B1041" s="69">
        <v>1039</v>
      </c>
      <c r="C1041" s="69">
        <v>104</v>
      </c>
      <c r="D1041" s="69">
        <v>13</v>
      </c>
      <c r="E1041" s="69">
        <v>5</v>
      </c>
      <c r="F1041" s="69">
        <v>0</v>
      </c>
      <c r="G1041" s="69" t="s">
        <v>22</v>
      </c>
      <c r="H1041" s="69" t="s">
        <v>9</v>
      </c>
      <c r="I1041" s="69" t="s">
        <v>797</v>
      </c>
      <c r="J1041" s="69" t="s">
        <v>55</v>
      </c>
      <c r="K1041" s="69" t="s">
        <v>798</v>
      </c>
      <c r="M1041" s="69" t="s">
        <v>6</v>
      </c>
    </row>
    <row r="1042" spans="2:13">
      <c r="B1042" s="69">
        <v>1040</v>
      </c>
      <c r="C1042" s="69">
        <v>104</v>
      </c>
      <c r="D1042" s="69">
        <v>13</v>
      </c>
      <c r="E1042" s="69">
        <v>6</v>
      </c>
      <c r="F1042" s="69">
        <v>0</v>
      </c>
      <c r="G1042" s="69" t="s">
        <v>22</v>
      </c>
      <c r="H1042" s="69" t="s">
        <v>9</v>
      </c>
      <c r="I1042" s="69" t="s">
        <v>797</v>
      </c>
      <c r="J1042" s="69" t="s">
        <v>55</v>
      </c>
      <c r="K1042" s="69" t="s">
        <v>799</v>
      </c>
      <c r="M1042" s="69" t="s">
        <v>6</v>
      </c>
    </row>
    <row r="1043" spans="2:13">
      <c r="B1043" s="69">
        <v>1041</v>
      </c>
      <c r="C1043" s="69">
        <v>104</v>
      </c>
      <c r="D1043" s="69">
        <v>13</v>
      </c>
      <c r="E1043" s="69">
        <v>7</v>
      </c>
      <c r="F1043" s="69">
        <v>0</v>
      </c>
      <c r="G1043" s="69" t="s">
        <v>22</v>
      </c>
      <c r="H1043" s="69" t="s">
        <v>9</v>
      </c>
      <c r="I1043" s="69" t="s">
        <v>797</v>
      </c>
      <c r="J1043" s="69" t="s">
        <v>55</v>
      </c>
      <c r="K1043" s="69" t="s">
        <v>800</v>
      </c>
      <c r="M1043" s="69" t="s">
        <v>6</v>
      </c>
    </row>
    <row r="1044" spans="2:13">
      <c r="B1044" s="69">
        <v>1042</v>
      </c>
      <c r="C1044" s="69">
        <v>104</v>
      </c>
      <c r="D1044" s="69">
        <v>13</v>
      </c>
      <c r="E1044" s="69">
        <v>8</v>
      </c>
      <c r="F1044" s="69">
        <v>0</v>
      </c>
      <c r="G1044" s="69" t="s">
        <v>22</v>
      </c>
      <c r="H1044" s="69" t="s">
        <v>9</v>
      </c>
      <c r="I1044" s="69" t="s">
        <v>797</v>
      </c>
      <c r="J1044" s="69" t="s">
        <v>55</v>
      </c>
      <c r="K1044" s="69" t="s">
        <v>801</v>
      </c>
      <c r="M1044" s="69" t="s">
        <v>6</v>
      </c>
    </row>
    <row r="1045" spans="2:13">
      <c r="B1045" s="69">
        <v>1043</v>
      </c>
      <c r="C1045" s="69">
        <v>104</v>
      </c>
      <c r="D1045" s="69">
        <v>13</v>
      </c>
      <c r="E1045" s="69">
        <v>9</v>
      </c>
      <c r="F1045" s="69">
        <v>0</v>
      </c>
      <c r="G1045" s="69" t="s">
        <v>22</v>
      </c>
      <c r="H1045" s="69" t="s">
        <v>9</v>
      </c>
      <c r="I1045" s="69" t="s">
        <v>797</v>
      </c>
      <c r="J1045" s="69" t="s">
        <v>55</v>
      </c>
      <c r="K1045" s="69" t="s">
        <v>718</v>
      </c>
      <c r="M1045" s="69" t="s">
        <v>6</v>
      </c>
    </row>
    <row r="1046" spans="2:13">
      <c r="B1046" s="69">
        <v>1044</v>
      </c>
      <c r="C1046" s="69">
        <v>104</v>
      </c>
      <c r="D1046" s="69">
        <v>13</v>
      </c>
      <c r="E1046" s="69">
        <v>10</v>
      </c>
      <c r="F1046" s="69">
        <v>0</v>
      </c>
      <c r="G1046" s="69" t="s">
        <v>22</v>
      </c>
      <c r="H1046" s="69" t="s">
        <v>9</v>
      </c>
      <c r="I1046" s="69" t="s">
        <v>797</v>
      </c>
      <c r="J1046" s="69" t="s">
        <v>55</v>
      </c>
      <c r="K1046" s="69" t="s">
        <v>719</v>
      </c>
      <c r="M1046" s="69" t="s">
        <v>6</v>
      </c>
    </row>
    <row r="1047" spans="2:13">
      <c r="B1047" s="69">
        <v>1045</v>
      </c>
      <c r="C1047" s="69">
        <v>104</v>
      </c>
      <c r="D1047" s="69">
        <v>13</v>
      </c>
      <c r="E1047" s="69">
        <v>11</v>
      </c>
      <c r="F1047" s="69">
        <v>0</v>
      </c>
      <c r="G1047" s="69" t="s">
        <v>22</v>
      </c>
      <c r="H1047" s="69" t="s">
        <v>9</v>
      </c>
      <c r="I1047" s="69" t="s">
        <v>797</v>
      </c>
      <c r="J1047" s="69" t="s">
        <v>55</v>
      </c>
      <c r="K1047" s="69" t="s">
        <v>802</v>
      </c>
      <c r="M1047" s="69" t="s">
        <v>6</v>
      </c>
    </row>
    <row r="1048" spans="2:13">
      <c r="B1048" s="69">
        <v>1046</v>
      </c>
      <c r="C1048" s="69">
        <v>104</v>
      </c>
      <c r="D1048" s="69">
        <v>13</v>
      </c>
      <c r="E1048" s="69">
        <v>12</v>
      </c>
      <c r="F1048" s="69">
        <v>0</v>
      </c>
      <c r="G1048" s="69" t="s">
        <v>22</v>
      </c>
      <c r="H1048" s="69" t="s">
        <v>9</v>
      </c>
      <c r="I1048" s="69" t="s">
        <v>797</v>
      </c>
      <c r="J1048" s="69" t="s">
        <v>55</v>
      </c>
      <c r="K1048" s="69" t="s">
        <v>93</v>
      </c>
      <c r="M1048" s="69" t="s">
        <v>6</v>
      </c>
    </row>
    <row r="1049" spans="2:13">
      <c r="B1049" s="69">
        <v>1047</v>
      </c>
      <c r="C1049" s="69">
        <v>104</v>
      </c>
      <c r="D1049" s="69">
        <v>13</v>
      </c>
      <c r="E1049" s="69">
        <v>13</v>
      </c>
      <c r="F1049" s="69">
        <v>0</v>
      </c>
      <c r="G1049" s="69" t="s">
        <v>22</v>
      </c>
      <c r="H1049" s="69" t="s">
        <v>9</v>
      </c>
      <c r="I1049" s="69" t="s">
        <v>797</v>
      </c>
      <c r="J1049" s="69" t="s">
        <v>64</v>
      </c>
      <c r="K1049" s="69" t="s">
        <v>94</v>
      </c>
      <c r="M1049" s="69" t="s">
        <v>6</v>
      </c>
    </row>
    <row r="1050" spans="2:13">
      <c r="B1050" s="69">
        <v>1048</v>
      </c>
      <c r="C1050" s="69">
        <v>105</v>
      </c>
      <c r="D1050" s="69">
        <v>9</v>
      </c>
      <c r="E1050" s="69">
        <v>0</v>
      </c>
      <c r="F1050" s="69">
        <v>0</v>
      </c>
      <c r="G1050" s="69" t="s">
        <v>22</v>
      </c>
      <c r="H1050" s="69" t="s">
        <v>9</v>
      </c>
      <c r="I1050" s="69" t="s">
        <v>803</v>
      </c>
      <c r="J1050" s="69" t="s">
        <v>54</v>
      </c>
      <c r="K1050" s="69" t="s">
        <v>803</v>
      </c>
      <c r="M1050" s="69" t="s">
        <v>6</v>
      </c>
    </row>
    <row r="1051" spans="2:13">
      <c r="B1051" s="69">
        <v>1049</v>
      </c>
      <c r="C1051" s="69">
        <v>105</v>
      </c>
      <c r="D1051" s="69">
        <v>9</v>
      </c>
      <c r="E1051" s="69">
        <v>1</v>
      </c>
      <c r="F1051" s="69">
        <v>0</v>
      </c>
      <c r="G1051" s="69" t="s">
        <v>22</v>
      </c>
      <c r="H1051" s="69" t="s">
        <v>9</v>
      </c>
      <c r="I1051" s="69" t="s">
        <v>803</v>
      </c>
      <c r="J1051" s="69" t="s">
        <v>55</v>
      </c>
      <c r="K1051" s="69" t="s">
        <v>804</v>
      </c>
      <c r="M1051" s="69" t="s">
        <v>6</v>
      </c>
    </row>
    <row r="1052" spans="2:13">
      <c r="B1052" s="69">
        <v>1050</v>
      </c>
      <c r="C1052" s="69">
        <v>105</v>
      </c>
      <c r="D1052" s="69">
        <v>9</v>
      </c>
      <c r="E1052" s="69">
        <v>2</v>
      </c>
      <c r="F1052" s="69">
        <v>0</v>
      </c>
      <c r="G1052" s="69" t="s">
        <v>22</v>
      </c>
      <c r="H1052" s="69" t="s">
        <v>9</v>
      </c>
      <c r="I1052" s="69" t="s">
        <v>803</v>
      </c>
      <c r="J1052" s="69" t="s">
        <v>55</v>
      </c>
      <c r="K1052" s="69" t="s">
        <v>805</v>
      </c>
      <c r="M1052" s="69" t="s">
        <v>6</v>
      </c>
    </row>
    <row r="1053" spans="2:13">
      <c r="B1053" s="69">
        <v>1051</v>
      </c>
      <c r="C1053" s="69">
        <v>105</v>
      </c>
      <c r="D1053" s="69">
        <v>9</v>
      </c>
      <c r="E1053" s="69">
        <v>3</v>
      </c>
      <c r="F1053" s="69">
        <v>0</v>
      </c>
      <c r="G1053" s="69" t="s">
        <v>22</v>
      </c>
      <c r="H1053" s="69" t="s">
        <v>9</v>
      </c>
      <c r="I1053" s="69" t="s">
        <v>803</v>
      </c>
      <c r="J1053" s="69" t="s">
        <v>55</v>
      </c>
      <c r="K1053" s="69" t="s">
        <v>806</v>
      </c>
      <c r="M1053" s="69" t="s">
        <v>6</v>
      </c>
    </row>
    <row r="1054" spans="2:13">
      <c r="B1054" s="69">
        <v>1052</v>
      </c>
      <c r="C1054" s="69">
        <v>105</v>
      </c>
      <c r="D1054" s="69">
        <v>9</v>
      </c>
      <c r="E1054" s="69">
        <v>4</v>
      </c>
      <c r="F1054" s="69">
        <v>0</v>
      </c>
      <c r="G1054" s="69" t="s">
        <v>22</v>
      </c>
      <c r="H1054" s="69" t="s">
        <v>9</v>
      </c>
      <c r="I1054" s="69" t="s">
        <v>803</v>
      </c>
      <c r="J1054" s="69" t="s">
        <v>55</v>
      </c>
      <c r="K1054" s="69" t="s">
        <v>807</v>
      </c>
      <c r="M1054" s="69" t="s">
        <v>6</v>
      </c>
    </row>
    <row r="1055" spans="2:13">
      <c r="B1055" s="69">
        <v>1053</v>
      </c>
      <c r="C1055" s="69">
        <v>105</v>
      </c>
      <c r="D1055" s="69">
        <v>9</v>
      </c>
      <c r="E1055" s="69">
        <v>5</v>
      </c>
      <c r="F1055" s="69">
        <v>0</v>
      </c>
      <c r="G1055" s="69" t="s">
        <v>22</v>
      </c>
      <c r="H1055" s="69" t="s">
        <v>9</v>
      </c>
      <c r="I1055" s="69" t="s">
        <v>803</v>
      </c>
      <c r="J1055" s="69" t="s">
        <v>55</v>
      </c>
      <c r="K1055" s="69" t="s">
        <v>808</v>
      </c>
      <c r="M1055" s="69" t="s">
        <v>6</v>
      </c>
    </row>
    <row r="1056" spans="2:13">
      <c r="B1056" s="69">
        <v>1054</v>
      </c>
      <c r="C1056" s="69">
        <v>105</v>
      </c>
      <c r="D1056" s="69">
        <v>9</v>
      </c>
      <c r="E1056" s="69">
        <v>6</v>
      </c>
      <c r="F1056" s="69">
        <v>0</v>
      </c>
      <c r="G1056" s="69" t="s">
        <v>22</v>
      </c>
      <c r="H1056" s="69" t="s">
        <v>9</v>
      </c>
      <c r="I1056" s="69" t="s">
        <v>803</v>
      </c>
      <c r="J1056" s="69" t="s">
        <v>55</v>
      </c>
      <c r="K1056" s="69" t="s">
        <v>809</v>
      </c>
      <c r="M1056" s="69" t="s">
        <v>6</v>
      </c>
    </row>
    <row r="1057" spans="2:13">
      <c r="B1057" s="69">
        <v>1055</v>
      </c>
      <c r="C1057" s="69">
        <v>105</v>
      </c>
      <c r="D1057" s="69">
        <v>9</v>
      </c>
      <c r="E1057" s="69">
        <v>7</v>
      </c>
      <c r="F1057" s="69">
        <v>0</v>
      </c>
      <c r="G1057" s="69" t="s">
        <v>22</v>
      </c>
      <c r="H1057" s="69" t="s">
        <v>9</v>
      </c>
      <c r="I1057" s="69" t="s">
        <v>803</v>
      </c>
      <c r="J1057" s="69" t="s">
        <v>55</v>
      </c>
      <c r="K1057" s="69" t="s">
        <v>810</v>
      </c>
      <c r="M1057" s="69" t="s">
        <v>6</v>
      </c>
    </row>
    <row r="1058" spans="2:13">
      <c r="B1058" s="69">
        <v>1056</v>
      </c>
      <c r="C1058" s="69">
        <v>105</v>
      </c>
      <c r="D1058" s="69">
        <v>9</v>
      </c>
      <c r="E1058" s="69">
        <v>8</v>
      </c>
      <c r="F1058" s="69">
        <v>0</v>
      </c>
      <c r="G1058" s="69" t="s">
        <v>22</v>
      </c>
      <c r="H1058" s="69" t="s">
        <v>9</v>
      </c>
      <c r="I1058" s="69" t="s">
        <v>803</v>
      </c>
      <c r="J1058" s="69" t="s">
        <v>55</v>
      </c>
      <c r="K1058" s="69" t="s">
        <v>93</v>
      </c>
      <c r="M1058" s="69" t="s">
        <v>6</v>
      </c>
    </row>
    <row r="1059" spans="2:13">
      <c r="B1059" s="69">
        <v>1057</v>
      </c>
      <c r="C1059" s="69">
        <v>105</v>
      </c>
      <c r="D1059" s="69">
        <v>9</v>
      </c>
      <c r="E1059" s="69">
        <v>9</v>
      </c>
      <c r="F1059" s="69">
        <v>0</v>
      </c>
      <c r="G1059" s="69" t="s">
        <v>22</v>
      </c>
      <c r="H1059" s="69" t="s">
        <v>9</v>
      </c>
      <c r="I1059" s="69" t="s">
        <v>803</v>
      </c>
      <c r="J1059" s="69" t="s">
        <v>64</v>
      </c>
      <c r="K1059" s="69" t="s">
        <v>94</v>
      </c>
      <c r="M1059" s="69" t="s">
        <v>6</v>
      </c>
    </row>
    <row r="1060" spans="2:13">
      <c r="B1060" s="69">
        <v>1058</v>
      </c>
      <c r="C1060" s="69">
        <v>106</v>
      </c>
      <c r="D1060" s="69">
        <v>11</v>
      </c>
      <c r="E1060" s="69">
        <v>0</v>
      </c>
      <c r="F1060" s="69">
        <v>0</v>
      </c>
      <c r="G1060" s="69" t="s">
        <v>22</v>
      </c>
      <c r="H1060" s="69" t="s">
        <v>9</v>
      </c>
      <c r="I1060" s="69" t="s">
        <v>811</v>
      </c>
      <c r="J1060" s="69" t="s">
        <v>54</v>
      </c>
      <c r="K1060" s="69" t="s">
        <v>811</v>
      </c>
      <c r="M1060" s="69" t="s">
        <v>6</v>
      </c>
    </row>
    <row r="1061" spans="2:13">
      <c r="B1061" s="69">
        <v>1059</v>
      </c>
      <c r="C1061" s="69">
        <v>106</v>
      </c>
      <c r="D1061" s="69">
        <v>11</v>
      </c>
      <c r="E1061" s="69">
        <v>1</v>
      </c>
      <c r="F1061" s="69">
        <v>0</v>
      </c>
      <c r="G1061" s="69" t="s">
        <v>22</v>
      </c>
      <c r="H1061" s="69" t="s">
        <v>9</v>
      </c>
      <c r="I1061" s="69" t="s">
        <v>811</v>
      </c>
      <c r="J1061" s="69" t="s">
        <v>55</v>
      </c>
      <c r="K1061" s="69" t="s">
        <v>812</v>
      </c>
      <c r="M1061" s="69" t="s">
        <v>6</v>
      </c>
    </row>
    <row r="1062" spans="2:13">
      <c r="B1062" s="69">
        <v>1060</v>
      </c>
      <c r="C1062" s="69">
        <v>106</v>
      </c>
      <c r="D1062" s="69">
        <v>11</v>
      </c>
      <c r="E1062" s="69">
        <v>2</v>
      </c>
      <c r="F1062" s="69">
        <v>0</v>
      </c>
      <c r="G1062" s="69" t="s">
        <v>22</v>
      </c>
      <c r="H1062" s="69" t="s">
        <v>9</v>
      </c>
      <c r="I1062" s="69" t="s">
        <v>811</v>
      </c>
      <c r="J1062" s="69" t="s">
        <v>55</v>
      </c>
      <c r="K1062" s="69" t="s">
        <v>813</v>
      </c>
      <c r="M1062" s="69" t="s">
        <v>6</v>
      </c>
    </row>
    <row r="1063" spans="2:13">
      <c r="B1063" s="69">
        <v>1061</v>
      </c>
      <c r="C1063" s="69">
        <v>106</v>
      </c>
      <c r="D1063" s="69">
        <v>11</v>
      </c>
      <c r="E1063" s="69">
        <v>3</v>
      </c>
      <c r="F1063" s="69">
        <v>0</v>
      </c>
      <c r="G1063" s="69" t="s">
        <v>22</v>
      </c>
      <c r="H1063" s="69" t="s">
        <v>9</v>
      </c>
      <c r="I1063" s="69" t="s">
        <v>811</v>
      </c>
      <c r="J1063" s="69" t="s">
        <v>55</v>
      </c>
      <c r="K1063" s="69" t="s">
        <v>814</v>
      </c>
      <c r="M1063" s="69" t="s">
        <v>6</v>
      </c>
    </row>
    <row r="1064" spans="2:13">
      <c r="B1064" s="69">
        <v>1062</v>
      </c>
      <c r="C1064" s="69">
        <v>106</v>
      </c>
      <c r="D1064" s="69">
        <v>11</v>
      </c>
      <c r="E1064" s="69">
        <v>4</v>
      </c>
      <c r="F1064" s="69">
        <v>0</v>
      </c>
      <c r="G1064" s="69" t="s">
        <v>22</v>
      </c>
      <c r="H1064" s="69" t="s">
        <v>9</v>
      </c>
      <c r="I1064" s="69" t="s">
        <v>811</v>
      </c>
      <c r="J1064" s="69" t="s">
        <v>55</v>
      </c>
      <c r="K1064" s="69" t="s">
        <v>815</v>
      </c>
      <c r="M1064" s="69" t="s">
        <v>6</v>
      </c>
    </row>
    <row r="1065" spans="2:13">
      <c r="B1065" s="69">
        <v>1063</v>
      </c>
      <c r="C1065" s="69">
        <v>106</v>
      </c>
      <c r="D1065" s="69">
        <v>11</v>
      </c>
      <c r="E1065" s="69">
        <v>5</v>
      </c>
      <c r="F1065" s="69">
        <v>0</v>
      </c>
      <c r="G1065" s="69" t="s">
        <v>22</v>
      </c>
      <c r="H1065" s="69" t="s">
        <v>9</v>
      </c>
      <c r="I1065" s="69" t="s">
        <v>811</v>
      </c>
      <c r="J1065" s="69" t="s">
        <v>55</v>
      </c>
      <c r="K1065" s="69" t="s">
        <v>816</v>
      </c>
      <c r="M1065" s="69" t="s">
        <v>6</v>
      </c>
    </row>
    <row r="1066" spans="2:13">
      <c r="B1066" s="69">
        <v>1064</v>
      </c>
      <c r="C1066" s="69">
        <v>106</v>
      </c>
      <c r="D1066" s="69">
        <v>11</v>
      </c>
      <c r="E1066" s="69">
        <v>6</v>
      </c>
      <c r="F1066" s="69">
        <v>0</v>
      </c>
      <c r="G1066" s="69" t="s">
        <v>22</v>
      </c>
      <c r="H1066" s="69" t="s">
        <v>9</v>
      </c>
      <c r="I1066" s="69" t="s">
        <v>811</v>
      </c>
      <c r="J1066" s="69" t="s">
        <v>55</v>
      </c>
      <c r="K1066" s="69" t="s">
        <v>817</v>
      </c>
      <c r="M1066" s="69" t="s">
        <v>6</v>
      </c>
    </row>
    <row r="1067" spans="2:13">
      <c r="B1067" s="69">
        <v>1065</v>
      </c>
      <c r="C1067" s="69">
        <v>106</v>
      </c>
      <c r="D1067" s="69">
        <v>11</v>
      </c>
      <c r="E1067" s="69">
        <v>7</v>
      </c>
      <c r="F1067" s="69">
        <v>0</v>
      </c>
      <c r="G1067" s="69" t="s">
        <v>22</v>
      </c>
      <c r="H1067" s="69" t="s">
        <v>9</v>
      </c>
      <c r="I1067" s="69" t="s">
        <v>811</v>
      </c>
      <c r="J1067" s="69" t="s">
        <v>55</v>
      </c>
      <c r="K1067" s="69" t="s">
        <v>818</v>
      </c>
      <c r="M1067" s="69" t="s">
        <v>6</v>
      </c>
    </row>
    <row r="1068" spans="2:13">
      <c r="B1068" s="69">
        <v>1066</v>
      </c>
      <c r="C1068" s="69">
        <v>106</v>
      </c>
      <c r="D1068" s="69">
        <v>11</v>
      </c>
      <c r="E1068" s="69">
        <v>8</v>
      </c>
      <c r="F1068" s="69">
        <v>0</v>
      </c>
      <c r="G1068" s="69" t="s">
        <v>22</v>
      </c>
      <c r="H1068" s="69" t="s">
        <v>9</v>
      </c>
      <c r="I1068" s="69" t="s">
        <v>811</v>
      </c>
      <c r="J1068" s="69" t="s">
        <v>55</v>
      </c>
      <c r="K1068" s="69" t="s">
        <v>819</v>
      </c>
      <c r="M1068" s="69" t="s">
        <v>6</v>
      </c>
    </row>
    <row r="1069" spans="2:13">
      <c r="B1069" s="69">
        <v>1067</v>
      </c>
      <c r="C1069" s="69">
        <v>106</v>
      </c>
      <c r="D1069" s="69">
        <v>11</v>
      </c>
      <c r="E1069" s="69">
        <v>9</v>
      </c>
      <c r="F1069" s="69">
        <v>0</v>
      </c>
      <c r="G1069" s="69" t="s">
        <v>22</v>
      </c>
      <c r="H1069" s="69" t="s">
        <v>9</v>
      </c>
      <c r="I1069" s="69" t="s">
        <v>811</v>
      </c>
      <c r="J1069" s="69" t="s">
        <v>55</v>
      </c>
      <c r="K1069" s="69" t="s">
        <v>820</v>
      </c>
      <c r="M1069" s="69" t="s">
        <v>6</v>
      </c>
    </row>
    <row r="1070" spans="2:13">
      <c r="B1070" s="69">
        <v>1068</v>
      </c>
      <c r="C1070" s="69">
        <v>106</v>
      </c>
      <c r="D1070" s="69">
        <v>11</v>
      </c>
      <c r="E1070" s="69">
        <v>10</v>
      </c>
      <c r="F1070" s="69">
        <v>0</v>
      </c>
      <c r="G1070" s="69" t="s">
        <v>22</v>
      </c>
      <c r="H1070" s="69" t="s">
        <v>9</v>
      </c>
      <c r="I1070" s="69" t="s">
        <v>811</v>
      </c>
      <c r="J1070" s="69" t="s">
        <v>55</v>
      </c>
      <c r="K1070" s="69" t="s">
        <v>93</v>
      </c>
      <c r="M1070" s="69" t="s">
        <v>6</v>
      </c>
    </row>
    <row r="1071" spans="2:13">
      <c r="B1071" s="69">
        <v>1069</v>
      </c>
      <c r="C1071" s="69">
        <v>106</v>
      </c>
      <c r="D1071" s="69">
        <v>11</v>
      </c>
      <c r="E1071" s="69">
        <v>11</v>
      </c>
      <c r="F1071" s="69">
        <v>0</v>
      </c>
      <c r="G1071" s="69" t="s">
        <v>22</v>
      </c>
      <c r="H1071" s="69" t="s">
        <v>9</v>
      </c>
      <c r="I1071" s="69" t="s">
        <v>811</v>
      </c>
      <c r="J1071" s="69" t="s">
        <v>64</v>
      </c>
      <c r="K1071" s="69" t="s">
        <v>94</v>
      </c>
      <c r="M1071" s="69" t="s">
        <v>6</v>
      </c>
    </row>
    <row r="1072" spans="2:13">
      <c r="B1072" s="69">
        <v>1070</v>
      </c>
      <c r="C1072" s="69">
        <v>107</v>
      </c>
      <c r="D1072" s="69">
        <v>35</v>
      </c>
      <c r="E1072" s="69">
        <v>0</v>
      </c>
      <c r="F1072" s="69">
        <v>0</v>
      </c>
      <c r="G1072" s="69" t="s">
        <v>22</v>
      </c>
      <c r="H1072" s="69" t="s">
        <v>9</v>
      </c>
      <c r="I1072" s="69" t="s">
        <v>821</v>
      </c>
      <c r="J1072" s="69" t="s">
        <v>478</v>
      </c>
      <c r="K1072" s="69" t="s">
        <v>821</v>
      </c>
      <c r="M1072" s="69" t="s">
        <v>6</v>
      </c>
    </row>
    <row r="1073" spans="2:13">
      <c r="B1073" s="69">
        <v>1071</v>
      </c>
      <c r="C1073" s="69">
        <v>107</v>
      </c>
      <c r="D1073" s="69">
        <v>35</v>
      </c>
      <c r="E1073" s="69">
        <v>1</v>
      </c>
      <c r="F1073" s="69">
        <v>0</v>
      </c>
      <c r="G1073" s="69" t="s">
        <v>22</v>
      </c>
      <c r="H1073" s="69" t="s">
        <v>9</v>
      </c>
      <c r="I1073" s="69" t="s">
        <v>821</v>
      </c>
      <c r="J1073" s="69" t="s">
        <v>479</v>
      </c>
      <c r="K1073" s="69" t="s">
        <v>822</v>
      </c>
      <c r="M1073" s="69" t="s">
        <v>6</v>
      </c>
    </row>
    <row r="1074" spans="2:13">
      <c r="B1074" s="69">
        <v>1072</v>
      </c>
      <c r="C1074" s="69">
        <v>107</v>
      </c>
      <c r="D1074" s="69">
        <v>35</v>
      </c>
      <c r="E1074" s="69">
        <v>2</v>
      </c>
      <c r="F1074" s="69">
        <v>0</v>
      </c>
      <c r="G1074" s="69" t="s">
        <v>22</v>
      </c>
      <c r="H1074" s="69" t="s">
        <v>9</v>
      </c>
      <c r="I1074" s="69" t="s">
        <v>821</v>
      </c>
      <c r="J1074" s="69" t="s">
        <v>55</v>
      </c>
      <c r="K1074" s="69" t="s">
        <v>823</v>
      </c>
      <c r="M1074" s="69" t="s">
        <v>6</v>
      </c>
    </row>
    <row r="1075" spans="2:13">
      <c r="B1075" s="69">
        <v>1073</v>
      </c>
      <c r="C1075" s="69">
        <v>107</v>
      </c>
      <c r="D1075" s="69">
        <v>35</v>
      </c>
      <c r="E1075" s="69">
        <v>3</v>
      </c>
      <c r="F1075" s="69">
        <v>0</v>
      </c>
      <c r="G1075" s="69" t="s">
        <v>22</v>
      </c>
      <c r="H1075" s="69" t="s">
        <v>9</v>
      </c>
      <c r="I1075" s="69" t="s">
        <v>821</v>
      </c>
      <c r="J1075" s="69" t="s">
        <v>55</v>
      </c>
      <c r="K1075" s="69" t="s">
        <v>824</v>
      </c>
      <c r="M1075" s="69" t="s">
        <v>6</v>
      </c>
    </row>
    <row r="1076" spans="2:13">
      <c r="B1076" s="69">
        <v>1074</v>
      </c>
      <c r="C1076" s="69">
        <v>107</v>
      </c>
      <c r="D1076" s="69">
        <v>35</v>
      </c>
      <c r="E1076" s="69">
        <v>4</v>
      </c>
      <c r="F1076" s="69">
        <v>0</v>
      </c>
      <c r="G1076" s="69" t="s">
        <v>22</v>
      </c>
      <c r="H1076" s="69" t="s">
        <v>9</v>
      </c>
      <c r="I1076" s="69" t="s">
        <v>821</v>
      </c>
      <c r="J1076" s="69" t="s">
        <v>55</v>
      </c>
      <c r="K1076" s="69" t="s">
        <v>825</v>
      </c>
      <c r="M1076" s="69" t="s">
        <v>6</v>
      </c>
    </row>
    <row r="1077" spans="2:13">
      <c r="B1077" s="69">
        <v>1075</v>
      </c>
      <c r="C1077" s="69">
        <v>107</v>
      </c>
      <c r="D1077" s="69">
        <v>35</v>
      </c>
      <c r="E1077" s="69">
        <v>5</v>
      </c>
      <c r="F1077" s="69">
        <v>0</v>
      </c>
      <c r="G1077" s="69" t="s">
        <v>22</v>
      </c>
      <c r="H1077" s="69" t="s">
        <v>9</v>
      </c>
      <c r="I1077" s="69" t="s">
        <v>821</v>
      </c>
      <c r="J1077" s="69" t="s">
        <v>55</v>
      </c>
      <c r="K1077" s="69" t="s">
        <v>826</v>
      </c>
      <c r="M1077" s="69" t="s">
        <v>6</v>
      </c>
    </row>
    <row r="1078" spans="2:13">
      <c r="B1078" s="69">
        <v>1076</v>
      </c>
      <c r="C1078" s="69">
        <v>107</v>
      </c>
      <c r="D1078" s="69">
        <v>35</v>
      </c>
      <c r="E1078" s="69">
        <v>6</v>
      </c>
      <c r="F1078" s="69">
        <v>0</v>
      </c>
      <c r="G1078" s="69" t="s">
        <v>22</v>
      </c>
      <c r="H1078" s="69" t="s">
        <v>9</v>
      </c>
      <c r="I1078" s="69" t="s">
        <v>821</v>
      </c>
      <c r="J1078" s="69" t="s">
        <v>55</v>
      </c>
      <c r="K1078" s="69" t="s">
        <v>827</v>
      </c>
      <c r="M1078" s="69" t="s">
        <v>6</v>
      </c>
    </row>
    <row r="1079" spans="2:13">
      <c r="B1079" s="69">
        <v>1077</v>
      </c>
      <c r="C1079" s="69">
        <v>107</v>
      </c>
      <c r="D1079" s="69">
        <v>35</v>
      </c>
      <c r="E1079" s="69">
        <v>7</v>
      </c>
      <c r="F1079" s="69">
        <v>0</v>
      </c>
      <c r="G1079" s="69" t="s">
        <v>22</v>
      </c>
      <c r="H1079" s="69" t="s">
        <v>9</v>
      </c>
      <c r="I1079" s="69" t="s">
        <v>821</v>
      </c>
      <c r="J1079" s="69" t="s">
        <v>479</v>
      </c>
      <c r="K1079" s="69" t="s">
        <v>828</v>
      </c>
      <c r="M1079" s="69" t="s">
        <v>6</v>
      </c>
    </row>
    <row r="1080" spans="2:13">
      <c r="B1080" s="69">
        <v>1078</v>
      </c>
      <c r="C1080" s="69">
        <v>107</v>
      </c>
      <c r="D1080" s="69">
        <v>35</v>
      </c>
      <c r="E1080" s="69">
        <v>8</v>
      </c>
      <c r="F1080" s="69">
        <v>0</v>
      </c>
      <c r="G1080" s="69" t="s">
        <v>22</v>
      </c>
      <c r="H1080" s="69" t="s">
        <v>9</v>
      </c>
      <c r="I1080" s="69" t="s">
        <v>821</v>
      </c>
      <c r="J1080" s="69" t="s">
        <v>55</v>
      </c>
      <c r="K1080" s="69" t="s">
        <v>829</v>
      </c>
      <c r="M1080" s="69" t="s">
        <v>6</v>
      </c>
    </row>
    <row r="1081" spans="2:13">
      <c r="B1081" s="69">
        <v>1079</v>
      </c>
      <c r="C1081" s="69">
        <v>107</v>
      </c>
      <c r="D1081" s="69">
        <v>35</v>
      </c>
      <c r="E1081" s="69">
        <v>9</v>
      </c>
      <c r="F1081" s="69">
        <v>0</v>
      </c>
      <c r="G1081" s="69" t="s">
        <v>22</v>
      </c>
      <c r="H1081" s="69" t="s">
        <v>9</v>
      </c>
      <c r="I1081" s="69" t="s">
        <v>821</v>
      </c>
      <c r="J1081" s="69" t="s">
        <v>55</v>
      </c>
      <c r="K1081" s="69" t="s">
        <v>830</v>
      </c>
      <c r="M1081" s="69" t="s">
        <v>6</v>
      </c>
    </row>
    <row r="1082" spans="2:13">
      <c r="B1082" s="69">
        <v>1080</v>
      </c>
      <c r="C1082" s="69">
        <v>107</v>
      </c>
      <c r="D1082" s="69">
        <v>35</v>
      </c>
      <c r="E1082" s="69">
        <v>10</v>
      </c>
      <c r="F1082" s="69">
        <v>0</v>
      </c>
      <c r="G1082" s="69" t="s">
        <v>22</v>
      </c>
      <c r="H1082" s="69" t="s">
        <v>9</v>
      </c>
      <c r="I1082" s="69" t="s">
        <v>821</v>
      </c>
      <c r="J1082" s="69" t="s">
        <v>55</v>
      </c>
      <c r="K1082" s="69" t="s">
        <v>831</v>
      </c>
      <c r="M1082" s="69" t="s">
        <v>6</v>
      </c>
    </row>
    <row r="1083" spans="2:13">
      <c r="B1083" s="69">
        <v>1081</v>
      </c>
      <c r="C1083" s="69">
        <v>107</v>
      </c>
      <c r="D1083" s="69">
        <v>35</v>
      </c>
      <c r="E1083" s="69">
        <v>11</v>
      </c>
      <c r="F1083" s="69">
        <v>0</v>
      </c>
      <c r="G1083" s="69" t="s">
        <v>22</v>
      </c>
      <c r="H1083" s="69" t="s">
        <v>9</v>
      </c>
      <c r="I1083" s="69" t="s">
        <v>821</v>
      </c>
      <c r="J1083" s="69" t="s">
        <v>55</v>
      </c>
      <c r="K1083" s="69" t="s">
        <v>832</v>
      </c>
      <c r="M1083" s="69" t="s">
        <v>6</v>
      </c>
    </row>
    <row r="1084" spans="2:13">
      <c r="B1084" s="69">
        <v>1082</v>
      </c>
      <c r="C1084" s="69">
        <v>107</v>
      </c>
      <c r="D1084" s="69">
        <v>35</v>
      </c>
      <c r="E1084" s="69">
        <v>12</v>
      </c>
      <c r="F1084" s="69">
        <v>0</v>
      </c>
      <c r="G1084" s="69" t="s">
        <v>22</v>
      </c>
      <c r="H1084" s="69" t="s">
        <v>9</v>
      </c>
      <c r="I1084" s="69" t="s">
        <v>821</v>
      </c>
      <c r="J1084" s="69" t="s">
        <v>55</v>
      </c>
      <c r="K1084" s="69" t="s">
        <v>833</v>
      </c>
      <c r="M1084" s="69" t="s">
        <v>6</v>
      </c>
    </row>
    <row r="1085" spans="2:13">
      <c r="B1085" s="69">
        <v>1083</v>
      </c>
      <c r="C1085" s="69">
        <v>107</v>
      </c>
      <c r="D1085" s="69">
        <v>35</v>
      </c>
      <c r="E1085" s="69">
        <v>13</v>
      </c>
      <c r="F1085" s="69">
        <v>0</v>
      </c>
      <c r="G1085" s="69" t="s">
        <v>22</v>
      </c>
      <c r="H1085" s="69" t="s">
        <v>9</v>
      </c>
      <c r="I1085" s="69" t="s">
        <v>821</v>
      </c>
      <c r="J1085" s="69" t="s">
        <v>55</v>
      </c>
      <c r="K1085" s="69" t="s">
        <v>827</v>
      </c>
      <c r="M1085" s="69" t="s">
        <v>6</v>
      </c>
    </row>
    <row r="1086" spans="2:13">
      <c r="B1086" s="69">
        <v>1084</v>
      </c>
      <c r="C1086" s="69">
        <v>107</v>
      </c>
      <c r="D1086" s="69">
        <v>35</v>
      </c>
      <c r="E1086" s="69">
        <v>14</v>
      </c>
      <c r="F1086" s="69">
        <v>0</v>
      </c>
      <c r="G1086" s="69" t="s">
        <v>22</v>
      </c>
      <c r="H1086" s="69" t="s">
        <v>9</v>
      </c>
      <c r="I1086" s="69" t="s">
        <v>821</v>
      </c>
      <c r="J1086" s="69" t="s">
        <v>479</v>
      </c>
      <c r="K1086" s="69" t="s">
        <v>834</v>
      </c>
      <c r="M1086" s="69" t="s">
        <v>6</v>
      </c>
    </row>
    <row r="1087" spans="2:13">
      <c r="B1087" s="69">
        <v>1085</v>
      </c>
      <c r="C1087" s="69">
        <v>107</v>
      </c>
      <c r="D1087" s="69">
        <v>35</v>
      </c>
      <c r="E1087" s="69">
        <v>15</v>
      </c>
      <c r="F1087" s="69">
        <v>0</v>
      </c>
      <c r="G1087" s="69" t="s">
        <v>22</v>
      </c>
      <c r="H1087" s="69" t="s">
        <v>9</v>
      </c>
      <c r="I1087" s="69" t="s">
        <v>821</v>
      </c>
      <c r="J1087" s="69" t="s">
        <v>55</v>
      </c>
      <c r="K1087" s="69" t="s">
        <v>835</v>
      </c>
      <c r="M1087" s="69" t="s">
        <v>6</v>
      </c>
    </row>
    <row r="1088" spans="2:13">
      <c r="B1088" s="69">
        <v>1086</v>
      </c>
      <c r="C1088" s="69">
        <v>107</v>
      </c>
      <c r="D1088" s="69">
        <v>35</v>
      </c>
      <c r="E1088" s="69">
        <v>16</v>
      </c>
      <c r="F1088" s="69">
        <v>0</v>
      </c>
      <c r="G1088" s="69" t="s">
        <v>22</v>
      </c>
      <c r="H1088" s="69" t="s">
        <v>9</v>
      </c>
      <c r="I1088" s="69" t="s">
        <v>821</v>
      </c>
      <c r="J1088" s="69" t="s">
        <v>55</v>
      </c>
      <c r="K1088" s="69" t="s">
        <v>836</v>
      </c>
      <c r="M1088" s="69" t="s">
        <v>6</v>
      </c>
    </row>
    <row r="1089" spans="2:13">
      <c r="B1089" s="69">
        <v>1087</v>
      </c>
      <c r="C1089" s="69">
        <v>107</v>
      </c>
      <c r="D1089" s="69">
        <v>35</v>
      </c>
      <c r="E1089" s="69">
        <v>17</v>
      </c>
      <c r="F1089" s="69">
        <v>0</v>
      </c>
      <c r="G1089" s="69" t="s">
        <v>22</v>
      </c>
      <c r="H1089" s="69" t="s">
        <v>9</v>
      </c>
      <c r="I1089" s="69" t="s">
        <v>821</v>
      </c>
      <c r="J1089" s="69" t="s">
        <v>55</v>
      </c>
      <c r="K1089" s="69" t="s">
        <v>837</v>
      </c>
      <c r="M1089" s="69" t="s">
        <v>6</v>
      </c>
    </row>
    <row r="1090" spans="2:13">
      <c r="B1090" s="69">
        <v>1088</v>
      </c>
      <c r="C1090" s="69">
        <v>107</v>
      </c>
      <c r="D1090" s="69">
        <v>35</v>
      </c>
      <c r="E1090" s="69">
        <v>18</v>
      </c>
      <c r="F1090" s="69">
        <v>0</v>
      </c>
      <c r="G1090" s="69" t="s">
        <v>22</v>
      </c>
      <c r="H1090" s="69" t="s">
        <v>9</v>
      </c>
      <c r="I1090" s="69" t="s">
        <v>821</v>
      </c>
      <c r="J1090" s="69" t="s">
        <v>55</v>
      </c>
      <c r="K1090" s="69" t="s">
        <v>838</v>
      </c>
      <c r="M1090" s="69" t="s">
        <v>6</v>
      </c>
    </row>
    <row r="1091" spans="2:13">
      <c r="B1091" s="69">
        <v>1089</v>
      </c>
      <c r="C1091" s="69">
        <v>107</v>
      </c>
      <c r="D1091" s="69">
        <v>35</v>
      </c>
      <c r="E1091" s="69">
        <v>19</v>
      </c>
      <c r="F1091" s="69">
        <v>0</v>
      </c>
      <c r="G1091" s="69" t="s">
        <v>22</v>
      </c>
      <c r="H1091" s="69" t="s">
        <v>9</v>
      </c>
      <c r="I1091" s="69" t="s">
        <v>821</v>
      </c>
      <c r="J1091" s="69" t="s">
        <v>55</v>
      </c>
      <c r="K1091" s="69" t="s">
        <v>839</v>
      </c>
      <c r="M1091" s="69" t="s">
        <v>6</v>
      </c>
    </row>
    <row r="1092" spans="2:13">
      <c r="B1092" s="69">
        <v>1090</v>
      </c>
      <c r="C1092" s="69">
        <v>107</v>
      </c>
      <c r="D1092" s="69">
        <v>35</v>
      </c>
      <c r="E1092" s="69">
        <v>20</v>
      </c>
      <c r="F1092" s="69">
        <v>0</v>
      </c>
      <c r="G1092" s="69" t="s">
        <v>22</v>
      </c>
      <c r="H1092" s="69" t="s">
        <v>9</v>
      </c>
      <c r="I1092" s="69" t="s">
        <v>821</v>
      </c>
      <c r="J1092" s="69" t="s">
        <v>55</v>
      </c>
      <c r="K1092" s="69" t="s">
        <v>827</v>
      </c>
      <c r="M1092" s="69" t="s">
        <v>6</v>
      </c>
    </row>
    <row r="1093" spans="2:13">
      <c r="B1093" s="69">
        <v>1091</v>
      </c>
      <c r="C1093" s="69">
        <v>107</v>
      </c>
      <c r="D1093" s="69">
        <v>35</v>
      </c>
      <c r="E1093" s="69">
        <v>21</v>
      </c>
      <c r="F1093" s="69">
        <v>0</v>
      </c>
      <c r="G1093" s="69" t="s">
        <v>22</v>
      </c>
      <c r="H1093" s="69" t="s">
        <v>9</v>
      </c>
      <c r="I1093" s="69" t="s">
        <v>821</v>
      </c>
      <c r="J1093" s="69" t="s">
        <v>479</v>
      </c>
      <c r="K1093" s="69" t="s">
        <v>840</v>
      </c>
      <c r="M1093" s="69" t="s">
        <v>6</v>
      </c>
    </row>
    <row r="1094" spans="2:13">
      <c r="B1094" s="69">
        <v>1092</v>
      </c>
      <c r="C1094" s="69">
        <v>107</v>
      </c>
      <c r="D1094" s="69">
        <v>35</v>
      </c>
      <c r="E1094" s="69">
        <v>22</v>
      </c>
      <c r="F1094" s="69">
        <v>0</v>
      </c>
      <c r="G1094" s="69" t="s">
        <v>22</v>
      </c>
      <c r="H1094" s="69" t="s">
        <v>9</v>
      </c>
      <c r="I1094" s="69" t="s">
        <v>821</v>
      </c>
      <c r="J1094" s="69" t="s">
        <v>55</v>
      </c>
      <c r="K1094" s="69" t="s">
        <v>841</v>
      </c>
      <c r="M1094" s="69" t="s">
        <v>6</v>
      </c>
    </row>
    <row r="1095" spans="2:13">
      <c r="B1095" s="69">
        <v>1093</v>
      </c>
      <c r="C1095" s="69">
        <v>107</v>
      </c>
      <c r="D1095" s="69">
        <v>35</v>
      </c>
      <c r="E1095" s="69">
        <v>23</v>
      </c>
      <c r="F1095" s="69">
        <v>0</v>
      </c>
      <c r="G1095" s="69" t="s">
        <v>22</v>
      </c>
      <c r="H1095" s="69" t="s">
        <v>9</v>
      </c>
      <c r="I1095" s="69" t="s">
        <v>821</v>
      </c>
      <c r="J1095" s="69" t="s">
        <v>55</v>
      </c>
      <c r="K1095" s="69" t="s">
        <v>842</v>
      </c>
      <c r="M1095" s="69" t="s">
        <v>6</v>
      </c>
    </row>
    <row r="1096" spans="2:13">
      <c r="B1096" s="69">
        <v>1094</v>
      </c>
      <c r="C1096" s="69">
        <v>107</v>
      </c>
      <c r="D1096" s="69">
        <v>35</v>
      </c>
      <c r="E1096" s="69">
        <v>24</v>
      </c>
      <c r="F1096" s="69">
        <v>0</v>
      </c>
      <c r="G1096" s="69" t="s">
        <v>22</v>
      </c>
      <c r="H1096" s="69" t="s">
        <v>9</v>
      </c>
      <c r="I1096" s="69" t="s">
        <v>821</v>
      </c>
      <c r="J1096" s="69" t="s">
        <v>55</v>
      </c>
      <c r="K1096" s="69" t="s">
        <v>843</v>
      </c>
      <c r="M1096" s="69" t="s">
        <v>6</v>
      </c>
    </row>
    <row r="1097" spans="2:13">
      <c r="B1097" s="69">
        <v>1095</v>
      </c>
      <c r="C1097" s="69">
        <v>107</v>
      </c>
      <c r="D1097" s="69">
        <v>35</v>
      </c>
      <c r="E1097" s="69">
        <v>25</v>
      </c>
      <c r="F1097" s="69">
        <v>0</v>
      </c>
      <c r="G1097" s="69" t="s">
        <v>22</v>
      </c>
      <c r="H1097" s="69" t="s">
        <v>9</v>
      </c>
      <c r="I1097" s="69" t="s">
        <v>821</v>
      </c>
      <c r="J1097" s="69" t="s">
        <v>55</v>
      </c>
      <c r="K1097" s="69" t="s">
        <v>844</v>
      </c>
      <c r="M1097" s="69" t="s">
        <v>6</v>
      </c>
    </row>
    <row r="1098" spans="2:13">
      <c r="B1098" s="69">
        <v>1096</v>
      </c>
      <c r="C1098" s="69">
        <v>107</v>
      </c>
      <c r="D1098" s="69">
        <v>35</v>
      </c>
      <c r="E1098" s="69">
        <v>26</v>
      </c>
      <c r="F1098" s="69">
        <v>0</v>
      </c>
      <c r="G1098" s="69" t="s">
        <v>22</v>
      </c>
      <c r="H1098" s="69" t="s">
        <v>9</v>
      </c>
      <c r="I1098" s="69" t="s">
        <v>821</v>
      </c>
      <c r="J1098" s="69" t="s">
        <v>55</v>
      </c>
      <c r="K1098" s="69" t="s">
        <v>845</v>
      </c>
      <c r="M1098" s="69" t="s">
        <v>6</v>
      </c>
    </row>
    <row r="1099" spans="2:13">
      <c r="B1099" s="69">
        <v>1097</v>
      </c>
      <c r="C1099" s="69">
        <v>107</v>
      </c>
      <c r="D1099" s="69">
        <v>35</v>
      </c>
      <c r="E1099" s="69">
        <v>27</v>
      </c>
      <c r="F1099" s="69">
        <v>0</v>
      </c>
      <c r="G1099" s="69" t="s">
        <v>22</v>
      </c>
      <c r="H1099" s="69" t="s">
        <v>9</v>
      </c>
      <c r="I1099" s="69" t="s">
        <v>821</v>
      </c>
      <c r="J1099" s="69" t="s">
        <v>55</v>
      </c>
      <c r="K1099" s="69" t="s">
        <v>827</v>
      </c>
      <c r="M1099" s="69" t="s">
        <v>6</v>
      </c>
    </row>
    <row r="1100" spans="2:13">
      <c r="B1100" s="69">
        <v>1098</v>
      </c>
      <c r="C1100" s="69">
        <v>107</v>
      </c>
      <c r="D1100" s="69">
        <v>35</v>
      </c>
      <c r="E1100" s="69">
        <v>28</v>
      </c>
      <c r="F1100" s="69">
        <v>0</v>
      </c>
      <c r="G1100" s="69" t="s">
        <v>22</v>
      </c>
      <c r="H1100" s="69" t="s">
        <v>9</v>
      </c>
      <c r="I1100" s="69" t="s">
        <v>821</v>
      </c>
      <c r="J1100" s="69" t="s">
        <v>479</v>
      </c>
      <c r="K1100" s="69" t="s">
        <v>846</v>
      </c>
      <c r="M1100" s="69" t="s">
        <v>6</v>
      </c>
    </row>
    <row r="1101" spans="2:13">
      <c r="B1101" s="69">
        <v>1099</v>
      </c>
      <c r="C1101" s="69">
        <v>107</v>
      </c>
      <c r="D1101" s="69">
        <v>35</v>
      </c>
      <c r="E1101" s="69">
        <v>29</v>
      </c>
      <c r="F1101" s="69">
        <v>0</v>
      </c>
      <c r="G1101" s="69" t="s">
        <v>22</v>
      </c>
      <c r="H1101" s="69" t="s">
        <v>9</v>
      </c>
      <c r="I1101" s="69" t="s">
        <v>821</v>
      </c>
      <c r="J1101" s="69" t="s">
        <v>55</v>
      </c>
      <c r="K1101" s="69" t="s">
        <v>847</v>
      </c>
      <c r="M1101" s="69" t="s">
        <v>6</v>
      </c>
    </row>
    <row r="1102" spans="2:13">
      <c r="B1102" s="69">
        <v>1100</v>
      </c>
      <c r="C1102" s="69">
        <v>107</v>
      </c>
      <c r="D1102" s="69">
        <v>35</v>
      </c>
      <c r="E1102" s="69">
        <v>30</v>
      </c>
      <c r="F1102" s="69">
        <v>0</v>
      </c>
      <c r="G1102" s="69" t="s">
        <v>22</v>
      </c>
      <c r="H1102" s="69" t="s">
        <v>9</v>
      </c>
      <c r="I1102" s="69" t="s">
        <v>821</v>
      </c>
      <c r="J1102" s="69" t="s">
        <v>55</v>
      </c>
      <c r="K1102" s="69" t="s">
        <v>848</v>
      </c>
      <c r="M1102" s="69" t="s">
        <v>6</v>
      </c>
    </row>
    <row r="1103" spans="2:13">
      <c r="B1103" s="69">
        <v>1101</v>
      </c>
      <c r="C1103" s="69">
        <v>107</v>
      </c>
      <c r="D1103" s="69">
        <v>35</v>
      </c>
      <c r="E1103" s="69">
        <v>31</v>
      </c>
      <c r="F1103" s="69">
        <v>0</v>
      </c>
      <c r="G1103" s="69" t="s">
        <v>22</v>
      </c>
      <c r="H1103" s="69" t="s">
        <v>9</v>
      </c>
      <c r="I1103" s="69" t="s">
        <v>821</v>
      </c>
      <c r="J1103" s="69" t="s">
        <v>55</v>
      </c>
      <c r="K1103" s="69" t="s">
        <v>849</v>
      </c>
      <c r="M1103" s="69" t="s">
        <v>6</v>
      </c>
    </row>
    <row r="1104" spans="2:13">
      <c r="B1104" s="69">
        <v>1102</v>
      </c>
      <c r="C1104" s="69">
        <v>107</v>
      </c>
      <c r="D1104" s="69">
        <v>35</v>
      </c>
      <c r="E1104" s="69">
        <v>32</v>
      </c>
      <c r="F1104" s="69">
        <v>0</v>
      </c>
      <c r="G1104" s="69" t="s">
        <v>22</v>
      </c>
      <c r="H1104" s="69" t="s">
        <v>9</v>
      </c>
      <c r="I1104" s="69" t="s">
        <v>821</v>
      </c>
      <c r="J1104" s="69" t="s">
        <v>55</v>
      </c>
      <c r="K1104" s="69" t="s">
        <v>850</v>
      </c>
      <c r="M1104" s="69" t="s">
        <v>6</v>
      </c>
    </row>
    <row r="1105" spans="2:13">
      <c r="B1105" s="69">
        <v>1103</v>
      </c>
      <c r="C1105" s="69">
        <v>107</v>
      </c>
      <c r="D1105" s="69">
        <v>35</v>
      </c>
      <c r="E1105" s="69">
        <v>33</v>
      </c>
      <c r="F1105" s="69">
        <v>0</v>
      </c>
      <c r="G1105" s="69" t="s">
        <v>22</v>
      </c>
      <c r="H1105" s="69" t="s">
        <v>9</v>
      </c>
      <c r="I1105" s="69" t="s">
        <v>821</v>
      </c>
      <c r="J1105" s="69" t="s">
        <v>55</v>
      </c>
      <c r="K1105" s="69" t="s">
        <v>827</v>
      </c>
      <c r="M1105" s="69" t="s">
        <v>6</v>
      </c>
    </row>
    <row r="1106" spans="2:13">
      <c r="B1106" s="69">
        <v>1104</v>
      </c>
      <c r="C1106" s="69">
        <v>107</v>
      </c>
      <c r="D1106" s="69">
        <v>35</v>
      </c>
      <c r="E1106" s="69">
        <v>34</v>
      </c>
      <c r="F1106" s="69">
        <v>0</v>
      </c>
      <c r="G1106" s="69" t="s">
        <v>22</v>
      </c>
      <c r="H1106" s="69" t="s">
        <v>9</v>
      </c>
      <c r="I1106" s="69" t="s">
        <v>821</v>
      </c>
      <c r="J1106" s="69" t="s">
        <v>55</v>
      </c>
      <c r="K1106" s="69" t="s">
        <v>93</v>
      </c>
      <c r="M1106" s="69" t="s">
        <v>6</v>
      </c>
    </row>
    <row r="1107" spans="2:13">
      <c r="B1107" s="69">
        <v>1105</v>
      </c>
      <c r="C1107" s="69">
        <v>107</v>
      </c>
      <c r="D1107" s="69">
        <v>35</v>
      </c>
      <c r="E1107" s="69">
        <v>35</v>
      </c>
      <c r="F1107" s="69">
        <v>0</v>
      </c>
      <c r="G1107" s="69" t="s">
        <v>22</v>
      </c>
      <c r="H1107" s="69" t="s">
        <v>9</v>
      </c>
      <c r="I1107" s="69" t="s">
        <v>821</v>
      </c>
      <c r="J1107" s="69" t="s">
        <v>64</v>
      </c>
      <c r="K1107" s="69" t="s">
        <v>94</v>
      </c>
      <c r="M1107" s="69" t="s">
        <v>6</v>
      </c>
    </row>
    <row r="1108" spans="2:13">
      <c r="B1108" s="69">
        <v>1106</v>
      </c>
      <c r="C1108" s="69">
        <v>108</v>
      </c>
      <c r="D1108" s="69">
        <v>12</v>
      </c>
      <c r="E1108" s="69">
        <v>0</v>
      </c>
      <c r="F1108" s="69">
        <v>0</v>
      </c>
      <c r="G1108" s="69" t="s">
        <v>22</v>
      </c>
      <c r="H1108" s="69" t="s">
        <v>9</v>
      </c>
      <c r="I1108" s="69" t="s">
        <v>851</v>
      </c>
      <c r="J1108" s="69" t="s">
        <v>54</v>
      </c>
      <c r="K1108" s="69" t="s">
        <v>851</v>
      </c>
      <c r="M1108" s="69" t="s">
        <v>6</v>
      </c>
    </row>
    <row r="1109" spans="2:13">
      <c r="B1109" s="69">
        <v>1107</v>
      </c>
      <c r="C1109" s="69">
        <v>108</v>
      </c>
      <c r="D1109" s="69">
        <v>12</v>
      </c>
      <c r="E1109" s="69">
        <v>1</v>
      </c>
      <c r="F1109" s="69">
        <v>0</v>
      </c>
      <c r="G1109" s="69" t="s">
        <v>22</v>
      </c>
      <c r="H1109" s="69" t="s">
        <v>9</v>
      </c>
      <c r="I1109" s="69" t="s">
        <v>851</v>
      </c>
      <c r="J1109" s="69" t="s">
        <v>55</v>
      </c>
      <c r="K1109" s="69" t="s">
        <v>852</v>
      </c>
      <c r="M1109" s="69" t="s">
        <v>6</v>
      </c>
    </row>
    <row r="1110" spans="2:13">
      <c r="B1110" s="69">
        <v>1108</v>
      </c>
      <c r="C1110" s="69">
        <v>108</v>
      </c>
      <c r="D1110" s="69">
        <v>12</v>
      </c>
      <c r="E1110" s="69">
        <v>2</v>
      </c>
      <c r="F1110" s="69">
        <v>0</v>
      </c>
      <c r="G1110" s="69" t="s">
        <v>22</v>
      </c>
      <c r="H1110" s="69" t="s">
        <v>9</v>
      </c>
      <c r="I1110" s="69" t="s">
        <v>851</v>
      </c>
      <c r="J1110" s="69" t="s">
        <v>214</v>
      </c>
      <c r="K1110" s="69" t="s">
        <v>853</v>
      </c>
      <c r="M1110" s="69" t="s">
        <v>6</v>
      </c>
    </row>
    <row r="1111" spans="2:13">
      <c r="B1111" s="69">
        <v>1109</v>
      </c>
      <c r="C1111" s="69">
        <v>108</v>
      </c>
      <c r="D1111" s="69">
        <v>12</v>
      </c>
      <c r="E1111" s="69">
        <v>3</v>
      </c>
      <c r="F1111" s="69">
        <v>0</v>
      </c>
      <c r="G1111" s="69" t="s">
        <v>22</v>
      </c>
      <c r="H1111" s="69" t="s">
        <v>9</v>
      </c>
      <c r="I1111" s="69" t="s">
        <v>851</v>
      </c>
      <c r="J1111" s="69" t="s">
        <v>55</v>
      </c>
      <c r="K1111" s="69" t="s">
        <v>854</v>
      </c>
      <c r="M1111" s="69" t="s">
        <v>6</v>
      </c>
    </row>
    <row r="1112" spans="2:13">
      <c r="B1112" s="69">
        <v>1110</v>
      </c>
      <c r="C1112" s="69">
        <v>108</v>
      </c>
      <c r="D1112" s="69">
        <v>12</v>
      </c>
      <c r="E1112" s="69">
        <v>4</v>
      </c>
      <c r="F1112" s="69">
        <v>0</v>
      </c>
      <c r="G1112" s="69" t="s">
        <v>22</v>
      </c>
      <c r="H1112" s="69" t="s">
        <v>9</v>
      </c>
      <c r="I1112" s="69" t="s">
        <v>851</v>
      </c>
      <c r="J1112" s="69" t="s">
        <v>55</v>
      </c>
      <c r="K1112" s="69" t="s">
        <v>855</v>
      </c>
      <c r="M1112" s="69" t="s">
        <v>6</v>
      </c>
    </row>
    <row r="1113" spans="2:13">
      <c r="B1113" s="69">
        <v>1111</v>
      </c>
      <c r="C1113" s="69">
        <v>108</v>
      </c>
      <c r="D1113" s="69">
        <v>12</v>
      </c>
      <c r="E1113" s="69">
        <v>5</v>
      </c>
      <c r="F1113" s="69">
        <v>0</v>
      </c>
      <c r="G1113" s="69" t="s">
        <v>22</v>
      </c>
      <c r="H1113" s="69" t="s">
        <v>9</v>
      </c>
      <c r="I1113" s="69" t="s">
        <v>851</v>
      </c>
      <c r="J1113" s="69" t="s">
        <v>55</v>
      </c>
      <c r="K1113" s="69" t="s">
        <v>856</v>
      </c>
      <c r="M1113" s="69" t="s">
        <v>6</v>
      </c>
    </row>
    <row r="1114" spans="2:13">
      <c r="B1114" s="69">
        <v>1112</v>
      </c>
      <c r="C1114" s="69">
        <v>108</v>
      </c>
      <c r="D1114" s="69">
        <v>12</v>
      </c>
      <c r="E1114" s="69">
        <v>6</v>
      </c>
      <c r="F1114" s="69">
        <v>0</v>
      </c>
      <c r="G1114" s="69" t="s">
        <v>22</v>
      </c>
      <c r="H1114" s="69" t="s">
        <v>9</v>
      </c>
      <c r="I1114" s="69" t="s">
        <v>851</v>
      </c>
      <c r="J1114" s="69" t="s">
        <v>55</v>
      </c>
      <c r="K1114" s="69" t="s">
        <v>857</v>
      </c>
      <c r="M1114" s="69" t="s">
        <v>6</v>
      </c>
    </row>
    <row r="1115" spans="2:13">
      <c r="B1115" s="69">
        <v>1113</v>
      </c>
      <c r="C1115" s="69">
        <v>108</v>
      </c>
      <c r="D1115" s="69">
        <v>12</v>
      </c>
      <c r="E1115" s="69">
        <v>7</v>
      </c>
      <c r="F1115" s="69">
        <v>0</v>
      </c>
      <c r="G1115" s="69" t="s">
        <v>22</v>
      </c>
      <c r="H1115" s="69" t="s">
        <v>9</v>
      </c>
      <c r="I1115" s="69" t="s">
        <v>851</v>
      </c>
      <c r="J1115" s="69" t="s">
        <v>55</v>
      </c>
      <c r="K1115" s="69" t="s">
        <v>858</v>
      </c>
      <c r="M1115" s="69" t="s">
        <v>6</v>
      </c>
    </row>
    <row r="1116" spans="2:13">
      <c r="B1116" s="69">
        <v>1114</v>
      </c>
      <c r="C1116" s="69">
        <v>108</v>
      </c>
      <c r="D1116" s="69">
        <v>12</v>
      </c>
      <c r="E1116" s="69">
        <v>8</v>
      </c>
      <c r="F1116" s="69">
        <v>0</v>
      </c>
      <c r="G1116" s="69" t="s">
        <v>22</v>
      </c>
      <c r="H1116" s="69" t="s">
        <v>9</v>
      </c>
      <c r="I1116" s="69" t="s">
        <v>851</v>
      </c>
      <c r="J1116" s="69" t="s">
        <v>420</v>
      </c>
      <c r="K1116" s="69" t="s">
        <v>859</v>
      </c>
      <c r="M1116" s="69" t="s">
        <v>6</v>
      </c>
    </row>
    <row r="1117" spans="2:13">
      <c r="B1117" s="69">
        <v>1115</v>
      </c>
      <c r="C1117" s="69">
        <v>108</v>
      </c>
      <c r="D1117" s="69">
        <v>12</v>
      </c>
      <c r="E1117" s="69">
        <v>9</v>
      </c>
      <c r="F1117" s="69">
        <v>0</v>
      </c>
      <c r="G1117" s="69" t="s">
        <v>22</v>
      </c>
      <c r="H1117" s="69" t="s">
        <v>9</v>
      </c>
      <c r="I1117" s="69" t="s">
        <v>851</v>
      </c>
      <c r="J1117" s="69" t="s">
        <v>55</v>
      </c>
      <c r="K1117" s="69" t="s">
        <v>860</v>
      </c>
      <c r="M1117" s="69" t="s">
        <v>6</v>
      </c>
    </row>
    <row r="1118" spans="2:13">
      <c r="B1118" s="69">
        <v>1116</v>
      </c>
      <c r="C1118" s="69">
        <v>108</v>
      </c>
      <c r="D1118" s="69">
        <v>12</v>
      </c>
      <c r="E1118" s="69">
        <v>10</v>
      </c>
      <c r="F1118" s="69">
        <v>0</v>
      </c>
      <c r="G1118" s="69" t="s">
        <v>22</v>
      </c>
      <c r="H1118" s="69" t="s">
        <v>9</v>
      </c>
      <c r="I1118" s="69" t="s">
        <v>851</v>
      </c>
      <c r="J1118" s="69" t="s">
        <v>64</v>
      </c>
      <c r="K1118" s="69" t="s">
        <v>772</v>
      </c>
      <c r="M1118" s="69" t="s">
        <v>6</v>
      </c>
    </row>
    <row r="1119" spans="2:13">
      <c r="B1119" s="69">
        <v>1117</v>
      </c>
      <c r="C1119" s="69">
        <v>108</v>
      </c>
      <c r="D1119" s="69">
        <v>12</v>
      </c>
      <c r="E1119" s="69">
        <v>11</v>
      </c>
      <c r="F1119" s="69">
        <v>0</v>
      </c>
      <c r="G1119" s="69" t="s">
        <v>22</v>
      </c>
      <c r="H1119" s="69" t="s">
        <v>9</v>
      </c>
      <c r="I1119" s="69" t="s">
        <v>851</v>
      </c>
      <c r="J1119" s="69" t="s">
        <v>55</v>
      </c>
      <c r="K1119" s="69" t="s">
        <v>93</v>
      </c>
      <c r="M1119" s="69" t="s">
        <v>6</v>
      </c>
    </row>
    <row r="1120" spans="2:13">
      <c r="B1120" s="69">
        <v>1118</v>
      </c>
      <c r="C1120" s="69">
        <v>108</v>
      </c>
      <c r="D1120" s="69">
        <v>12</v>
      </c>
      <c r="E1120" s="69">
        <v>12</v>
      </c>
      <c r="F1120" s="69">
        <v>0</v>
      </c>
      <c r="G1120" s="69" t="s">
        <v>22</v>
      </c>
      <c r="H1120" s="69" t="s">
        <v>9</v>
      </c>
      <c r="I1120" s="69" t="s">
        <v>851</v>
      </c>
      <c r="J1120" s="69" t="s">
        <v>64</v>
      </c>
      <c r="K1120" s="69" t="s">
        <v>94</v>
      </c>
      <c r="M1120" s="69" t="s">
        <v>6</v>
      </c>
    </row>
    <row r="1121" spans="2:13">
      <c r="B1121" s="69">
        <v>1119</v>
      </c>
      <c r="C1121" s="69">
        <v>109</v>
      </c>
      <c r="D1121" s="69">
        <v>12</v>
      </c>
      <c r="E1121" s="69">
        <v>0</v>
      </c>
      <c r="F1121" s="69">
        <v>0</v>
      </c>
      <c r="G1121" s="69" t="s">
        <v>22</v>
      </c>
      <c r="H1121" s="69" t="s">
        <v>9</v>
      </c>
      <c r="I1121" s="69" t="s">
        <v>861</v>
      </c>
      <c r="J1121" s="69" t="s">
        <v>478</v>
      </c>
      <c r="K1121" s="69" t="s">
        <v>861</v>
      </c>
      <c r="M1121" s="69" t="s">
        <v>6</v>
      </c>
    </row>
    <row r="1122" spans="2:13">
      <c r="B1122" s="69">
        <v>1120</v>
      </c>
      <c r="C1122" s="69">
        <v>109</v>
      </c>
      <c r="D1122" s="69">
        <v>12</v>
      </c>
      <c r="E1122" s="69">
        <v>1</v>
      </c>
      <c r="F1122" s="69">
        <v>0</v>
      </c>
      <c r="G1122" s="69" t="s">
        <v>22</v>
      </c>
      <c r="H1122" s="69" t="s">
        <v>9</v>
      </c>
      <c r="I1122" s="69" t="s">
        <v>861</v>
      </c>
      <c r="J1122" s="69" t="s">
        <v>479</v>
      </c>
      <c r="K1122" s="69" t="s">
        <v>711</v>
      </c>
      <c r="M1122" s="69" t="s">
        <v>6</v>
      </c>
    </row>
    <row r="1123" spans="2:13">
      <c r="B1123" s="69">
        <v>1121</v>
      </c>
      <c r="C1123" s="69">
        <v>109</v>
      </c>
      <c r="D1123" s="69">
        <v>12</v>
      </c>
      <c r="E1123" s="69">
        <v>2</v>
      </c>
      <c r="F1123" s="69">
        <v>0</v>
      </c>
      <c r="G1123" s="69" t="s">
        <v>22</v>
      </c>
      <c r="H1123" s="69" t="s">
        <v>9</v>
      </c>
      <c r="I1123" s="69" t="s">
        <v>861</v>
      </c>
      <c r="J1123" s="69" t="s">
        <v>55</v>
      </c>
      <c r="K1123" s="69" t="s">
        <v>862</v>
      </c>
      <c r="M1123" s="69" t="s">
        <v>6</v>
      </c>
    </row>
    <row r="1124" spans="2:13">
      <c r="B1124" s="69">
        <v>1122</v>
      </c>
      <c r="C1124" s="69">
        <v>109</v>
      </c>
      <c r="D1124" s="69">
        <v>12</v>
      </c>
      <c r="E1124" s="69">
        <v>3</v>
      </c>
      <c r="F1124" s="69">
        <v>0</v>
      </c>
      <c r="G1124" s="69" t="s">
        <v>22</v>
      </c>
      <c r="H1124" s="69" t="s">
        <v>9</v>
      </c>
      <c r="I1124" s="69" t="s">
        <v>861</v>
      </c>
      <c r="J1124" s="69" t="s">
        <v>55</v>
      </c>
      <c r="K1124" s="69" t="s">
        <v>863</v>
      </c>
      <c r="M1124" s="69" t="s">
        <v>6</v>
      </c>
    </row>
    <row r="1125" spans="2:13">
      <c r="B1125" s="69">
        <v>1123</v>
      </c>
      <c r="C1125" s="69">
        <v>109</v>
      </c>
      <c r="D1125" s="69">
        <v>12</v>
      </c>
      <c r="E1125" s="69">
        <v>4</v>
      </c>
      <c r="F1125" s="69">
        <v>0</v>
      </c>
      <c r="G1125" s="69" t="s">
        <v>22</v>
      </c>
      <c r="H1125" s="69" t="s">
        <v>9</v>
      </c>
      <c r="I1125" s="69" t="s">
        <v>861</v>
      </c>
      <c r="J1125" s="69" t="s">
        <v>55</v>
      </c>
      <c r="K1125" s="69" t="s">
        <v>864</v>
      </c>
      <c r="M1125" s="69" t="s">
        <v>6</v>
      </c>
    </row>
    <row r="1126" spans="2:13">
      <c r="B1126" s="69">
        <v>1124</v>
      </c>
      <c r="C1126" s="69">
        <v>109</v>
      </c>
      <c r="D1126" s="69">
        <v>12</v>
      </c>
      <c r="E1126" s="69">
        <v>5</v>
      </c>
      <c r="F1126" s="69">
        <v>0</v>
      </c>
      <c r="G1126" s="69" t="s">
        <v>22</v>
      </c>
      <c r="H1126" s="69" t="s">
        <v>9</v>
      </c>
      <c r="I1126" s="69" t="s">
        <v>861</v>
      </c>
      <c r="J1126" s="69" t="s">
        <v>479</v>
      </c>
      <c r="K1126" s="69" t="s">
        <v>865</v>
      </c>
      <c r="M1126" s="69" t="s">
        <v>6</v>
      </c>
    </row>
    <row r="1127" spans="2:13">
      <c r="B1127" s="69">
        <v>1125</v>
      </c>
      <c r="C1127" s="69">
        <v>109</v>
      </c>
      <c r="D1127" s="69">
        <v>12</v>
      </c>
      <c r="E1127" s="69">
        <v>6</v>
      </c>
      <c r="F1127" s="69">
        <v>0</v>
      </c>
      <c r="G1127" s="69" t="s">
        <v>22</v>
      </c>
      <c r="H1127" s="69" t="s">
        <v>9</v>
      </c>
      <c r="I1127" s="69" t="s">
        <v>861</v>
      </c>
      <c r="J1127" s="69" t="s">
        <v>55</v>
      </c>
      <c r="K1127" s="69" t="s">
        <v>866</v>
      </c>
      <c r="M1127" s="69" t="s">
        <v>6</v>
      </c>
    </row>
    <row r="1128" spans="2:13">
      <c r="B1128" s="69">
        <v>1126</v>
      </c>
      <c r="C1128" s="69">
        <v>109</v>
      </c>
      <c r="D1128" s="69">
        <v>12</v>
      </c>
      <c r="E1128" s="69">
        <v>7</v>
      </c>
      <c r="F1128" s="69">
        <v>0</v>
      </c>
      <c r="G1128" s="69" t="s">
        <v>22</v>
      </c>
      <c r="H1128" s="69" t="s">
        <v>9</v>
      </c>
      <c r="I1128" s="69" t="s">
        <v>861</v>
      </c>
      <c r="J1128" s="69" t="s">
        <v>55</v>
      </c>
      <c r="K1128" s="69" t="s">
        <v>867</v>
      </c>
      <c r="M1128" s="69" t="s">
        <v>6</v>
      </c>
    </row>
    <row r="1129" spans="2:13">
      <c r="B1129" s="69">
        <v>1127</v>
      </c>
      <c r="C1129" s="69">
        <v>109</v>
      </c>
      <c r="D1129" s="69">
        <v>12</v>
      </c>
      <c r="E1129" s="69">
        <v>8</v>
      </c>
      <c r="F1129" s="69">
        <v>0</v>
      </c>
      <c r="G1129" s="69" t="s">
        <v>22</v>
      </c>
      <c r="H1129" s="69" t="s">
        <v>9</v>
      </c>
      <c r="I1129" s="69" t="s">
        <v>861</v>
      </c>
      <c r="J1129" s="69" t="s">
        <v>55</v>
      </c>
      <c r="K1129" s="69" t="s">
        <v>868</v>
      </c>
      <c r="M1129" s="69" t="s">
        <v>6</v>
      </c>
    </row>
    <row r="1130" spans="2:13">
      <c r="B1130" s="69">
        <v>1128</v>
      </c>
      <c r="C1130" s="69">
        <v>109</v>
      </c>
      <c r="D1130" s="69">
        <v>12</v>
      </c>
      <c r="E1130" s="69">
        <v>9</v>
      </c>
      <c r="F1130" s="69">
        <v>0</v>
      </c>
      <c r="G1130" s="69" t="s">
        <v>22</v>
      </c>
      <c r="H1130" s="69" t="s">
        <v>9</v>
      </c>
      <c r="I1130" s="69" t="s">
        <v>861</v>
      </c>
      <c r="J1130" s="69" t="s">
        <v>55</v>
      </c>
      <c r="K1130" s="69" t="s">
        <v>869</v>
      </c>
      <c r="M1130" s="69" t="s">
        <v>6</v>
      </c>
    </row>
    <row r="1131" spans="2:13">
      <c r="B1131" s="69">
        <v>1129</v>
      </c>
      <c r="C1131" s="69">
        <v>109</v>
      </c>
      <c r="D1131" s="69">
        <v>12</v>
      </c>
      <c r="E1131" s="69">
        <v>10</v>
      </c>
      <c r="F1131" s="69">
        <v>0</v>
      </c>
      <c r="G1131" s="69" t="s">
        <v>22</v>
      </c>
      <c r="H1131" s="69" t="s">
        <v>9</v>
      </c>
      <c r="I1131" s="69" t="s">
        <v>861</v>
      </c>
      <c r="J1131" s="69" t="s">
        <v>55</v>
      </c>
      <c r="K1131" s="69" t="s">
        <v>870</v>
      </c>
      <c r="M1131" s="69" t="s">
        <v>6</v>
      </c>
    </row>
    <row r="1132" spans="2:13">
      <c r="B1132" s="69">
        <v>1130</v>
      </c>
      <c r="C1132" s="69">
        <v>109</v>
      </c>
      <c r="D1132" s="69">
        <v>12</v>
      </c>
      <c r="E1132" s="69">
        <v>11</v>
      </c>
      <c r="F1132" s="69">
        <v>0</v>
      </c>
      <c r="G1132" s="69" t="s">
        <v>22</v>
      </c>
      <c r="H1132" s="69" t="s">
        <v>9</v>
      </c>
      <c r="I1132" s="69" t="s">
        <v>861</v>
      </c>
      <c r="J1132" s="69" t="s">
        <v>55</v>
      </c>
      <c r="K1132" s="69" t="s">
        <v>93</v>
      </c>
      <c r="M1132" s="69" t="s">
        <v>6</v>
      </c>
    </row>
    <row r="1133" spans="2:13">
      <c r="B1133" s="69">
        <v>1131</v>
      </c>
      <c r="C1133" s="69">
        <v>109</v>
      </c>
      <c r="D1133" s="69">
        <v>12</v>
      </c>
      <c r="E1133" s="69">
        <v>12</v>
      </c>
      <c r="F1133" s="69">
        <v>0</v>
      </c>
      <c r="G1133" s="69" t="s">
        <v>22</v>
      </c>
      <c r="H1133" s="69" t="s">
        <v>9</v>
      </c>
      <c r="I1133" s="69" t="s">
        <v>861</v>
      </c>
      <c r="J1133" s="69" t="s">
        <v>64</v>
      </c>
      <c r="K1133" s="69" t="s">
        <v>94</v>
      </c>
      <c r="M1133" s="69" t="s">
        <v>6</v>
      </c>
    </row>
    <row r="1134" spans="2:13">
      <c r="B1134" s="69">
        <v>1132</v>
      </c>
      <c r="C1134" s="69">
        <v>110</v>
      </c>
      <c r="D1134" s="69">
        <v>13</v>
      </c>
      <c r="E1134" s="69">
        <v>0</v>
      </c>
      <c r="F1134" s="69">
        <v>0</v>
      </c>
      <c r="G1134" s="69" t="s">
        <v>22</v>
      </c>
      <c r="H1134" s="69" t="s">
        <v>9</v>
      </c>
      <c r="I1134" s="69" t="s">
        <v>871</v>
      </c>
      <c r="J1134" s="69" t="s">
        <v>54</v>
      </c>
      <c r="K1134" s="69" t="s">
        <v>871</v>
      </c>
      <c r="M1134" s="69" t="s">
        <v>6</v>
      </c>
    </row>
    <row r="1135" spans="2:13">
      <c r="B1135" s="69">
        <v>1133</v>
      </c>
      <c r="C1135" s="69">
        <v>110</v>
      </c>
      <c r="D1135" s="69">
        <v>13</v>
      </c>
      <c r="E1135" s="69">
        <v>1</v>
      </c>
      <c r="F1135" s="69">
        <v>0</v>
      </c>
      <c r="G1135" s="69" t="s">
        <v>22</v>
      </c>
      <c r="H1135" s="69" t="s">
        <v>9</v>
      </c>
      <c r="I1135" s="69" t="s">
        <v>871</v>
      </c>
      <c r="J1135" s="69" t="s">
        <v>722</v>
      </c>
      <c r="K1135" s="69" t="s">
        <v>872</v>
      </c>
      <c r="M1135" s="69" t="s">
        <v>6</v>
      </c>
    </row>
    <row r="1136" spans="2:13">
      <c r="B1136" s="69">
        <v>1134</v>
      </c>
      <c r="C1136" s="69">
        <v>110</v>
      </c>
      <c r="D1136" s="69">
        <v>13</v>
      </c>
      <c r="E1136" s="69">
        <v>2</v>
      </c>
      <c r="F1136" s="69">
        <v>0</v>
      </c>
      <c r="G1136" s="69" t="s">
        <v>22</v>
      </c>
      <c r="H1136" s="69" t="s">
        <v>9</v>
      </c>
      <c r="I1136" s="69" t="s">
        <v>871</v>
      </c>
      <c r="J1136" s="69" t="s">
        <v>218</v>
      </c>
      <c r="K1136" s="69" t="s">
        <v>873</v>
      </c>
      <c r="M1136" s="69" t="s">
        <v>6</v>
      </c>
    </row>
    <row r="1137" spans="2:13">
      <c r="B1137" s="69">
        <v>1135</v>
      </c>
      <c r="C1137" s="69">
        <v>110</v>
      </c>
      <c r="D1137" s="69">
        <v>13</v>
      </c>
      <c r="E1137" s="69">
        <v>3</v>
      </c>
      <c r="F1137" s="69">
        <v>0</v>
      </c>
      <c r="G1137" s="69" t="s">
        <v>22</v>
      </c>
      <c r="H1137" s="69" t="s">
        <v>9</v>
      </c>
      <c r="I1137" s="69" t="s">
        <v>871</v>
      </c>
      <c r="J1137" s="69" t="s">
        <v>55</v>
      </c>
      <c r="K1137" s="69" t="s">
        <v>874</v>
      </c>
      <c r="M1137" s="69" t="s">
        <v>6</v>
      </c>
    </row>
    <row r="1138" spans="2:13">
      <c r="B1138" s="69">
        <v>1136</v>
      </c>
      <c r="C1138" s="69">
        <v>110</v>
      </c>
      <c r="D1138" s="69">
        <v>13</v>
      </c>
      <c r="E1138" s="69">
        <v>4</v>
      </c>
      <c r="F1138" s="69">
        <v>0</v>
      </c>
      <c r="G1138" s="69" t="s">
        <v>22</v>
      </c>
      <c r="H1138" s="69" t="s">
        <v>9</v>
      </c>
      <c r="I1138" s="69" t="s">
        <v>871</v>
      </c>
      <c r="J1138" s="69" t="s">
        <v>55</v>
      </c>
      <c r="K1138" s="69" t="s">
        <v>875</v>
      </c>
      <c r="M1138" s="69" t="s">
        <v>6</v>
      </c>
    </row>
    <row r="1139" spans="2:13">
      <c r="B1139" s="69">
        <v>1137</v>
      </c>
      <c r="C1139" s="69">
        <v>110</v>
      </c>
      <c r="D1139" s="69">
        <v>13</v>
      </c>
      <c r="E1139" s="69">
        <v>5</v>
      </c>
      <c r="F1139" s="69">
        <v>0</v>
      </c>
      <c r="G1139" s="69" t="s">
        <v>22</v>
      </c>
      <c r="H1139" s="69" t="s">
        <v>9</v>
      </c>
      <c r="I1139" s="69" t="s">
        <v>871</v>
      </c>
      <c r="J1139" s="69" t="s">
        <v>55</v>
      </c>
      <c r="K1139" s="69" t="s">
        <v>876</v>
      </c>
      <c r="M1139" s="69" t="s">
        <v>6</v>
      </c>
    </row>
    <row r="1140" spans="2:13">
      <c r="B1140" s="69">
        <v>1138</v>
      </c>
      <c r="C1140" s="69">
        <v>110</v>
      </c>
      <c r="D1140" s="69">
        <v>13</v>
      </c>
      <c r="E1140" s="69">
        <v>6</v>
      </c>
      <c r="F1140" s="69">
        <v>0</v>
      </c>
      <c r="G1140" s="69" t="s">
        <v>22</v>
      </c>
      <c r="H1140" s="69" t="s">
        <v>9</v>
      </c>
      <c r="I1140" s="69" t="s">
        <v>871</v>
      </c>
      <c r="J1140" s="69" t="s">
        <v>55</v>
      </c>
      <c r="K1140" s="69" t="s">
        <v>877</v>
      </c>
      <c r="M1140" s="69" t="s">
        <v>6</v>
      </c>
    </row>
    <row r="1141" spans="2:13">
      <c r="B1141" s="69">
        <v>1139</v>
      </c>
      <c r="C1141" s="69">
        <v>110</v>
      </c>
      <c r="D1141" s="69">
        <v>13</v>
      </c>
      <c r="E1141" s="69">
        <v>7</v>
      </c>
      <c r="F1141" s="69">
        <v>0</v>
      </c>
      <c r="G1141" s="69" t="s">
        <v>22</v>
      </c>
      <c r="H1141" s="69" t="s">
        <v>9</v>
      </c>
      <c r="I1141" s="69" t="s">
        <v>871</v>
      </c>
      <c r="J1141" s="69" t="s">
        <v>55</v>
      </c>
      <c r="K1141" s="69" t="s">
        <v>878</v>
      </c>
      <c r="M1141" s="69" t="s">
        <v>6</v>
      </c>
    </row>
    <row r="1142" spans="2:13">
      <c r="B1142" s="69">
        <v>1140</v>
      </c>
      <c r="C1142" s="69">
        <v>110</v>
      </c>
      <c r="D1142" s="69">
        <v>13</v>
      </c>
      <c r="E1142" s="69">
        <v>8</v>
      </c>
      <c r="F1142" s="69">
        <v>0</v>
      </c>
      <c r="G1142" s="69" t="s">
        <v>22</v>
      </c>
      <c r="H1142" s="69" t="s">
        <v>9</v>
      </c>
      <c r="I1142" s="69" t="s">
        <v>871</v>
      </c>
      <c r="J1142" s="69" t="s">
        <v>55</v>
      </c>
      <c r="K1142" s="69" t="s">
        <v>879</v>
      </c>
      <c r="M1142" s="69" t="s">
        <v>6</v>
      </c>
    </row>
    <row r="1143" spans="2:13">
      <c r="B1143" s="69">
        <v>1141</v>
      </c>
      <c r="C1143" s="69">
        <v>110</v>
      </c>
      <c r="D1143" s="69">
        <v>13</v>
      </c>
      <c r="E1143" s="69">
        <v>9</v>
      </c>
      <c r="F1143" s="69">
        <v>0</v>
      </c>
      <c r="G1143" s="69" t="s">
        <v>22</v>
      </c>
      <c r="H1143" s="69" t="s">
        <v>9</v>
      </c>
      <c r="I1143" s="69" t="s">
        <v>871</v>
      </c>
      <c r="J1143" s="69" t="s">
        <v>55</v>
      </c>
      <c r="K1143" s="69" t="s">
        <v>779</v>
      </c>
      <c r="M1143" s="69" t="s">
        <v>6</v>
      </c>
    </row>
    <row r="1144" spans="2:13">
      <c r="B1144" s="69">
        <v>1142</v>
      </c>
      <c r="C1144" s="69">
        <v>110</v>
      </c>
      <c r="D1144" s="69">
        <v>13</v>
      </c>
      <c r="E1144" s="69">
        <v>10</v>
      </c>
      <c r="F1144" s="69">
        <v>0</v>
      </c>
      <c r="G1144" s="69" t="s">
        <v>22</v>
      </c>
      <c r="H1144" s="69" t="s">
        <v>9</v>
      </c>
      <c r="I1144" s="69" t="s">
        <v>871</v>
      </c>
      <c r="J1144" s="69" t="s">
        <v>55</v>
      </c>
      <c r="K1144" s="69" t="s">
        <v>880</v>
      </c>
      <c r="M1144" s="69" t="s">
        <v>6</v>
      </c>
    </row>
    <row r="1145" spans="2:13">
      <c r="B1145" s="69">
        <v>1143</v>
      </c>
      <c r="C1145" s="69">
        <v>110</v>
      </c>
      <c r="D1145" s="69">
        <v>13</v>
      </c>
      <c r="E1145" s="69">
        <v>11</v>
      </c>
      <c r="F1145" s="69">
        <v>0</v>
      </c>
      <c r="G1145" s="69" t="s">
        <v>22</v>
      </c>
      <c r="H1145" s="69" t="s">
        <v>9</v>
      </c>
      <c r="I1145" s="69" t="s">
        <v>871</v>
      </c>
      <c r="J1145" s="69" t="s">
        <v>55</v>
      </c>
      <c r="K1145" s="69" t="s">
        <v>881</v>
      </c>
      <c r="M1145" s="69" t="s">
        <v>6</v>
      </c>
    </row>
    <row r="1146" spans="2:13">
      <c r="B1146" s="69">
        <v>1144</v>
      </c>
      <c r="C1146" s="69">
        <v>110</v>
      </c>
      <c r="D1146" s="69">
        <v>13</v>
      </c>
      <c r="E1146" s="69">
        <v>12</v>
      </c>
      <c r="F1146" s="69">
        <v>0</v>
      </c>
      <c r="G1146" s="69" t="s">
        <v>22</v>
      </c>
      <c r="H1146" s="69" t="s">
        <v>9</v>
      </c>
      <c r="I1146" s="69" t="s">
        <v>871</v>
      </c>
      <c r="J1146" s="69" t="s">
        <v>55</v>
      </c>
      <c r="K1146" s="69" t="s">
        <v>93</v>
      </c>
      <c r="M1146" s="69" t="s">
        <v>6</v>
      </c>
    </row>
    <row r="1147" spans="2:13">
      <c r="B1147" s="69">
        <v>1145</v>
      </c>
      <c r="C1147" s="69">
        <v>110</v>
      </c>
      <c r="D1147" s="69">
        <v>13</v>
      </c>
      <c r="E1147" s="69">
        <v>13</v>
      </c>
      <c r="F1147" s="69">
        <v>0</v>
      </c>
      <c r="G1147" s="69" t="s">
        <v>22</v>
      </c>
      <c r="H1147" s="69" t="s">
        <v>9</v>
      </c>
      <c r="I1147" s="69" t="s">
        <v>871</v>
      </c>
      <c r="J1147" s="69" t="s">
        <v>64</v>
      </c>
      <c r="K1147" s="69" t="s">
        <v>94</v>
      </c>
      <c r="M1147" s="69" t="s">
        <v>6</v>
      </c>
    </row>
    <row r="1148" spans="2:13">
      <c r="B1148" s="69">
        <v>1146</v>
      </c>
      <c r="C1148" s="69">
        <v>111</v>
      </c>
      <c r="D1148" s="69">
        <v>7</v>
      </c>
      <c r="E1148" s="69">
        <v>0</v>
      </c>
      <c r="F1148" s="69">
        <v>0</v>
      </c>
      <c r="G1148" s="69" t="s">
        <v>22</v>
      </c>
      <c r="H1148" s="69" t="s">
        <v>9</v>
      </c>
      <c r="I1148" s="69" t="s">
        <v>882</v>
      </c>
      <c r="J1148" s="69" t="s">
        <v>54</v>
      </c>
      <c r="K1148" s="69" t="s">
        <v>882</v>
      </c>
      <c r="M1148" s="69" t="s">
        <v>6</v>
      </c>
    </row>
    <row r="1149" spans="2:13">
      <c r="B1149" s="69">
        <v>1147</v>
      </c>
      <c r="C1149" s="69">
        <v>111</v>
      </c>
      <c r="D1149" s="69">
        <v>7</v>
      </c>
      <c r="E1149" s="69">
        <v>1</v>
      </c>
      <c r="F1149" s="69">
        <v>0</v>
      </c>
      <c r="G1149" s="69" t="s">
        <v>22</v>
      </c>
      <c r="H1149" s="69" t="s">
        <v>9</v>
      </c>
      <c r="I1149" s="69" t="s">
        <v>882</v>
      </c>
      <c r="J1149" s="69" t="s">
        <v>55</v>
      </c>
      <c r="K1149" s="69" t="s">
        <v>883</v>
      </c>
      <c r="M1149" s="69" t="s">
        <v>6</v>
      </c>
    </row>
    <row r="1150" spans="2:13">
      <c r="B1150" s="69">
        <v>1148</v>
      </c>
      <c r="C1150" s="69">
        <v>111</v>
      </c>
      <c r="D1150" s="69">
        <v>7</v>
      </c>
      <c r="E1150" s="69">
        <v>2</v>
      </c>
      <c r="F1150" s="69">
        <v>0</v>
      </c>
      <c r="G1150" s="69" t="s">
        <v>22</v>
      </c>
      <c r="H1150" s="69" t="s">
        <v>9</v>
      </c>
      <c r="I1150" s="69" t="s">
        <v>882</v>
      </c>
      <c r="J1150" s="69" t="s">
        <v>55</v>
      </c>
      <c r="K1150" s="69" t="s">
        <v>884</v>
      </c>
      <c r="M1150" s="69" t="s">
        <v>6</v>
      </c>
    </row>
    <row r="1151" spans="2:13">
      <c r="B1151" s="69">
        <v>1149</v>
      </c>
      <c r="C1151" s="69">
        <v>111</v>
      </c>
      <c r="D1151" s="69">
        <v>7</v>
      </c>
      <c r="E1151" s="69">
        <v>3</v>
      </c>
      <c r="F1151" s="69">
        <v>0</v>
      </c>
      <c r="G1151" s="69" t="s">
        <v>22</v>
      </c>
      <c r="H1151" s="69" t="s">
        <v>9</v>
      </c>
      <c r="I1151" s="69" t="s">
        <v>882</v>
      </c>
      <c r="J1151" s="69" t="s">
        <v>55</v>
      </c>
      <c r="K1151" s="69" t="s">
        <v>885</v>
      </c>
      <c r="M1151" s="69" t="s">
        <v>6</v>
      </c>
    </row>
    <row r="1152" spans="2:13">
      <c r="B1152" s="69">
        <v>1150</v>
      </c>
      <c r="C1152" s="69">
        <v>111</v>
      </c>
      <c r="D1152" s="69">
        <v>7</v>
      </c>
      <c r="E1152" s="69">
        <v>4</v>
      </c>
      <c r="F1152" s="69">
        <v>0</v>
      </c>
      <c r="G1152" s="69" t="s">
        <v>22</v>
      </c>
      <c r="H1152" s="69" t="s">
        <v>9</v>
      </c>
      <c r="I1152" s="69" t="s">
        <v>882</v>
      </c>
      <c r="J1152" s="69" t="s">
        <v>55</v>
      </c>
      <c r="K1152" s="69" t="s">
        <v>886</v>
      </c>
      <c r="M1152" s="69" t="s">
        <v>6</v>
      </c>
    </row>
    <row r="1153" spans="2:13">
      <c r="B1153" s="69">
        <v>1151</v>
      </c>
      <c r="C1153" s="69">
        <v>111</v>
      </c>
      <c r="D1153" s="69">
        <v>7</v>
      </c>
      <c r="E1153" s="69">
        <v>5</v>
      </c>
      <c r="F1153" s="69">
        <v>0</v>
      </c>
      <c r="G1153" s="69" t="s">
        <v>22</v>
      </c>
      <c r="H1153" s="69" t="s">
        <v>9</v>
      </c>
      <c r="I1153" s="69" t="s">
        <v>882</v>
      </c>
      <c r="J1153" s="69" t="s">
        <v>55</v>
      </c>
      <c r="K1153" s="69" t="s">
        <v>887</v>
      </c>
      <c r="M1153" s="69" t="s">
        <v>6</v>
      </c>
    </row>
    <row r="1154" spans="2:13">
      <c r="B1154" s="69">
        <v>1152</v>
      </c>
      <c r="C1154" s="69">
        <v>111</v>
      </c>
      <c r="D1154" s="69">
        <v>7</v>
      </c>
      <c r="E1154" s="69">
        <v>6</v>
      </c>
      <c r="F1154" s="69">
        <v>0</v>
      </c>
      <c r="G1154" s="69" t="s">
        <v>22</v>
      </c>
      <c r="H1154" s="69" t="s">
        <v>9</v>
      </c>
      <c r="I1154" s="69" t="s">
        <v>882</v>
      </c>
      <c r="J1154" s="69" t="s">
        <v>55</v>
      </c>
      <c r="K1154" s="69" t="s">
        <v>93</v>
      </c>
      <c r="M1154" s="69" t="s">
        <v>6</v>
      </c>
    </row>
    <row r="1155" spans="2:13">
      <c r="B1155" s="69">
        <v>1153</v>
      </c>
      <c r="C1155" s="69">
        <v>111</v>
      </c>
      <c r="D1155" s="69">
        <v>7</v>
      </c>
      <c r="E1155" s="69">
        <v>7</v>
      </c>
      <c r="F1155" s="69">
        <v>0</v>
      </c>
      <c r="G1155" s="69" t="s">
        <v>22</v>
      </c>
      <c r="H1155" s="69" t="s">
        <v>9</v>
      </c>
      <c r="I1155" s="69" t="s">
        <v>882</v>
      </c>
      <c r="J1155" s="69" t="s">
        <v>64</v>
      </c>
      <c r="K1155" s="69" t="s">
        <v>94</v>
      </c>
      <c r="M1155" s="69" t="s">
        <v>6</v>
      </c>
    </row>
    <row r="1156" spans="2:13">
      <c r="B1156" s="69">
        <v>1154</v>
      </c>
      <c r="C1156" s="69">
        <v>112</v>
      </c>
      <c r="D1156" s="69">
        <v>5</v>
      </c>
      <c r="E1156" s="69">
        <v>0</v>
      </c>
      <c r="F1156" s="69">
        <v>0</v>
      </c>
      <c r="G1156" s="69" t="s">
        <v>22</v>
      </c>
      <c r="H1156" s="69" t="s">
        <v>9</v>
      </c>
      <c r="I1156" s="69" t="s">
        <v>888</v>
      </c>
      <c r="J1156" s="69" t="s">
        <v>54</v>
      </c>
      <c r="K1156" s="69" t="s">
        <v>888</v>
      </c>
      <c r="M1156" s="69" t="s">
        <v>6</v>
      </c>
    </row>
    <row r="1157" spans="2:13">
      <c r="B1157" s="69">
        <v>1155</v>
      </c>
      <c r="C1157" s="69">
        <v>112</v>
      </c>
      <c r="D1157" s="69">
        <v>5</v>
      </c>
      <c r="E1157" s="69">
        <v>1</v>
      </c>
      <c r="F1157" s="69">
        <v>0</v>
      </c>
      <c r="G1157" s="69" t="s">
        <v>22</v>
      </c>
      <c r="H1157" s="69" t="s">
        <v>9</v>
      </c>
      <c r="I1157" s="69" t="s">
        <v>888</v>
      </c>
      <c r="J1157" s="69" t="s">
        <v>55</v>
      </c>
      <c r="K1157" s="69" t="s">
        <v>889</v>
      </c>
      <c r="M1157" s="69" t="s">
        <v>6</v>
      </c>
    </row>
    <row r="1158" spans="2:13">
      <c r="B1158" s="69">
        <v>1156</v>
      </c>
      <c r="C1158" s="69">
        <v>112</v>
      </c>
      <c r="D1158" s="69">
        <v>5</v>
      </c>
      <c r="E1158" s="69">
        <v>2</v>
      </c>
      <c r="F1158" s="69">
        <v>0</v>
      </c>
      <c r="G1158" s="69" t="s">
        <v>22</v>
      </c>
      <c r="H1158" s="69" t="s">
        <v>9</v>
      </c>
      <c r="I1158" s="69" t="s">
        <v>888</v>
      </c>
      <c r="J1158" s="69" t="s">
        <v>64</v>
      </c>
      <c r="K1158" s="69" t="s">
        <v>94</v>
      </c>
      <c r="M1158" s="69" t="s">
        <v>6</v>
      </c>
    </row>
    <row r="1159" spans="2:13">
      <c r="B1159" s="69">
        <v>1157</v>
      </c>
      <c r="C1159" s="69">
        <v>112</v>
      </c>
      <c r="D1159" s="69">
        <v>5</v>
      </c>
      <c r="E1159" s="69">
        <v>3</v>
      </c>
      <c r="F1159" s="69">
        <v>0</v>
      </c>
      <c r="G1159" s="69" t="s">
        <v>22</v>
      </c>
      <c r="H1159" s="69" t="s">
        <v>9</v>
      </c>
      <c r="I1159" s="69" t="s">
        <v>888</v>
      </c>
      <c r="J1159" s="69" t="s">
        <v>54</v>
      </c>
      <c r="K1159" s="69" t="s">
        <v>888</v>
      </c>
      <c r="M1159" s="69" t="s">
        <v>6</v>
      </c>
    </row>
    <row r="1160" spans="2:13">
      <c r="B1160" s="69">
        <v>1158</v>
      </c>
      <c r="C1160" s="69">
        <v>112</v>
      </c>
      <c r="D1160" s="69">
        <v>5</v>
      </c>
      <c r="E1160" s="69">
        <v>4</v>
      </c>
      <c r="F1160" s="69">
        <v>0</v>
      </c>
      <c r="G1160" s="69" t="s">
        <v>22</v>
      </c>
      <c r="H1160" s="69" t="s">
        <v>9</v>
      </c>
      <c r="I1160" s="69" t="s">
        <v>888</v>
      </c>
      <c r="J1160" s="69" t="s">
        <v>55</v>
      </c>
      <c r="K1160" s="69" t="s">
        <v>889</v>
      </c>
      <c r="M1160" s="69" t="s">
        <v>6</v>
      </c>
    </row>
    <row r="1161" spans="2:13">
      <c r="B1161" s="69">
        <v>1159</v>
      </c>
      <c r="C1161" s="69">
        <v>112</v>
      </c>
      <c r="D1161" s="69">
        <v>5</v>
      </c>
      <c r="E1161" s="69">
        <v>5</v>
      </c>
      <c r="F1161" s="69">
        <v>0</v>
      </c>
      <c r="G1161" s="69" t="s">
        <v>22</v>
      </c>
      <c r="H1161" s="69" t="s">
        <v>9</v>
      </c>
      <c r="I1161" s="69" t="s">
        <v>888</v>
      </c>
      <c r="J1161" s="69" t="s">
        <v>64</v>
      </c>
      <c r="K1161" s="69" t="s">
        <v>94</v>
      </c>
      <c r="M1161" s="69" t="s">
        <v>6</v>
      </c>
    </row>
    <row r="1162" spans="2:13">
      <c r="B1162" s="69">
        <v>1160</v>
      </c>
      <c r="C1162" s="69">
        <v>113</v>
      </c>
      <c r="D1162" s="69">
        <v>12</v>
      </c>
      <c r="E1162" s="69">
        <v>0</v>
      </c>
      <c r="F1162" s="69">
        <v>0</v>
      </c>
      <c r="G1162" s="69" t="s">
        <v>22</v>
      </c>
      <c r="H1162" s="69" t="s">
        <v>9</v>
      </c>
      <c r="I1162" s="69" t="s">
        <v>890</v>
      </c>
      <c r="J1162" s="69" t="s">
        <v>54</v>
      </c>
      <c r="K1162" s="69" t="s">
        <v>890</v>
      </c>
      <c r="M1162" s="69" t="s">
        <v>6</v>
      </c>
    </row>
    <row r="1163" spans="2:13">
      <c r="B1163" s="69">
        <v>1161</v>
      </c>
      <c r="C1163" s="69">
        <v>113</v>
      </c>
      <c r="D1163" s="69">
        <v>12</v>
      </c>
      <c r="E1163" s="69">
        <v>1</v>
      </c>
      <c r="F1163" s="69">
        <v>0</v>
      </c>
      <c r="G1163" s="69" t="s">
        <v>22</v>
      </c>
      <c r="H1163" s="69" t="s">
        <v>9</v>
      </c>
      <c r="I1163" s="69" t="s">
        <v>890</v>
      </c>
      <c r="J1163" s="69" t="s">
        <v>55</v>
      </c>
      <c r="K1163" s="69" t="s">
        <v>891</v>
      </c>
      <c r="M1163" s="69" t="s">
        <v>6</v>
      </c>
    </row>
    <row r="1164" spans="2:13">
      <c r="B1164" s="69">
        <v>1162</v>
      </c>
      <c r="C1164" s="69">
        <v>113</v>
      </c>
      <c r="D1164" s="69">
        <v>12</v>
      </c>
      <c r="E1164" s="69">
        <v>2</v>
      </c>
      <c r="F1164" s="69">
        <v>0</v>
      </c>
      <c r="G1164" s="69" t="s">
        <v>22</v>
      </c>
      <c r="H1164" s="69" t="s">
        <v>9</v>
      </c>
      <c r="I1164" s="69" t="s">
        <v>890</v>
      </c>
      <c r="J1164" s="69" t="s">
        <v>55</v>
      </c>
      <c r="K1164" s="69" t="s">
        <v>892</v>
      </c>
      <c r="M1164" s="69" t="s">
        <v>6</v>
      </c>
    </row>
    <row r="1165" spans="2:13">
      <c r="B1165" s="69">
        <v>1163</v>
      </c>
      <c r="C1165" s="69">
        <v>113</v>
      </c>
      <c r="D1165" s="69">
        <v>12</v>
      </c>
      <c r="E1165" s="69">
        <v>3</v>
      </c>
      <c r="F1165" s="69">
        <v>0</v>
      </c>
      <c r="G1165" s="69" t="s">
        <v>22</v>
      </c>
      <c r="H1165" s="69" t="s">
        <v>9</v>
      </c>
      <c r="I1165" s="69" t="s">
        <v>890</v>
      </c>
      <c r="J1165" s="69" t="s">
        <v>55</v>
      </c>
      <c r="K1165" s="69" t="s">
        <v>893</v>
      </c>
      <c r="M1165" s="69" t="s">
        <v>6</v>
      </c>
    </row>
    <row r="1166" spans="2:13">
      <c r="B1166" s="69">
        <v>1164</v>
      </c>
      <c r="C1166" s="69">
        <v>113</v>
      </c>
      <c r="D1166" s="69">
        <v>12</v>
      </c>
      <c r="E1166" s="69">
        <v>4</v>
      </c>
      <c r="F1166" s="69">
        <v>0</v>
      </c>
      <c r="G1166" s="69" t="s">
        <v>22</v>
      </c>
      <c r="H1166" s="69" t="s">
        <v>9</v>
      </c>
      <c r="I1166" s="69" t="s">
        <v>890</v>
      </c>
      <c r="J1166" s="69" t="s">
        <v>55</v>
      </c>
      <c r="K1166" s="69" t="s">
        <v>894</v>
      </c>
      <c r="M1166" s="69" t="s">
        <v>6</v>
      </c>
    </row>
    <row r="1167" spans="2:13">
      <c r="B1167" s="69">
        <v>1165</v>
      </c>
      <c r="C1167" s="69">
        <v>113</v>
      </c>
      <c r="D1167" s="69">
        <v>12</v>
      </c>
      <c r="E1167" s="69">
        <v>5</v>
      </c>
      <c r="F1167" s="69">
        <v>0</v>
      </c>
      <c r="G1167" s="69" t="s">
        <v>22</v>
      </c>
      <c r="H1167" s="69" t="s">
        <v>9</v>
      </c>
      <c r="I1167" s="69" t="s">
        <v>890</v>
      </c>
      <c r="J1167" s="69" t="s">
        <v>55</v>
      </c>
      <c r="K1167" s="69" t="s">
        <v>895</v>
      </c>
      <c r="M1167" s="69" t="s">
        <v>6</v>
      </c>
    </row>
    <row r="1168" spans="2:13">
      <c r="B1168" s="69">
        <v>1166</v>
      </c>
      <c r="C1168" s="69">
        <v>113</v>
      </c>
      <c r="D1168" s="69">
        <v>12</v>
      </c>
      <c r="E1168" s="69">
        <v>6</v>
      </c>
      <c r="F1168" s="69">
        <v>0</v>
      </c>
      <c r="G1168" s="69" t="s">
        <v>22</v>
      </c>
      <c r="H1168" s="69" t="s">
        <v>9</v>
      </c>
      <c r="I1168" s="69" t="s">
        <v>890</v>
      </c>
      <c r="J1168" s="69" t="s">
        <v>55</v>
      </c>
      <c r="K1168" s="69" t="s">
        <v>896</v>
      </c>
      <c r="M1168" s="69" t="s">
        <v>6</v>
      </c>
    </row>
    <row r="1169" spans="2:13">
      <c r="B1169" s="69">
        <v>1167</v>
      </c>
      <c r="C1169" s="69">
        <v>113</v>
      </c>
      <c r="D1169" s="69">
        <v>12</v>
      </c>
      <c r="E1169" s="69">
        <v>7</v>
      </c>
      <c r="F1169" s="69">
        <v>0</v>
      </c>
      <c r="G1169" s="69" t="s">
        <v>22</v>
      </c>
      <c r="H1169" s="69" t="s">
        <v>9</v>
      </c>
      <c r="I1169" s="69" t="s">
        <v>890</v>
      </c>
      <c r="J1169" s="69" t="s">
        <v>55</v>
      </c>
      <c r="K1169" s="69" t="s">
        <v>897</v>
      </c>
      <c r="M1169" s="69" t="s">
        <v>6</v>
      </c>
    </row>
    <row r="1170" spans="2:13">
      <c r="B1170" s="69">
        <v>1168</v>
      </c>
      <c r="C1170" s="69">
        <v>113</v>
      </c>
      <c r="D1170" s="69">
        <v>12</v>
      </c>
      <c r="E1170" s="69">
        <v>8</v>
      </c>
      <c r="F1170" s="69">
        <v>0</v>
      </c>
      <c r="G1170" s="69" t="s">
        <v>22</v>
      </c>
      <c r="H1170" s="69" t="s">
        <v>9</v>
      </c>
      <c r="I1170" s="69" t="s">
        <v>890</v>
      </c>
      <c r="J1170" s="69" t="s">
        <v>55</v>
      </c>
      <c r="K1170" s="69" t="s">
        <v>898</v>
      </c>
      <c r="M1170" s="69" t="s">
        <v>6</v>
      </c>
    </row>
    <row r="1171" spans="2:13">
      <c r="B1171" s="69">
        <v>1169</v>
      </c>
      <c r="C1171" s="69">
        <v>113</v>
      </c>
      <c r="D1171" s="69">
        <v>12</v>
      </c>
      <c r="E1171" s="69">
        <v>9</v>
      </c>
      <c r="F1171" s="69">
        <v>0</v>
      </c>
      <c r="G1171" s="69" t="s">
        <v>22</v>
      </c>
      <c r="H1171" s="69" t="s">
        <v>9</v>
      </c>
      <c r="I1171" s="69" t="s">
        <v>890</v>
      </c>
      <c r="J1171" s="69" t="s">
        <v>55</v>
      </c>
      <c r="K1171" s="69" t="s">
        <v>899</v>
      </c>
      <c r="M1171" s="69" t="s">
        <v>6</v>
      </c>
    </row>
    <row r="1172" spans="2:13">
      <c r="B1172" s="69">
        <v>1170</v>
      </c>
      <c r="C1172" s="69">
        <v>113</v>
      </c>
      <c r="D1172" s="69">
        <v>12</v>
      </c>
      <c r="E1172" s="69">
        <v>10</v>
      </c>
      <c r="F1172" s="69">
        <v>0</v>
      </c>
      <c r="G1172" s="69" t="s">
        <v>22</v>
      </c>
      <c r="H1172" s="69" t="s">
        <v>9</v>
      </c>
      <c r="I1172" s="69" t="s">
        <v>890</v>
      </c>
      <c r="J1172" s="69" t="s">
        <v>55</v>
      </c>
      <c r="K1172" s="69" t="s">
        <v>900</v>
      </c>
      <c r="M1172" s="69" t="s">
        <v>6</v>
      </c>
    </row>
    <row r="1173" spans="2:13">
      <c r="B1173" s="69">
        <v>1171</v>
      </c>
      <c r="C1173" s="69">
        <v>113</v>
      </c>
      <c r="D1173" s="69">
        <v>12</v>
      </c>
      <c r="E1173" s="69">
        <v>11</v>
      </c>
      <c r="F1173" s="69">
        <v>0</v>
      </c>
      <c r="G1173" s="69" t="s">
        <v>22</v>
      </c>
      <c r="H1173" s="69" t="s">
        <v>9</v>
      </c>
      <c r="I1173" s="69" t="s">
        <v>890</v>
      </c>
      <c r="J1173" s="69" t="s">
        <v>55</v>
      </c>
      <c r="K1173" s="69" t="s">
        <v>93</v>
      </c>
      <c r="M1173" s="69" t="s">
        <v>6</v>
      </c>
    </row>
    <row r="1174" spans="2:13">
      <c r="B1174" s="69">
        <v>1172</v>
      </c>
      <c r="C1174" s="69">
        <v>113</v>
      </c>
      <c r="D1174" s="69">
        <v>12</v>
      </c>
      <c r="E1174" s="69">
        <v>12</v>
      </c>
      <c r="F1174" s="69">
        <v>0</v>
      </c>
      <c r="G1174" s="69" t="s">
        <v>22</v>
      </c>
      <c r="H1174" s="69" t="s">
        <v>9</v>
      </c>
      <c r="I1174" s="69" t="s">
        <v>890</v>
      </c>
      <c r="J1174" s="69" t="s">
        <v>64</v>
      </c>
      <c r="K1174" s="69" t="s">
        <v>94</v>
      </c>
      <c r="M1174" s="69" t="s">
        <v>6</v>
      </c>
    </row>
    <row r="1175" spans="2:13">
      <c r="B1175" s="69">
        <v>1173</v>
      </c>
      <c r="C1175" s="69">
        <v>114</v>
      </c>
      <c r="D1175" s="69">
        <v>16</v>
      </c>
      <c r="E1175" s="69">
        <v>0</v>
      </c>
      <c r="F1175" s="69">
        <v>0</v>
      </c>
      <c r="G1175" s="69" t="s">
        <v>34</v>
      </c>
      <c r="H1175" s="69" t="s">
        <v>52</v>
      </c>
      <c r="I1175" s="69" t="s">
        <v>901</v>
      </c>
      <c r="J1175" s="69" t="s">
        <v>54</v>
      </c>
      <c r="K1175" s="69" t="s">
        <v>901</v>
      </c>
      <c r="M1175" s="69" t="s">
        <v>6</v>
      </c>
    </row>
    <row r="1176" spans="2:13">
      <c r="B1176" s="69">
        <v>1174</v>
      </c>
      <c r="C1176" s="69">
        <v>114</v>
      </c>
      <c r="D1176" s="69">
        <v>16</v>
      </c>
      <c r="E1176" s="69">
        <v>1</v>
      </c>
      <c r="F1176" s="69">
        <v>0</v>
      </c>
      <c r="G1176" s="69" t="s">
        <v>34</v>
      </c>
      <c r="H1176" s="69" t="s">
        <v>52</v>
      </c>
      <c r="I1176" s="69" t="s">
        <v>901</v>
      </c>
      <c r="J1176" s="69" t="s">
        <v>55</v>
      </c>
      <c r="K1176" s="69" t="s">
        <v>429</v>
      </c>
      <c r="M1176" s="69" t="s">
        <v>6</v>
      </c>
    </row>
    <row r="1177" spans="2:13">
      <c r="B1177" s="69">
        <v>1175</v>
      </c>
      <c r="C1177" s="69">
        <v>114</v>
      </c>
      <c r="D1177" s="69">
        <v>16</v>
      </c>
      <c r="E1177" s="69">
        <v>2</v>
      </c>
      <c r="F1177" s="69">
        <v>0</v>
      </c>
      <c r="G1177" s="69" t="s">
        <v>34</v>
      </c>
      <c r="H1177" s="69" t="s">
        <v>52</v>
      </c>
      <c r="I1177" s="69" t="s">
        <v>901</v>
      </c>
      <c r="J1177" s="69" t="s">
        <v>55</v>
      </c>
      <c r="K1177" s="69" t="s">
        <v>902</v>
      </c>
      <c r="M1177" s="69" t="s">
        <v>6</v>
      </c>
    </row>
    <row r="1178" spans="2:13">
      <c r="B1178" s="69">
        <v>1176</v>
      </c>
      <c r="C1178" s="69">
        <v>114</v>
      </c>
      <c r="D1178" s="69">
        <v>16</v>
      </c>
      <c r="E1178" s="69">
        <v>3</v>
      </c>
      <c r="F1178" s="69">
        <v>0</v>
      </c>
      <c r="G1178" s="69" t="s">
        <v>34</v>
      </c>
      <c r="H1178" s="69" t="s">
        <v>52</v>
      </c>
      <c r="I1178" s="69" t="s">
        <v>901</v>
      </c>
      <c r="J1178" s="69" t="s">
        <v>55</v>
      </c>
      <c r="K1178" s="69" t="s">
        <v>903</v>
      </c>
      <c r="M1178" s="69" t="s">
        <v>6</v>
      </c>
    </row>
    <row r="1179" spans="2:13">
      <c r="B1179" s="69">
        <v>1177</v>
      </c>
      <c r="C1179" s="69">
        <v>114</v>
      </c>
      <c r="D1179" s="69">
        <v>16</v>
      </c>
      <c r="E1179" s="69">
        <v>4</v>
      </c>
      <c r="F1179" s="69">
        <v>0</v>
      </c>
      <c r="G1179" s="69" t="s">
        <v>34</v>
      </c>
      <c r="H1179" s="69" t="s">
        <v>52</v>
      </c>
      <c r="I1179" s="69" t="s">
        <v>901</v>
      </c>
      <c r="J1179" s="69" t="s">
        <v>55</v>
      </c>
      <c r="K1179" s="69" t="s">
        <v>904</v>
      </c>
      <c r="M1179" s="69" t="s">
        <v>6</v>
      </c>
    </row>
    <row r="1180" spans="2:13">
      <c r="B1180" s="69">
        <v>1178</v>
      </c>
      <c r="C1180" s="69">
        <v>114</v>
      </c>
      <c r="D1180" s="69">
        <v>16</v>
      </c>
      <c r="E1180" s="69">
        <v>5</v>
      </c>
      <c r="F1180" s="69">
        <v>0</v>
      </c>
      <c r="G1180" s="69" t="s">
        <v>34</v>
      </c>
      <c r="H1180" s="69" t="s">
        <v>52</v>
      </c>
      <c r="I1180" s="69" t="s">
        <v>901</v>
      </c>
      <c r="J1180" s="69" t="s">
        <v>55</v>
      </c>
      <c r="K1180" s="69" t="s">
        <v>905</v>
      </c>
      <c r="M1180" s="69" t="s">
        <v>6</v>
      </c>
    </row>
    <row r="1181" spans="2:13">
      <c r="B1181" s="69">
        <v>1179</v>
      </c>
      <c r="C1181" s="69">
        <v>114</v>
      </c>
      <c r="D1181" s="69">
        <v>16</v>
      </c>
      <c r="E1181" s="69">
        <v>6</v>
      </c>
      <c r="F1181" s="69">
        <v>0</v>
      </c>
      <c r="G1181" s="69" t="s">
        <v>34</v>
      </c>
      <c r="H1181" s="69" t="s">
        <v>52</v>
      </c>
      <c r="I1181" s="69" t="s">
        <v>901</v>
      </c>
      <c r="J1181" s="69" t="s">
        <v>55</v>
      </c>
      <c r="K1181" s="69" t="s">
        <v>906</v>
      </c>
      <c r="M1181" s="69" t="s">
        <v>6</v>
      </c>
    </row>
    <row r="1182" spans="2:13">
      <c r="B1182" s="69">
        <v>1180</v>
      </c>
      <c r="C1182" s="69">
        <v>114</v>
      </c>
      <c r="D1182" s="69">
        <v>16</v>
      </c>
      <c r="E1182" s="69">
        <v>7</v>
      </c>
      <c r="F1182" s="69">
        <v>0</v>
      </c>
      <c r="G1182" s="69" t="s">
        <v>34</v>
      </c>
      <c r="H1182" s="69" t="s">
        <v>52</v>
      </c>
      <c r="I1182" s="69" t="s">
        <v>901</v>
      </c>
      <c r="J1182" s="69" t="s">
        <v>55</v>
      </c>
      <c r="K1182" s="69" t="s">
        <v>907</v>
      </c>
      <c r="M1182" s="69" t="s">
        <v>6</v>
      </c>
    </row>
    <row r="1183" spans="2:13">
      <c r="B1183" s="69">
        <v>1181</v>
      </c>
      <c r="C1183" s="69">
        <v>114</v>
      </c>
      <c r="D1183" s="69">
        <v>16</v>
      </c>
      <c r="E1183" s="69">
        <v>8</v>
      </c>
      <c r="F1183" s="69">
        <v>0</v>
      </c>
      <c r="G1183" s="69" t="s">
        <v>34</v>
      </c>
      <c r="H1183" s="69" t="s">
        <v>52</v>
      </c>
      <c r="I1183" s="69" t="s">
        <v>901</v>
      </c>
      <c r="J1183" s="69" t="s">
        <v>55</v>
      </c>
      <c r="K1183" s="69" t="s">
        <v>908</v>
      </c>
      <c r="M1183" s="69" t="s">
        <v>6</v>
      </c>
    </row>
    <row r="1184" spans="2:13">
      <c r="B1184" s="69">
        <v>1182</v>
      </c>
      <c r="C1184" s="69">
        <v>114</v>
      </c>
      <c r="D1184" s="69">
        <v>16</v>
      </c>
      <c r="E1184" s="69">
        <v>9</v>
      </c>
      <c r="F1184" s="69">
        <v>0</v>
      </c>
      <c r="G1184" s="69" t="s">
        <v>34</v>
      </c>
      <c r="H1184" s="69" t="s">
        <v>52</v>
      </c>
      <c r="I1184" s="69" t="s">
        <v>901</v>
      </c>
      <c r="J1184" s="69" t="s">
        <v>55</v>
      </c>
      <c r="K1184" s="69" t="s">
        <v>909</v>
      </c>
      <c r="M1184" s="69" t="s">
        <v>6</v>
      </c>
    </row>
    <row r="1185" spans="2:13">
      <c r="B1185" s="69">
        <v>1183</v>
      </c>
      <c r="C1185" s="69">
        <v>114</v>
      </c>
      <c r="D1185" s="69">
        <v>16</v>
      </c>
      <c r="E1185" s="69">
        <v>10</v>
      </c>
      <c r="F1185" s="69">
        <v>0</v>
      </c>
      <c r="G1185" s="69" t="s">
        <v>34</v>
      </c>
      <c r="H1185" s="69" t="s">
        <v>52</v>
      </c>
      <c r="I1185" s="69" t="s">
        <v>901</v>
      </c>
      <c r="J1185" s="69" t="s">
        <v>55</v>
      </c>
      <c r="K1185" s="69" t="s">
        <v>910</v>
      </c>
      <c r="M1185" s="69" t="s">
        <v>6</v>
      </c>
    </row>
    <row r="1186" spans="2:13">
      <c r="B1186" s="69">
        <v>1184</v>
      </c>
      <c r="C1186" s="69">
        <v>114</v>
      </c>
      <c r="D1186" s="69">
        <v>16</v>
      </c>
      <c r="E1186" s="69">
        <v>11</v>
      </c>
      <c r="F1186" s="69">
        <v>0</v>
      </c>
      <c r="G1186" s="69" t="s">
        <v>34</v>
      </c>
      <c r="H1186" s="69" t="s">
        <v>52</v>
      </c>
      <c r="I1186" s="69" t="s">
        <v>901</v>
      </c>
      <c r="J1186" s="69" t="s">
        <v>55</v>
      </c>
      <c r="K1186" s="69" t="s">
        <v>911</v>
      </c>
      <c r="M1186" s="69" t="s">
        <v>6</v>
      </c>
    </row>
    <row r="1187" spans="2:13">
      <c r="B1187" s="69">
        <v>1185</v>
      </c>
      <c r="C1187" s="69">
        <v>114</v>
      </c>
      <c r="D1187" s="69">
        <v>16</v>
      </c>
      <c r="E1187" s="69">
        <v>12</v>
      </c>
      <c r="F1187" s="69">
        <v>0</v>
      </c>
      <c r="G1187" s="69" t="s">
        <v>34</v>
      </c>
      <c r="H1187" s="69" t="s">
        <v>52</v>
      </c>
      <c r="I1187" s="69" t="s">
        <v>901</v>
      </c>
      <c r="J1187" s="69" t="s">
        <v>55</v>
      </c>
      <c r="K1187" s="69" t="s">
        <v>912</v>
      </c>
      <c r="M1187" s="69" t="s">
        <v>6</v>
      </c>
    </row>
    <row r="1188" spans="2:13">
      <c r="B1188" s="69">
        <v>1186</v>
      </c>
      <c r="C1188" s="69">
        <v>114</v>
      </c>
      <c r="D1188" s="69">
        <v>16</v>
      </c>
      <c r="E1188" s="69">
        <v>13</v>
      </c>
      <c r="F1188" s="69">
        <v>0</v>
      </c>
      <c r="G1188" s="69" t="s">
        <v>34</v>
      </c>
      <c r="H1188" s="69" t="s">
        <v>52</v>
      </c>
      <c r="I1188" s="69" t="s">
        <v>901</v>
      </c>
      <c r="J1188" s="69" t="s">
        <v>55</v>
      </c>
      <c r="K1188" s="69" t="s">
        <v>913</v>
      </c>
      <c r="M1188" s="69" t="s">
        <v>6</v>
      </c>
    </row>
    <row r="1189" spans="2:13">
      <c r="B1189" s="69">
        <v>1187</v>
      </c>
      <c r="C1189" s="69">
        <v>114</v>
      </c>
      <c r="D1189" s="69">
        <v>16</v>
      </c>
      <c r="E1189" s="69">
        <v>14</v>
      </c>
      <c r="F1189" s="69">
        <v>0</v>
      </c>
      <c r="G1189" s="69" t="s">
        <v>34</v>
      </c>
      <c r="H1189" s="69" t="s">
        <v>52</v>
      </c>
      <c r="I1189" s="69" t="s">
        <v>901</v>
      </c>
      <c r="J1189" s="69" t="s">
        <v>55</v>
      </c>
      <c r="K1189" s="69" t="s">
        <v>914</v>
      </c>
      <c r="M1189" s="69" t="s">
        <v>6</v>
      </c>
    </row>
    <row r="1190" spans="2:13">
      <c r="B1190" s="69">
        <v>1188</v>
      </c>
      <c r="C1190" s="69">
        <v>114</v>
      </c>
      <c r="D1190" s="69">
        <v>16</v>
      </c>
      <c r="E1190" s="69">
        <v>15</v>
      </c>
      <c r="F1190" s="69">
        <v>0</v>
      </c>
      <c r="G1190" s="69" t="s">
        <v>34</v>
      </c>
      <c r="H1190" s="69" t="s">
        <v>52</v>
      </c>
      <c r="I1190" s="69" t="s">
        <v>901</v>
      </c>
      <c r="J1190" s="69" t="s">
        <v>55</v>
      </c>
      <c r="K1190" s="69" t="s">
        <v>915</v>
      </c>
      <c r="M1190" s="69" t="s">
        <v>6</v>
      </c>
    </row>
    <row r="1191" spans="2:13">
      <c r="B1191" s="69">
        <v>1189</v>
      </c>
      <c r="C1191" s="69">
        <v>114</v>
      </c>
      <c r="D1191" s="69">
        <v>16</v>
      </c>
      <c r="E1191" s="69">
        <v>16</v>
      </c>
      <c r="F1191" s="69">
        <v>0</v>
      </c>
      <c r="G1191" s="69" t="s">
        <v>34</v>
      </c>
      <c r="H1191" s="69" t="s">
        <v>52</v>
      </c>
      <c r="I1191" s="69" t="s">
        <v>901</v>
      </c>
      <c r="J1191" s="69" t="s">
        <v>55</v>
      </c>
      <c r="K1191" s="69" t="s">
        <v>916</v>
      </c>
      <c r="M1191" s="69" t="s">
        <v>6</v>
      </c>
    </row>
    <row r="1192" spans="2:13">
      <c r="B1192" s="69">
        <v>1190</v>
      </c>
      <c r="C1192" s="69">
        <v>115</v>
      </c>
      <c r="D1192" s="69">
        <v>14</v>
      </c>
      <c r="E1192" s="69">
        <v>0</v>
      </c>
      <c r="F1192" s="69">
        <v>0</v>
      </c>
      <c r="G1192" s="69" t="s">
        <v>917</v>
      </c>
      <c r="H1192" s="69" t="s">
        <v>918</v>
      </c>
      <c r="I1192" s="69" t="s">
        <v>919</v>
      </c>
      <c r="J1192" s="69" t="s">
        <v>478</v>
      </c>
      <c r="K1192" s="69" t="s">
        <v>919</v>
      </c>
      <c r="M1192" s="69" t="s">
        <v>6</v>
      </c>
    </row>
    <row r="1193" spans="2:13">
      <c r="B1193" s="69">
        <v>1191</v>
      </c>
      <c r="C1193" s="69">
        <v>115</v>
      </c>
      <c r="D1193" s="69">
        <v>14</v>
      </c>
      <c r="E1193" s="69">
        <v>1</v>
      </c>
      <c r="F1193" s="69">
        <v>0</v>
      </c>
      <c r="G1193" s="69" t="s">
        <v>917</v>
      </c>
      <c r="H1193" s="69" t="s">
        <v>918</v>
      </c>
      <c r="I1193" s="69" t="s">
        <v>919</v>
      </c>
      <c r="J1193" s="69" t="s">
        <v>479</v>
      </c>
      <c r="K1193" s="69" t="s">
        <v>920</v>
      </c>
      <c r="M1193" s="69" t="s">
        <v>6</v>
      </c>
    </row>
    <row r="1194" spans="2:13">
      <c r="B1194" s="69">
        <v>1192</v>
      </c>
      <c r="C1194" s="69">
        <v>115</v>
      </c>
      <c r="D1194" s="69">
        <v>14</v>
      </c>
      <c r="E1194" s="69">
        <v>2</v>
      </c>
      <c r="F1194" s="69">
        <v>0</v>
      </c>
      <c r="G1194" s="69" t="s">
        <v>917</v>
      </c>
      <c r="H1194" s="69" t="s">
        <v>918</v>
      </c>
      <c r="I1194" s="69" t="s">
        <v>919</v>
      </c>
      <c r="J1194" s="69" t="s">
        <v>55</v>
      </c>
      <c r="K1194" s="69" t="s">
        <v>921</v>
      </c>
      <c r="M1194" s="69" t="s">
        <v>6</v>
      </c>
    </row>
    <row r="1195" spans="2:13">
      <c r="B1195" s="69">
        <v>1193</v>
      </c>
      <c r="C1195" s="69">
        <v>115</v>
      </c>
      <c r="D1195" s="69">
        <v>14</v>
      </c>
      <c r="E1195" s="69">
        <v>3</v>
      </c>
      <c r="F1195" s="69">
        <v>0</v>
      </c>
      <c r="G1195" s="69" t="s">
        <v>917</v>
      </c>
      <c r="H1195" s="69" t="s">
        <v>918</v>
      </c>
      <c r="I1195" s="69" t="s">
        <v>919</v>
      </c>
      <c r="J1195" s="69" t="s">
        <v>214</v>
      </c>
      <c r="K1195" s="69" t="s">
        <v>922</v>
      </c>
      <c r="M1195" s="69" t="s">
        <v>6</v>
      </c>
    </row>
    <row r="1196" spans="2:13">
      <c r="B1196" s="69">
        <v>1194</v>
      </c>
      <c r="C1196" s="69">
        <v>115</v>
      </c>
      <c r="D1196" s="69">
        <v>14</v>
      </c>
      <c r="E1196" s="69">
        <v>4</v>
      </c>
      <c r="F1196" s="69">
        <v>0</v>
      </c>
      <c r="G1196" s="69" t="s">
        <v>917</v>
      </c>
      <c r="H1196" s="69" t="s">
        <v>918</v>
      </c>
      <c r="I1196" s="69" t="s">
        <v>919</v>
      </c>
      <c r="J1196" s="69" t="s">
        <v>214</v>
      </c>
      <c r="K1196" s="69" t="s">
        <v>923</v>
      </c>
      <c r="M1196" s="69" t="s">
        <v>6</v>
      </c>
    </row>
    <row r="1197" spans="2:13">
      <c r="B1197" s="69">
        <v>1195</v>
      </c>
      <c r="C1197" s="69">
        <v>115</v>
      </c>
      <c r="D1197" s="69">
        <v>14</v>
      </c>
      <c r="E1197" s="69">
        <v>5</v>
      </c>
      <c r="F1197" s="69">
        <v>0</v>
      </c>
      <c r="G1197" s="69" t="s">
        <v>917</v>
      </c>
      <c r="H1197" s="69" t="s">
        <v>918</v>
      </c>
      <c r="I1197" s="69" t="s">
        <v>919</v>
      </c>
      <c r="J1197" s="69" t="s">
        <v>214</v>
      </c>
      <c r="K1197" s="69" t="s">
        <v>924</v>
      </c>
      <c r="M1197" s="69" t="s">
        <v>6</v>
      </c>
    </row>
    <row r="1198" spans="2:13">
      <c r="B1198" s="69">
        <v>1196</v>
      </c>
      <c r="C1198" s="69">
        <v>115</v>
      </c>
      <c r="D1198" s="69">
        <v>14</v>
      </c>
      <c r="E1198" s="69">
        <v>6</v>
      </c>
      <c r="F1198" s="69">
        <v>0</v>
      </c>
      <c r="G1198" s="69" t="s">
        <v>917</v>
      </c>
      <c r="H1198" s="69" t="s">
        <v>918</v>
      </c>
      <c r="I1198" s="69" t="s">
        <v>919</v>
      </c>
      <c r="J1198" s="69" t="s">
        <v>214</v>
      </c>
      <c r="K1198" s="69" t="s">
        <v>925</v>
      </c>
      <c r="M1198" s="69" t="s">
        <v>6</v>
      </c>
    </row>
    <row r="1199" spans="2:13">
      <c r="B1199" s="69">
        <v>1197</v>
      </c>
      <c r="C1199" s="69">
        <v>115</v>
      </c>
      <c r="D1199" s="69">
        <v>14</v>
      </c>
      <c r="E1199" s="69">
        <v>7</v>
      </c>
      <c r="F1199" s="69">
        <v>0</v>
      </c>
      <c r="G1199" s="69" t="s">
        <v>917</v>
      </c>
      <c r="H1199" s="69" t="s">
        <v>918</v>
      </c>
      <c r="I1199" s="69" t="s">
        <v>919</v>
      </c>
      <c r="J1199" s="69" t="s">
        <v>214</v>
      </c>
      <c r="K1199" s="69" t="s">
        <v>926</v>
      </c>
      <c r="M1199" s="69" t="s">
        <v>6</v>
      </c>
    </row>
    <row r="1200" spans="2:13">
      <c r="B1200" s="69">
        <v>1198</v>
      </c>
      <c r="C1200" s="69">
        <v>115</v>
      </c>
      <c r="D1200" s="69">
        <v>14</v>
      </c>
      <c r="E1200" s="69">
        <v>8</v>
      </c>
      <c r="F1200" s="69">
        <v>0</v>
      </c>
      <c r="G1200" s="69" t="s">
        <v>917</v>
      </c>
      <c r="H1200" s="69" t="s">
        <v>918</v>
      </c>
      <c r="I1200" s="69" t="s">
        <v>919</v>
      </c>
      <c r="J1200" s="69" t="s">
        <v>214</v>
      </c>
      <c r="K1200" s="69" t="s">
        <v>927</v>
      </c>
      <c r="M1200" s="69" t="s">
        <v>6</v>
      </c>
    </row>
    <row r="1201" spans="2:13">
      <c r="B1201" s="69">
        <v>1199</v>
      </c>
      <c r="C1201" s="69">
        <v>115</v>
      </c>
      <c r="D1201" s="69">
        <v>14</v>
      </c>
      <c r="E1201" s="69">
        <v>9</v>
      </c>
      <c r="F1201" s="69">
        <v>0</v>
      </c>
      <c r="G1201" s="69" t="s">
        <v>917</v>
      </c>
      <c r="H1201" s="69" t="s">
        <v>918</v>
      </c>
      <c r="I1201" s="69" t="s">
        <v>919</v>
      </c>
      <c r="J1201" s="69" t="s">
        <v>214</v>
      </c>
      <c r="K1201" s="69" t="s">
        <v>928</v>
      </c>
      <c r="M1201" s="69" t="s">
        <v>6</v>
      </c>
    </row>
    <row r="1202" spans="2:13">
      <c r="B1202" s="69">
        <v>1200</v>
      </c>
      <c r="C1202" s="69">
        <v>115</v>
      </c>
      <c r="D1202" s="69">
        <v>14</v>
      </c>
      <c r="E1202" s="69">
        <v>10</v>
      </c>
      <c r="F1202" s="69">
        <v>0</v>
      </c>
      <c r="G1202" s="69" t="s">
        <v>917</v>
      </c>
      <c r="H1202" s="69" t="s">
        <v>918</v>
      </c>
      <c r="I1202" s="69" t="s">
        <v>919</v>
      </c>
      <c r="J1202" s="69" t="s">
        <v>55</v>
      </c>
      <c r="K1202" s="69" t="s">
        <v>929</v>
      </c>
      <c r="M1202" s="69" t="s">
        <v>6</v>
      </c>
    </row>
    <row r="1203" spans="2:13">
      <c r="B1203" s="69">
        <v>1201</v>
      </c>
      <c r="C1203" s="69">
        <v>115</v>
      </c>
      <c r="D1203" s="69">
        <v>14</v>
      </c>
      <c r="E1203" s="69">
        <v>11</v>
      </c>
      <c r="F1203" s="69">
        <v>0</v>
      </c>
      <c r="G1203" s="69" t="s">
        <v>917</v>
      </c>
      <c r="H1203" s="69" t="s">
        <v>918</v>
      </c>
      <c r="I1203" s="69" t="s">
        <v>919</v>
      </c>
      <c r="J1203" s="69" t="s">
        <v>55</v>
      </c>
      <c r="K1203" s="69" t="s">
        <v>930</v>
      </c>
      <c r="M1203" s="69" t="s">
        <v>6</v>
      </c>
    </row>
    <row r="1204" spans="2:13">
      <c r="B1204" s="69">
        <v>1202</v>
      </c>
      <c r="C1204" s="69">
        <v>115</v>
      </c>
      <c r="D1204" s="69">
        <v>14</v>
      </c>
      <c r="E1204" s="69">
        <v>12</v>
      </c>
      <c r="F1204" s="69">
        <v>0</v>
      </c>
      <c r="G1204" s="69" t="s">
        <v>917</v>
      </c>
      <c r="H1204" s="69" t="s">
        <v>918</v>
      </c>
      <c r="I1204" s="69" t="s">
        <v>919</v>
      </c>
      <c r="J1204" s="69" t="s">
        <v>479</v>
      </c>
      <c r="K1204" s="69" t="s">
        <v>931</v>
      </c>
      <c r="M1204" s="69" t="s">
        <v>6</v>
      </c>
    </row>
    <row r="1205" spans="2:13">
      <c r="B1205" s="69">
        <v>1203</v>
      </c>
      <c r="C1205" s="69">
        <v>115</v>
      </c>
      <c r="D1205" s="69">
        <v>14</v>
      </c>
      <c r="E1205" s="69">
        <v>13</v>
      </c>
      <c r="F1205" s="69">
        <v>0</v>
      </c>
      <c r="G1205" s="69" t="s">
        <v>917</v>
      </c>
      <c r="H1205" s="69" t="s">
        <v>918</v>
      </c>
      <c r="I1205" s="69" t="s">
        <v>919</v>
      </c>
      <c r="J1205" s="69" t="s">
        <v>55</v>
      </c>
      <c r="K1205" s="69" t="s">
        <v>932</v>
      </c>
      <c r="M1205" s="69" t="s">
        <v>6</v>
      </c>
    </row>
    <row r="1206" spans="2:13">
      <c r="B1206" s="69">
        <v>1204</v>
      </c>
      <c r="C1206" s="69">
        <v>115</v>
      </c>
      <c r="D1206" s="69">
        <v>14</v>
      </c>
      <c r="E1206" s="69">
        <v>14</v>
      </c>
      <c r="F1206" s="69">
        <v>0</v>
      </c>
      <c r="G1206" s="69" t="s">
        <v>917</v>
      </c>
      <c r="H1206" s="69" t="s">
        <v>918</v>
      </c>
      <c r="I1206" s="69" t="s">
        <v>919</v>
      </c>
      <c r="J1206" s="69" t="s">
        <v>64</v>
      </c>
      <c r="K1206" s="69" t="s">
        <v>933</v>
      </c>
      <c r="M1206" s="69" t="s">
        <v>6</v>
      </c>
    </row>
    <row r="1207" spans="2:13">
      <c r="B1207" s="69">
        <v>1205</v>
      </c>
      <c r="C1207" s="69">
        <v>116</v>
      </c>
      <c r="D1207" s="69">
        <v>5</v>
      </c>
      <c r="E1207" s="69">
        <v>0</v>
      </c>
      <c r="F1207" s="69">
        <v>0</v>
      </c>
      <c r="G1207" s="69" t="s">
        <v>917</v>
      </c>
      <c r="H1207" s="69" t="s">
        <v>918</v>
      </c>
      <c r="I1207" s="69" t="s">
        <v>934</v>
      </c>
      <c r="J1207" s="69" t="s">
        <v>54</v>
      </c>
      <c r="K1207" s="69" t="s">
        <v>934</v>
      </c>
      <c r="M1207" s="69" t="s">
        <v>6</v>
      </c>
    </row>
    <row r="1208" spans="2:13">
      <c r="B1208" s="69">
        <v>1206</v>
      </c>
      <c r="C1208" s="69">
        <v>116</v>
      </c>
      <c r="D1208" s="69">
        <v>5</v>
      </c>
      <c r="E1208" s="69">
        <v>1</v>
      </c>
      <c r="F1208" s="69">
        <v>0</v>
      </c>
      <c r="G1208" s="69" t="s">
        <v>917</v>
      </c>
      <c r="H1208" s="69" t="s">
        <v>918</v>
      </c>
      <c r="I1208" s="69" t="s">
        <v>934</v>
      </c>
      <c r="J1208" s="69" t="s">
        <v>55</v>
      </c>
      <c r="K1208" s="69" t="s">
        <v>935</v>
      </c>
      <c r="M1208" s="69" t="s">
        <v>6</v>
      </c>
    </row>
    <row r="1209" spans="2:13">
      <c r="B1209" s="69">
        <v>1207</v>
      </c>
      <c r="C1209" s="69">
        <v>116</v>
      </c>
      <c r="D1209" s="69">
        <v>5</v>
      </c>
      <c r="E1209" s="69">
        <v>2</v>
      </c>
      <c r="F1209" s="69">
        <v>0</v>
      </c>
      <c r="G1209" s="69" t="s">
        <v>917</v>
      </c>
      <c r="H1209" s="69" t="s">
        <v>918</v>
      </c>
      <c r="I1209" s="69" t="s">
        <v>934</v>
      </c>
      <c r="J1209" s="69" t="s">
        <v>214</v>
      </c>
      <c r="K1209" s="69" t="s">
        <v>936</v>
      </c>
      <c r="M1209" s="69" t="s">
        <v>6</v>
      </c>
    </row>
    <row r="1210" spans="2:13">
      <c r="B1210" s="69">
        <v>1208</v>
      </c>
      <c r="C1210" s="69">
        <v>116</v>
      </c>
      <c r="D1210" s="69">
        <v>5</v>
      </c>
      <c r="E1210" s="69">
        <v>3</v>
      </c>
      <c r="F1210" s="69">
        <v>0</v>
      </c>
      <c r="G1210" s="69" t="s">
        <v>917</v>
      </c>
      <c r="H1210" s="69" t="s">
        <v>918</v>
      </c>
      <c r="I1210" s="69" t="s">
        <v>934</v>
      </c>
      <c r="J1210" s="69" t="s">
        <v>214</v>
      </c>
      <c r="K1210" s="69" t="s">
        <v>937</v>
      </c>
      <c r="M1210" s="69" t="s">
        <v>6</v>
      </c>
    </row>
    <row r="1211" spans="2:13">
      <c r="B1211" s="69">
        <v>1209</v>
      </c>
      <c r="C1211" s="69">
        <v>116</v>
      </c>
      <c r="D1211" s="69">
        <v>5</v>
      </c>
      <c r="E1211" s="69">
        <v>4</v>
      </c>
      <c r="F1211" s="69">
        <v>0</v>
      </c>
      <c r="G1211" s="69" t="s">
        <v>917</v>
      </c>
      <c r="H1211" s="69" t="s">
        <v>918</v>
      </c>
      <c r="I1211" s="69" t="s">
        <v>934</v>
      </c>
      <c r="J1211" s="69" t="s">
        <v>214</v>
      </c>
      <c r="K1211" s="69" t="s">
        <v>938</v>
      </c>
      <c r="M1211" s="69" t="s">
        <v>6</v>
      </c>
    </row>
    <row r="1212" spans="2:13">
      <c r="B1212" s="69">
        <v>1210</v>
      </c>
      <c r="C1212" s="69">
        <v>116</v>
      </c>
      <c r="D1212" s="69">
        <v>5</v>
      </c>
      <c r="E1212" s="69">
        <v>5</v>
      </c>
      <c r="F1212" s="69">
        <v>0</v>
      </c>
      <c r="G1212" s="69" t="s">
        <v>917</v>
      </c>
      <c r="H1212" s="69" t="s">
        <v>918</v>
      </c>
      <c r="I1212" s="69" t="s">
        <v>934</v>
      </c>
      <c r="J1212" s="69" t="s">
        <v>64</v>
      </c>
      <c r="K1212" s="69" t="s">
        <v>939</v>
      </c>
      <c r="M1212" s="69" t="s">
        <v>6</v>
      </c>
    </row>
    <row r="1213" spans="2:13">
      <c r="B1213" s="69">
        <v>1211</v>
      </c>
      <c r="C1213" s="69">
        <v>117</v>
      </c>
      <c r="D1213" s="69">
        <v>16</v>
      </c>
      <c r="E1213" s="69">
        <v>0</v>
      </c>
      <c r="F1213" s="69">
        <v>0</v>
      </c>
      <c r="G1213" s="69" t="s">
        <v>917</v>
      </c>
      <c r="H1213" s="69" t="s">
        <v>918</v>
      </c>
      <c r="I1213" s="69" t="s">
        <v>940</v>
      </c>
      <c r="J1213" s="69" t="s">
        <v>478</v>
      </c>
      <c r="K1213" s="69" t="s">
        <v>940</v>
      </c>
      <c r="M1213" s="69" t="s">
        <v>6</v>
      </c>
    </row>
    <row r="1214" spans="2:13">
      <c r="B1214" s="69">
        <v>1212</v>
      </c>
      <c r="C1214" s="69">
        <v>117</v>
      </c>
      <c r="D1214" s="69">
        <v>16</v>
      </c>
      <c r="E1214" s="69">
        <v>1</v>
      </c>
      <c r="F1214" s="69">
        <v>0</v>
      </c>
      <c r="G1214" s="69" t="s">
        <v>917</v>
      </c>
      <c r="H1214" s="69" t="s">
        <v>918</v>
      </c>
      <c r="I1214" s="69" t="s">
        <v>940</v>
      </c>
      <c r="J1214" s="69" t="s">
        <v>479</v>
      </c>
      <c r="K1214" s="69" t="s">
        <v>941</v>
      </c>
      <c r="M1214" s="69" t="s">
        <v>6</v>
      </c>
    </row>
    <row r="1215" spans="2:13">
      <c r="B1215" s="69">
        <v>1213</v>
      </c>
      <c r="C1215" s="69">
        <v>117</v>
      </c>
      <c r="D1215" s="69">
        <v>16</v>
      </c>
      <c r="E1215" s="69">
        <v>2</v>
      </c>
      <c r="F1215" s="69">
        <v>0</v>
      </c>
      <c r="G1215" s="69" t="s">
        <v>917</v>
      </c>
      <c r="H1215" s="69" t="s">
        <v>918</v>
      </c>
      <c r="I1215" s="69" t="s">
        <v>940</v>
      </c>
      <c r="J1215" s="69" t="s">
        <v>55</v>
      </c>
      <c r="K1215" s="69" t="s">
        <v>942</v>
      </c>
      <c r="M1215" s="69" t="s">
        <v>6</v>
      </c>
    </row>
    <row r="1216" spans="2:13">
      <c r="B1216" s="69">
        <v>1214</v>
      </c>
      <c r="C1216" s="69">
        <v>117</v>
      </c>
      <c r="D1216" s="69">
        <v>16</v>
      </c>
      <c r="E1216" s="69">
        <v>3</v>
      </c>
      <c r="F1216" s="69">
        <v>0</v>
      </c>
      <c r="G1216" s="69" t="s">
        <v>917</v>
      </c>
      <c r="H1216" s="69" t="s">
        <v>918</v>
      </c>
      <c r="I1216" s="69" t="s">
        <v>940</v>
      </c>
      <c r="J1216" s="69" t="s">
        <v>214</v>
      </c>
      <c r="K1216" s="69" t="s">
        <v>922</v>
      </c>
      <c r="M1216" s="69" t="s">
        <v>6</v>
      </c>
    </row>
    <row r="1217" spans="2:13">
      <c r="B1217" s="69">
        <v>1215</v>
      </c>
      <c r="C1217" s="69">
        <v>117</v>
      </c>
      <c r="D1217" s="69">
        <v>16</v>
      </c>
      <c r="E1217" s="69">
        <v>4</v>
      </c>
      <c r="F1217" s="69">
        <v>0</v>
      </c>
      <c r="G1217" s="69" t="s">
        <v>917</v>
      </c>
      <c r="H1217" s="69" t="s">
        <v>918</v>
      </c>
      <c r="I1217" s="69" t="s">
        <v>940</v>
      </c>
      <c r="J1217" s="69" t="s">
        <v>214</v>
      </c>
      <c r="K1217" s="69" t="s">
        <v>923</v>
      </c>
      <c r="M1217" s="69" t="s">
        <v>6</v>
      </c>
    </row>
    <row r="1218" spans="2:13">
      <c r="B1218" s="69">
        <v>1216</v>
      </c>
      <c r="C1218" s="69">
        <v>117</v>
      </c>
      <c r="D1218" s="69">
        <v>16</v>
      </c>
      <c r="E1218" s="69">
        <v>5</v>
      </c>
      <c r="F1218" s="69">
        <v>0</v>
      </c>
      <c r="G1218" s="69" t="s">
        <v>917</v>
      </c>
      <c r="H1218" s="69" t="s">
        <v>918</v>
      </c>
      <c r="I1218" s="69" t="s">
        <v>940</v>
      </c>
      <c r="J1218" s="69" t="s">
        <v>214</v>
      </c>
      <c r="K1218" s="69" t="s">
        <v>924</v>
      </c>
      <c r="M1218" s="69" t="s">
        <v>6</v>
      </c>
    </row>
    <row r="1219" spans="2:13">
      <c r="B1219" s="69">
        <v>1217</v>
      </c>
      <c r="C1219" s="69">
        <v>117</v>
      </c>
      <c r="D1219" s="69">
        <v>16</v>
      </c>
      <c r="E1219" s="69">
        <v>6</v>
      </c>
      <c r="F1219" s="69">
        <v>0</v>
      </c>
      <c r="G1219" s="69" t="s">
        <v>917</v>
      </c>
      <c r="H1219" s="69" t="s">
        <v>918</v>
      </c>
      <c r="I1219" s="69" t="s">
        <v>940</v>
      </c>
      <c r="J1219" s="69" t="s">
        <v>214</v>
      </c>
      <c r="K1219" s="69" t="s">
        <v>925</v>
      </c>
      <c r="M1219" s="69" t="s">
        <v>6</v>
      </c>
    </row>
    <row r="1220" spans="2:13">
      <c r="B1220" s="69">
        <v>1218</v>
      </c>
      <c r="C1220" s="69">
        <v>117</v>
      </c>
      <c r="D1220" s="69">
        <v>16</v>
      </c>
      <c r="E1220" s="69">
        <v>7</v>
      </c>
      <c r="F1220" s="69">
        <v>0</v>
      </c>
      <c r="G1220" s="69" t="s">
        <v>917</v>
      </c>
      <c r="H1220" s="69" t="s">
        <v>918</v>
      </c>
      <c r="I1220" s="69" t="s">
        <v>940</v>
      </c>
      <c r="J1220" s="69" t="s">
        <v>214</v>
      </c>
      <c r="K1220" s="69" t="s">
        <v>943</v>
      </c>
      <c r="M1220" s="69" t="s">
        <v>6</v>
      </c>
    </row>
    <row r="1221" spans="2:13">
      <c r="B1221" s="69">
        <v>1219</v>
      </c>
      <c r="C1221" s="69">
        <v>117</v>
      </c>
      <c r="D1221" s="69">
        <v>16</v>
      </c>
      <c r="E1221" s="69">
        <v>8</v>
      </c>
      <c r="F1221" s="69">
        <v>0</v>
      </c>
      <c r="G1221" s="69" t="s">
        <v>917</v>
      </c>
      <c r="H1221" s="69" t="s">
        <v>918</v>
      </c>
      <c r="I1221" s="69" t="s">
        <v>940</v>
      </c>
      <c r="J1221" s="69" t="s">
        <v>214</v>
      </c>
      <c r="K1221" s="69" t="s">
        <v>927</v>
      </c>
      <c r="M1221" s="69" t="s">
        <v>6</v>
      </c>
    </row>
    <row r="1222" spans="2:13">
      <c r="B1222" s="69">
        <v>1220</v>
      </c>
      <c r="C1222" s="69">
        <v>117</v>
      </c>
      <c r="D1222" s="69">
        <v>16</v>
      </c>
      <c r="E1222" s="69">
        <v>9</v>
      </c>
      <c r="F1222" s="69">
        <v>0</v>
      </c>
      <c r="G1222" s="69" t="s">
        <v>917</v>
      </c>
      <c r="H1222" s="69" t="s">
        <v>918</v>
      </c>
      <c r="I1222" s="69" t="s">
        <v>940</v>
      </c>
      <c r="J1222" s="69" t="s">
        <v>437</v>
      </c>
      <c r="K1222" s="69" t="s">
        <v>571</v>
      </c>
      <c r="L1222" s="69" t="s">
        <v>944</v>
      </c>
      <c r="M1222" s="69" t="s">
        <v>6</v>
      </c>
    </row>
    <row r="1223" spans="2:13">
      <c r="B1223" s="69">
        <v>1221</v>
      </c>
      <c r="C1223" s="69">
        <v>117</v>
      </c>
      <c r="D1223" s="69">
        <v>16</v>
      </c>
      <c r="E1223" s="69">
        <v>10</v>
      </c>
      <c r="F1223" s="69">
        <v>0</v>
      </c>
      <c r="G1223" s="69" t="s">
        <v>917</v>
      </c>
      <c r="H1223" s="69" t="s">
        <v>918</v>
      </c>
      <c r="I1223" s="69" t="s">
        <v>940</v>
      </c>
      <c r="J1223" s="69" t="s">
        <v>55</v>
      </c>
      <c r="K1223" s="69" t="s">
        <v>945</v>
      </c>
      <c r="M1223" s="69" t="s">
        <v>6</v>
      </c>
    </row>
    <row r="1224" spans="2:13">
      <c r="B1224" s="69">
        <v>1222</v>
      </c>
      <c r="C1224" s="69">
        <v>117</v>
      </c>
      <c r="D1224" s="69">
        <v>16</v>
      </c>
      <c r="E1224" s="69">
        <v>11</v>
      </c>
      <c r="F1224" s="69">
        <v>0</v>
      </c>
      <c r="G1224" s="69" t="s">
        <v>917</v>
      </c>
      <c r="H1224" s="69" t="s">
        <v>918</v>
      </c>
      <c r="I1224" s="69" t="s">
        <v>940</v>
      </c>
      <c r="J1224" s="69" t="s">
        <v>55</v>
      </c>
      <c r="K1224" s="69" t="s">
        <v>946</v>
      </c>
      <c r="M1224" s="69" t="s">
        <v>6</v>
      </c>
    </row>
    <row r="1225" spans="2:13">
      <c r="B1225" s="69">
        <v>1223</v>
      </c>
      <c r="C1225" s="69">
        <v>117</v>
      </c>
      <c r="D1225" s="69">
        <v>16</v>
      </c>
      <c r="E1225" s="69">
        <v>12</v>
      </c>
      <c r="F1225" s="69">
        <v>0</v>
      </c>
      <c r="G1225" s="69" t="s">
        <v>917</v>
      </c>
      <c r="H1225" s="69" t="s">
        <v>918</v>
      </c>
      <c r="I1225" s="69" t="s">
        <v>940</v>
      </c>
      <c r="J1225" s="69" t="s">
        <v>420</v>
      </c>
      <c r="K1225" s="69" t="s">
        <v>947</v>
      </c>
      <c r="M1225" s="69" t="s">
        <v>6</v>
      </c>
    </row>
    <row r="1226" spans="2:13">
      <c r="B1226" s="69">
        <v>1224</v>
      </c>
      <c r="C1226" s="69">
        <v>117</v>
      </c>
      <c r="D1226" s="69">
        <v>16</v>
      </c>
      <c r="E1226" s="69">
        <v>13</v>
      </c>
      <c r="F1226" s="69">
        <v>0</v>
      </c>
      <c r="G1226" s="69" t="s">
        <v>917</v>
      </c>
      <c r="H1226" s="69" t="s">
        <v>918</v>
      </c>
      <c r="I1226" s="69" t="s">
        <v>940</v>
      </c>
      <c r="J1226" s="69" t="s">
        <v>420</v>
      </c>
      <c r="K1226" s="69" t="s">
        <v>948</v>
      </c>
      <c r="M1226" s="69" t="s">
        <v>6</v>
      </c>
    </row>
    <row r="1227" spans="2:13">
      <c r="B1227" s="69">
        <v>1225</v>
      </c>
      <c r="C1227" s="69">
        <v>117</v>
      </c>
      <c r="D1227" s="69">
        <v>16</v>
      </c>
      <c r="E1227" s="69">
        <v>14</v>
      </c>
      <c r="F1227" s="69">
        <v>0</v>
      </c>
      <c r="G1227" s="69" t="s">
        <v>917</v>
      </c>
      <c r="H1227" s="69" t="s">
        <v>918</v>
      </c>
      <c r="I1227" s="69" t="s">
        <v>940</v>
      </c>
      <c r="J1227" s="69" t="s">
        <v>479</v>
      </c>
      <c r="K1227" s="69" t="s">
        <v>931</v>
      </c>
      <c r="M1227" s="69" t="s">
        <v>6</v>
      </c>
    </row>
    <row r="1228" spans="2:13">
      <c r="B1228" s="69">
        <v>1226</v>
      </c>
      <c r="C1228" s="69">
        <v>117</v>
      </c>
      <c r="D1228" s="69">
        <v>16</v>
      </c>
      <c r="E1228" s="69">
        <v>15</v>
      </c>
      <c r="F1228" s="69">
        <v>0</v>
      </c>
      <c r="G1228" s="69" t="s">
        <v>917</v>
      </c>
      <c r="H1228" s="69" t="s">
        <v>918</v>
      </c>
      <c r="I1228" s="69" t="s">
        <v>940</v>
      </c>
      <c r="J1228" s="69" t="s">
        <v>55</v>
      </c>
      <c r="K1228" s="69" t="s">
        <v>932</v>
      </c>
      <c r="M1228" s="69" t="s">
        <v>6</v>
      </c>
    </row>
    <row r="1229" spans="2:13">
      <c r="B1229" s="69">
        <v>1227</v>
      </c>
      <c r="C1229" s="69">
        <v>117</v>
      </c>
      <c r="D1229" s="69">
        <v>16</v>
      </c>
      <c r="E1229" s="69">
        <v>16</v>
      </c>
      <c r="F1229" s="69">
        <v>0</v>
      </c>
      <c r="G1229" s="69" t="s">
        <v>917</v>
      </c>
      <c r="H1229" s="69" t="s">
        <v>918</v>
      </c>
      <c r="I1229" s="69" t="s">
        <v>940</v>
      </c>
      <c r="J1229" s="69" t="s">
        <v>64</v>
      </c>
      <c r="K1229" s="69" t="s">
        <v>933</v>
      </c>
      <c r="M1229" s="69" t="s">
        <v>6</v>
      </c>
    </row>
    <row r="1230" spans="2:13">
      <c r="B1230" s="69">
        <v>1228</v>
      </c>
      <c r="C1230" s="69">
        <v>118</v>
      </c>
      <c r="D1230" s="69">
        <v>6</v>
      </c>
      <c r="E1230" s="69">
        <v>0</v>
      </c>
      <c r="F1230" s="69">
        <v>0</v>
      </c>
      <c r="G1230" s="69" t="s">
        <v>917</v>
      </c>
      <c r="H1230" s="69" t="s">
        <v>918</v>
      </c>
      <c r="I1230" s="69" t="s">
        <v>949</v>
      </c>
      <c r="J1230" s="69" t="s">
        <v>54</v>
      </c>
      <c r="K1230" s="69" t="s">
        <v>949</v>
      </c>
      <c r="M1230" s="69" t="s">
        <v>6</v>
      </c>
    </row>
    <row r="1231" spans="2:13">
      <c r="B1231" s="69">
        <v>1229</v>
      </c>
      <c r="C1231" s="69">
        <v>118</v>
      </c>
      <c r="D1231" s="69">
        <v>6</v>
      </c>
      <c r="E1231" s="69">
        <v>1</v>
      </c>
      <c r="F1231" s="69">
        <v>0</v>
      </c>
      <c r="G1231" s="69" t="s">
        <v>917</v>
      </c>
      <c r="H1231" s="69" t="s">
        <v>918</v>
      </c>
      <c r="I1231" s="69" t="s">
        <v>949</v>
      </c>
      <c r="J1231" s="69" t="s">
        <v>55</v>
      </c>
      <c r="K1231" s="69" t="s">
        <v>950</v>
      </c>
      <c r="M1231" s="69" t="s">
        <v>6</v>
      </c>
    </row>
    <row r="1232" spans="2:13">
      <c r="B1232" s="69">
        <v>1230</v>
      </c>
      <c r="C1232" s="69">
        <v>118</v>
      </c>
      <c r="D1232" s="69">
        <v>6</v>
      </c>
      <c r="E1232" s="69">
        <v>2</v>
      </c>
      <c r="F1232" s="69">
        <v>0</v>
      </c>
      <c r="G1232" s="69" t="s">
        <v>917</v>
      </c>
      <c r="H1232" s="69" t="s">
        <v>918</v>
      </c>
      <c r="I1232" s="69" t="s">
        <v>949</v>
      </c>
      <c r="J1232" s="69" t="s">
        <v>951</v>
      </c>
      <c r="K1232" s="69" t="s">
        <v>952</v>
      </c>
      <c r="M1232" s="69" t="s">
        <v>6</v>
      </c>
    </row>
    <row r="1233" spans="2:13">
      <c r="B1233" s="69">
        <v>1231</v>
      </c>
      <c r="C1233" s="69">
        <v>118</v>
      </c>
      <c r="D1233" s="69">
        <v>6</v>
      </c>
      <c r="E1233" s="69">
        <v>3</v>
      </c>
      <c r="F1233" s="69">
        <v>0</v>
      </c>
      <c r="G1233" s="69" t="s">
        <v>917</v>
      </c>
      <c r="H1233" s="69" t="s">
        <v>918</v>
      </c>
      <c r="I1233" s="69" t="s">
        <v>949</v>
      </c>
      <c r="J1233" s="69" t="s">
        <v>951</v>
      </c>
      <c r="K1233" s="69" t="s">
        <v>953</v>
      </c>
      <c r="M1233" s="69" t="s">
        <v>6</v>
      </c>
    </row>
    <row r="1234" spans="2:13">
      <c r="B1234" s="69">
        <v>1232</v>
      </c>
      <c r="C1234" s="69">
        <v>118</v>
      </c>
      <c r="D1234" s="69">
        <v>6</v>
      </c>
      <c r="E1234" s="69">
        <v>4</v>
      </c>
      <c r="F1234" s="69">
        <v>0</v>
      </c>
      <c r="G1234" s="69" t="s">
        <v>917</v>
      </c>
      <c r="H1234" s="69" t="s">
        <v>918</v>
      </c>
      <c r="I1234" s="69" t="s">
        <v>949</v>
      </c>
      <c r="J1234" s="69" t="s">
        <v>951</v>
      </c>
      <c r="K1234" s="69" t="s">
        <v>954</v>
      </c>
      <c r="M1234" s="69" t="s">
        <v>6</v>
      </c>
    </row>
    <row r="1235" spans="2:13">
      <c r="B1235" s="69">
        <v>1233</v>
      </c>
      <c r="C1235" s="69">
        <v>118</v>
      </c>
      <c r="D1235" s="69">
        <v>6</v>
      </c>
      <c r="E1235" s="69">
        <v>5</v>
      </c>
      <c r="F1235" s="69">
        <v>0</v>
      </c>
      <c r="G1235" s="69" t="s">
        <v>917</v>
      </c>
      <c r="H1235" s="69" t="s">
        <v>918</v>
      </c>
      <c r="I1235" s="69" t="s">
        <v>949</v>
      </c>
      <c r="J1235" s="69" t="s">
        <v>951</v>
      </c>
      <c r="K1235" s="69" t="s">
        <v>955</v>
      </c>
      <c r="M1235" s="69" t="s">
        <v>6</v>
      </c>
    </row>
    <row r="1236" spans="2:13">
      <c r="B1236" s="69">
        <v>1234</v>
      </c>
      <c r="C1236" s="69">
        <v>118</v>
      </c>
      <c r="D1236" s="69">
        <v>6</v>
      </c>
      <c r="E1236" s="69">
        <v>6</v>
      </c>
      <c r="F1236" s="69">
        <v>0</v>
      </c>
      <c r="G1236" s="69" t="s">
        <v>917</v>
      </c>
      <c r="H1236" s="69" t="s">
        <v>918</v>
      </c>
      <c r="I1236" s="69" t="s">
        <v>949</v>
      </c>
      <c r="J1236" s="69" t="s">
        <v>55</v>
      </c>
      <c r="K1236" s="69" t="s">
        <v>956</v>
      </c>
      <c r="M1236" s="69" t="s">
        <v>6</v>
      </c>
    </row>
    <row r="1237" spans="2:13">
      <c r="B1237" s="69">
        <v>1235</v>
      </c>
      <c r="C1237" s="69">
        <v>119</v>
      </c>
      <c r="D1237" s="69">
        <v>17</v>
      </c>
      <c r="E1237" s="69">
        <v>0</v>
      </c>
      <c r="F1237" s="69">
        <v>0</v>
      </c>
      <c r="G1237" s="69" t="s">
        <v>917</v>
      </c>
      <c r="H1237" s="69" t="s">
        <v>918</v>
      </c>
      <c r="I1237" s="69" t="s">
        <v>957</v>
      </c>
      <c r="J1237" s="69" t="s">
        <v>478</v>
      </c>
      <c r="K1237" s="69" t="s">
        <v>957</v>
      </c>
      <c r="M1237" s="69" t="s">
        <v>6</v>
      </c>
    </row>
    <row r="1238" spans="2:13">
      <c r="B1238" s="69">
        <v>1236</v>
      </c>
      <c r="C1238" s="69">
        <v>119</v>
      </c>
      <c r="D1238" s="69">
        <v>17</v>
      </c>
      <c r="E1238" s="69">
        <v>1</v>
      </c>
      <c r="F1238" s="69">
        <v>0</v>
      </c>
      <c r="G1238" s="69" t="s">
        <v>917</v>
      </c>
      <c r="H1238" s="69" t="s">
        <v>918</v>
      </c>
      <c r="I1238" s="69" t="s">
        <v>957</v>
      </c>
      <c r="J1238" s="69" t="s">
        <v>479</v>
      </c>
      <c r="K1238" s="69" t="s">
        <v>958</v>
      </c>
      <c r="M1238" s="69" t="s">
        <v>6</v>
      </c>
    </row>
    <row r="1239" spans="2:13">
      <c r="B1239" s="69">
        <v>1237</v>
      </c>
      <c r="C1239" s="69">
        <v>119</v>
      </c>
      <c r="D1239" s="69">
        <v>17</v>
      </c>
      <c r="E1239" s="69">
        <v>2</v>
      </c>
      <c r="F1239" s="69">
        <v>0</v>
      </c>
      <c r="G1239" s="69" t="s">
        <v>917</v>
      </c>
      <c r="H1239" s="69" t="s">
        <v>918</v>
      </c>
      <c r="I1239" s="69" t="s">
        <v>957</v>
      </c>
      <c r="J1239" s="69" t="s">
        <v>55</v>
      </c>
      <c r="K1239" s="69" t="s">
        <v>959</v>
      </c>
      <c r="M1239" s="69" t="s">
        <v>6</v>
      </c>
    </row>
    <row r="1240" spans="2:13">
      <c r="B1240" s="69">
        <v>1238</v>
      </c>
      <c r="C1240" s="69">
        <v>119</v>
      </c>
      <c r="D1240" s="69">
        <v>17</v>
      </c>
      <c r="E1240" s="69">
        <v>3</v>
      </c>
      <c r="F1240" s="69">
        <v>0</v>
      </c>
      <c r="G1240" s="69" t="s">
        <v>917</v>
      </c>
      <c r="H1240" s="69" t="s">
        <v>918</v>
      </c>
      <c r="I1240" s="69" t="s">
        <v>957</v>
      </c>
      <c r="J1240" s="69" t="s">
        <v>214</v>
      </c>
      <c r="K1240" s="69" t="s">
        <v>960</v>
      </c>
      <c r="M1240" s="69" t="s">
        <v>6</v>
      </c>
    </row>
    <row r="1241" spans="2:13">
      <c r="B1241" s="69">
        <v>1239</v>
      </c>
      <c r="C1241" s="69">
        <v>119</v>
      </c>
      <c r="D1241" s="69">
        <v>17</v>
      </c>
      <c r="E1241" s="69">
        <v>4</v>
      </c>
      <c r="F1241" s="69">
        <v>0</v>
      </c>
      <c r="G1241" s="69" t="s">
        <v>917</v>
      </c>
      <c r="H1241" s="69" t="s">
        <v>918</v>
      </c>
      <c r="I1241" s="69" t="s">
        <v>957</v>
      </c>
      <c r="J1241" s="69" t="s">
        <v>214</v>
      </c>
      <c r="K1241" s="69" t="s">
        <v>961</v>
      </c>
      <c r="M1241" s="69" t="s">
        <v>6</v>
      </c>
    </row>
    <row r="1242" spans="2:13">
      <c r="B1242" s="69">
        <v>1240</v>
      </c>
      <c r="C1242" s="69">
        <v>119</v>
      </c>
      <c r="D1242" s="69">
        <v>17</v>
      </c>
      <c r="E1242" s="69">
        <v>5</v>
      </c>
      <c r="F1242" s="69">
        <v>0</v>
      </c>
      <c r="G1242" s="69" t="s">
        <v>917</v>
      </c>
      <c r="H1242" s="69" t="s">
        <v>918</v>
      </c>
      <c r="I1242" s="69" t="s">
        <v>957</v>
      </c>
      <c r="J1242" s="69" t="s">
        <v>214</v>
      </c>
      <c r="K1242" s="69" t="s">
        <v>962</v>
      </c>
      <c r="M1242" s="69" t="s">
        <v>6</v>
      </c>
    </row>
    <row r="1243" spans="2:13">
      <c r="B1243" s="69">
        <v>1241</v>
      </c>
      <c r="C1243" s="69">
        <v>119</v>
      </c>
      <c r="D1243" s="69">
        <v>17</v>
      </c>
      <c r="E1243" s="69">
        <v>6</v>
      </c>
      <c r="F1243" s="69">
        <v>0</v>
      </c>
      <c r="G1243" s="69" t="s">
        <v>917</v>
      </c>
      <c r="H1243" s="69" t="s">
        <v>918</v>
      </c>
      <c r="I1243" s="69" t="s">
        <v>957</v>
      </c>
      <c r="J1243" s="69" t="s">
        <v>214</v>
      </c>
      <c r="K1243" s="69" t="s">
        <v>963</v>
      </c>
      <c r="M1243" s="69" t="s">
        <v>6</v>
      </c>
    </row>
    <row r="1244" spans="2:13">
      <c r="B1244" s="69">
        <v>1242</v>
      </c>
      <c r="C1244" s="69">
        <v>119</v>
      </c>
      <c r="D1244" s="69">
        <v>17</v>
      </c>
      <c r="E1244" s="69">
        <v>7</v>
      </c>
      <c r="F1244" s="69">
        <v>0</v>
      </c>
      <c r="G1244" s="69" t="s">
        <v>917</v>
      </c>
      <c r="H1244" s="69" t="s">
        <v>918</v>
      </c>
      <c r="I1244" s="69" t="s">
        <v>957</v>
      </c>
      <c r="J1244" s="69" t="s">
        <v>214</v>
      </c>
      <c r="K1244" s="69" t="s">
        <v>964</v>
      </c>
      <c r="M1244" s="69" t="s">
        <v>6</v>
      </c>
    </row>
    <row r="1245" spans="2:13">
      <c r="B1245" s="69">
        <v>1243</v>
      </c>
      <c r="C1245" s="69">
        <v>119</v>
      </c>
      <c r="D1245" s="69">
        <v>17</v>
      </c>
      <c r="E1245" s="69">
        <v>8</v>
      </c>
      <c r="F1245" s="69">
        <v>0</v>
      </c>
      <c r="G1245" s="69" t="s">
        <v>917</v>
      </c>
      <c r="H1245" s="69" t="s">
        <v>918</v>
      </c>
      <c r="I1245" s="69" t="s">
        <v>957</v>
      </c>
      <c r="J1245" s="69" t="s">
        <v>437</v>
      </c>
      <c r="K1245" s="69" t="s">
        <v>965</v>
      </c>
      <c r="L1245" s="69" t="s">
        <v>510</v>
      </c>
      <c r="M1245" s="69" t="s">
        <v>6</v>
      </c>
    </row>
    <row r="1246" spans="2:13">
      <c r="B1246" s="69">
        <v>1244</v>
      </c>
      <c r="C1246" s="69">
        <v>119</v>
      </c>
      <c r="D1246" s="69">
        <v>17</v>
      </c>
      <c r="E1246" s="69">
        <v>9</v>
      </c>
      <c r="F1246" s="69">
        <v>0</v>
      </c>
      <c r="G1246" s="69" t="s">
        <v>917</v>
      </c>
      <c r="H1246" s="69" t="s">
        <v>918</v>
      </c>
      <c r="I1246" s="69" t="s">
        <v>957</v>
      </c>
      <c r="J1246" s="69" t="s">
        <v>420</v>
      </c>
      <c r="K1246" s="69" t="s">
        <v>966</v>
      </c>
      <c r="M1246" s="69" t="s">
        <v>6</v>
      </c>
    </row>
    <row r="1247" spans="2:13">
      <c r="B1247" s="69">
        <v>1245</v>
      </c>
      <c r="C1247" s="69">
        <v>119</v>
      </c>
      <c r="D1247" s="69">
        <v>17</v>
      </c>
      <c r="E1247" s="69">
        <v>10</v>
      </c>
      <c r="F1247" s="69">
        <v>0</v>
      </c>
      <c r="G1247" s="69" t="s">
        <v>917</v>
      </c>
      <c r="H1247" s="69" t="s">
        <v>918</v>
      </c>
      <c r="I1247" s="69" t="s">
        <v>957</v>
      </c>
      <c r="J1247" s="69" t="s">
        <v>420</v>
      </c>
      <c r="K1247" s="69" t="s">
        <v>967</v>
      </c>
      <c r="M1247" s="69" t="s">
        <v>6</v>
      </c>
    </row>
    <row r="1248" spans="2:13">
      <c r="B1248" s="69">
        <v>1246</v>
      </c>
      <c r="C1248" s="69">
        <v>119</v>
      </c>
      <c r="D1248" s="69">
        <v>17</v>
      </c>
      <c r="E1248" s="69">
        <v>11</v>
      </c>
      <c r="F1248" s="69">
        <v>0</v>
      </c>
      <c r="G1248" s="69" t="s">
        <v>917</v>
      </c>
      <c r="H1248" s="69" t="s">
        <v>918</v>
      </c>
      <c r="I1248" s="69" t="s">
        <v>957</v>
      </c>
      <c r="J1248" s="69" t="s">
        <v>479</v>
      </c>
      <c r="K1248" s="69" t="s">
        <v>968</v>
      </c>
      <c r="M1248" s="69" t="s">
        <v>6</v>
      </c>
    </row>
    <row r="1249" spans="2:13">
      <c r="B1249" s="69">
        <v>1247</v>
      </c>
      <c r="C1249" s="69">
        <v>119</v>
      </c>
      <c r="D1249" s="69">
        <v>17</v>
      </c>
      <c r="E1249" s="69">
        <v>12</v>
      </c>
      <c r="F1249" s="69">
        <v>0</v>
      </c>
      <c r="G1249" s="69" t="s">
        <v>917</v>
      </c>
      <c r="H1249" s="69" t="s">
        <v>918</v>
      </c>
      <c r="I1249" s="69" t="s">
        <v>957</v>
      </c>
      <c r="J1249" s="69" t="s">
        <v>55</v>
      </c>
      <c r="K1249" s="69" t="s">
        <v>969</v>
      </c>
      <c r="M1249" s="69" t="s">
        <v>6</v>
      </c>
    </row>
    <row r="1250" spans="2:13">
      <c r="B1250" s="69">
        <v>1248</v>
      </c>
      <c r="C1250" s="69">
        <v>119</v>
      </c>
      <c r="D1250" s="69">
        <v>17</v>
      </c>
      <c r="E1250" s="69">
        <v>13</v>
      </c>
      <c r="F1250" s="69">
        <v>0</v>
      </c>
      <c r="G1250" s="69" t="s">
        <v>917</v>
      </c>
      <c r="H1250" s="69" t="s">
        <v>918</v>
      </c>
      <c r="I1250" s="69" t="s">
        <v>957</v>
      </c>
      <c r="J1250" s="69" t="s">
        <v>55</v>
      </c>
      <c r="K1250" s="69" t="s">
        <v>930</v>
      </c>
      <c r="M1250" s="69" t="s">
        <v>6</v>
      </c>
    </row>
    <row r="1251" spans="2:13">
      <c r="B1251" s="69">
        <v>1249</v>
      </c>
      <c r="C1251" s="69">
        <v>119</v>
      </c>
      <c r="D1251" s="69">
        <v>17</v>
      </c>
      <c r="E1251" s="69">
        <v>14</v>
      </c>
      <c r="F1251" s="69">
        <v>0</v>
      </c>
      <c r="G1251" s="69" t="s">
        <v>917</v>
      </c>
      <c r="H1251" s="69" t="s">
        <v>918</v>
      </c>
      <c r="I1251" s="69" t="s">
        <v>957</v>
      </c>
      <c r="J1251" s="69" t="s">
        <v>479</v>
      </c>
      <c r="K1251" s="69" t="s">
        <v>970</v>
      </c>
      <c r="M1251" s="69" t="s">
        <v>6</v>
      </c>
    </row>
    <row r="1252" spans="2:13">
      <c r="B1252" s="69">
        <v>1250</v>
      </c>
      <c r="C1252" s="69">
        <v>119</v>
      </c>
      <c r="D1252" s="69">
        <v>17</v>
      </c>
      <c r="E1252" s="69">
        <v>15</v>
      </c>
      <c r="F1252" s="69">
        <v>0</v>
      </c>
      <c r="G1252" s="69" t="s">
        <v>917</v>
      </c>
      <c r="H1252" s="69" t="s">
        <v>918</v>
      </c>
      <c r="I1252" s="69" t="s">
        <v>957</v>
      </c>
      <c r="J1252" s="69" t="s">
        <v>55</v>
      </c>
      <c r="K1252" s="69" t="s">
        <v>971</v>
      </c>
      <c r="M1252" s="69" t="s">
        <v>6</v>
      </c>
    </row>
    <row r="1253" spans="2:13">
      <c r="B1253" s="69">
        <v>1251</v>
      </c>
      <c r="C1253" s="69">
        <v>119</v>
      </c>
      <c r="D1253" s="69">
        <v>17</v>
      </c>
      <c r="E1253" s="69">
        <v>16</v>
      </c>
      <c r="F1253" s="69">
        <v>0</v>
      </c>
      <c r="G1253" s="69" t="s">
        <v>917</v>
      </c>
      <c r="H1253" s="69" t="s">
        <v>918</v>
      </c>
      <c r="I1253" s="69" t="s">
        <v>957</v>
      </c>
      <c r="J1253" s="69" t="s">
        <v>64</v>
      </c>
      <c r="K1253" s="69" t="s">
        <v>972</v>
      </c>
      <c r="M1253" s="69" t="s">
        <v>6</v>
      </c>
    </row>
    <row r="1254" spans="2:13">
      <c r="B1254" s="69">
        <v>1252</v>
      </c>
      <c r="C1254" s="69">
        <v>119</v>
      </c>
      <c r="D1254" s="69">
        <v>17</v>
      </c>
      <c r="E1254" s="69">
        <v>17</v>
      </c>
      <c r="F1254" s="69">
        <v>0</v>
      </c>
      <c r="G1254" s="69" t="s">
        <v>917</v>
      </c>
      <c r="H1254" s="69" t="s">
        <v>918</v>
      </c>
      <c r="I1254" s="69" t="s">
        <v>957</v>
      </c>
      <c r="J1254" s="69" t="s">
        <v>214</v>
      </c>
      <c r="K1254" s="69" t="s">
        <v>931</v>
      </c>
      <c r="M1254" s="69" t="s">
        <v>6</v>
      </c>
    </row>
    <row r="1255" spans="2:13">
      <c r="B1255" s="69">
        <v>1253</v>
      </c>
      <c r="C1255" s="69">
        <v>120</v>
      </c>
      <c r="D1255" s="69">
        <v>5</v>
      </c>
      <c r="E1255" s="69">
        <v>0</v>
      </c>
      <c r="F1255" s="69">
        <v>0</v>
      </c>
      <c r="G1255" s="69" t="s">
        <v>917</v>
      </c>
      <c r="H1255" s="69" t="s">
        <v>918</v>
      </c>
      <c r="I1255" s="69" t="s">
        <v>973</v>
      </c>
      <c r="J1255" s="69" t="s">
        <v>54</v>
      </c>
      <c r="K1255" s="69" t="s">
        <v>973</v>
      </c>
      <c r="M1255" s="69" t="s">
        <v>6</v>
      </c>
    </row>
    <row r="1256" spans="2:13">
      <c r="B1256" s="69">
        <v>1254</v>
      </c>
      <c r="C1256" s="69">
        <v>120</v>
      </c>
      <c r="D1256" s="69">
        <v>5</v>
      </c>
      <c r="E1256" s="69">
        <v>1</v>
      </c>
      <c r="F1256" s="69">
        <v>0</v>
      </c>
      <c r="G1256" s="69" t="s">
        <v>917</v>
      </c>
      <c r="H1256" s="69" t="s">
        <v>918</v>
      </c>
      <c r="I1256" s="69" t="s">
        <v>973</v>
      </c>
      <c r="J1256" s="69" t="s">
        <v>55</v>
      </c>
      <c r="K1256" s="69" t="s">
        <v>974</v>
      </c>
      <c r="M1256" s="69" t="s">
        <v>6</v>
      </c>
    </row>
    <row r="1257" spans="2:13">
      <c r="B1257" s="69">
        <v>1255</v>
      </c>
      <c r="C1257" s="69">
        <v>120</v>
      </c>
      <c r="D1257" s="69">
        <v>5</v>
      </c>
      <c r="E1257" s="69">
        <v>2</v>
      </c>
      <c r="F1257" s="69">
        <v>0</v>
      </c>
      <c r="G1257" s="69" t="s">
        <v>917</v>
      </c>
      <c r="H1257" s="69" t="s">
        <v>918</v>
      </c>
      <c r="I1257" s="69" t="s">
        <v>973</v>
      </c>
      <c r="J1257" s="69" t="s">
        <v>214</v>
      </c>
      <c r="K1257" s="69" t="s">
        <v>936</v>
      </c>
      <c r="M1257" s="69" t="s">
        <v>6</v>
      </c>
    </row>
    <row r="1258" spans="2:13">
      <c r="B1258" s="69">
        <v>1256</v>
      </c>
      <c r="C1258" s="69">
        <v>120</v>
      </c>
      <c r="D1258" s="69">
        <v>5</v>
      </c>
      <c r="E1258" s="69">
        <v>3</v>
      </c>
      <c r="F1258" s="69">
        <v>0</v>
      </c>
      <c r="G1258" s="69" t="s">
        <v>917</v>
      </c>
      <c r="H1258" s="69" t="s">
        <v>918</v>
      </c>
      <c r="I1258" s="69" t="s">
        <v>973</v>
      </c>
      <c r="J1258" s="69" t="s">
        <v>214</v>
      </c>
      <c r="K1258" s="69" t="s">
        <v>975</v>
      </c>
      <c r="M1258" s="69" t="s">
        <v>6</v>
      </c>
    </row>
    <row r="1259" spans="2:13">
      <c r="B1259" s="69">
        <v>1257</v>
      </c>
      <c r="C1259" s="69">
        <v>120</v>
      </c>
      <c r="D1259" s="69">
        <v>5</v>
      </c>
      <c r="E1259" s="69">
        <v>4</v>
      </c>
      <c r="F1259" s="69">
        <v>0</v>
      </c>
      <c r="G1259" s="69" t="s">
        <v>917</v>
      </c>
      <c r="H1259" s="69" t="s">
        <v>918</v>
      </c>
      <c r="I1259" s="69" t="s">
        <v>973</v>
      </c>
      <c r="J1259" s="69" t="s">
        <v>214</v>
      </c>
      <c r="K1259" s="69" t="s">
        <v>938</v>
      </c>
      <c r="M1259" s="69" t="s">
        <v>6</v>
      </c>
    </row>
    <row r="1260" spans="2:13">
      <c r="B1260" s="69">
        <v>1258</v>
      </c>
      <c r="C1260" s="69">
        <v>120</v>
      </c>
      <c r="D1260" s="69">
        <v>5</v>
      </c>
      <c r="E1260" s="69">
        <v>5</v>
      </c>
      <c r="F1260" s="69">
        <v>0</v>
      </c>
      <c r="G1260" s="69" t="s">
        <v>917</v>
      </c>
      <c r="H1260" s="69" t="s">
        <v>918</v>
      </c>
      <c r="I1260" s="69" t="s">
        <v>973</v>
      </c>
      <c r="J1260" s="69" t="s">
        <v>64</v>
      </c>
      <c r="K1260" s="69" t="s">
        <v>976</v>
      </c>
      <c r="M1260" s="69" t="s">
        <v>6</v>
      </c>
    </row>
    <row r="1261" spans="2:13">
      <c r="B1261" s="69">
        <v>1259</v>
      </c>
      <c r="C1261" s="69">
        <v>121</v>
      </c>
      <c r="D1261" s="69">
        <v>19</v>
      </c>
      <c r="E1261" s="69">
        <v>0</v>
      </c>
      <c r="F1261" s="69">
        <v>0</v>
      </c>
      <c r="G1261" s="69" t="s">
        <v>917</v>
      </c>
      <c r="H1261" s="69" t="s">
        <v>918</v>
      </c>
      <c r="I1261" s="69" t="s">
        <v>977</v>
      </c>
      <c r="J1261" s="69" t="s">
        <v>478</v>
      </c>
      <c r="K1261" s="69" t="s">
        <v>977</v>
      </c>
      <c r="M1261" s="69" t="s">
        <v>6</v>
      </c>
    </row>
    <row r="1262" spans="2:13">
      <c r="B1262" s="69">
        <v>1260</v>
      </c>
      <c r="C1262" s="69">
        <v>121</v>
      </c>
      <c r="D1262" s="69">
        <v>19</v>
      </c>
      <c r="E1262" s="69">
        <v>1</v>
      </c>
      <c r="F1262" s="69">
        <v>0</v>
      </c>
      <c r="G1262" s="69" t="s">
        <v>917</v>
      </c>
      <c r="H1262" s="69" t="s">
        <v>918</v>
      </c>
      <c r="I1262" s="69" t="s">
        <v>977</v>
      </c>
      <c r="J1262" s="69" t="s">
        <v>479</v>
      </c>
      <c r="K1262" s="69" t="s">
        <v>920</v>
      </c>
      <c r="M1262" s="69" t="s">
        <v>6</v>
      </c>
    </row>
    <row r="1263" spans="2:13">
      <c r="B1263" s="69">
        <v>1261</v>
      </c>
      <c r="C1263" s="69">
        <v>121</v>
      </c>
      <c r="D1263" s="69">
        <v>19</v>
      </c>
      <c r="E1263" s="69">
        <v>2</v>
      </c>
      <c r="F1263" s="69">
        <v>0</v>
      </c>
      <c r="G1263" s="69" t="s">
        <v>917</v>
      </c>
      <c r="H1263" s="69" t="s">
        <v>918</v>
      </c>
      <c r="I1263" s="69" t="s">
        <v>977</v>
      </c>
      <c r="J1263" s="69" t="s">
        <v>722</v>
      </c>
      <c r="K1263" s="69" t="s">
        <v>978</v>
      </c>
      <c r="M1263" s="69" t="s">
        <v>6</v>
      </c>
    </row>
    <row r="1264" spans="2:13">
      <c r="B1264" s="69">
        <v>1262</v>
      </c>
      <c r="C1264" s="69">
        <v>121</v>
      </c>
      <c r="D1264" s="69">
        <v>19</v>
      </c>
      <c r="E1264" s="69">
        <v>3</v>
      </c>
      <c r="F1264" s="69">
        <v>0</v>
      </c>
      <c r="G1264" s="69" t="s">
        <v>917</v>
      </c>
      <c r="H1264" s="69" t="s">
        <v>918</v>
      </c>
      <c r="I1264" s="69" t="s">
        <v>977</v>
      </c>
      <c r="J1264" s="69" t="s">
        <v>214</v>
      </c>
      <c r="K1264" s="69" t="s">
        <v>979</v>
      </c>
      <c r="M1264" s="69" t="s">
        <v>6</v>
      </c>
    </row>
    <row r="1265" spans="2:13">
      <c r="B1265" s="69">
        <v>1263</v>
      </c>
      <c r="C1265" s="69">
        <v>121</v>
      </c>
      <c r="D1265" s="69">
        <v>19</v>
      </c>
      <c r="E1265" s="69">
        <v>4</v>
      </c>
      <c r="F1265" s="69">
        <v>0</v>
      </c>
      <c r="G1265" s="69" t="s">
        <v>917</v>
      </c>
      <c r="H1265" s="69" t="s">
        <v>918</v>
      </c>
      <c r="I1265" s="69" t="s">
        <v>977</v>
      </c>
      <c r="J1265" s="69" t="s">
        <v>214</v>
      </c>
      <c r="K1265" s="69" t="s">
        <v>980</v>
      </c>
      <c r="M1265" s="69" t="s">
        <v>6</v>
      </c>
    </row>
    <row r="1266" spans="2:13">
      <c r="B1266" s="69">
        <v>1264</v>
      </c>
      <c r="C1266" s="69">
        <v>121</v>
      </c>
      <c r="D1266" s="69">
        <v>19</v>
      </c>
      <c r="E1266" s="69">
        <v>5</v>
      </c>
      <c r="F1266" s="69">
        <v>0</v>
      </c>
      <c r="G1266" s="69" t="s">
        <v>917</v>
      </c>
      <c r="H1266" s="69" t="s">
        <v>918</v>
      </c>
      <c r="I1266" s="69" t="s">
        <v>977</v>
      </c>
      <c r="J1266" s="69" t="s">
        <v>214</v>
      </c>
      <c r="K1266" s="69" t="s">
        <v>981</v>
      </c>
      <c r="M1266" s="69" t="s">
        <v>6</v>
      </c>
    </row>
    <row r="1267" spans="2:13">
      <c r="B1267" s="69">
        <v>1265</v>
      </c>
      <c r="C1267" s="69">
        <v>121</v>
      </c>
      <c r="D1267" s="69">
        <v>19</v>
      </c>
      <c r="E1267" s="69">
        <v>6</v>
      </c>
      <c r="F1267" s="69">
        <v>0</v>
      </c>
      <c r="G1267" s="69" t="s">
        <v>917</v>
      </c>
      <c r="H1267" s="69" t="s">
        <v>918</v>
      </c>
      <c r="I1267" s="69" t="s">
        <v>977</v>
      </c>
      <c r="J1267" s="69" t="s">
        <v>214</v>
      </c>
      <c r="K1267" s="69" t="s">
        <v>982</v>
      </c>
      <c r="M1267" s="69" t="s">
        <v>6</v>
      </c>
    </row>
    <row r="1268" spans="2:13">
      <c r="B1268" s="69">
        <v>1266</v>
      </c>
      <c r="C1268" s="69">
        <v>121</v>
      </c>
      <c r="D1268" s="69">
        <v>19</v>
      </c>
      <c r="E1268" s="69">
        <v>7</v>
      </c>
      <c r="F1268" s="69">
        <v>0</v>
      </c>
      <c r="G1268" s="69" t="s">
        <v>917</v>
      </c>
      <c r="H1268" s="69" t="s">
        <v>918</v>
      </c>
      <c r="I1268" s="69" t="s">
        <v>977</v>
      </c>
      <c r="J1268" s="69" t="s">
        <v>214</v>
      </c>
      <c r="K1268" s="69" t="s">
        <v>983</v>
      </c>
      <c r="M1268" s="69" t="s">
        <v>6</v>
      </c>
    </row>
    <row r="1269" spans="2:13">
      <c r="B1269" s="69">
        <v>1267</v>
      </c>
      <c r="C1269" s="69">
        <v>121</v>
      </c>
      <c r="D1269" s="69">
        <v>19</v>
      </c>
      <c r="E1269" s="69">
        <v>8</v>
      </c>
      <c r="F1269" s="69">
        <v>0</v>
      </c>
      <c r="G1269" s="69" t="s">
        <v>917</v>
      </c>
      <c r="H1269" s="69" t="s">
        <v>918</v>
      </c>
      <c r="I1269" s="69" t="s">
        <v>977</v>
      </c>
      <c r="J1269" s="69" t="s">
        <v>214</v>
      </c>
      <c r="K1269" s="69" t="s">
        <v>984</v>
      </c>
      <c r="M1269" s="69" t="s">
        <v>6</v>
      </c>
    </row>
    <row r="1270" spans="2:13">
      <c r="B1270" s="69">
        <v>1268</v>
      </c>
      <c r="C1270" s="69">
        <v>121</v>
      </c>
      <c r="D1270" s="69">
        <v>19</v>
      </c>
      <c r="E1270" s="69">
        <v>9</v>
      </c>
      <c r="F1270" s="69">
        <v>0</v>
      </c>
      <c r="G1270" s="69" t="s">
        <v>917</v>
      </c>
      <c r="H1270" s="69" t="s">
        <v>918</v>
      </c>
      <c r="I1270" s="69" t="s">
        <v>977</v>
      </c>
      <c r="J1270" s="69" t="s">
        <v>214</v>
      </c>
      <c r="K1270" s="69" t="s">
        <v>985</v>
      </c>
      <c r="M1270" s="69" t="s">
        <v>6</v>
      </c>
    </row>
    <row r="1271" spans="2:13">
      <c r="B1271" s="69">
        <v>1269</v>
      </c>
      <c r="C1271" s="69">
        <v>121</v>
      </c>
      <c r="D1271" s="69">
        <v>19</v>
      </c>
      <c r="E1271" s="69">
        <v>10</v>
      </c>
      <c r="F1271" s="69">
        <v>0</v>
      </c>
      <c r="G1271" s="69" t="s">
        <v>917</v>
      </c>
      <c r="H1271" s="69" t="s">
        <v>918</v>
      </c>
      <c r="I1271" s="69" t="s">
        <v>977</v>
      </c>
      <c r="J1271" s="69" t="s">
        <v>55</v>
      </c>
      <c r="K1271" s="69" t="s">
        <v>969</v>
      </c>
      <c r="M1271" s="69" t="s">
        <v>6</v>
      </c>
    </row>
    <row r="1272" spans="2:13">
      <c r="B1272" s="69">
        <v>1270</v>
      </c>
      <c r="C1272" s="69">
        <v>121</v>
      </c>
      <c r="D1272" s="69">
        <v>19</v>
      </c>
      <c r="E1272" s="69">
        <v>11</v>
      </c>
      <c r="F1272" s="69">
        <v>0</v>
      </c>
      <c r="G1272" s="69" t="s">
        <v>917</v>
      </c>
      <c r="H1272" s="69" t="s">
        <v>918</v>
      </c>
      <c r="I1272" s="69" t="s">
        <v>977</v>
      </c>
      <c r="J1272" s="69" t="s">
        <v>214</v>
      </c>
      <c r="K1272" s="69" t="s">
        <v>986</v>
      </c>
      <c r="M1272" s="69" t="s">
        <v>6</v>
      </c>
    </row>
    <row r="1273" spans="2:13">
      <c r="B1273" s="69">
        <v>1271</v>
      </c>
      <c r="C1273" s="69">
        <v>121</v>
      </c>
      <c r="D1273" s="69">
        <v>19</v>
      </c>
      <c r="E1273" s="69">
        <v>12</v>
      </c>
      <c r="F1273" s="69">
        <v>0</v>
      </c>
      <c r="G1273" s="69" t="s">
        <v>917</v>
      </c>
      <c r="H1273" s="69" t="s">
        <v>918</v>
      </c>
      <c r="I1273" s="69" t="s">
        <v>977</v>
      </c>
      <c r="J1273" s="69" t="s">
        <v>214</v>
      </c>
      <c r="K1273" s="69" t="s">
        <v>987</v>
      </c>
      <c r="M1273" s="69" t="s">
        <v>6</v>
      </c>
    </row>
    <row r="1274" spans="2:13">
      <c r="B1274" s="69">
        <v>1272</v>
      </c>
      <c r="C1274" s="69">
        <v>121</v>
      </c>
      <c r="D1274" s="69">
        <v>19</v>
      </c>
      <c r="E1274" s="69">
        <v>13</v>
      </c>
      <c r="F1274" s="69">
        <v>0</v>
      </c>
      <c r="G1274" s="69" t="s">
        <v>917</v>
      </c>
      <c r="H1274" s="69" t="s">
        <v>918</v>
      </c>
      <c r="I1274" s="69" t="s">
        <v>977</v>
      </c>
      <c r="J1274" s="69" t="s">
        <v>55</v>
      </c>
      <c r="K1274" s="69" t="s">
        <v>988</v>
      </c>
      <c r="M1274" s="69" t="s">
        <v>6</v>
      </c>
    </row>
    <row r="1275" spans="2:13">
      <c r="B1275" s="69">
        <v>1273</v>
      </c>
      <c r="C1275" s="69">
        <v>121</v>
      </c>
      <c r="D1275" s="69">
        <v>19</v>
      </c>
      <c r="E1275" s="69">
        <v>14</v>
      </c>
      <c r="F1275" s="69">
        <v>0</v>
      </c>
      <c r="G1275" s="69" t="s">
        <v>917</v>
      </c>
      <c r="H1275" s="69" t="s">
        <v>918</v>
      </c>
      <c r="I1275" s="69" t="s">
        <v>977</v>
      </c>
      <c r="J1275" s="69" t="s">
        <v>479</v>
      </c>
      <c r="K1275" s="69" t="s">
        <v>970</v>
      </c>
      <c r="M1275" s="69" t="s">
        <v>6</v>
      </c>
    </row>
    <row r="1276" spans="2:13">
      <c r="B1276" s="69">
        <v>1274</v>
      </c>
      <c r="C1276" s="69">
        <v>121</v>
      </c>
      <c r="D1276" s="69">
        <v>19</v>
      </c>
      <c r="E1276" s="69">
        <v>15</v>
      </c>
      <c r="F1276" s="69">
        <v>0</v>
      </c>
      <c r="G1276" s="69" t="s">
        <v>917</v>
      </c>
      <c r="H1276" s="69" t="s">
        <v>918</v>
      </c>
      <c r="I1276" s="69" t="s">
        <v>977</v>
      </c>
      <c r="J1276" s="69" t="s">
        <v>55</v>
      </c>
      <c r="K1276" s="69" t="s">
        <v>989</v>
      </c>
      <c r="M1276" s="69" t="s">
        <v>6</v>
      </c>
    </row>
    <row r="1277" spans="2:13">
      <c r="B1277" s="69">
        <v>1275</v>
      </c>
      <c r="C1277" s="69">
        <v>121</v>
      </c>
      <c r="D1277" s="69">
        <v>19</v>
      </c>
      <c r="E1277" s="69">
        <v>16</v>
      </c>
      <c r="F1277" s="69">
        <v>0</v>
      </c>
      <c r="G1277" s="69" t="s">
        <v>917</v>
      </c>
      <c r="H1277" s="69" t="s">
        <v>918</v>
      </c>
      <c r="I1277" s="69" t="s">
        <v>977</v>
      </c>
      <c r="J1277" s="69" t="s">
        <v>990</v>
      </c>
      <c r="K1277" s="69" t="s">
        <v>991</v>
      </c>
      <c r="M1277" s="69" t="s">
        <v>6</v>
      </c>
    </row>
    <row r="1278" spans="2:13">
      <c r="B1278" s="69">
        <v>1276</v>
      </c>
      <c r="C1278" s="69">
        <v>121</v>
      </c>
      <c r="D1278" s="69">
        <v>19</v>
      </c>
      <c r="E1278" s="69">
        <v>17</v>
      </c>
      <c r="F1278" s="69">
        <v>0</v>
      </c>
      <c r="G1278" s="69" t="s">
        <v>917</v>
      </c>
      <c r="H1278" s="69" t="s">
        <v>918</v>
      </c>
      <c r="I1278" s="69" t="s">
        <v>977</v>
      </c>
      <c r="J1278" s="69" t="s">
        <v>951</v>
      </c>
      <c r="K1278" s="69" t="s">
        <v>992</v>
      </c>
      <c r="M1278" s="69" t="s">
        <v>6</v>
      </c>
    </row>
    <row r="1279" spans="2:13">
      <c r="B1279" s="69">
        <v>1277</v>
      </c>
      <c r="C1279" s="69">
        <v>121</v>
      </c>
      <c r="D1279" s="69">
        <v>19</v>
      </c>
      <c r="E1279" s="69">
        <v>18</v>
      </c>
      <c r="F1279" s="69">
        <v>0</v>
      </c>
      <c r="G1279" s="69" t="s">
        <v>917</v>
      </c>
      <c r="H1279" s="69" t="s">
        <v>918</v>
      </c>
      <c r="I1279" s="69" t="s">
        <v>977</v>
      </c>
      <c r="J1279" s="69" t="s">
        <v>214</v>
      </c>
      <c r="K1279" s="69" t="s">
        <v>993</v>
      </c>
      <c r="M1279" s="69" t="s">
        <v>6</v>
      </c>
    </row>
    <row r="1280" spans="2:13">
      <c r="B1280" s="69">
        <v>1278</v>
      </c>
      <c r="C1280" s="69">
        <v>121</v>
      </c>
      <c r="D1280" s="69">
        <v>19</v>
      </c>
      <c r="E1280" s="69">
        <v>19</v>
      </c>
      <c r="F1280" s="69">
        <v>0</v>
      </c>
      <c r="G1280" s="69" t="s">
        <v>917</v>
      </c>
      <c r="H1280" s="69" t="s">
        <v>918</v>
      </c>
      <c r="I1280" s="69" t="s">
        <v>977</v>
      </c>
      <c r="J1280" s="69" t="s">
        <v>994</v>
      </c>
      <c r="K1280" s="69" t="s">
        <v>422</v>
      </c>
      <c r="M1280" s="69" t="s">
        <v>6</v>
      </c>
    </row>
    <row r="1281" spans="2:13">
      <c r="B1281" s="69">
        <v>1279</v>
      </c>
      <c r="C1281" s="69">
        <v>122</v>
      </c>
      <c r="D1281" s="69">
        <v>32</v>
      </c>
      <c r="E1281" s="69">
        <v>0</v>
      </c>
      <c r="F1281" s="69">
        <v>0</v>
      </c>
      <c r="G1281" s="69" t="s">
        <v>917</v>
      </c>
      <c r="H1281" s="69" t="s">
        <v>918</v>
      </c>
      <c r="I1281" s="69" t="s">
        <v>995</v>
      </c>
      <c r="J1281" s="69" t="s">
        <v>478</v>
      </c>
      <c r="K1281" s="69" t="s">
        <v>995</v>
      </c>
      <c r="M1281" s="69" t="s">
        <v>6</v>
      </c>
    </row>
    <row r="1282" spans="2:13">
      <c r="B1282" s="69">
        <v>1280</v>
      </c>
      <c r="C1282" s="69">
        <v>122</v>
      </c>
      <c r="D1282" s="69">
        <v>32</v>
      </c>
      <c r="E1282" s="69">
        <v>1</v>
      </c>
      <c r="F1282" s="69">
        <v>0</v>
      </c>
      <c r="G1282" s="69" t="s">
        <v>917</v>
      </c>
      <c r="H1282" s="69" t="s">
        <v>918</v>
      </c>
      <c r="I1282" s="69" t="s">
        <v>995</v>
      </c>
      <c r="J1282" s="69" t="s">
        <v>479</v>
      </c>
      <c r="K1282" s="69" t="s">
        <v>920</v>
      </c>
      <c r="M1282" s="69" t="s">
        <v>6</v>
      </c>
    </row>
    <row r="1283" spans="2:13">
      <c r="B1283" s="69">
        <v>1281</v>
      </c>
      <c r="C1283" s="69">
        <v>122</v>
      </c>
      <c r="D1283" s="69">
        <v>32</v>
      </c>
      <c r="E1283" s="69">
        <v>2</v>
      </c>
      <c r="F1283" s="69">
        <v>0</v>
      </c>
      <c r="G1283" s="69" t="s">
        <v>917</v>
      </c>
      <c r="H1283" s="69" t="s">
        <v>918</v>
      </c>
      <c r="I1283" s="69" t="s">
        <v>995</v>
      </c>
      <c r="J1283" s="69" t="s">
        <v>55</v>
      </c>
      <c r="K1283" s="69" t="s">
        <v>996</v>
      </c>
      <c r="M1283" s="69" t="s">
        <v>6</v>
      </c>
    </row>
    <row r="1284" spans="2:13">
      <c r="B1284" s="69">
        <v>1282</v>
      </c>
      <c r="C1284" s="69">
        <v>122</v>
      </c>
      <c r="D1284" s="69">
        <v>32</v>
      </c>
      <c r="E1284" s="69">
        <v>3</v>
      </c>
      <c r="F1284" s="69">
        <v>0</v>
      </c>
      <c r="G1284" s="69" t="s">
        <v>917</v>
      </c>
      <c r="H1284" s="69" t="s">
        <v>918</v>
      </c>
      <c r="I1284" s="69" t="s">
        <v>995</v>
      </c>
      <c r="J1284" s="69" t="s">
        <v>214</v>
      </c>
      <c r="K1284" s="69" t="s">
        <v>997</v>
      </c>
      <c r="M1284" s="69" t="s">
        <v>6</v>
      </c>
    </row>
    <row r="1285" spans="2:13">
      <c r="B1285" s="69">
        <v>1283</v>
      </c>
      <c r="C1285" s="69">
        <v>122</v>
      </c>
      <c r="D1285" s="69">
        <v>32</v>
      </c>
      <c r="E1285" s="69">
        <v>4</v>
      </c>
      <c r="F1285" s="69">
        <v>0</v>
      </c>
      <c r="G1285" s="69" t="s">
        <v>917</v>
      </c>
      <c r="H1285" s="69" t="s">
        <v>918</v>
      </c>
      <c r="I1285" s="69" t="s">
        <v>995</v>
      </c>
      <c r="J1285" s="69" t="s">
        <v>214</v>
      </c>
      <c r="K1285" s="69" t="s">
        <v>998</v>
      </c>
      <c r="M1285" s="69" t="s">
        <v>6</v>
      </c>
    </row>
    <row r="1286" spans="2:13">
      <c r="B1286" s="69">
        <v>1284</v>
      </c>
      <c r="C1286" s="69">
        <v>122</v>
      </c>
      <c r="D1286" s="69">
        <v>32</v>
      </c>
      <c r="E1286" s="69">
        <v>5</v>
      </c>
      <c r="F1286" s="69">
        <v>0</v>
      </c>
      <c r="G1286" s="69" t="s">
        <v>917</v>
      </c>
      <c r="H1286" s="69" t="s">
        <v>918</v>
      </c>
      <c r="I1286" s="69" t="s">
        <v>995</v>
      </c>
      <c r="J1286" s="69" t="s">
        <v>214</v>
      </c>
      <c r="K1286" s="69" t="s">
        <v>571</v>
      </c>
      <c r="M1286" s="69" t="s">
        <v>6</v>
      </c>
    </row>
    <row r="1287" spans="2:13">
      <c r="B1287" s="69">
        <v>1285</v>
      </c>
      <c r="C1287" s="69">
        <v>122</v>
      </c>
      <c r="D1287" s="69">
        <v>32</v>
      </c>
      <c r="E1287" s="69">
        <v>6</v>
      </c>
      <c r="F1287" s="69">
        <v>0</v>
      </c>
      <c r="G1287" s="69" t="s">
        <v>917</v>
      </c>
      <c r="H1287" s="69" t="s">
        <v>918</v>
      </c>
      <c r="I1287" s="69" t="s">
        <v>995</v>
      </c>
      <c r="J1287" s="69" t="s">
        <v>214</v>
      </c>
      <c r="K1287" s="69" t="s">
        <v>999</v>
      </c>
      <c r="M1287" s="69" t="s">
        <v>6</v>
      </c>
    </row>
    <row r="1288" spans="2:13">
      <c r="B1288" s="69">
        <v>1286</v>
      </c>
      <c r="C1288" s="69">
        <v>122</v>
      </c>
      <c r="D1288" s="69">
        <v>32</v>
      </c>
      <c r="E1288" s="69">
        <v>7</v>
      </c>
      <c r="F1288" s="69">
        <v>0</v>
      </c>
      <c r="G1288" s="69" t="s">
        <v>917</v>
      </c>
      <c r="H1288" s="69" t="s">
        <v>918</v>
      </c>
      <c r="I1288" s="69" t="s">
        <v>995</v>
      </c>
      <c r="J1288" s="69" t="s">
        <v>214</v>
      </c>
      <c r="K1288" s="69" t="s">
        <v>1000</v>
      </c>
      <c r="M1288" s="69" t="s">
        <v>6</v>
      </c>
    </row>
    <row r="1289" spans="2:13">
      <c r="B1289" s="69">
        <v>1287</v>
      </c>
      <c r="C1289" s="69">
        <v>122</v>
      </c>
      <c r="D1289" s="69">
        <v>32</v>
      </c>
      <c r="E1289" s="69">
        <v>8</v>
      </c>
      <c r="F1289" s="69">
        <v>0</v>
      </c>
      <c r="G1289" s="69" t="s">
        <v>917</v>
      </c>
      <c r="H1289" s="69" t="s">
        <v>918</v>
      </c>
      <c r="I1289" s="69" t="s">
        <v>995</v>
      </c>
      <c r="J1289" s="69" t="s">
        <v>214</v>
      </c>
      <c r="K1289" s="69" t="s">
        <v>1001</v>
      </c>
      <c r="M1289" s="69" t="s">
        <v>6</v>
      </c>
    </row>
    <row r="1290" spans="2:13">
      <c r="B1290" s="69">
        <v>1288</v>
      </c>
      <c r="C1290" s="69">
        <v>122</v>
      </c>
      <c r="D1290" s="69">
        <v>32</v>
      </c>
      <c r="E1290" s="69">
        <v>9</v>
      </c>
      <c r="F1290" s="69">
        <v>0</v>
      </c>
      <c r="G1290" s="69" t="s">
        <v>917</v>
      </c>
      <c r="H1290" s="69" t="s">
        <v>918</v>
      </c>
      <c r="I1290" s="69" t="s">
        <v>995</v>
      </c>
      <c r="J1290" s="69" t="s">
        <v>214</v>
      </c>
      <c r="K1290" s="69" t="s">
        <v>1002</v>
      </c>
      <c r="M1290" s="69" t="s">
        <v>6</v>
      </c>
    </row>
    <row r="1291" spans="2:13">
      <c r="B1291" s="69">
        <v>1289</v>
      </c>
      <c r="C1291" s="69">
        <v>122</v>
      </c>
      <c r="D1291" s="69">
        <v>32</v>
      </c>
      <c r="E1291" s="69">
        <v>10</v>
      </c>
      <c r="F1291" s="69">
        <v>0</v>
      </c>
      <c r="G1291" s="69" t="s">
        <v>917</v>
      </c>
      <c r="H1291" s="69" t="s">
        <v>918</v>
      </c>
      <c r="I1291" s="69" t="s">
        <v>995</v>
      </c>
      <c r="J1291" s="69" t="s">
        <v>214</v>
      </c>
      <c r="K1291" s="69" t="s">
        <v>1003</v>
      </c>
      <c r="M1291" s="69" t="s">
        <v>6</v>
      </c>
    </row>
    <row r="1292" spans="2:13">
      <c r="B1292" s="69">
        <v>1290</v>
      </c>
      <c r="C1292" s="69">
        <v>122</v>
      </c>
      <c r="D1292" s="69">
        <v>32</v>
      </c>
      <c r="E1292" s="69">
        <v>11</v>
      </c>
      <c r="F1292" s="69">
        <v>0</v>
      </c>
      <c r="G1292" s="69" t="s">
        <v>917</v>
      </c>
      <c r="H1292" s="69" t="s">
        <v>918</v>
      </c>
      <c r="I1292" s="69" t="s">
        <v>995</v>
      </c>
      <c r="J1292" s="69" t="s">
        <v>55</v>
      </c>
      <c r="K1292" s="69" t="s">
        <v>1004</v>
      </c>
      <c r="M1292" s="69" t="s">
        <v>6</v>
      </c>
    </row>
    <row r="1293" spans="2:13">
      <c r="B1293" s="69">
        <v>1291</v>
      </c>
      <c r="C1293" s="69">
        <v>122</v>
      </c>
      <c r="D1293" s="69">
        <v>32</v>
      </c>
      <c r="E1293" s="69">
        <v>12</v>
      </c>
      <c r="F1293" s="69">
        <v>0</v>
      </c>
      <c r="G1293" s="69" t="s">
        <v>917</v>
      </c>
      <c r="H1293" s="69" t="s">
        <v>918</v>
      </c>
      <c r="I1293" s="69" t="s">
        <v>995</v>
      </c>
      <c r="J1293" s="69" t="s">
        <v>479</v>
      </c>
      <c r="K1293" s="69" t="s">
        <v>1005</v>
      </c>
      <c r="M1293" s="69" t="s">
        <v>6</v>
      </c>
    </row>
    <row r="1294" spans="2:13">
      <c r="B1294" s="69">
        <v>1292</v>
      </c>
      <c r="C1294" s="69">
        <v>122</v>
      </c>
      <c r="D1294" s="69">
        <v>32</v>
      </c>
      <c r="E1294" s="69">
        <v>13</v>
      </c>
      <c r="F1294" s="69">
        <v>0</v>
      </c>
      <c r="G1294" s="69" t="s">
        <v>917</v>
      </c>
      <c r="H1294" s="69" t="s">
        <v>918</v>
      </c>
      <c r="I1294" s="69" t="s">
        <v>995</v>
      </c>
      <c r="J1294" s="69" t="s">
        <v>55</v>
      </c>
      <c r="K1294" s="69" t="s">
        <v>1006</v>
      </c>
      <c r="M1294" s="69" t="s">
        <v>6</v>
      </c>
    </row>
    <row r="1295" spans="2:13">
      <c r="B1295" s="69">
        <v>1293</v>
      </c>
      <c r="C1295" s="69">
        <v>122</v>
      </c>
      <c r="D1295" s="69">
        <v>32</v>
      </c>
      <c r="E1295" s="69">
        <v>14</v>
      </c>
      <c r="F1295" s="69">
        <v>0</v>
      </c>
      <c r="G1295" s="69" t="s">
        <v>917</v>
      </c>
      <c r="H1295" s="69" t="s">
        <v>918</v>
      </c>
      <c r="I1295" s="69" t="s">
        <v>995</v>
      </c>
      <c r="J1295" s="69" t="s">
        <v>951</v>
      </c>
      <c r="K1295" s="69" t="s">
        <v>1007</v>
      </c>
      <c r="M1295" s="69" t="s">
        <v>6</v>
      </c>
    </row>
    <row r="1296" spans="2:13">
      <c r="B1296" s="69">
        <v>1294</v>
      </c>
      <c r="C1296" s="69">
        <v>122</v>
      </c>
      <c r="D1296" s="69">
        <v>32</v>
      </c>
      <c r="E1296" s="69">
        <v>15</v>
      </c>
      <c r="F1296" s="69">
        <v>0</v>
      </c>
      <c r="G1296" s="69" t="s">
        <v>917</v>
      </c>
      <c r="H1296" s="69" t="s">
        <v>918</v>
      </c>
      <c r="I1296" s="69" t="s">
        <v>995</v>
      </c>
      <c r="J1296" s="69" t="s">
        <v>951</v>
      </c>
      <c r="K1296" s="69" t="s">
        <v>1008</v>
      </c>
      <c r="M1296" s="69" t="s">
        <v>6</v>
      </c>
    </row>
    <row r="1297" spans="2:13">
      <c r="B1297" s="69">
        <v>1295</v>
      </c>
      <c r="C1297" s="69">
        <v>122</v>
      </c>
      <c r="D1297" s="69">
        <v>32</v>
      </c>
      <c r="E1297" s="69">
        <v>16</v>
      </c>
      <c r="F1297" s="69">
        <v>0</v>
      </c>
      <c r="G1297" s="69" t="s">
        <v>917</v>
      </c>
      <c r="H1297" s="69" t="s">
        <v>918</v>
      </c>
      <c r="I1297" s="69" t="s">
        <v>995</v>
      </c>
      <c r="J1297" s="69" t="s">
        <v>951</v>
      </c>
      <c r="K1297" s="69" t="s">
        <v>1009</v>
      </c>
      <c r="M1297" s="69" t="s">
        <v>6</v>
      </c>
    </row>
    <row r="1298" spans="2:13">
      <c r="B1298" s="69">
        <v>1296</v>
      </c>
      <c r="C1298" s="69">
        <v>122</v>
      </c>
      <c r="D1298" s="69">
        <v>32</v>
      </c>
      <c r="E1298" s="69">
        <v>17</v>
      </c>
      <c r="F1298" s="69">
        <v>0</v>
      </c>
      <c r="G1298" s="69" t="s">
        <v>917</v>
      </c>
      <c r="H1298" s="69" t="s">
        <v>918</v>
      </c>
      <c r="I1298" s="69" t="s">
        <v>995</v>
      </c>
      <c r="J1298" s="69" t="s">
        <v>214</v>
      </c>
      <c r="K1298" s="69" t="s">
        <v>1010</v>
      </c>
      <c r="M1298" s="69" t="s">
        <v>6</v>
      </c>
    </row>
    <row r="1299" spans="2:13">
      <c r="B1299" s="69">
        <v>1297</v>
      </c>
      <c r="C1299" s="69">
        <v>122</v>
      </c>
      <c r="D1299" s="69">
        <v>32</v>
      </c>
      <c r="E1299" s="69">
        <v>18</v>
      </c>
      <c r="F1299" s="69">
        <v>0</v>
      </c>
      <c r="G1299" s="69" t="s">
        <v>917</v>
      </c>
      <c r="H1299" s="69" t="s">
        <v>918</v>
      </c>
      <c r="I1299" s="69" t="s">
        <v>995</v>
      </c>
      <c r="J1299" s="69" t="s">
        <v>214</v>
      </c>
      <c r="K1299" s="69" t="s">
        <v>1011</v>
      </c>
      <c r="M1299" s="69" t="s">
        <v>6</v>
      </c>
    </row>
    <row r="1300" spans="2:13">
      <c r="B1300" s="69">
        <v>1298</v>
      </c>
      <c r="C1300" s="69">
        <v>122</v>
      </c>
      <c r="D1300" s="69">
        <v>32</v>
      </c>
      <c r="E1300" s="69">
        <v>19</v>
      </c>
      <c r="F1300" s="69">
        <v>0</v>
      </c>
      <c r="G1300" s="69" t="s">
        <v>917</v>
      </c>
      <c r="H1300" s="69" t="s">
        <v>918</v>
      </c>
      <c r="I1300" s="69" t="s">
        <v>995</v>
      </c>
      <c r="J1300" s="69" t="s">
        <v>214</v>
      </c>
      <c r="K1300" s="69" t="s">
        <v>1012</v>
      </c>
      <c r="M1300" s="69" t="s">
        <v>6</v>
      </c>
    </row>
    <row r="1301" spans="2:13">
      <c r="B1301" s="69">
        <v>1299</v>
      </c>
      <c r="C1301" s="69">
        <v>122</v>
      </c>
      <c r="D1301" s="69">
        <v>32</v>
      </c>
      <c r="E1301" s="69">
        <v>20</v>
      </c>
      <c r="F1301" s="69">
        <v>0</v>
      </c>
      <c r="G1301" s="69" t="s">
        <v>917</v>
      </c>
      <c r="H1301" s="69" t="s">
        <v>918</v>
      </c>
      <c r="I1301" s="69" t="s">
        <v>995</v>
      </c>
      <c r="J1301" s="69" t="s">
        <v>479</v>
      </c>
      <c r="K1301" s="69" t="s">
        <v>1013</v>
      </c>
      <c r="M1301" s="69" t="s">
        <v>6</v>
      </c>
    </row>
    <row r="1302" spans="2:13">
      <c r="B1302" s="69">
        <v>1300</v>
      </c>
      <c r="C1302" s="69">
        <v>122</v>
      </c>
      <c r="D1302" s="69">
        <v>32</v>
      </c>
      <c r="E1302" s="69">
        <v>21</v>
      </c>
      <c r="F1302" s="69">
        <v>0</v>
      </c>
      <c r="G1302" s="69" t="s">
        <v>917</v>
      </c>
      <c r="H1302" s="69" t="s">
        <v>918</v>
      </c>
      <c r="I1302" s="69" t="s">
        <v>995</v>
      </c>
      <c r="J1302" s="69" t="s">
        <v>55</v>
      </c>
      <c r="K1302" s="69" t="s">
        <v>921</v>
      </c>
      <c r="M1302" s="69" t="s">
        <v>6</v>
      </c>
    </row>
    <row r="1303" spans="2:13">
      <c r="B1303" s="69">
        <v>1301</v>
      </c>
      <c r="C1303" s="69">
        <v>122</v>
      </c>
      <c r="D1303" s="69">
        <v>32</v>
      </c>
      <c r="E1303" s="69">
        <v>22</v>
      </c>
      <c r="F1303" s="69">
        <v>0</v>
      </c>
      <c r="G1303" s="69" t="s">
        <v>917</v>
      </c>
      <c r="H1303" s="69" t="s">
        <v>918</v>
      </c>
      <c r="I1303" s="69" t="s">
        <v>995</v>
      </c>
      <c r="J1303" s="69" t="s">
        <v>214</v>
      </c>
      <c r="K1303" s="69" t="s">
        <v>1014</v>
      </c>
      <c r="M1303" s="69" t="s">
        <v>6</v>
      </c>
    </row>
    <row r="1304" spans="2:13">
      <c r="B1304" s="69">
        <v>1302</v>
      </c>
      <c r="C1304" s="69">
        <v>122</v>
      </c>
      <c r="D1304" s="69">
        <v>32</v>
      </c>
      <c r="E1304" s="69">
        <v>23</v>
      </c>
      <c r="F1304" s="69">
        <v>0</v>
      </c>
      <c r="G1304" s="69" t="s">
        <v>917</v>
      </c>
      <c r="H1304" s="69" t="s">
        <v>918</v>
      </c>
      <c r="I1304" s="69" t="s">
        <v>995</v>
      </c>
      <c r="J1304" s="69" t="s">
        <v>437</v>
      </c>
      <c r="K1304" s="69" t="s">
        <v>1015</v>
      </c>
      <c r="L1304" s="69" t="s">
        <v>1016</v>
      </c>
      <c r="M1304" s="69" t="s">
        <v>6</v>
      </c>
    </row>
    <row r="1305" spans="2:13">
      <c r="B1305" s="69">
        <v>1303</v>
      </c>
      <c r="C1305" s="69">
        <v>122</v>
      </c>
      <c r="D1305" s="69">
        <v>32</v>
      </c>
      <c r="E1305" s="69">
        <v>24</v>
      </c>
      <c r="F1305" s="69">
        <v>0</v>
      </c>
      <c r="G1305" s="69" t="s">
        <v>917</v>
      </c>
      <c r="H1305" s="69" t="s">
        <v>918</v>
      </c>
      <c r="I1305" s="69" t="s">
        <v>995</v>
      </c>
      <c r="J1305" s="69" t="s">
        <v>214</v>
      </c>
      <c r="K1305" s="69" t="s">
        <v>1017</v>
      </c>
      <c r="M1305" s="69" t="s">
        <v>6</v>
      </c>
    </row>
    <row r="1306" spans="2:13">
      <c r="B1306" s="69">
        <v>1304</v>
      </c>
      <c r="C1306" s="69">
        <v>122</v>
      </c>
      <c r="D1306" s="69">
        <v>32</v>
      </c>
      <c r="E1306" s="69">
        <v>25</v>
      </c>
      <c r="F1306" s="69">
        <v>0</v>
      </c>
      <c r="G1306" s="69" t="s">
        <v>917</v>
      </c>
      <c r="H1306" s="69" t="s">
        <v>918</v>
      </c>
      <c r="I1306" s="69" t="s">
        <v>995</v>
      </c>
      <c r="J1306" s="69" t="s">
        <v>214</v>
      </c>
      <c r="K1306" s="69" t="s">
        <v>1018</v>
      </c>
      <c r="M1306" s="69" t="s">
        <v>6</v>
      </c>
    </row>
    <row r="1307" spans="2:13">
      <c r="B1307" s="69">
        <v>1305</v>
      </c>
      <c r="C1307" s="69">
        <v>122</v>
      </c>
      <c r="D1307" s="69">
        <v>32</v>
      </c>
      <c r="E1307" s="69">
        <v>26</v>
      </c>
      <c r="F1307" s="69">
        <v>0</v>
      </c>
      <c r="G1307" s="69" t="s">
        <v>917</v>
      </c>
      <c r="H1307" s="69" t="s">
        <v>918</v>
      </c>
      <c r="I1307" s="69" t="s">
        <v>995</v>
      </c>
      <c r="J1307" s="69" t="s">
        <v>55</v>
      </c>
      <c r="K1307" s="69" t="s">
        <v>1019</v>
      </c>
      <c r="M1307" s="69" t="s">
        <v>6</v>
      </c>
    </row>
    <row r="1308" spans="2:13">
      <c r="B1308" s="69">
        <v>1306</v>
      </c>
      <c r="C1308" s="69">
        <v>122</v>
      </c>
      <c r="D1308" s="69">
        <v>32</v>
      </c>
      <c r="E1308" s="69">
        <v>27</v>
      </c>
      <c r="F1308" s="69">
        <v>0</v>
      </c>
      <c r="G1308" s="69" t="s">
        <v>917</v>
      </c>
      <c r="H1308" s="69" t="s">
        <v>918</v>
      </c>
      <c r="I1308" s="69" t="s">
        <v>995</v>
      </c>
      <c r="J1308" s="69" t="s">
        <v>55</v>
      </c>
      <c r="K1308" s="69" t="s">
        <v>1020</v>
      </c>
      <c r="M1308" s="69" t="s">
        <v>6</v>
      </c>
    </row>
    <row r="1309" spans="2:13">
      <c r="B1309" s="69">
        <v>1307</v>
      </c>
      <c r="C1309" s="69">
        <v>122</v>
      </c>
      <c r="D1309" s="69">
        <v>32</v>
      </c>
      <c r="E1309" s="69">
        <v>28</v>
      </c>
      <c r="F1309" s="69">
        <v>0</v>
      </c>
      <c r="G1309" s="69" t="s">
        <v>917</v>
      </c>
      <c r="H1309" s="69" t="s">
        <v>918</v>
      </c>
      <c r="I1309" s="69" t="s">
        <v>995</v>
      </c>
      <c r="J1309" s="69" t="s">
        <v>420</v>
      </c>
      <c r="K1309" s="69" t="s">
        <v>1021</v>
      </c>
      <c r="M1309" s="69" t="s">
        <v>6</v>
      </c>
    </row>
    <row r="1310" spans="2:13">
      <c r="B1310" s="69">
        <v>1308</v>
      </c>
      <c r="C1310" s="69">
        <v>122</v>
      </c>
      <c r="D1310" s="69">
        <v>32</v>
      </c>
      <c r="E1310" s="69">
        <v>29</v>
      </c>
      <c r="F1310" s="69">
        <v>0</v>
      </c>
      <c r="G1310" s="69" t="s">
        <v>917</v>
      </c>
      <c r="H1310" s="69" t="s">
        <v>918</v>
      </c>
      <c r="I1310" s="69" t="s">
        <v>995</v>
      </c>
      <c r="J1310" s="69" t="s">
        <v>420</v>
      </c>
      <c r="K1310" s="69" t="s">
        <v>1022</v>
      </c>
      <c r="M1310" s="69" t="s">
        <v>6</v>
      </c>
    </row>
    <row r="1311" spans="2:13">
      <c r="B1311" s="69">
        <v>1309</v>
      </c>
      <c r="C1311" s="69">
        <v>122</v>
      </c>
      <c r="D1311" s="69">
        <v>32</v>
      </c>
      <c r="E1311" s="69">
        <v>30</v>
      </c>
      <c r="F1311" s="69">
        <v>0</v>
      </c>
      <c r="G1311" s="69" t="s">
        <v>917</v>
      </c>
      <c r="H1311" s="69" t="s">
        <v>918</v>
      </c>
      <c r="I1311" s="69" t="s">
        <v>995</v>
      </c>
      <c r="J1311" s="69" t="s">
        <v>214</v>
      </c>
      <c r="K1311" s="69" t="s">
        <v>1023</v>
      </c>
      <c r="M1311" s="69" t="s">
        <v>6</v>
      </c>
    </row>
    <row r="1312" spans="2:13">
      <c r="B1312" s="69">
        <v>1310</v>
      </c>
      <c r="C1312" s="69">
        <v>122</v>
      </c>
      <c r="D1312" s="69">
        <v>32</v>
      </c>
      <c r="E1312" s="69">
        <v>31</v>
      </c>
      <c r="F1312" s="69">
        <v>0</v>
      </c>
      <c r="G1312" s="69" t="s">
        <v>917</v>
      </c>
      <c r="H1312" s="69" t="s">
        <v>918</v>
      </c>
      <c r="I1312" s="69" t="s">
        <v>995</v>
      </c>
      <c r="J1312" s="69" t="s">
        <v>214</v>
      </c>
      <c r="K1312" s="69" t="s">
        <v>1024</v>
      </c>
      <c r="M1312" s="69" t="s">
        <v>6</v>
      </c>
    </row>
    <row r="1313" spans="2:13">
      <c r="B1313" s="69">
        <v>1311</v>
      </c>
      <c r="C1313" s="69">
        <v>122</v>
      </c>
      <c r="D1313" s="69">
        <v>32</v>
      </c>
      <c r="E1313" s="69">
        <v>32</v>
      </c>
      <c r="F1313" s="69">
        <v>0</v>
      </c>
      <c r="G1313" s="69" t="s">
        <v>917</v>
      </c>
      <c r="H1313" s="69" t="s">
        <v>918</v>
      </c>
      <c r="I1313" s="69" t="s">
        <v>995</v>
      </c>
      <c r="J1313" s="69" t="s">
        <v>64</v>
      </c>
      <c r="K1313" s="69" t="s">
        <v>972</v>
      </c>
      <c r="M1313" s="69" t="s">
        <v>6</v>
      </c>
    </row>
    <row r="1314" spans="2:13">
      <c r="B1314" s="69">
        <v>1312</v>
      </c>
      <c r="C1314" s="69">
        <v>123</v>
      </c>
      <c r="D1314" s="69">
        <v>5</v>
      </c>
      <c r="E1314" s="69">
        <v>0</v>
      </c>
      <c r="F1314" s="69">
        <v>0</v>
      </c>
      <c r="G1314" s="69" t="s">
        <v>917</v>
      </c>
      <c r="H1314" s="69" t="s">
        <v>918</v>
      </c>
      <c r="I1314" s="69" t="s">
        <v>1025</v>
      </c>
      <c r="J1314" s="69" t="s">
        <v>54</v>
      </c>
      <c r="K1314" s="69" t="s">
        <v>1025</v>
      </c>
      <c r="M1314" s="69" t="s">
        <v>6</v>
      </c>
    </row>
    <row r="1315" spans="2:13">
      <c r="B1315" s="69">
        <v>1313</v>
      </c>
      <c r="C1315" s="69">
        <v>123</v>
      </c>
      <c r="D1315" s="69">
        <v>5</v>
      </c>
      <c r="E1315" s="69">
        <v>1</v>
      </c>
      <c r="F1315" s="69">
        <v>0</v>
      </c>
      <c r="G1315" s="69" t="s">
        <v>917</v>
      </c>
      <c r="H1315" s="69" t="s">
        <v>918</v>
      </c>
      <c r="I1315" s="69" t="s">
        <v>1025</v>
      </c>
      <c r="J1315" s="69" t="s">
        <v>55</v>
      </c>
      <c r="K1315" s="69" t="s">
        <v>1026</v>
      </c>
      <c r="M1315" s="69" t="s">
        <v>6</v>
      </c>
    </row>
    <row r="1316" spans="2:13">
      <c r="B1316" s="69">
        <v>1314</v>
      </c>
      <c r="C1316" s="69">
        <v>123</v>
      </c>
      <c r="D1316" s="69">
        <v>5</v>
      </c>
      <c r="E1316" s="69">
        <v>2</v>
      </c>
      <c r="F1316" s="69">
        <v>0</v>
      </c>
      <c r="G1316" s="69" t="s">
        <v>917</v>
      </c>
      <c r="H1316" s="69" t="s">
        <v>918</v>
      </c>
      <c r="I1316" s="69" t="s">
        <v>1025</v>
      </c>
      <c r="J1316" s="69" t="s">
        <v>214</v>
      </c>
      <c r="K1316" s="69" t="s">
        <v>936</v>
      </c>
      <c r="M1316" s="69" t="s">
        <v>6</v>
      </c>
    </row>
    <row r="1317" spans="2:13">
      <c r="B1317" s="69">
        <v>1315</v>
      </c>
      <c r="C1317" s="69">
        <v>123</v>
      </c>
      <c r="D1317" s="69">
        <v>5</v>
      </c>
      <c r="E1317" s="69">
        <v>3</v>
      </c>
      <c r="F1317" s="69">
        <v>0</v>
      </c>
      <c r="G1317" s="69" t="s">
        <v>917</v>
      </c>
      <c r="H1317" s="69" t="s">
        <v>918</v>
      </c>
      <c r="I1317" s="69" t="s">
        <v>1025</v>
      </c>
      <c r="J1317" s="69" t="s">
        <v>214</v>
      </c>
      <c r="K1317" s="69" t="s">
        <v>975</v>
      </c>
      <c r="M1317" s="69" t="s">
        <v>6</v>
      </c>
    </row>
    <row r="1318" spans="2:13">
      <c r="B1318" s="69">
        <v>1316</v>
      </c>
      <c r="C1318" s="69">
        <v>123</v>
      </c>
      <c r="D1318" s="69">
        <v>5</v>
      </c>
      <c r="E1318" s="69">
        <v>4</v>
      </c>
      <c r="F1318" s="69">
        <v>0</v>
      </c>
      <c r="G1318" s="69" t="s">
        <v>917</v>
      </c>
      <c r="H1318" s="69" t="s">
        <v>918</v>
      </c>
      <c r="I1318" s="69" t="s">
        <v>1025</v>
      </c>
      <c r="J1318" s="69" t="s">
        <v>214</v>
      </c>
      <c r="K1318" s="69" t="s">
        <v>938</v>
      </c>
      <c r="M1318" s="69" t="s">
        <v>6</v>
      </c>
    </row>
    <row r="1319" spans="2:13">
      <c r="B1319" s="69">
        <v>1317</v>
      </c>
      <c r="C1319" s="69">
        <v>123</v>
      </c>
      <c r="D1319" s="69">
        <v>5</v>
      </c>
      <c r="E1319" s="69">
        <v>5</v>
      </c>
      <c r="F1319" s="69">
        <v>0</v>
      </c>
      <c r="G1319" s="69" t="s">
        <v>917</v>
      </c>
      <c r="H1319" s="69" t="s">
        <v>918</v>
      </c>
      <c r="I1319" s="69" t="s">
        <v>1025</v>
      </c>
      <c r="J1319" s="69" t="s">
        <v>64</v>
      </c>
      <c r="K1319" s="69" t="s">
        <v>1027</v>
      </c>
      <c r="M1319" s="69" t="s">
        <v>6</v>
      </c>
    </row>
    <row r="1320" spans="2:13">
      <c r="B1320" s="69">
        <v>1318</v>
      </c>
      <c r="C1320" s="69">
        <v>124</v>
      </c>
      <c r="D1320" s="69">
        <v>1</v>
      </c>
      <c r="E1320" s="69">
        <v>0</v>
      </c>
      <c r="F1320" s="69">
        <v>0</v>
      </c>
      <c r="G1320" s="69" t="s">
        <v>917</v>
      </c>
      <c r="H1320" s="69" t="s">
        <v>918</v>
      </c>
      <c r="I1320" s="69" t="s">
        <v>1028</v>
      </c>
      <c r="J1320" s="69" t="s">
        <v>54</v>
      </c>
      <c r="K1320" s="69" t="s">
        <v>1028</v>
      </c>
      <c r="M1320" s="69" t="s">
        <v>6</v>
      </c>
    </row>
    <row r="1321" spans="2:13">
      <c r="B1321" s="69">
        <v>1319</v>
      </c>
      <c r="C1321" s="69">
        <v>124</v>
      </c>
      <c r="D1321" s="69">
        <v>1</v>
      </c>
      <c r="E1321" s="69">
        <v>1</v>
      </c>
      <c r="F1321" s="69">
        <v>0</v>
      </c>
      <c r="G1321" s="69" t="s">
        <v>917</v>
      </c>
      <c r="H1321" s="69" t="s">
        <v>918</v>
      </c>
      <c r="I1321" s="69" t="s">
        <v>1028</v>
      </c>
      <c r="J1321" s="69" t="s">
        <v>55</v>
      </c>
      <c r="K1321" s="69" t="s">
        <v>1029</v>
      </c>
      <c r="M1321" s="69" t="s">
        <v>6</v>
      </c>
    </row>
    <row r="1322" spans="2:13">
      <c r="B1322" s="69">
        <v>1320</v>
      </c>
      <c r="C1322" s="69">
        <v>125</v>
      </c>
      <c r="D1322" s="69">
        <v>5</v>
      </c>
      <c r="E1322" s="69">
        <v>0</v>
      </c>
      <c r="F1322" s="69">
        <v>0</v>
      </c>
      <c r="G1322" s="69" t="s">
        <v>917</v>
      </c>
      <c r="H1322" s="69" t="s">
        <v>918</v>
      </c>
      <c r="I1322" s="69" t="s">
        <v>1030</v>
      </c>
      <c r="J1322" s="69" t="s">
        <v>54</v>
      </c>
      <c r="K1322" s="69" t="s">
        <v>1030</v>
      </c>
      <c r="M1322" s="69" t="s">
        <v>6</v>
      </c>
    </row>
    <row r="1323" spans="2:13">
      <c r="B1323" s="69">
        <v>1321</v>
      </c>
      <c r="C1323" s="69">
        <v>125</v>
      </c>
      <c r="D1323" s="69">
        <v>5</v>
      </c>
      <c r="E1323" s="69">
        <v>1</v>
      </c>
      <c r="F1323" s="69">
        <v>0</v>
      </c>
      <c r="G1323" s="69" t="s">
        <v>917</v>
      </c>
      <c r="H1323" s="69" t="s">
        <v>918</v>
      </c>
      <c r="I1323" s="69" t="s">
        <v>1030</v>
      </c>
      <c r="J1323" s="69" t="s">
        <v>55</v>
      </c>
      <c r="K1323" s="69" t="s">
        <v>1031</v>
      </c>
      <c r="M1323" s="69" t="s">
        <v>6</v>
      </c>
    </row>
    <row r="1324" spans="2:13">
      <c r="B1324" s="69">
        <v>1322</v>
      </c>
      <c r="C1324" s="69">
        <v>125</v>
      </c>
      <c r="D1324" s="69">
        <v>5</v>
      </c>
      <c r="E1324" s="69">
        <v>2</v>
      </c>
      <c r="F1324" s="69">
        <v>0</v>
      </c>
      <c r="G1324" s="69" t="s">
        <v>917</v>
      </c>
      <c r="H1324" s="69" t="s">
        <v>918</v>
      </c>
      <c r="I1324" s="69" t="s">
        <v>1030</v>
      </c>
      <c r="J1324" s="69" t="s">
        <v>214</v>
      </c>
      <c r="K1324" s="69" t="s">
        <v>936</v>
      </c>
      <c r="M1324" s="69" t="s">
        <v>6</v>
      </c>
    </row>
    <row r="1325" spans="2:13">
      <c r="B1325" s="69">
        <v>1323</v>
      </c>
      <c r="C1325" s="69">
        <v>125</v>
      </c>
      <c r="D1325" s="69">
        <v>5</v>
      </c>
      <c r="E1325" s="69">
        <v>3</v>
      </c>
      <c r="F1325" s="69">
        <v>0</v>
      </c>
      <c r="G1325" s="69" t="s">
        <v>917</v>
      </c>
      <c r="H1325" s="69" t="s">
        <v>918</v>
      </c>
      <c r="I1325" s="69" t="s">
        <v>1030</v>
      </c>
      <c r="J1325" s="69" t="s">
        <v>214</v>
      </c>
      <c r="K1325" s="69" t="s">
        <v>975</v>
      </c>
      <c r="M1325" s="69" t="s">
        <v>6</v>
      </c>
    </row>
    <row r="1326" spans="2:13">
      <c r="B1326" s="69">
        <v>1324</v>
      </c>
      <c r="C1326" s="69">
        <v>125</v>
      </c>
      <c r="D1326" s="69">
        <v>5</v>
      </c>
      <c r="E1326" s="69">
        <v>4</v>
      </c>
      <c r="F1326" s="69">
        <v>0</v>
      </c>
      <c r="G1326" s="69" t="s">
        <v>917</v>
      </c>
      <c r="H1326" s="69" t="s">
        <v>918</v>
      </c>
      <c r="I1326" s="69" t="s">
        <v>1030</v>
      </c>
      <c r="J1326" s="69" t="s">
        <v>214</v>
      </c>
      <c r="K1326" s="69" t="s">
        <v>938</v>
      </c>
      <c r="M1326" s="69" t="s">
        <v>6</v>
      </c>
    </row>
    <row r="1327" spans="2:13">
      <c r="B1327" s="69">
        <v>1325</v>
      </c>
      <c r="C1327" s="69">
        <v>125</v>
      </c>
      <c r="D1327" s="69">
        <v>5</v>
      </c>
      <c r="E1327" s="69">
        <v>5</v>
      </c>
      <c r="F1327" s="69">
        <v>0</v>
      </c>
      <c r="G1327" s="69" t="s">
        <v>917</v>
      </c>
      <c r="H1327" s="69" t="s">
        <v>918</v>
      </c>
      <c r="I1327" s="69" t="s">
        <v>1030</v>
      </c>
      <c r="J1327" s="69" t="s">
        <v>64</v>
      </c>
      <c r="K1327" s="69" t="s">
        <v>1032</v>
      </c>
      <c r="M1327" s="69" t="s">
        <v>6</v>
      </c>
    </row>
    <row r="1328" spans="2:13">
      <c r="B1328" s="69">
        <v>1326</v>
      </c>
      <c r="C1328" s="69">
        <v>126</v>
      </c>
      <c r="D1328" s="69">
        <v>24</v>
      </c>
      <c r="E1328" s="69">
        <v>0</v>
      </c>
      <c r="F1328" s="69">
        <v>0</v>
      </c>
      <c r="G1328" s="69" t="s">
        <v>917</v>
      </c>
      <c r="H1328" s="69" t="s">
        <v>918</v>
      </c>
      <c r="I1328" s="69" t="s">
        <v>1033</v>
      </c>
      <c r="J1328" s="69" t="s">
        <v>478</v>
      </c>
      <c r="K1328" s="69" t="s">
        <v>1033</v>
      </c>
      <c r="M1328" s="69" t="s">
        <v>6</v>
      </c>
    </row>
    <row r="1329" spans="2:13">
      <c r="B1329" s="69">
        <v>1327</v>
      </c>
      <c r="C1329" s="69">
        <v>126</v>
      </c>
      <c r="D1329" s="69">
        <v>24</v>
      </c>
      <c r="E1329" s="69">
        <v>1</v>
      </c>
      <c r="F1329" s="69">
        <v>0</v>
      </c>
      <c r="G1329" s="69" t="s">
        <v>917</v>
      </c>
      <c r="H1329" s="69" t="s">
        <v>918</v>
      </c>
      <c r="I1329" s="69" t="s">
        <v>1033</v>
      </c>
      <c r="J1329" s="69" t="s">
        <v>479</v>
      </c>
      <c r="K1329" s="69" t="s">
        <v>1034</v>
      </c>
      <c r="M1329" s="69" t="s">
        <v>6</v>
      </c>
    </row>
    <row r="1330" spans="2:13">
      <c r="B1330" s="69">
        <v>1328</v>
      </c>
      <c r="C1330" s="69">
        <v>126</v>
      </c>
      <c r="D1330" s="69">
        <v>24</v>
      </c>
      <c r="E1330" s="69">
        <v>2</v>
      </c>
      <c r="F1330" s="69">
        <v>0</v>
      </c>
      <c r="G1330" s="69" t="s">
        <v>917</v>
      </c>
      <c r="H1330" s="69" t="s">
        <v>918</v>
      </c>
      <c r="I1330" s="69" t="s">
        <v>1033</v>
      </c>
      <c r="J1330" s="69" t="s">
        <v>55</v>
      </c>
      <c r="K1330" s="69" t="s">
        <v>959</v>
      </c>
      <c r="M1330" s="69" t="s">
        <v>6</v>
      </c>
    </row>
    <row r="1331" spans="2:13">
      <c r="B1331" s="69">
        <v>1329</v>
      </c>
      <c r="C1331" s="69">
        <v>126</v>
      </c>
      <c r="D1331" s="69">
        <v>24</v>
      </c>
      <c r="E1331" s="69">
        <v>3</v>
      </c>
      <c r="F1331" s="69">
        <v>0</v>
      </c>
      <c r="G1331" s="69" t="s">
        <v>917</v>
      </c>
      <c r="H1331" s="69" t="s">
        <v>918</v>
      </c>
      <c r="I1331" s="69" t="s">
        <v>1033</v>
      </c>
      <c r="J1331" s="69" t="s">
        <v>214</v>
      </c>
      <c r="K1331" s="69" t="s">
        <v>1035</v>
      </c>
      <c r="M1331" s="69" t="s">
        <v>6</v>
      </c>
    </row>
    <row r="1332" spans="2:13">
      <c r="B1332" s="69">
        <v>1330</v>
      </c>
      <c r="C1332" s="69">
        <v>126</v>
      </c>
      <c r="D1332" s="69">
        <v>24</v>
      </c>
      <c r="E1332" s="69">
        <v>4</v>
      </c>
      <c r="F1332" s="69">
        <v>0</v>
      </c>
      <c r="G1332" s="69" t="s">
        <v>917</v>
      </c>
      <c r="H1332" s="69" t="s">
        <v>918</v>
      </c>
      <c r="I1332" s="69" t="s">
        <v>1033</v>
      </c>
      <c r="J1332" s="69" t="s">
        <v>214</v>
      </c>
      <c r="K1332" s="69" t="s">
        <v>1036</v>
      </c>
      <c r="M1332" s="69" t="s">
        <v>6</v>
      </c>
    </row>
    <row r="1333" spans="2:13">
      <c r="B1333" s="69">
        <v>1331</v>
      </c>
      <c r="C1333" s="69">
        <v>126</v>
      </c>
      <c r="D1333" s="69">
        <v>24</v>
      </c>
      <c r="E1333" s="69">
        <v>5</v>
      </c>
      <c r="F1333" s="69">
        <v>0</v>
      </c>
      <c r="G1333" s="69" t="s">
        <v>917</v>
      </c>
      <c r="H1333" s="69" t="s">
        <v>918</v>
      </c>
      <c r="I1333" s="69" t="s">
        <v>1033</v>
      </c>
      <c r="J1333" s="69" t="s">
        <v>214</v>
      </c>
      <c r="K1333" s="69" t="s">
        <v>1037</v>
      </c>
      <c r="M1333" s="69" t="s">
        <v>6</v>
      </c>
    </row>
    <row r="1334" spans="2:13">
      <c r="B1334" s="69">
        <v>1332</v>
      </c>
      <c r="C1334" s="69">
        <v>126</v>
      </c>
      <c r="D1334" s="69">
        <v>24</v>
      </c>
      <c r="E1334" s="69">
        <v>6</v>
      </c>
      <c r="F1334" s="69">
        <v>0</v>
      </c>
      <c r="G1334" s="69" t="s">
        <v>917</v>
      </c>
      <c r="H1334" s="69" t="s">
        <v>918</v>
      </c>
      <c r="I1334" s="69" t="s">
        <v>1033</v>
      </c>
      <c r="J1334" s="69" t="s">
        <v>214</v>
      </c>
      <c r="K1334" s="69" t="s">
        <v>961</v>
      </c>
      <c r="M1334" s="69" t="s">
        <v>6</v>
      </c>
    </row>
    <row r="1335" spans="2:13">
      <c r="B1335" s="69">
        <v>1333</v>
      </c>
      <c r="C1335" s="69">
        <v>126</v>
      </c>
      <c r="D1335" s="69">
        <v>24</v>
      </c>
      <c r="E1335" s="69">
        <v>7</v>
      </c>
      <c r="F1335" s="69">
        <v>0</v>
      </c>
      <c r="G1335" s="69" t="s">
        <v>917</v>
      </c>
      <c r="H1335" s="69" t="s">
        <v>918</v>
      </c>
      <c r="I1335" s="69" t="s">
        <v>1033</v>
      </c>
      <c r="J1335" s="69" t="s">
        <v>214</v>
      </c>
      <c r="K1335" s="69" t="s">
        <v>1038</v>
      </c>
      <c r="M1335" s="69" t="s">
        <v>6</v>
      </c>
    </row>
    <row r="1336" spans="2:13">
      <c r="B1336" s="69">
        <v>1334</v>
      </c>
      <c r="C1336" s="69">
        <v>126</v>
      </c>
      <c r="D1336" s="69">
        <v>24</v>
      </c>
      <c r="E1336" s="69">
        <v>8</v>
      </c>
      <c r="F1336" s="69">
        <v>0</v>
      </c>
      <c r="G1336" s="69" t="s">
        <v>917</v>
      </c>
      <c r="H1336" s="69" t="s">
        <v>918</v>
      </c>
      <c r="I1336" s="69" t="s">
        <v>1033</v>
      </c>
      <c r="J1336" s="69" t="s">
        <v>214</v>
      </c>
      <c r="K1336" s="69" t="s">
        <v>1039</v>
      </c>
      <c r="M1336" s="69" t="s">
        <v>6</v>
      </c>
    </row>
    <row r="1337" spans="2:13">
      <c r="B1337" s="69">
        <v>1335</v>
      </c>
      <c r="C1337" s="69">
        <v>126</v>
      </c>
      <c r="D1337" s="69">
        <v>24</v>
      </c>
      <c r="E1337" s="69">
        <v>9</v>
      </c>
      <c r="F1337" s="69">
        <v>0</v>
      </c>
      <c r="G1337" s="69" t="s">
        <v>917</v>
      </c>
      <c r="H1337" s="69" t="s">
        <v>918</v>
      </c>
      <c r="I1337" s="69" t="s">
        <v>1033</v>
      </c>
      <c r="J1337" s="69" t="s">
        <v>214</v>
      </c>
      <c r="K1337" s="69" t="s">
        <v>963</v>
      </c>
      <c r="M1337" s="69" t="s">
        <v>6</v>
      </c>
    </row>
    <row r="1338" spans="2:13">
      <c r="B1338" s="69">
        <v>1336</v>
      </c>
      <c r="C1338" s="69">
        <v>126</v>
      </c>
      <c r="D1338" s="69">
        <v>24</v>
      </c>
      <c r="E1338" s="69">
        <v>10</v>
      </c>
      <c r="F1338" s="69">
        <v>0</v>
      </c>
      <c r="G1338" s="69" t="s">
        <v>917</v>
      </c>
      <c r="H1338" s="69" t="s">
        <v>918</v>
      </c>
      <c r="I1338" s="69" t="s">
        <v>1033</v>
      </c>
      <c r="J1338" s="69" t="s">
        <v>214</v>
      </c>
      <c r="K1338" s="69" t="s">
        <v>964</v>
      </c>
      <c r="M1338" s="69" t="s">
        <v>6</v>
      </c>
    </row>
    <row r="1339" spans="2:13">
      <c r="B1339" s="69">
        <v>1337</v>
      </c>
      <c r="C1339" s="69">
        <v>126</v>
      </c>
      <c r="D1339" s="69">
        <v>24</v>
      </c>
      <c r="E1339" s="69">
        <v>11</v>
      </c>
      <c r="F1339" s="69">
        <v>0</v>
      </c>
      <c r="G1339" s="69" t="s">
        <v>917</v>
      </c>
      <c r="H1339" s="69" t="s">
        <v>918</v>
      </c>
      <c r="I1339" s="69" t="s">
        <v>1033</v>
      </c>
      <c r="J1339" s="69" t="s">
        <v>55</v>
      </c>
      <c r="K1339" s="69" t="s">
        <v>1040</v>
      </c>
      <c r="M1339" s="69" t="s">
        <v>6</v>
      </c>
    </row>
    <row r="1340" spans="2:13">
      <c r="B1340" s="69">
        <v>1338</v>
      </c>
      <c r="C1340" s="69">
        <v>126</v>
      </c>
      <c r="D1340" s="69">
        <v>24</v>
      </c>
      <c r="E1340" s="69">
        <v>12</v>
      </c>
      <c r="F1340" s="69">
        <v>0</v>
      </c>
      <c r="G1340" s="69" t="s">
        <v>917</v>
      </c>
      <c r="H1340" s="69" t="s">
        <v>918</v>
      </c>
      <c r="I1340" s="69" t="s">
        <v>1033</v>
      </c>
      <c r="J1340" s="69" t="s">
        <v>55</v>
      </c>
      <c r="K1340" s="69" t="s">
        <v>1041</v>
      </c>
      <c r="M1340" s="69" t="s">
        <v>6</v>
      </c>
    </row>
    <row r="1341" spans="2:13">
      <c r="B1341" s="69">
        <v>1339</v>
      </c>
      <c r="C1341" s="69">
        <v>126</v>
      </c>
      <c r="D1341" s="69">
        <v>24</v>
      </c>
      <c r="E1341" s="69">
        <v>13</v>
      </c>
      <c r="F1341" s="69">
        <v>0</v>
      </c>
      <c r="G1341" s="69" t="s">
        <v>917</v>
      </c>
      <c r="H1341" s="69" t="s">
        <v>918</v>
      </c>
      <c r="I1341" s="69" t="s">
        <v>1033</v>
      </c>
      <c r="J1341" s="69" t="s">
        <v>55</v>
      </c>
      <c r="K1341" s="69" t="s">
        <v>969</v>
      </c>
      <c r="M1341" s="69" t="s">
        <v>6</v>
      </c>
    </row>
    <row r="1342" spans="2:13">
      <c r="B1342" s="69">
        <v>1340</v>
      </c>
      <c r="C1342" s="69">
        <v>126</v>
      </c>
      <c r="D1342" s="69">
        <v>24</v>
      </c>
      <c r="E1342" s="69">
        <v>14</v>
      </c>
      <c r="F1342" s="69">
        <v>0</v>
      </c>
      <c r="G1342" s="69" t="s">
        <v>917</v>
      </c>
      <c r="H1342" s="69" t="s">
        <v>918</v>
      </c>
      <c r="I1342" s="69" t="s">
        <v>1033</v>
      </c>
      <c r="J1342" s="69" t="s">
        <v>214</v>
      </c>
      <c r="K1342" s="69" t="s">
        <v>1042</v>
      </c>
      <c r="M1342" s="69" t="s">
        <v>6</v>
      </c>
    </row>
    <row r="1343" spans="2:13">
      <c r="B1343" s="69">
        <v>1341</v>
      </c>
      <c r="C1343" s="69">
        <v>126</v>
      </c>
      <c r="D1343" s="69">
        <v>24</v>
      </c>
      <c r="E1343" s="69">
        <v>15</v>
      </c>
      <c r="F1343" s="69">
        <v>0</v>
      </c>
      <c r="G1343" s="69" t="s">
        <v>917</v>
      </c>
      <c r="H1343" s="69" t="s">
        <v>918</v>
      </c>
      <c r="I1343" s="69" t="s">
        <v>1033</v>
      </c>
      <c r="J1343" s="69" t="s">
        <v>55</v>
      </c>
      <c r="K1343" s="69" t="s">
        <v>930</v>
      </c>
      <c r="M1343" s="69" t="s">
        <v>6</v>
      </c>
    </row>
    <row r="1344" spans="2:13">
      <c r="B1344" s="69">
        <v>1342</v>
      </c>
      <c r="C1344" s="69">
        <v>126</v>
      </c>
      <c r="D1344" s="69">
        <v>24</v>
      </c>
      <c r="E1344" s="69">
        <v>16</v>
      </c>
      <c r="F1344" s="69">
        <v>0</v>
      </c>
      <c r="G1344" s="69" t="s">
        <v>917</v>
      </c>
      <c r="H1344" s="69" t="s">
        <v>918</v>
      </c>
      <c r="I1344" s="69" t="s">
        <v>1033</v>
      </c>
      <c r="J1344" s="69" t="s">
        <v>420</v>
      </c>
      <c r="K1344" s="69" t="s">
        <v>1043</v>
      </c>
      <c r="M1344" s="69" t="s">
        <v>6</v>
      </c>
    </row>
    <row r="1345" spans="2:13">
      <c r="B1345" s="69">
        <v>1343</v>
      </c>
      <c r="C1345" s="69">
        <v>126</v>
      </c>
      <c r="D1345" s="69">
        <v>24</v>
      </c>
      <c r="E1345" s="69">
        <v>17</v>
      </c>
      <c r="F1345" s="69">
        <v>0</v>
      </c>
      <c r="G1345" s="69" t="s">
        <v>917</v>
      </c>
      <c r="H1345" s="69" t="s">
        <v>918</v>
      </c>
      <c r="I1345" s="69" t="s">
        <v>1033</v>
      </c>
      <c r="J1345" s="69" t="s">
        <v>437</v>
      </c>
      <c r="K1345" s="69" t="s">
        <v>965</v>
      </c>
      <c r="L1345" s="69" t="s">
        <v>510</v>
      </c>
      <c r="M1345" s="69" t="s">
        <v>6</v>
      </c>
    </row>
    <row r="1346" spans="2:13">
      <c r="B1346" s="69">
        <v>1344</v>
      </c>
      <c r="C1346" s="69">
        <v>126</v>
      </c>
      <c r="D1346" s="69">
        <v>24</v>
      </c>
      <c r="E1346" s="69">
        <v>18</v>
      </c>
      <c r="F1346" s="69">
        <v>0</v>
      </c>
      <c r="G1346" s="69" t="s">
        <v>917</v>
      </c>
      <c r="H1346" s="69" t="s">
        <v>918</v>
      </c>
      <c r="I1346" s="69" t="s">
        <v>1033</v>
      </c>
      <c r="J1346" s="69" t="s">
        <v>420</v>
      </c>
      <c r="K1346" s="69" t="s">
        <v>966</v>
      </c>
      <c r="M1346" s="69" t="s">
        <v>6</v>
      </c>
    </row>
    <row r="1347" spans="2:13">
      <c r="B1347" s="69">
        <v>1345</v>
      </c>
      <c r="C1347" s="69">
        <v>126</v>
      </c>
      <c r="D1347" s="69">
        <v>24</v>
      </c>
      <c r="E1347" s="69">
        <v>19</v>
      </c>
      <c r="F1347" s="69">
        <v>0</v>
      </c>
      <c r="G1347" s="69" t="s">
        <v>917</v>
      </c>
      <c r="H1347" s="69" t="s">
        <v>918</v>
      </c>
      <c r="I1347" s="69" t="s">
        <v>1033</v>
      </c>
      <c r="J1347" s="69" t="s">
        <v>420</v>
      </c>
      <c r="K1347" s="69" t="s">
        <v>967</v>
      </c>
      <c r="M1347" s="69" t="s">
        <v>6</v>
      </c>
    </row>
    <row r="1348" spans="2:13">
      <c r="B1348" s="69">
        <v>1346</v>
      </c>
      <c r="C1348" s="69">
        <v>126</v>
      </c>
      <c r="D1348" s="69">
        <v>24</v>
      </c>
      <c r="E1348" s="69">
        <v>20</v>
      </c>
      <c r="F1348" s="69">
        <v>0</v>
      </c>
      <c r="G1348" s="69" t="s">
        <v>917</v>
      </c>
      <c r="H1348" s="69" t="s">
        <v>918</v>
      </c>
      <c r="I1348" s="69" t="s">
        <v>1033</v>
      </c>
      <c r="J1348" s="69" t="s">
        <v>55</v>
      </c>
      <c r="K1348" s="69" t="s">
        <v>1044</v>
      </c>
      <c r="M1348" s="69" t="s">
        <v>6</v>
      </c>
    </row>
    <row r="1349" spans="2:13">
      <c r="B1349" s="69">
        <v>1347</v>
      </c>
      <c r="C1349" s="69">
        <v>126</v>
      </c>
      <c r="D1349" s="69">
        <v>24</v>
      </c>
      <c r="E1349" s="69">
        <v>21</v>
      </c>
      <c r="F1349" s="69">
        <v>0</v>
      </c>
      <c r="G1349" s="69" t="s">
        <v>917</v>
      </c>
      <c r="H1349" s="69" t="s">
        <v>918</v>
      </c>
      <c r="I1349" s="69" t="s">
        <v>1033</v>
      </c>
      <c r="J1349" s="69" t="s">
        <v>218</v>
      </c>
      <c r="K1349" s="69" t="s">
        <v>1045</v>
      </c>
      <c r="L1349" s="69" t="s">
        <v>1046</v>
      </c>
      <c r="M1349" s="69" t="s">
        <v>6</v>
      </c>
    </row>
    <row r="1350" spans="2:13">
      <c r="B1350" s="69">
        <v>1348</v>
      </c>
      <c r="C1350" s="69">
        <v>126</v>
      </c>
      <c r="D1350" s="69">
        <v>24</v>
      </c>
      <c r="E1350" s="69">
        <v>22</v>
      </c>
      <c r="F1350" s="69">
        <v>0</v>
      </c>
      <c r="G1350" s="69" t="s">
        <v>917</v>
      </c>
      <c r="H1350" s="69" t="s">
        <v>918</v>
      </c>
      <c r="I1350" s="69" t="s">
        <v>1033</v>
      </c>
      <c r="J1350" s="69" t="s">
        <v>1047</v>
      </c>
      <c r="K1350" s="69" t="s">
        <v>1022</v>
      </c>
      <c r="M1350" s="69" t="s">
        <v>6</v>
      </c>
    </row>
    <row r="1351" spans="2:13">
      <c r="B1351" s="69">
        <v>1349</v>
      </c>
      <c r="C1351" s="69">
        <v>126</v>
      </c>
      <c r="D1351" s="69">
        <v>24</v>
      </c>
      <c r="E1351" s="69">
        <v>23</v>
      </c>
      <c r="F1351" s="69">
        <v>0</v>
      </c>
      <c r="G1351" s="69" t="s">
        <v>917</v>
      </c>
      <c r="H1351" s="69" t="s">
        <v>918</v>
      </c>
      <c r="I1351" s="69" t="s">
        <v>1033</v>
      </c>
      <c r="J1351" s="69" t="s">
        <v>55</v>
      </c>
      <c r="K1351" s="69" t="s">
        <v>1048</v>
      </c>
      <c r="M1351" s="69" t="s">
        <v>6</v>
      </c>
    </row>
    <row r="1352" spans="2:13">
      <c r="B1352" s="69">
        <v>1350</v>
      </c>
      <c r="C1352" s="69">
        <v>126</v>
      </c>
      <c r="D1352" s="69">
        <v>24</v>
      </c>
      <c r="E1352" s="69">
        <v>24</v>
      </c>
      <c r="F1352" s="69">
        <v>0</v>
      </c>
      <c r="G1352" s="69" t="s">
        <v>917</v>
      </c>
      <c r="H1352" s="69" t="s">
        <v>918</v>
      </c>
      <c r="I1352" s="69" t="s">
        <v>1033</v>
      </c>
      <c r="J1352" s="69" t="s">
        <v>64</v>
      </c>
      <c r="K1352" s="69" t="s">
        <v>933</v>
      </c>
      <c r="M1352" s="69" t="s">
        <v>6</v>
      </c>
    </row>
    <row r="1353" spans="2:13">
      <c r="B1353" s="69">
        <v>1351</v>
      </c>
      <c r="C1353" s="69">
        <v>127</v>
      </c>
      <c r="D1353" s="69">
        <v>18</v>
      </c>
      <c r="E1353" s="69">
        <v>0</v>
      </c>
      <c r="F1353" s="69">
        <v>0</v>
      </c>
      <c r="G1353" s="69" t="s">
        <v>917</v>
      </c>
      <c r="H1353" s="69" t="s">
        <v>918</v>
      </c>
      <c r="I1353" s="69" t="s">
        <v>1049</v>
      </c>
      <c r="J1353" s="69" t="s">
        <v>54</v>
      </c>
      <c r="K1353" s="69" t="s">
        <v>1049</v>
      </c>
      <c r="M1353" s="69" t="s">
        <v>6</v>
      </c>
    </row>
    <row r="1354" spans="2:13">
      <c r="B1354" s="69">
        <v>1352</v>
      </c>
      <c r="C1354" s="69">
        <v>127</v>
      </c>
      <c r="D1354" s="69">
        <v>18</v>
      </c>
      <c r="E1354" s="69">
        <v>1</v>
      </c>
      <c r="F1354" s="69">
        <v>0</v>
      </c>
      <c r="G1354" s="69" t="s">
        <v>917</v>
      </c>
      <c r="H1354" s="69" t="s">
        <v>918</v>
      </c>
      <c r="I1354" s="69" t="s">
        <v>1049</v>
      </c>
      <c r="J1354" s="69" t="s">
        <v>55</v>
      </c>
      <c r="K1354" s="69" t="s">
        <v>959</v>
      </c>
      <c r="M1354" s="69" t="s">
        <v>6</v>
      </c>
    </row>
    <row r="1355" spans="2:13">
      <c r="B1355" s="69">
        <v>1353</v>
      </c>
      <c r="C1355" s="69">
        <v>127</v>
      </c>
      <c r="D1355" s="69">
        <v>18</v>
      </c>
      <c r="E1355" s="69">
        <v>2</v>
      </c>
      <c r="F1355" s="69">
        <v>0</v>
      </c>
      <c r="G1355" s="69" t="s">
        <v>917</v>
      </c>
      <c r="H1355" s="69" t="s">
        <v>918</v>
      </c>
      <c r="I1355" s="69" t="s">
        <v>1049</v>
      </c>
      <c r="J1355" s="69" t="s">
        <v>214</v>
      </c>
      <c r="K1355" s="69" t="s">
        <v>1050</v>
      </c>
      <c r="M1355" s="69" t="s">
        <v>6</v>
      </c>
    </row>
    <row r="1356" spans="2:13">
      <c r="B1356" s="69">
        <v>1354</v>
      </c>
      <c r="C1356" s="69">
        <v>127</v>
      </c>
      <c r="D1356" s="69">
        <v>18</v>
      </c>
      <c r="E1356" s="69">
        <v>3</v>
      </c>
      <c r="F1356" s="69">
        <v>0</v>
      </c>
      <c r="G1356" s="69" t="s">
        <v>917</v>
      </c>
      <c r="H1356" s="69" t="s">
        <v>918</v>
      </c>
      <c r="I1356" s="69" t="s">
        <v>1049</v>
      </c>
      <c r="J1356" s="69" t="s">
        <v>214</v>
      </c>
      <c r="K1356" s="69" t="s">
        <v>1051</v>
      </c>
      <c r="M1356" s="69" t="s">
        <v>6</v>
      </c>
    </row>
    <row r="1357" spans="2:13">
      <c r="B1357" s="69">
        <v>1355</v>
      </c>
      <c r="C1357" s="69">
        <v>127</v>
      </c>
      <c r="D1357" s="69">
        <v>18</v>
      </c>
      <c r="E1357" s="69">
        <v>4</v>
      </c>
      <c r="F1357" s="69">
        <v>0</v>
      </c>
      <c r="G1357" s="69" t="s">
        <v>917</v>
      </c>
      <c r="H1357" s="69" t="s">
        <v>918</v>
      </c>
      <c r="I1357" s="69" t="s">
        <v>1049</v>
      </c>
      <c r="J1357" s="69" t="s">
        <v>214</v>
      </c>
      <c r="K1357" s="69" t="s">
        <v>1052</v>
      </c>
      <c r="M1357" s="69" t="s">
        <v>6</v>
      </c>
    </row>
    <row r="1358" spans="2:13">
      <c r="B1358" s="69">
        <v>1356</v>
      </c>
      <c r="C1358" s="69">
        <v>127</v>
      </c>
      <c r="D1358" s="69">
        <v>18</v>
      </c>
      <c r="E1358" s="69">
        <v>5</v>
      </c>
      <c r="F1358" s="69">
        <v>0</v>
      </c>
      <c r="G1358" s="69" t="s">
        <v>917</v>
      </c>
      <c r="H1358" s="69" t="s">
        <v>918</v>
      </c>
      <c r="I1358" s="69" t="s">
        <v>1049</v>
      </c>
      <c r="J1358" s="69" t="s">
        <v>55</v>
      </c>
      <c r="K1358" s="69" t="s">
        <v>1053</v>
      </c>
      <c r="M1358" s="69" t="s">
        <v>6</v>
      </c>
    </row>
    <row r="1359" spans="2:13">
      <c r="B1359" s="69">
        <v>1357</v>
      </c>
      <c r="C1359" s="69">
        <v>127</v>
      </c>
      <c r="D1359" s="69">
        <v>18</v>
      </c>
      <c r="E1359" s="69">
        <v>6</v>
      </c>
      <c r="F1359" s="69">
        <v>0</v>
      </c>
      <c r="G1359" s="69" t="s">
        <v>917</v>
      </c>
      <c r="H1359" s="69" t="s">
        <v>918</v>
      </c>
      <c r="I1359" s="69" t="s">
        <v>1049</v>
      </c>
      <c r="J1359" s="69" t="s">
        <v>951</v>
      </c>
      <c r="K1359" s="69" t="s">
        <v>1054</v>
      </c>
      <c r="M1359" s="69" t="s">
        <v>6</v>
      </c>
    </row>
    <row r="1360" spans="2:13">
      <c r="B1360" s="69">
        <v>1358</v>
      </c>
      <c r="C1360" s="69">
        <v>127</v>
      </c>
      <c r="D1360" s="69">
        <v>18</v>
      </c>
      <c r="E1360" s="69">
        <v>7</v>
      </c>
      <c r="F1360" s="69">
        <v>0</v>
      </c>
      <c r="G1360" s="69" t="s">
        <v>917</v>
      </c>
      <c r="H1360" s="69" t="s">
        <v>918</v>
      </c>
      <c r="I1360" s="69" t="s">
        <v>1049</v>
      </c>
      <c r="J1360" s="69" t="s">
        <v>951</v>
      </c>
      <c r="K1360" s="69" t="s">
        <v>1055</v>
      </c>
      <c r="M1360" s="69" t="s">
        <v>6</v>
      </c>
    </row>
    <row r="1361" spans="2:13">
      <c r="B1361" s="69">
        <v>1359</v>
      </c>
      <c r="C1361" s="69">
        <v>127</v>
      </c>
      <c r="D1361" s="69">
        <v>18</v>
      </c>
      <c r="E1361" s="69">
        <v>8</v>
      </c>
      <c r="F1361" s="69">
        <v>0</v>
      </c>
      <c r="G1361" s="69" t="s">
        <v>917</v>
      </c>
      <c r="H1361" s="69" t="s">
        <v>918</v>
      </c>
      <c r="I1361" s="69" t="s">
        <v>1049</v>
      </c>
      <c r="J1361" s="69" t="s">
        <v>951</v>
      </c>
      <c r="K1361" s="69" t="s">
        <v>1056</v>
      </c>
      <c r="M1361" s="69" t="s">
        <v>6</v>
      </c>
    </row>
    <row r="1362" spans="2:13">
      <c r="B1362" s="69">
        <v>1360</v>
      </c>
      <c r="C1362" s="69">
        <v>127</v>
      </c>
      <c r="D1362" s="69">
        <v>18</v>
      </c>
      <c r="E1362" s="69">
        <v>9</v>
      </c>
      <c r="F1362" s="69">
        <v>0</v>
      </c>
      <c r="G1362" s="69" t="s">
        <v>917</v>
      </c>
      <c r="H1362" s="69" t="s">
        <v>918</v>
      </c>
      <c r="I1362" s="69" t="s">
        <v>1049</v>
      </c>
      <c r="J1362" s="69" t="s">
        <v>951</v>
      </c>
      <c r="K1362" s="69" t="s">
        <v>1057</v>
      </c>
      <c r="M1362" s="69" t="s">
        <v>6</v>
      </c>
    </row>
    <row r="1363" spans="2:13">
      <c r="B1363" s="69">
        <v>1361</v>
      </c>
      <c r="C1363" s="69">
        <v>127</v>
      </c>
      <c r="D1363" s="69">
        <v>18</v>
      </c>
      <c r="E1363" s="69">
        <v>10</v>
      </c>
      <c r="F1363" s="69">
        <v>0</v>
      </c>
      <c r="G1363" s="69" t="s">
        <v>917</v>
      </c>
      <c r="H1363" s="69" t="s">
        <v>918</v>
      </c>
      <c r="I1363" s="69" t="s">
        <v>1049</v>
      </c>
      <c r="J1363" s="69" t="s">
        <v>55</v>
      </c>
      <c r="K1363" s="69" t="s">
        <v>1058</v>
      </c>
      <c r="M1363" s="69" t="s">
        <v>6</v>
      </c>
    </row>
    <row r="1364" spans="2:13">
      <c r="B1364" s="69">
        <v>1362</v>
      </c>
      <c r="C1364" s="69">
        <v>127</v>
      </c>
      <c r="D1364" s="69">
        <v>18</v>
      </c>
      <c r="E1364" s="69">
        <v>11</v>
      </c>
      <c r="F1364" s="69">
        <v>0</v>
      </c>
      <c r="G1364" s="69" t="s">
        <v>917</v>
      </c>
      <c r="H1364" s="69" t="s">
        <v>918</v>
      </c>
      <c r="I1364" s="69" t="s">
        <v>1049</v>
      </c>
      <c r="J1364" s="69" t="s">
        <v>951</v>
      </c>
      <c r="K1364" s="69" t="s">
        <v>1059</v>
      </c>
      <c r="M1364" s="69" t="s">
        <v>6</v>
      </c>
    </row>
    <row r="1365" spans="2:13">
      <c r="B1365" s="69">
        <v>1363</v>
      </c>
      <c r="C1365" s="69">
        <v>127</v>
      </c>
      <c r="D1365" s="69">
        <v>18</v>
      </c>
      <c r="E1365" s="69">
        <v>12</v>
      </c>
      <c r="F1365" s="69">
        <v>0</v>
      </c>
      <c r="G1365" s="69" t="s">
        <v>917</v>
      </c>
      <c r="H1365" s="69" t="s">
        <v>918</v>
      </c>
      <c r="I1365" s="69" t="s">
        <v>1049</v>
      </c>
      <c r="J1365" s="69" t="s">
        <v>55</v>
      </c>
      <c r="K1365" s="69" t="s">
        <v>1060</v>
      </c>
      <c r="M1365" s="69" t="s">
        <v>6</v>
      </c>
    </row>
    <row r="1366" spans="2:13">
      <c r="B1366" s="69">
        <v>1364</v>
      </c>
      <c r="C1366" s="69">
        <v>127</v>
      </c>
      <c r="D1366" s="69">
        <v>18</v>
      </c>
      <c r="E1366" s="69">
        <v>13</v>
      </c>
      <c r="F1366" s="69">
        <v>0</v>
      </c>
      <c r="G1366" s="69" t="s">
        <v>917</v>
      </c>
      <c r="H1366" s="69" t="s">
        <v>918</v>
      </c>
      <c r="I1366" s="69" t="s">
        <v>1049</v>
      </c>
      <c r="J1366" s="69" t="s">
        <v>951</v>
      </c>
      <c r="K1366" s="69" t="s">
        <v>1061</v>
      </c>
      <c r="M1366" s="69" t="s">
        <v>6</v>
      </c>
    </row>
    <row r="1367" spans="2:13">
      <c r="B1367" s="69">
        <v>1365</v>
      </c>
      <c r="C1367" s="69">
        <v>127</v>
      </c>
      <c r="D1367" s="69">
        <v>18</v>
      </c>
      <c r="E1367" s="69">
        <v>14</v>
      </c>
      <c r="F1367" s="69">
        <v>0</v>
      </c>
      <c r="G1367" s="69" t="s">
        <v>917</v>
      </c>
      <c r="H1367" s="69" t="s">
        <v>918</v>
      </c>
      <c r="I1367" s="69" t="s">
        <v>1049</v>
      </c>
      <c r="J1367" s="69" t="s">
        <v>951</v>
      </c>
      <c r="K1367" s="69" t="s">
        <v>1062</v>
      </c>
      <c r="M1367" s="69" t="s">
        <v>6</v>
      </c>
    </row>
    <row r="1368" spans="2:13">
      <c r="B1368" s="69">
        <v>1366</v>
      </c>
      <c r="C1368" s="69">
        <v>127</v>
      </c>
      <c r="D1368" s="69">
        <v>18</v>
      </c>
      <c r="E1368" s="69">
        <v>15</v>
      </c>
      <c r="F1368" s="69">
        <v>0</v>
      </c>
      <c r="G1368" s="69" t="s">
        <v>917</v>
      </c>
      <c r="H1368" s="69" t="s">
        <v>918</v>
      </c>
      <c r="I1368" s="69" t="s">
        <v>1049</v>
      </c>
      <c r="J1368" s="69" t="s">
        <v>951</v>
      </c>
      <c r="K1368" s="69" t="s">
        <v>1063</v>
      </c>
      <c r="M1368" s="69" t="s">
        <v>6</v>
      </c>
    </row>
    <row r="1369" spans="2:13">
      <c r="B1369" s="69">
        <v>1367</v>
      </c>
      <c r="C1369" s="69">
        <v>127</v>
      </c>
      <c r="D1369" s="69">
        <v>18</v>
      </c>
      <c r="E1369" s="69">
        <v>16</v>
      </c>
      <c r="F1369" s="69">
        <v>0</v>
      </c>
      <c r="G1369" s="69" t="s">
        <v>917</v>
      </c>
      <c r="H1369" s="69" t="s">
        <v>918</v>
      </c>
      <c r="I1369" s="69" t="s">
        <v>1049</v>
      </c>
      <c r="J1369" s="69" t="s">
        <v>951</v>
      </c>
      <c r="K1369" s="69" t="s">
        <v>1064</v>
      </c>
      <c r="M1369" s="69" t="s">
        <v>6</v>
      </c>
    </row>
    <row r="1370" spans="2:13">
      <c r="B1370" s="69">
        <v>1368</v>
      </c>
      <c r="C1370" s="69">
        <v>127</v>
      </c>
      <c r="D1370" s="69">
        <v>18</v>
      </c>
      <c r="E1370" s="69">
        <v>17</v>
      </c>
      <c r="F1370" s="69">
        <v>0</v>
      </c>
      <c r="G1370" s="69" t="s">
        <v>917</v>
      </c>
      <c r="H1370" s="69" t="s">
        <v>918</v>
      </c>
      <c r="I1370" s="69" t="s">
        <v>1049</v>
      </c>
      <c r="J1370" s="69" t="s">
        <v>951</v>
      </c>
      <c r="K1370" s="69" t="s">
        <v>1065</v>
      </c>
      <c r="M1370" s="69" t="s">
        <v>6</v>
      </c>
    </row>
    <row r="1371" spans="2:13">
      <c r="B1371" s="69">
        <v>1369</v>
      </c>
      <c r="C1371" s="69">
        <v>127</v>
      </c>
      <c r="D1371" s="69">
        <v>18</v>
      </c>
      <c r="E1371" s="69">
        <v>18</v>
      </c>
      <c r="F1371" s="69">
        <v>0</v>
      </c>
      <c r="G1371" s="69" t="s">
        <v>917</v>
      </c>
      <c r="H1371" s="69" t="s">
        <v>918</v>
      </c>
      <c r="I1371" s="69" t="s">
        <v>1049</v>
      </c>
      <c r="J1371" s="69" t="s">
        <v>55</v>
      </c>
      <c r="K1371" s="69" t="s">
        <v>1066</v>
      </c>
      <c r="M1371" s="69" t="s">
        <v>6</v>
      </c>
    </row>
    <row r="1372" spans="2:13">
      <c r="B1372" s="69">
        <v>1370</v>
      </c>
      <c r="C1372" s="69">
        <v>128</v>
      </c>
      <c r="D1372" s="69">
        <v>4</v>
      </c>
      <c r="E1372" s="69">
        <v>0</v>
      </c>
      <c r="F1372" s="69">
        <v>0</v>
      </c>
      <c r="G1372" s="69" t="s">
        <v>1067</v>
      </c>
      <c r="H1372" s="69" t="s">
        <v>52</v>
      </c>
      <c r="I1372" s="69" t="s">
        <v>1068</v>
      </c>
      <c r="J1372" s="69" t="s">
        <v>54</v>
      </c>
      <c r="K1372" s="69" t="s">
        <v>1068</v>
      </c>
      <c r="M1372" s="69" t="s">
        <v>6</v>
      </c>
    </row>
    <row r="1373" spans="2:13">
      <c r="B1373" s="69">
        <v>1371</v>
      </c>
      <c r="C1373" s="69">
        <v>128</v>
      </c>
      <c r="D1373" s="69">
        <v>4</v>
      </c>
      <c r="E1373" s="69">
        <v>1</v>
      </c>
      <c r="F1373" s="69">
        <v>0</v>
      </c>
      <c r="G1373" s="69" t="s">
        <v>1067</v>
      </c>
      <c r="H1373" s="69" t="s">
        <v>52</v>
      </c>
      <c r="I1373" s="69" t="s">
        <v>1068</v>
      </c>
      <c r="J1373" s="69" t="s">
        <v>55</v>
      </c>
      <c r="K1373" s="69" t="s">
        <v>62</v>
      </c>
      <c r="M1373" s="69" t="s">
        <v>6</v>
      </c>
    </row>
    <row r="1374" spans="2:13">
      <c r="B1374" s="69">
        <v>1372</v>
      </c>
      <c r="C1374" s="69">
        <v>128</v>
      </c>
      <c r="D1374" s="69">
        <v>4</v>
      </c>
      <c r="E1374" s="69">
        <v>2</v>
      </c>
      <c r="F1374" s="69">
        <v>0</v>
      </c>
      <c r="G1374" s="69" t="s">
        <v>1067</v>
      </c>
      <c r="H1374" s="69" t="s">
        <v>52</v>
      </c>
      <c r="I1374" s="69" t="s">
        <v>1068</v>
      </c>
      <c r="J1374" s="69" t="s">
        <v>55</v>
      </c>
      <c r="K1374" s="69" t="s">
        <v>63</v>
      </c>
      <c r="M1374" s="69" t="s">
        <v>6</v>
      </c>
    </row>
    <row r="1375" spans="2:13">
      <c r="B1375" s="69">
        <v>1373</v>
      </c>
      <c r="C1375" s="69">
        <v>128</v>
      </c>
      <c r="D1375" s="69">
        <v>4</v>
      </c>
      <c r="E1375" s="69">
        <v>3</v>
      </c>
      <c r="F1375" s="69">
        <v>0</v>
      </c>
      <c r="G1375" s="69" t="s">
        <v>1067</v>
      </c>
      <c r="H1375" s="69" t="s">
        <v>52</v>
      </c>
      <c r="I1375" s="69" t="s">
        <v>1068</v>
      </c>
      <c r="J1375" s="69" t="s">
        <v>64</v>
      </c>
      <c r="K1375" s="69" t="s">
        <v>65</v>
      </c>
      <c r="M1375" s="69" t="s">
        <v>6</v>
      </c>
    </row>
    <row r="1376" spans="2:13">
      <c r="B1376" s="69">
        <v>1374</v>
      </c>
      <c r="C1376" s="69">
        <v>128</v>
      </c>
      <c r="D1376" s="69">
        <v>4</v>
      </c>
      <c r="E1376" s="69">
        <v>4</v>
      </c>
      <c r="F1376" s="69">
        <v>0</v>
      </c>
      <c r="G1376" s="69" t="s">
        <v>1067</v>
      </c>
      <c r="H1376" s="69" t="s">
        <v>52</v>
      </c>
      <c r="I1376" s="69" t="s">
        <v>1068</v>
      </c>
      <c r="J1376" s="69" t="s">
        <v>55</v>
      </c>
      <c r="K1376" s="69" t="s">
        <v>660</v>
      </c>
      <c r="M1376" s="69" t="s">
        <v>6</v>
      </c>
    </row>
    <row r="1377" spans="2:13">
      <c r="B1377" s="69">
        <v>1375</v>
      </c>
      <c r="C1377" s="69">
        <v>129</v>
      </c>
      <c r="D1377" s="69">
        <v>6</v>
      </c>
      <c r="E1377" s="69">
        <v>0</v>
      </c>
      <c r="F1377" s="69">
        <v>0</v>
      </c>
      <c r="G1377" s="69" t="s">
        <v>1067</v>
      </c>
      <c r="H1377" s="69" t="s">
        <v>9</v>
      </c>
      <c r="I1377" s="69" t="s">
        <v>1069</v>
      </c>
      <c r="J1377" s="69" t="s">
        <v>54</v>
      </c>
      <c r="K1377" s="69" t="s">
        <v>1069</v>
      </c>
      <c r="M1377" s="69" t="s">
        <v>6</v>
      </c>
    </row>
    <row r="1378" spans="2:13">
      <c r="B1378" s="69">
        <v>1376</v>
      </c>
      <c r="C1378" s="69">
        <v>129</v>
      </c>
      <c r="D1378" s="69">
        <v>6</v>
      </c>
      <c r="E1378" s="69">
        <v>1</v>
      </c>
      <c r="F1378" s="69">
        <v>0</v>
      </c>
      <c r="G1378" s="69" t="s">
        <v>1067</v>
      </c>
      <c r="H1378" s="69" t="s">
        <v>9</v>
      </c>
      <c r="I1378" s="69" t="s">
        <v>1069</v>
      </c>
      <c r="J1378" s="69" t="s">
        <v>55</v>
      </c>
      <c r="K1378" s="69" t="s">
        <v>1070</v>
      </c>
      <c r="M1378" s="69" t="s">
        <v>6</v>
      </c>
    </row>
    <row r="1379" spans="2:13">
      <c r="B1379" s="69">
        <v>1377</v>
      </c>
      <c r="C1379" s="69">
        <v>129</v>
      </c>
      <c r="D1379" s="69">
        <v>6</v>
      </c>
      <c r="E1379" s="69">
        <v>2</v>
      </c>
      <c r="F1379" s="69">
        <v>0</v>
      </c>
      <c r="G1379" s="69" t="s">
        <v>1067</v>
      </c>
      <c r="H1379" s="69" t="s">
        <v>9</v>
      </c>
      <c r="I1379" s="69" t="s">
        <v>1069</v>
      </c>
      <c r="J1379" s="69" t="s">
        <v>55</v>
      </c>
      <c r="K1379" s="69" t="s">
        <v>1071</v>
      </c>
      <c r="M1379" s="69" t="s">
        <v>6</v>
      </c>
    </row>
    <row r="1380" spans="2:13">
      <c r="B1380" s="69">
        <v>1378</v>
      </c>
      <c r="C1380" s="69">
        <v>129</v>
      </c>
      <c r="D1380" s="69">
        <v>6</v>
      </c>
      <c r="E1380" s="69">
        <v>3</v>
      </c>
      <c r="F1380" s="69">
        <v>0</v>
      </c>
      <c r="G1380" s="69" t="s">
        <v>1067</v>
      </c>
      <c r="H1380" s="69" t="s">
        <v>9</v>
      </c>
      <c r="I1380" s="69" t="s">
        <v>1069</v>
      </c>
      <c r="J1380" s="69" t="s">
        <v>55</v>
      </c>
      <c r="K1380" s="69" t="s">
        <v>1072</v>
      </c>
      <c r="M1380" s="69" t="s">
        <v>6</v>
      </c>
    </row>
    <row r="1381" spans="2:13">
      <c r="B1381" s="69">
        <v>1379</v>
      </c>
      <c r="C1381" s="69">
        <v>129</v>
      </c>
      <c r="D1381" s="69">
        <v>6</v>
      </c>
      <c r="E1381" s="69">
        <v>4</v>
      </c>
      <c r="F1381" s="69">
        <v>0</v>
      </c>
      <c r="G1381" s="69" t="s">
        <v>1067</v>
      </c>
      <c r="H1381" s="69" t="s">
        <v>9</v>
      </c>
      <c r="I1381" s="69" t="s">
        <v>1069</v>
      </c>
      <c r="J1381" s="69" t="s">
        <v>55</v>
      </c>
      <c r="K1381" s="69" t="s">
        <v>1073</v>
      </c>
      <c r="M1381" s="69" t="s">
        <v>6</v>
      </c>
    </row>
    <row r="1382" spans="2:13">
      <c r="B1382" s="69">
        <v>1380</v>
      </c>
      <c r="C1382" s="69">
        <v>129</v>
      </c>
      <c r="D1382" s="69">
        <v>6</v>
      </c>
      <c r="E1382" s="69">
        <v>5</v>
      </c>
      <c r="F1382" s="69">
        <v>0</v>
      </c>
      <c r="G1382" s="69" t="s">
        <v>1067</v>
      </c>
      <c r="H1382" s="69" t="s">
        <v>9</v>
      </c>
      <c r="I1382" s="69" t="s">
        <v>1069</v>
      </c>
      <c r="J1382" s="69" t="s">
        <v>55</v>
      </c>
      <c r="K1382" s="69" t="s">
        <v>93</v>
      </c>
      <c r="M1382" s="69" t="s">
        <v>6</v>
      </c>
    </row>
    <row r="1383" spans="2:13">
      <c r="B1383" s="69">
        <v>1381</v>
      </c>
      <c r="C1383" s="69">
        <v>129</v>
      </c>
      <c r="D1383" s="69">
        <v>6</v>
      </c>
      <c r="E1383" s="69">
        <v>6</v>
      </c>
      <c r="F1383" s="69">
        <v>0</v>
      </c>
      <c r="G1383" s="69" t="s">
        <v>1067</v>
      </c>
      <c r="H1383" s="69" t="s">
        <v>9</v>
      </c>
      <c r="I1383" s="69" t="s">
        <v>1069</v>
      </c>
      <c r="J1383" s="69" t="s">
        <v>64</v>
      </c>
      <c r="K1383" s="69" t="s">
        <v>94</v>
      </c>
      <c r="M1383" s="69" t="s">
        <v>6</v>
      </c>
    </row>
    <row r="1384" spans="2:13">
      <c r="B1384" s="69">
        <v>1382</v>
      </c>
      <c r="C1384" s="69">
        <v>130</v>
      </c>
      <c r="D1384" s="69">
        <v>5</v>
      </c>
      <c r="E1384" s="69">
        <v>0</v>
      </c>
      <c r="F1384" s="69">
        <v>0</v>
      </c>
      <c r="G1384" s="69" t="s">
        <v>1067</v>
      </c>
      <c r="H1384" s="69" t="s">
        <v>9</v>
      </c>
      <c r="I1384" s="69" t="s">
        <v>1074</v>
      </c>
      <c r="J1384" s="69" t="s">
        <v>54</v>
      </c>
      <c r="K1384" s="69" t="s">
        <v>1074</v>
      </c>
      <c r="M1384" s="69" t="s">
        <v>6</v>
      </c>
    </row>
    <row r="1385" spans="2:13">
      <c r="B1385" s="69">
        <v>1383</v>
      </c>
      <c r="C1385" s="69">
        <v>130</v>
      </c>
      <c r="D1385" s="69">
        <v>5</v>
      </c>
      <c r="E1385" s="69">
        <v>1</v>
      </c>
      <c r="F1385" s="69">
        <v>0</v>
      </c>
      <c r="G1385" s="69" t="s">
        <v>1067</v>
      </c>
      <c r="H1385" s="69" t="s">
        <v>9</v>
      </c>
      <c r="I1385" s="69" t="s">
        <v>1074</v>
      </c>
      <c r="J1385" s="69" t="s">
        <v>55</v>
      </c>
      <c r="K1385" s="69" t="s">
        <v>1075</v>
      </c>
      <c r="M1385" s="69" t="s">
        <v>6</v>
      </c>
    </row>
    <row r="1386" spans="2:13">
      <c r="B1386" s="69">
        <v>1384</v>
      </c>
      <c r="C1386" s="69">
        <v>130</v>
      </c>
      <c r="D1386" s="69">
        <v>5</v>
      </c>
      <c r="E1386" s="69">
        <v>2</v>
      </c>
      <c r="F1386" s="69">
        <v>0</v>
      </c>
      <c r="G1386" s="69" t="s">
        <v>1067</v>
      </c>
      <c r="H1386" s="69" t="s">
        <v>9</v>
      </c>
      <c r="I1386" s="69" t="s">
        <v>1074</v>
      </c>
      <c r="J1386" s="69" t="s">
        <v>55</v>
      </c>
      <c r="K1386" s="69" t="s">
        <v>1076</v>
      </c>
      <c r="M1386" s="69" t="s">
        <v>6</v>
      </c>
    </row>
    <row r="1387" spans="2:13">
      <c r="B1387" s="69">
        <v>1385</v>
      </c>
      <c r="C1387" s="69">
        <v>130</v>
      </c>
      <c r="D1387" s="69">
        <v>5</v>
      </c>
      <c r="E1387" s="69">
        <v>3</v>
      </c>
      <c r="F1387" s="69">
        <v>0</v>
      </c>
      <c r="G1387" s="69" t="s">
        <v>1067</v>
      </c>
      <c r="H1387" s="69" t="s">
        <v>9</v>
      </c>
      <c r="I1387" s="69" t="s">
        <v>1074</v>
      </c>
      <c r="J1387" s="69" t="s">
        <v>55</v>
      </c>
      <c r="K1387" s="69" t="s">
        <v>1077</v>
      </c>
      <c r="M1387" s="69" t="s">
        <v>6</v>
      </c>
    </row>
    <row r="1388" spans="2:13">
      <c r="B1388" s="69">
        <v>1386</v>
      </c>
      <c r="C1388" s="69">
        <v>130</v>
      </c>
      <c r="D1388" s="69">
        <v>5</v>
      </c>
      <c r="E1388" s="69">
        <v>4</v>
      </c>
      <c r="F1388" s="69">
        <v>0</v>
      </c>
      <c r="G1388" s="69" t="s">
        <v>1067</v>
      </c>
      <c r="H1388" s="69" t="s">
        <v>9</v>
      </c>
      <c r="I1388" s="69" t="s">
        <v>1074</v>
      </c>
      <c r="J1388" s="69" t="s">
        <v>55</v>
      </c>
      <c r="K1388" s="69" t="s">
        <v>93</v>
      </c>
      <c r="M1388" s="69" t="s">
        <v>6</v>
      </c>
    </row>
    <row r="1389" spans="2:13">
      <c r="B1389" s="69">
        <v>1387</v>
      </c>
      <c r="C1389" s="69">
        <v>130</v>
      </c>
      <c r="D1389" s="69">
        <v>5</v>
      </c>
      <c r="E1389" s="69">
        <v>5</v>
      </c>
      <c r="F1389" s="69">
        <v>0</v>
      </c>
      <c r="G1389" s="69" t="s">
        <v>1067</v>
      </c>
      <c r="H1389" s="69" t="s">
        <v>9</v>
      </c>
      <c r="I1389" s="69" t="s">
        <v>1074</v>
      </c>
      <c r="J1389" s="69" t="s">
        <v>64</v>
      </c>
      <c r="K1389" s="69" t="s">
        <v>94</v>
      </c>
      <c r="M1389" s="69" t="s">
        <v>6</v>
      </c>
    </row>
    <row r="1390" spans="2:13">
      <c r="B1390" s="69">
        <v>1388</v>
      </c>
      <c r="C1390" s="69">
        <v>131</v>
      </c>
      <c r="D1390" s="69">
        <v>10</v>
      </c>
      <c r="E1390" s="69">
        <v>0</v>
      </c>
      <c r="F1390" s="69">
        <v>0</v>
      </c>
      <c r="G1390" s="69" t="s">
        <v>1067</v>
      </c>
      <c r="H1390" s="69" t="s">
        <v>9</v>
      </c>
      <c r="I1390" s="69" t="s">
        <v>1078</v>
      </c>
      <c r="J1390" s="69" t="s">
        <v>54</v>
      </c>
      <c r="K1390" s="69" t="s">
        <v>1078</v>
      </c>
      <c r="M1390" s="69" t="s">
        <v>6</v>
      </c>
    </row>
    <row r="1391" spans="2:13">
      <c r="B1391" s="69">
        <v>1389</v>
      </c>
      <c r="C1391" s="69">
        <v>131</v>
      </c>
      <c r="D1391" s="69">
        <v>10</v>
      </c>
      <c r="E1391" s="69">
        <v>1</v>
      </c>
      <c r="F1391" s="69">
        <v>0</v>
      </c>
      <c r="G1391" s="69" t="s">
        <v>1067</v>
      </c>
      <c r="H1391" s="69" t="s">
        <v>9</v>
      </c>
      <c r="I1391" s="69" t="s">
        <v>1078</v>
      </c>
      <c r="J1391" s="69" t="s">
        <v>55</v>
      </c>
      <c r="K1391" s="69" t="s">
        <v>1079</v>
      </c>
      <c r="M1391" s="69" t="s">
        <v>6</v>
      </c>
    </row>
    <row r="1392" spans="2:13">
      <c r="B1392" s="69">
        <v>1390</v>
      </c>
      <c r="C1392" s="69">
        <v>131</v>
      </c>
      <c r="D1392" s="69">
        <v>10</v>
      </c>
      <c r="E1392" s="69">
        <v>2</v>
      </c>
      <c r="F1392" s="69">
        <v>0</v>
      </c>
      <c r="G1392" s="69" t="s">
        <v>1067</v>
      </c>
      <c r="H1392" s="69" t="s">
        <v>9</v>
      </c>
      <c r="I1392" s="69" t="s">
        <v>1078</v>
      </c>
      <c r="J1392" s="69" t="s">
        <v>55</v>
      </c>
      <c r="K1392" s="69" t="s">
        <v>1080</v>
      </c>
      <c r="M1392" s="69" t="s">
        <v>6</v>
      </c>
    </row>
    <row r="1393" spans="2:13">
      <c r="B1393" s="69">
        <v>1391</v>
      </c>
      <c r="C1393" s="69">
        <v>131</v>
      </c>
      <c r="D1393" s="69">
        <v>10</v>
      </c>
      <c r="E1393" s="69">
        <v>3</v>
      </c>
      <c r="F1393" s="69">
        <v>0</v>
      </c>
      <c r="G1393" s="69" t="s">
        <v>1067</v>
      </c>
      <c r="H1393" s="69" t="s">
        <v>9</v>
      </c>
      <c r="I1393" s="69" t="s">
        <v>1078</v>
      </c>
      <c r="J1393" s="69" t="s">
        <v>55</v>
      </c>
      <c r="K1393" s="69" t="s">
        <v>1081</v>
      </c>
      <c r="M1393" s="69" t="s">
        <v>6</v>
      </c>
    </row>
    <row r="1394" spans="2:13">
      <c r="B1394" s="69">
        <v>1392</v>
      </c>
      <c r="C1394" s="69">
        <v>131</v>
      </c>
      <c r="D1394" s="69">
        <v>10</v>
      </c>
      <c r="E1394" s="69">
        <v>4</v>
      </c>
      <c r="F1394" s="69">
        <v>0</v>
      </c>
      <c r="G1394" s="69" t="s">
        <v>1067</v>
      </c>
      <c r="H1394" s="69" t="s">
        <v>9</v>
      </c>
      <c r="I1394" s="69" t="s">
        <v>1078</v>
      </c>
      <c r="J1394" s="69" t="s">
        <v>55</v>
      </c>
      <c r="K1394" s="69" t="s">
        <v>1082</v>
      </c>
      <c r="M1394" s="69" t="s">
        <v>6</v>
      </c>
    </row>
    <row r="1395" spans="2:13">
      <c r="B1395" s="69">
        <v>1393</v>
      </c>
      <c r="C1395" s="69">
        <v>131</v>
      </c>
      <c r="D1395" s="69">
        <v>10</v>
      </c>
      <c r="E1395" s="69">
        <v>5</v>
      </c>
      <c r="F1395" s="69">
        <v>0</v>
      </c>
      <c r="G1395" s="69" t="s">
        <v>1067</v>
      </c>
      <c r="H1395" s="69" t="s">
        <v>9</v>
      </c>
      <c r="I1395" s="69" t="s">
        <v>1078</v>
      </c>
      <c r="J1395" s="69" t="s">
        <v>55</v>
      </c>
      <c r="K1395" s="69" t="s">
        <v>1083</v>
      </c>
      <c r="M1395" s="69" t="s">
        <v>6</v>
      </c>
    </row>
    <row r="1396" spans="2:13">
      <c r="B1396" s="69">
        <v>1394</v>
      </c>
      <c r="C1396" s="69">
        <v>131</v>
      </c>
      <c r="D1396" s="69">
        <v>10</v>
      </c>
      <c r="E1396" s="69">
        <v>6</v>
      </c>
      <c r="F1396" s="69">
        <v>0</v>
      </c>
      <c r="G1396" s="69" t="s">
        <v>1067</v>
      </c>
      <c r="H1396" s="69" t="s">
        <v>9</v>
      </c>
      <c r="I1396" s="69" t="s">
        <v>1078</v>
      </c>
      <c r="J1396" s="69" t="s">
        <v>55</v>
      </c>
      <c r="K1396" s="69" t="s">
        <v>1084</v>
      </c>
      <c r="M1396" s="69" t="s">
        <v>6</v>
      </c>
    </row>
    <row r="1397" spans="2:13">
      <c r="B1397" s="69">
        <v>1395</v>
      </c>
      <c r="C1397" s="69">
        <v>131</v>
      </c>
      <c r="D1397" s="69">
        <v>10</v>
      </c>
      <c r="E1397" s="69">
        <v>7</v>
      </c>
      <c r="F1397" s="69">
        <v>0</v>
      </c>
      <c r="G1397" s="69" t="s">
        <v>1067</v>
      </c>
      <c r="H1397" s="69" t="s">
        <v>9</v>
      </c>
      <c r="I1397" s="69" t="s">
        <v>1078</v>
      </c>
      <c r="J1397" s="69" t="s">
        <v>55</v>
      </c>
      <c r="K1397" s="69" t="s">
        <v>1085</v>
      </c>
      <c r="M1397" s="69" t="s">
        <v>6</v>
      </c>
    </row>
    <row r="1398" spans="2:13">
      <c r="B1398" s="69">
        <v>1396</v>
      </c>
      <c r="C1398" s="69">
        <v>131</v>
      </c>
      <c r="D1398" s="69">
        <v>10</v>
      </c>
      <c r="E1398" s="69">
        <v>8</v>
      </c>
      <c r="F1398" s="69">
        <v>0</v>
      </c>
      <c r="G1398" s="69" t="s">
        <v>1067</v>
      </c>
      <c r="H1398" s="69" t="s">
        <v>9</v>
      </c>
      <c r="I1398" s="69" t="s">
        <v>1078</v>
      </c>
      <c r="J1398" s="69" t="s">
        <v>55</v>
      </c>
      <c r="K1398" s="69" t="s">
        <v>1086</v>
      </c>
      <c r="M1398" s="69" t="s">
        <v>6</v>
      </c>
    </row>
    <row r="1399" spans="2:13">
      <c r="B1399" s="69">
        <v>1397</v>
      </c>
      <c r="C1399" s="69">
        <v>131</v>
      </c>
      <c r="D1399" s="69">
        <v>10</v>
      </c>
      <c r="E1399" s="69">
        <v>9</v>
      </c>
      <c r="F1399" s="69">
        <v>0</v>
      </c>
      <c r="G1399" s="69" t="s">
        <v>1067</v>
      </c>
      <c r="H1399" s="69" t="s">
        <v>9</v>
      </c>
      <c r="I1399" s="69" t="s">
        <v>1078</v>
      </c>
      <c r="J1399" s="69" t="s">
        <v>55</v>
      </c>
      <c r="K1399" s="69" t="s">
        <v>93</v>
      </c>
      <c r="M1399" s="69" t="s">
        <v>6</v>
      </c>
    </row>
    <row r="1400" spans="2:13">
      <c r="B1400" s="69">
        <v>1398</v>
      </c>
      <c r="C1400" s="69">
        <v>131</v>
      </c>
      <c r="D1400" s="69">
        <v>10</v>
      </c>
      <c r="E1400" s="69">
        <v>10</v>
      </c>
      <c r="F1400" s="69">
        <v>0</v>
      </c>
      <c r="G1400" s="69" t="s">
        <v>1067</v>
      </c>
      <c r="H1400" s="69" t="s">
        <v>9</v>
      </c>
      <c r="I1400" s="69" t="s">
        <v>1078</v>
      </c>
      <c r="J1400" s="69" t="s">
        <v>64</v>
      </c>
      <c r="K1400" s="69" t="s">
        <v>94</v>
      </c>
      <c r="M1400" s="69" t="s">
        <v>6</v>
      </c>
    </row>
    <row r="1401" spans="2:13">
      <c r="B1401" s="69">
        <v>1399</v>
      </c>
      <c r="C1401" s="69">
        <v>132</v>
      </c>
      <c r="D1401" s="69">
        <v>7</v>
      </c>
      <c r="E1401" s="69">
        <v>0</v>
      </c>
      <c r="F1401" s="69">
        <v>0</v>
      </c>
      <c r="G1401" s="69" t="s">
        <v>1067</v>
      </c>
      <c r="H1401" s="69" t="s">
        <v>9</v>
      </c>
      <c r="I1401" s="69" t="s">
        <v>1087</v>
      </c>
      <c r="J1401" s="69" t="s">
        <v>54</v>
      </c>
      <c r="K1401" s="69" t="s">
        <v>1087</v>
      </c>
      <c r="M1401" s="69" t="s">
        <v>6</v>
      </c>
    </row>
    <row r="1402" spans="2:13">
      <c r="B1402" s="69">
        <v>1400</v>
      </c>
      <c r="C1402" s="69">
        <v>132</v>
      </c>
      <c r="D1402" s="69">
        <v>7</v>
      </c>
      <c r="E1402" s="69">
        <v>1</v>
      </c>
      <c r="F1402" s="69">
        <v>0</v>
      </c>
      <c r="G1402" s="69" t="s">
        <v>1067</v>
      </c>
      <c r="H1402" s="69" t="s">
        <v>9</v>
      </c>
      <c r="I1402" s="69" t="s">
        <v>1087</v>
      </c>
      <c r="J1402" s="69" t="s">
        <v>55</v>
      </c>
      <c r="K1402" s="69" t="s">
        <v>1088</v>
      </c>
      <c r="M1402" s="69" t="s">
        <v>6</v>
      </c>
    </row>
    <row r="1403" spans="2:13">
      <c r="B1403" s="69">
        <v>1401</v>
      </c>
      <c r="C1403" s="69">
        <v>132</v>
      </c>
      <c r="D1403" s="69">
        <v>7</v>
      </c>
      <c r="E1403" s="69">
        <v>2</v>
      </c>
      <c r="F1403" s="69">
        <v>0</v>
      </c>
      <c r="G1403" s="69" t="s">
        <v>1067</v>
      </c>
      <c r="H1403" s="69" t="s">
        <v>9</v>
      </c>
      <c r="I1403" s="69" t="s">
        <v>1087</v>
      </c>
      <c r="J1403" s="69" t="s">
        <v>55</v>
      </c>
      <c r="K1403" s="69" t="s">
        <v>1089</v>
      </c>
      <c r="M1403" s="69" t="s">
        <v>6</v>
      </c>
    </row>
    <row r="1404" spans="2:13">
      <c r="B1404" s="69">
        <v>1402</v>
      </c>
      <c r="C1404" s="69">
        <v>132</v>
      </c>
      <c r="D1404" s="69">
        <v>7</v>
      </c>
      <c r="E1404" s="69">
        <v>3</v>
      </c>
      <c r="F1404" s="69">
        <v>0</v>
      </c>
      <c r="G1404" s="69" t="s">
        <v>1067</v>
      </c>
      <c r="H1404" s="69" t="s">
        <v>9</v>
      </c>
      <c r="I1404" s="69" t="s">
        <v>1087</v>
      </c>
      <c r="J1404" s="69" t="s">
        <v>55</v>
      </c>
      <c r="K1404" s="69" t="s">
        <v>1090</v>
      </c>
      <c r="M1404" s="69" t="s">
        <v>6</v>
      </c>
    </row>
    <row r="1405" spans="2:13">
      <c r="B1405" s="69">
        <v>1403</v>
      </c>
      <c r="C1405" s="69">
        <v>132</v>
      </c>
      <c r="D1405" s="69">
        <v>7</v>
      </c>
      <c r="E1405" s="69">
        <v>4</v>
      </c>
      <c r="F1405" s="69">
        <v>0</v>
      </c>
      <c r="G1405" s="69" t="s">
        <v>1067</v>
      </c>
      <c r="H1405" s="69" t="s">
        <v>9</v>
      </c>
      <c r="I1405" s="69" t="s">
        <v>1087</v>
      </c>
      <c r="J1405" s="69" t="s">
        <v>55</v>
      </c>
      <c r="K1405" s="69" t="s">
        <v>1079</v>
      </c>
      <c r="M1405" s="69" t="s">
        <v>6</v>
      </c>
    </row>
    <row r="1406" spans="2:13">
      <c r="B1406" s="69">
        <v>1404</v>
      </c>
      <c r="C1406" s="69">
        <v>132</v>
      </c>
      <c r="D1406" s="69">
        <v>7</v>
      </c>
      <c r="E1406" s="69">
        <v>5</v>
      </c>
      <c r="F1406" s="69">
        <v>0</v>
      </c>
      <c r="G1406" s="69" t="s">
        <v>1067</v>
      </c>
      <c r="H1406" s="69" t="s">
        <v>9</v>
      </c>
      <c r="I1406" s="69" t="s">
        <v>1087</v>
      </c>
      <c r="J1406" s="69" t="s">
        <v>55</v>
      </c>
      <c r="K1406" s="69" t="s">
        <v>1091</v>
      </c>
      <c r="M1406" s="69" t="s">
        <v>6</v>
      </c>
    </row>
    <row r="1407" spans="2:13">
      <c r="B1407" s="69">
        <v>1405</v>
      </c>
      <c r="C1407" s="69">
        <v>132</v>
      </c>
      <c r="D1407" s="69">
        <v>7</v>
      </c>
      <c r="E1407" s="69">
        <v>6</v>
      </c>
      <c r="F1407" s="69">
        <v>0</v>
      </c>
      <c r="G1407" s="69" t="s">
        <v>1067</v>
      </c>
      <c r="H1407" s="69" t="s">
        <v>9</v>
      </c>
      <c r="I1407" s="69" t="s">
        <v>1087</v>
      </c>
      <c r="J1407" s="69" t="s">
        <v>55</v>
      </c>
      <c r="K1407" s="69" t="s">
        <v>93</v>
      </c>
      <c r="M1407" s="69" t="s">
        <v>6</v>
      </c>
    </row>
    <row r="1408" spans="2:13">
      <c r="B1408" s="69">
        <v>1406</v>
      </c>
      <c r="C1408" s="69">
        <v>132</v>
      </c>
      <c r="D1408" s="69">
        <v>7</v>
      </c>
      <c r="E1408" s="69">
        <v>7</v>
      </c>
      <c r="F1408" s="69">
        <v>0</v>
      </c>
      <c r="G1408" s="69" t="s">
        <v>1067</v>
      </c>
      <c r="H1408" s="69" t="s">
        <v>9</v>
      </c>
      <c r="I1408" s="69" t="s">
        <v>1087</v>
      </c>
      <c r="J1408" s="69" t="s">
        <v>64</v>
      </c>
      <c r="K1408" s="69" t="s">
        <v>94</v>
      </c>
      <c r="M1408" s="69" t="s">
        <v>6</v>
      </c>
    </row>
    <row r="1409" spans="2:13">
      <c r="B1409" s="69">
        <v>1407</v>
      </c>
      <c r="C1409" s="69">
        <v>133</v>
      </c>
      <c r="D1409" s="69">
        <v>11</v>
      </c>
      <c r="E1409" s="69">
        <v>0</v>
      </c>
      <c r="F1409" s="69">
        <v>0</v>
      </c>
      <c r="G1409" s="69" t="s">
        <v>1067</v>
      </c>
      <c r="H1409" s="69" t="s">
        <v>9</v>
      </c>
      <c r="I1409" s="69" t="s">
        <v>1092</v>
      </c>
      <c r="J1409" s="69" t="s">
        <v>478</v>
      </c>
      <c r="K1409" s="69" t="s">
        <v>1092</v>
      </c>
      <c r="M1409" s="69" t="s">
        <v>6</v>
      </c>
    </row>
    <row r="1410" spans="2:13">
      <c r="B1410" s="69">
        <v>1408</v>
      </c>
      <c r="C1410" s="69">
        <v>133</v>
      </c>
      <c r="D1410" s="69">
        <v>11</v>
      </c>
      <c r="E1410" s="69">
        <v>1</v>
      </c>
      <c r="F1410" s="69">
        <v>0</v>
      </c>
      <c r="G1410" s="69" t="s">
        <v>1067</v>
      </c>
      <c r="H1410" s="69" t="s">
        <v>9</v>
      </c>
      <c r="I1410" s="69" t="s">
        <v>1092</v>
      </c>
      <c r="J1410" s="69" t="s">
        <v>55</v>
      </c>
      <c r="K1410" s="69" t="s">
        <v>1093</v>
      </c>
      <c r="M1410" s="69" t="s">
        <v>6</v>
      </c>
    </row>
    <row r="1411" spans="2:13">
      <c r="B1411" s="69">
        <v>1409</v>
      </c>
      <c r="C1411" s="69">
        <v>133</v>
      </c>
      <c r="D1411" s="69">
        <v>11</v>
      </c>
      <c r="E1411" s="69">
        <v>2</v>
      </c>
      <c r="F1411" s="69">
        <v>0</v>
      </c>
      <c r="G1411" s="69" t="s">
        <v>1067</v>
      </c>
      <c r="H1411" s="69" t="s">
        <v>9</v>
      </c>
      <c r="I1411" s="69" t="s">
        <v>1092</v>
      </c>
      <c r="J1411" s="69" t="s">
        <v>55</v>
      </c>
      <c r="K1411" s="69" t="s">
        <v>1094</v>
      </c>
      <c r="M1411" s="69" t="s">
        <v>6</v>
      </c>
    </row>
    <row r="1412" spans="2:13">
      <c r="B1412" s="69">
        <v>1410</v>
      </c>
      <c r="C1412" s="69">
        <v>133</v>
      </c>
      <c r="D1412" s="69">
        <v>11</v>
      </c>
      <c r="E1412" s="69">
        <v>3</v>
      </c>
      <c r="F1412" s="69">
        <v>0</v>
      </c>
      <c r="G1412" s="69" t="s">
        <v>1067</v>
      </c>
      <c r="H1412" s="69" t="s">
        <v>9</v>
      </c>
      <c r="I1412" s="69" t="s">
        <v>1092</v>
      </c>
      <c r="J1412" s="69" t="s">
        <v>55</v>
      </c>
      <c r="K1412" s="69" t="s">
        <v>1095</v>
      </c>
      <c r="M1412" s="69" t="s">
        <v>6</v>
      </c>
    </row>
    <row r="1413" spans="2:13">
      <c r="B1413" s="69">
        <v>1411</v>
      </c>
      <c r="C1413" s="69">
        <v>133</v>
      </c>
      <c r="D1413" s="69">
        <v>11</v>
      </c>
      <c r="E1413" s="69">
        <v>4</v>
      </c>
      <c r="F1413" s="69">
        <v>0</v>
      </c>
      <c r="G1413" s="69" t="s">
        <v>1067</v>
      </c>
      <c r="H1413" s="69" t="s">
        <v>9</v>
      </c>
      <c r="I1413" s="69" t="s">
        <v>1092</v>
      </c>
      <c r="J1413" s="69" t="s">
        <v>55</v>
      </c>
      <c r="K1413" s="69" t="s">
        <v>1096</v>
      </c>
      <c r="M1413" s="69" t="s">
        <v>6</v>
      </c>
    </row>
    <row r="1414" spans="2:13">
      <c r="B1414" s="69">
        <v>1412</v>
      </c>
      <c r="C1414" s="69">
        <v>133</v>
      </c>
      <c r="D1414" s="69">
        <v>11</v>
      </c>
      <c r="E1414" s="69">
        <v>5</v>
      </c>
      <c r="F1414" s="69">
        <v>0</v>
      </c>
      <c r="G1414" s="69" t="s">
        <v>1067</v>
      </c>
      <c r="H1414" s="69" t="s">
        <v>9</v>
      </c>
      <c r="I1414" s="69" t="s">
        <v>1092</v>
      </c>
      <c r="J1414" s="69" t="s">
        <v>55</v>
      </c>
      <c r="K1414" s="69" t="s">
        <v>1097</v>
      </c>
      <c r="M1414" s="69" t="s">
        <v>6</v>
      </c>
    </row>
    <row r="1415" spans="2:13">
      <c r="B1415" s="69">
        <v>1413</v>
      </c>
      <c r="C1415" s="69">
        <v>133</v>
      </c>
      <c r="D1415" s="69">
        <v>11</v>
      </c>
      <c r="E1415" s="69">
        <v>6</v>
      </c>
      <c r="F1415" s="69">
        <v>0</v>
      </c>
      <c r="G1415" s="69" t="s">
        <v>1067</v>
      </c>
      <c r="H1415" s="69" t="s">
        <v>9</v>
      </c>
      <c r="I1415" s="69" t="s">
        <v>1092</v>
      </c>
      <c r="J1415" s="69" t="s">
        <v>55</v>
      </c>
      <c r="K1415" s="69" t="s">
        <v>1098</v>
      </c>
      <c r="M1415" s="69" t="s">
        <v>6</v>
      </c>
    </row>
    <row r="1416" spans="2:13">
      <c r="B1416" s="69">
        <v>1414</v>
      </c>
      <c r="C1416" s="69">
        <v>133</v>
      </c>
      <c r="D1416" s="69">
        <v>11</v>
      </c>
      <c r="E1416" s="69">
        <v>7</v>
      </c>
      <c r="F1416" s="69">
        <v>0</v>
      </c>
      <c r="G1416" s="69" t="s">
        <v>1067</v>
      </c>
      <c r="H1416" s="69" t="s">
        <v>9</v>
      </c>
      <c r="I1416" s="69" t="s">
        <v>1092</v>
      </c>
      <c r="J1416" s="69" t="s">
        <v>55</v>
      </c>
      <c r="K1416" s="69" t="s">
        <v>1099</v>
      </c>
      <c r="M1416" s="69" t="s">
        <v>6</v>
      </c>
    </row>
    <row r="1417" spans="2:13">
      <c r="B1417" s="69">
        <v>1415</v>
      </c>
      <c r="C1417" s="69">
        <v>133</v>
      </c>
      <c r="D1417" s="69">
        <v>11</v>
      </c>
      <c r="E1417" s="69">
        <v>8</v>
      </c>
      <c r="F1417" s="69">
        <v>0</v>
      </c>
      <c r="G1417" s="69" t="s">
        <v>1067</v>
      </c>
      <c r="H1417" s="69" t="s">
        <v>9</v>
      </c>
      <c r="I1417" s="69" t="s">
        <v>1092</v>
      </c>
      <c r="J1417" s="69" t="s">
        <v>55</v>
      </c>
      <c r="K1417" s="69" t="s">
        <v>1100</v>
      </c>
      <c r="M1417" s="69" t="s">
        <v>6</v>
      </c>
    </row>
    <row r="1418" spans="2:13">
      <c r="B1418" s="69">
        <v>1416</v>
      </c>
      <c r="C1418" s="69">
        <v>133</v>
      </c>
      <c r="D1418" s="69">
        <v>11</v>
      </c>
      <c r="E1418" s="69">
        <v>9</v>
      </c>
      <c r="F1418" s="69">
        <v>0</v>
      </c>
      <c r="G1418" s="69" t="s">
        <v>1067</v>
      </c>
      <c r="H1418" s="69" t="s">
        <v>9</v>
      </c>
      <c r="I1418" s="69" t="s">
        <v>1092</v>
      </c>
      <c r="J1418" s="69" t="s">
        <v>55</v>
      </c>
      <c r="K1418" s="69" t="s">
        <v>1101</v>
      </c>
      <c r="M1418" s="69" t="s">
        <v>6</v>
      </c>
    </row>
    <row r="1419" spans="2:13">
      <c r="B1419" s="69">
        <v>1417</v>
      </c>
      <c r="C1419" s="69">
        <v>133</v>
      </c>
      <c r="D1419" s="69">
        <v>11</v>
      </c>
      <c r="E1419" s="69">
        <v>10</v>
      </c>
      <c r="F1419" s="69">
        <v>0</v>
      </c>
      <c r="G1419" s="69" t="s">
        <v>1067</v>
      </c>
      <c r="H1419" s="69" t="s">
        <v>9</v>
      </c>
      <c r="I1419" s="69" t="s">
        <v>1092</v>
      </c>
      <c r="J1419" s="69" t="s">
        <v>55</v>
      </c>
      <c r="K1419" s="69" t="s">
        <v>93</v>
      </c>
      <c r="M1419" s="69" t="s">
        <v>6</v>
      </c>
    </row>
    <row r="1420" spans="2:13">
      <c r="B1420" s="69">
        <v>1418</v>
      </c>
      <c r="C1420" s="69">
        <v>133</v>
      </c>
      <c r="D1420" s="69">
        <v>11</v>
      </c>
      <c r="E1420" s="69">
        <v>11</v>
      </c>
      <c r="F1420" s="69">
        <v>0</v>
      </c>
      <c r="G1420" s="69" t="s">
        <v>1067</v>
      </c>
      <c r="H1420" s="69" t="s">
        <v>9</v>
      </c>
      <c r="I1420" s="69" t="s">
        <v>1092</v>
      </c>
      <c r="J1420" s="69" t="s">
        <v>64</v>
      </c>
      <c r="K1420" s="69" t="s">
        <v>94</v>
      </c>
      <c r="M1420" s="69" t="s">
        <v>6</v>
      </c>
    </row>
    <row r="1421" spans="2:13">
      <c r="B1421" s="69">
        <v>1419</v>
      </c>
      <c r="C1421" s="69">
        <v>134</v>
      </c>
      <c r="D1421" s="69">
        <v>5</v>
      </c>
      <c r="E1421" s="69">
        <v>0</v>
      </c>
      <c r="F1421" s="69">
        <v>0</v>
      </c>
      <c r="G1421" s="69" t="s">
        <v>1067</v>
      </c>
      <c r="H1421" s="69" t="s">
        <v>9</v>
      </c>
      <c r="I1421" s="69" t="s">
        <v>1102</v>
      </c>
      <c r="J1421" s="69" t="s">
        <v>54</v>
      </c>
      <c r="K1421" s="69" t="s">
        <v>1102</v>
      </c>
      <c r="M1421" s="69" t="s">
        <v>6</v>
      </c>
    </row>
    <row r="1422" spans="2:13">
      <c r="B1422" s="69">
        <v>1420</v>
      </c>
      <c r="C1422" s="69">
        <v>134</v>
      </c>
      <c r="D1422" s="69">
        <v>5</v>
      </c>
      <c r="E1422" s="69">
        <v>1</v>
      </c>
      <c r="F1422" s="69">
        <v>0</v>
      </c>
      <c r="G1422" s="69" t="s">
        <v>1067</v>
      </c>
      <c r="H1422" s="69" t="s">
        <v>9</v>
      </c>
      <c r="I1422" s="69" t="s">
        <v>1102</v>
      </c>
      <c r="J1422" s="69" t="s">
        <v>55</v>
      </c>
      <c r="K1422" s="69" t="s">
        <v>1103</v>
      </c>
      <c r="M1422" s="69" t="s">
        <v>6</v>
      </c>
    </row>
    <row r="1423" spans="2:13">
      <c r="B1423" s="69">
        <v>1421</v>
      </c>
      <c r="C1423" s="69">
        <v>134</v>
      </c>
      <c r="D1423" s="69">
        <v>5</v>
      </c>
      <c r="E1423" s="69">
        <v>2</v>
      </c>
      <c r="F1423" s="69">
        <v>0</v>
      </c>
      <c r="G1423" s="69" t="s">
        <v>1067</v>
      </c>
      <c r="H1423" s="69" t="s">
        <v>9</v>
      </c>
      <c r="I1423" s="69" t="s">
        <v>1102</v>
      </c>
      <c r="J1423" s="69" t="s">
        <v>55</v>
      </c>
      <c r="K1423" s="69" t="s">
        <v>1104</v>
      </c>
      <c r="M1423" s="69" t="s">
        <v>6</v>
      </c>
    </row>
    <row r="1424" spans="2:13">
      <c r="B1424" s="69">
        <v>1422</v>
      </c>
      <c r="C1424" s="69">
        <v>134</v>
      </c>
      <c r="D1424" s="69">
        <v>5</v>
      </c>
      <c r="E1424" s="69">
        <v>3</v>
      </c>
      <c r="F1424" s="69">
        <v>0</v>
      </c>
      <c r="G1424" s="69" t="s">
        <v>1067</v>
      </c>
      <c r="H1424" s="69" t="s">
        <v>9</v>
      </c>
      <c r="I1424" s="69" t="s">
        <v>1102</v>
      </c>
      <c r="J1424" s="69" t="s">
        <v>64</v>
      </c>
      <c r="K1424" s="69" t="s">
        <v>1105</v>
      </c>
      <c r="M1424" s="69" t="s">
        <v>6</v>
      </c>
    </row>
    <row r="1425" spans="2:13">
      <c r="B1425" s="69">
        <v>1423</v>
      </c>
      <c r="C1425" s="69">
        <v>134</v>
      </c>
      <c r="D1425" s="69">
        <v>5</v>
      </c>
      <c r="E1425" s="69">
        <v>4</v>
      </c>
      <c r="F1425" s="69">
        <v>0</v>
      </c>
      <c r="G1425" s="69" t="s">
        <v>1067</v>
      </c>
      <c r="H1425" s="69" t="s">
        <v>9</v>
      </c>
      <c r="I1425" s="69" t="s">
        <v>1102</v>
      </c>
      <c r="J1425" s="69" t="s">
        <v>55</v>
      </c>
      <c r="K1425" s="69" t="s">
        <v>93</v>
      </c>
      <c r="M1425" s="69" t="s">
        <v>6</v>
      </c>
    </row>
    <row r="1426" spans="2:13">
      <c r="B1426" s="69">
        <v>1424</v>
      </c>
      <c r="C1426" s="69">
        <v>134</v>
      </c>
      <c r="D1426" s="69">
        <v>5</v>
      </c>
      <c r="E1426" s="69">
        <v>5</v>
      </c>
      <c r="F1426" s="69">
        <v>0</v>
      </c>
      <c r="G1426" s="69" t="s">
        <v>1067</v>
      </c>
      <c r="H1426" s="69" t="s">
        <v>9</v>
      </c>
      <c r="I1426" s="69" t="s">
        <v>1102</v>
      </c>
      <c r="J1426" s="69" t="s">
        <v>64</v>
      </c>
      <c r="K1426" s="69" t="s">
        <v>94</v>
      </c>
      <c r="M1426" s="69" t="s">
        <v>6</v>
      </c>
    </row>
    <row r="1427" spans="2:13">
      <c r="B1427" s="69">
        <v>1425</v>
      </c>
      <c r="C1427" s="69">
        <v>135</v>
      </c>
      <c r="D1427" s="69">
        <v>5</v>
      </c>
      <c r="E1427" s="69">
        <v>0</v>
      </c>
      <c r="F1427" s="69">
        <v>0</v>
      </c>
      <c r="G1427" s="69" t="s">
        <v>1067</v>
      </c>
      <c r="H1427" s="69" t="s">
        <v>9</v>
      </c>
      <c r="I1427" s="69" t="s">
        <v>1106</v>
      </c>
      <c r="J1427" s="69" t="s">
        <v>54</v>
      </c>
      <c r="K1427" s="69" t="s">
        <v>1106</v>
      </c>
      <c r="M1427" s="69" t="s">
        <v>6</v>
      </c>
    </row>
    <row r="1428" spans="2:13">
      <c r="B1428" s="69">
        <v>1426</v>
      </c>
      <c r="C1428" s="69">
        <v>135</v>
      </c>
      <c r="D1428" s="69">
        <v>5</v>
      </c>
      <c r="E1428" s="69">
        <v>1</v>
      </c>
      <c r="F1428" s="69">
        <v>0</v>
      </c>
      <c r="G1428" s="69" t="s">
        <v>1067</v>
      </c>
      <c r="H1428" s="69" t="s">
        <v>9</v>
      </c>
      <c r="I1428" s="69" t="s">
        <v>1106</v>
      </c>
      <c r="J1428" s="69" t="s">
        <v>55</v>
      </c>
      <c r="K1428" s="69" t="s">
        <v>1107</v>
      </c>
      <c r="M1428" s="69" t="s">
        <v>6</v>
      </c>
    </row>
    <row r="1429" spans="2:13">
      <c r="B1429" s="69">
        <v>1427</v>
      </c>
      <c r="C1429" s="69">
        <v>135</v>
      </c>
      <c r="D1429" s="69">
        <v>5</v>
      </c>
      <c r="E1429" s="69">
        <v>2</v>
      </c>
      <c r="F1429" s="69">
        <v>0</v>
      </c>
      <c r="G1429" s="69" t="s">
        <v>1067</v>
      </c>
      <c r="H1429" s="69" t="s">
        <v>9</v>
      </c>
      <c r="I1429" s="69" t="s">
        <v>1106</v>
      </c>
      <c r="J1429" s="69" t="s">
        <v>55</v>
      </c>
      <c r="K1429" s="69" t="s">
        <v>1108</v>
      </c>
      <c r="M1429" s="69" t="s">
        <v>6</v>
      </c>
    </row>
    <row r="1430" spans="2:13">
      <c r="B1430" s="69">
        <v>1428</v>
      </c>
      <c r="C1430" s="69">
        <v>135</v>
      </c>
      <c r="D1430" s="69">
        <v>5</v>
      </c>
      <c r="E1430" s="69">
        <v>3</v>
      </c>
      <c r="F1430" s="69">
        <v>0</v>
      </c>
      <c r="G1430" s="69" t="s">
        <v>1067</v>
      </c>
      <c r="H1430" s="69" t="s">
        <v>9</v>
      </c>
      <c r="I1430" s="69" t="s">
        <v>1106</v>
      </c>
      <c r="J1430" s="69" t="s">
        <v>64</v>
      </c>
      <c r="K1430" s="69" t="s">
        <v>1105</v>
      </c>
      <c r="M1430" s="69" t="s">
        <v>6</v>
      </c>
    </row>
    <row r="1431" spans="2:13">
      <c r="B1431" s="69">
        <v>1429</v>
      </c>
      <c r="C1431" s="69">
        <v>135</v>
      </c>
      <c r="D1431" s="69">
        <v>5</v>
      </c>
      <c r="E1431" s="69">
        <v>4</v>
      </c>
      <c r="F1431" s="69">
        <v>0</v>
      </c>
      <c r="G1431" s="69" t="s">
        <v>1067</v>
      </c>
      <c r="H1431" s="69" t="s">
        <v>9</v>
      </c>
      <c r="I1431" s="69" t="s">
        <v>1106</v>
      </c>
      <c r="J1431" s="69" t="s">
        <v>55</v>
      </c>
      <c r="K1431" s="69" t="s">
        <v>93</v>
      </c>
      <c r="M1431" s="69" t="s">
        <v>6</v>
      </c>
    </row>
    <row r="1432" spans="2:13">
      <c r="B1432" s="69">
        <v>1430</v>
      </c>
      <c r="C1432" s="69">
        <v>135</v>
      </c>
      <c r="D1432" s="69">
        <v>5</v>
      </c>
      <c r="E1432" s="69">
        <v>5</v>
      </c>
      <c r="F1432" s="69">
        <v>0</v>
      </c>
      <c r="G1432" s="69" t="s">
        <v>1067</v>
      </c>
      <c r="H1432" s="69" t="s">
        <v>9</v>
      </c>
      <c r="I1432" s="69" t="s">
        <v>1106</v>
      </c>
      <c r="J1432" s="69" t="s">
        <v>64</v>
      </c>
      <c r="K1432" s="69" t="s">
        <v>94</v>
      </c>
      <c r="M1432" s="69" t="s">
        <v>6</v>
      </c>
    </row>
    <row r="1433" spans="2:13">
      <c r="B1433" s="69">
        <v>1431</v>
      </c>
      <c r="C1433" s="69">
        <v>136</v>
      </c>
      <c r="D1433" s="69">
        <v>8</v>
      </c>
      <c r="E1433" s="69">
        <v>0</v>
      </c>
      <c r="F1433" s="69">
        <v>0</v>
      </c>
      <c r="G1433" s="69" t="s">
        <v>1067</v>
      </c>
      <c r="H1433" s="69" t="s">
        <v>9</v>
      </c>
      <c r="I1433" s="69" t="s">
        <v>1109</v>
      </c>
      <c r="J1433" s="69" t="s">
        <v>54</v>
      </c>
      <c r="K1433" s="69" t="s">
        <v>1109</v>
      </c>
      <c r="M1433" s="69" t="s">
        <v>6</v>
      </c>
    </row>
    <row r="1434" spans="2:13">
      <c r="B1434" s="69">
        <v>1432</v>
      </c>
      <c r="C1434" s="69">
        <v>136</v>
      </c>
      <c r="D1434" s="69">
        <v>8</v>
      </c>
      <c r="E1434" s="69">
        <v>1</v>
      </c>
      <c r="F1434" s="69">
        <v>0</v>
      </c>
      <c r="G1434" s="69" t="s">
        <v>1067</v>
      </c>
      <c r="H1434" s="69" t="s">
        <v>9</v>
      </c>
      <c r="I1434" s="69" t="s">
        <v>1109</v>
      </c>
      <c r="J1434" s="69" t="s">
        <v>55</v>
      </c>
      <c r="K1434" s="69" t="s">
        <v>1079</v>
      </c>
      <c r="M1434" s="69" t="s">
        <v>6</v>
      </c>
    </row>
    <row r="1435" spans="2:13">
      <c r="B1435" s="69">
        <v>1433</v>
      </c>
      <c r="C1435" s="69">
        <v>136</v>
      </c>
      <c r="D1435" s="69">
        <v>8</v>
      </c>
      <c r="E1435" s="69">
        <v>2</v>
      </c>
      <c r="F1435" s="69">
        <v>0</v>
      </c>
      <c r="G1435" s="69" t="s">
        <v>1067</v>
      </c>
      <c r="H1435" s="69" t="s">
        <v>9</v>
      </c>
      <c r="I1435" s="69" t="s">
        <v>1109</v>
      </c>
      <c r="J1435" s="69" t="s">
        <v>55</v>
      </c>
      <c r="K1435" s="69" t="s">
        <v>1080</v>
      </c>
      <c r="M1435" s="69" t="s">
        <v>6</v>
      </c>
    </row>
    <row r="1436" spans="2:13">
      <c r="B1436" s="69">
        <v>1434</v>
      </c>
      <c r="C1436" s="69">
        <v>136</v>
      </c>
      <c r="D1436" s="69">
        <v>8</v>
      </c>
      <c r="E1436" s="69">
        <v>3</v>
      </c>
      <c r="F1436" s="69">
        <v>0</v>
      </c>
      <c r="G1436" s="69" t="s">
        <v>1067</v>
      </c>
      <c r="H1436" s="69" t="s">
        <v>9</v>
      </c>
      <c r="I1436" s="69" t="s">
        <v>1109</v>
      </c>
      <c r="J1436" s="69" t="s">
        <v>55</v>
      </c>
      <c r="K1436" s="69" t="s">
        <v>1082</v>
      </c>
      <c r="M1436" s="69" t="s">
        <v>6</v>
      </c>
    </row>
    <row r="1437" spans="2:13">
      <c r="B1437" s="69">
        <v>1435</v>
      </c>
      <c r="C1437" s="69">
        <v>136</v>
      </c>
      <c r="D1437" s="69">
        <v>8</v>
      </c>
      <c r="E1437" s="69">
        <v>4</v>
      </c>
      <c r="F1437" s="69">
        <v>0</v>
      </c>
      <c r="G1437" s="69" t="s">
        <v>1067</v>
      </c>
      <c r="H1437" s="69" t="s">
        <v>9</v>
      </c>
      <c r="I1437" s="69" t="s">
        <v>1109</v>
      </c>
      <c r="J1437" s="69" t="s">
        <v>55</v>
      </c>
      <c r="K1437" s="69" t="s">
        <v>1083</v>
      </c>
      <c r="M1437" s="69" t="s">
        <v>6</v>
      </c>
    </row>
    <row r="1438" spans="2:13">
      <c r="B1438" s="69">
        <v>1436</v>
      </c>
      <c r="C1438" s="69">
        <v>136</v>
      </c>
      <c r="D1438" s="69">
        <v>8</v>
      </c>
      <c r="E1438" s="69">
        <v>5</v>
      </c>
      <c r="F1438" s="69">
        <v>0</v>
      </c>
      <c r="G1438" s="69" t="s">
        <v>1067</v>
      </c>
      <c r="H1438" s="69" t="s">
        <v>9</v>
      </c>
      <c r="I1438" s="69" t="s">
        <v>1109</v>
      </c>
      <c r="J1438" s="69" t="s">
        <v>55</v>
      </c>
      <c r="K1438" s="69" t="s">
        <v>1084</v>
      </c>
      <c r="M1438" s="69" t="s">
        <v>6</v>
      </c>
    </row>
    <row r="1439" spans="2:13">
      <c r="B1439" s="69">
        <v>1437</v>
      </c>
      <c r="C1439" s="69">
        <v>136</v>
      </c>
      <c r="D1439" s="69">
        <v>8</v>
      </c>
      <c r="E1439" s="69">
        <v>6</v>
      </c>
      <c r="F1439" s="69">
        <v>0</v>
      </c>
      <c r="G1439" s="69" t="s">
        <v>1067</v>
      </c>
      <c r="H1439" s="69" t="s">
        <v>9</v>
      </c>
      <c r="I1439" s="69" t="s">
        <v>1109</v>
      </c>
      <c r="J1439" s="69" t="s">
        <v>55</v>
      </c>
      <c r="K1439" s="69" t="s">
        <v>1086</v>
      </c>
      <c r="M1439" s="69" t="s">
        <v>6</v>
      </c>
    </row>
    <row r="1440" spans="2:13">
      <c r="B1440" s="69">
        <v>1438</v>
      </c>
      <c r="C1440" s="69">
        <v>136</v>
      </c>
      <c r="D1440" s="69">
        <v>8</v>
      </c>
      <c r="E1440" s="69">
        <v>7</v>
      </c>
      <c r="F1440" s="69">
        <v>0</v>
      </c>
      <c r="G1440" s="69" t="s">
        <v>1067</v>
      </c>
      <c r="H1440" s="69" t="s">
        <v>9</v>
      </c>
      <c r="I1440" s="69" t="s">
        <v>1109</v>
      </c>
      <c r="J1440" s="69" t="s">
        <v>55</v>
      </c>
      <c r="K1440" s="69" t="s">
        <v>93</v>
      </c>
      <c r="M1440" s="69" t="s">
        <v>6</v>
      </c>
    </row>
    <row r="1441" spans="2:13">
      <c r="B1441" s="69">
        <v>1439</v>
      </c>
      <c r="C1441" s="69">
        <v>136</v>
      </c>
      <c r="D1441" s="69">
        <v>8</v>
      </c>
      <c r="E1441" s="69">
        <v>8</v>
      </c>
      <c r="F1441" s="69">
        <v>0</v>
      </c>
      <c r="G1441" s="69" t="s">
        <v>1067</v>
      </c>
      <c r="H1441" s="69" t="s">
        <v>9</v>
      </c>
      <c r="I1441" s="69" t="s">
        <v>1109</v>
      </c>
      <c r="J1441" s="69" t="s">
        <v>64</v>
      </c>
      <c r="K1441" s="69" t="s">
        <v>94</v>
      </c>
      <c r="M1441" s="69" t="s">
        <v>6</v>
      </c>
    </row>
    <row r="1442" spans="2:13">
      <c r="B1442" s="69">
        <v>1440</v>
      </c>
      <c r="C1442" s="69">
        <v>137</v>
      </c>
      <c r="D1442" s="69">
        <v>8</v>
      </c>
      <c r="E1442" s="69">
        <v>0</v>
      </c>
      <c r="F1442" s="69">
        <v>0</v>
      </c>
      <c r="G1442" s="69" t="s">
        <v>1067</v>
      </c>
      <c r="H1442" s="69" t="s">
        <v>9</v>
      </c>
      <c r="I1442" s="69" t="s">
        <v>1110</v>
      </c>
      <c r="J1442" s="69" t="s">
        <v>54</v>
      </c>
      <c r="K1442" s="69" t="s">
        <v>1110</v>
      </c>
      <c r="M1442" s="69" t="s">
        <v>6</v>
      </c>
    </row>
    <row r="1443" spans="2:13">
      <c r="B1443" s="69">
        <v>1441</v>
      </c>
      <c r="C1443" s="69">
        <v>137</v>
      </c>
      <c r="D1443" s="69">
        <v>8</v>
      </c>
      <c r="E1443" s="69">
        <v>1</v>
      </c>
      <c r="F1443" s="69">
        <v>0</v>
      </c>
      <c r="G1443" s="69" t="s">
        <v>1067</v>
      </c>
      <c r="H1443" s="69" t="s">
        <v>9</v>
      </c>
      <c r="I1443" s="69" t="s">
        <v>1110</v>
      </c>
      <c r="J1443" s="69" t="s">
        <v>55</v>
      </c>
      <c r="K1443" s="69" t="s">
        <v>1111</v>
      </c>
      <c r="M1443" s="69" t="s">
        <v>6</v>
      </c>
    </row>
    <row r="1444" spans="2:13">
      <c r="B1444" s="69">
        <v>1442</v>
      </c>
      <c r="C1444" s="69">
        <v>137</v>
      </c>
      <c r="D1444" s="69">
        <v>8</v>
      </c>
      <c r="E1444" s="69">
        <v>2</v>
      </c>
      <c r="F1444" s="69">
        <v>0</v>
      </c>
      <c r="G1444" s="69" t="s">
        <v>1067</v>
      </c>
      <c r="H1444" s="69" t="s">
        <v>9</v>
      </c>
      <c r="I1444" s="69" t="s">
        <v>1110</v>
      </c>
      <c r="J1444" s="69" t="s">
        <v>55</v>
      </c>
      <c r="K1444" s="69" t="s">
        <v>1112</v>
      </c>
      <c r="M1444" s="69" t="s">
        <v>6</v>
      </c>
    </row>
    <row r="1445" spans="2:13">
      <c r="B1445" s="69">
        <v>1443</v>
      </c>
      <c r="C1445" s="69">
        <v>137</v>
      </c>
      <c r="D1445" s="69">
        <v>8</v>
      </c>
      <c r="E1445" s="69">
        <v>3</v>
      </c>
      <c r="F1445" s="69">
        <v>0</v>
      </c>
      <c r="G1445" s="69" t="s">
        <v>1067</v>
      </c>
      <c r="H1445" s="69" t="s">
        <v>9</v>
      </c>
      <c r="I1445" s="69" t="s">
        <v>1110</v>
      </c>
      <c r="J1445" s="69" t="s">
        <v>55</v>
      </c>
      <c r="K1445" s="69" t="s">
        <v>1113</v>
      </c>
      <c r="M1445" s="69" t="s">
        <v>6</v>
      </c>
    </row>
    <row r="1446" spans="2:13">
      <c r="B1446" s="69">
        <v>1444</v>
      </c>
      <c r="C1446" s="69">
        <v>137</v>
      </c>
      <c r="D1446" s="69">
        <v>8</v>
      </c>
      <c r="E1446" s="69">
        <v>4</v>
      </c>
      <c r="F1446" s="69">
        <v>0</v>
      </c>
      <c r="G1446" s="69" t="s">
        <v>1067</v>
      </c>
      <c r="H1446" s="69" t="s">
        <v>9</v>
      </c>
      <c r="I1446" s="69" t="s">
        <v>1110</v>
      </c>
      <c r="J1446" s="69" t="s">
        <v>55</v>
      </c>
      <c r="K1446" s="69" t="s">
        <v>1114</v>
      </c>
      <c r="M1446" s="69" t="s">
        <v>6</v>
      </c>
    </row>
    <row r="1447" spans="2:13">
      <c r="B1447" s="69">
        <v>1445</v>
      </c>
      <c r="C1447" s="69">
        <v>137</v>
      </c>
      <c r="D1447" s="69">
        <v>8</v>
      </c>
      <c r="E1447" s="69">
        <v>5</v>
      </c>
      <c r="F1447" s="69">
        <v>0</v>
      </c>
      <c r="G1447" s="69" t="s">
        <v>1067</v>
      </c>
      <c r="H1447" s="69" t="s">
        <v>9</v>
      </c>
      <c r="I1447" s="69" t="s">
        <v>1110</v>
      </c>
      <c r="J1447" s="69" t="s">
        <v>55</v>
      </c>
      <c r="K1447" s="69" t="s">
        <v>1115</v>
      </c>
      <c r="M1447" s="69" t="s">
        <v>6</v>
      </c>
    </row>
    <row r="1448" spans="2:13">
      <c r="B1448" s="69">
        <v>1446</v>
      </c>
      <c r="C1448" s="69">
        <v>137</v>
      </c>
      <c r="D1448" s="69">
        <v>8</v>
      </c>
      <c r="E1448" s="69">
        <v>6</v>
      </c>
      <c r="F1448" s="69">
        <v>0</v>
      </c>
      <c r="G1448" s="69" t="s">
        <v>1067</v>
      </c>
      <c r="H1448" s="69" t="s">
        <v>9</v>
      </c>
      <c r="I1448" s="69" t="s">
        <v>1110</v>
      </c>
      <c r="J1448" s="69" t="s">
        <v>55</v>
      </c>
      <c r="K1448" s="69" t="s">
        <v>1116</v>
      </c>
      <c r="M1448" s="69" t="s">
        <v>6</v>
      </c>
    </row>
    <row r="1449" spans="2:13">
      <c r="B1449" s="69">
        <v>1447</v>
      </c>
      <c r="C1449" s="69">
        <v>137</v>
      </c>
      <c r="D1449" s="69">
        <v>8</v>
      </c>
      <c r="E1449" s="69">
        <v>7</v>
      </c>
      <c r="F1449" s="69">
        <v>0</v>
      </c>
      <c r="G1449" s="69" t="s">
        <v>1067</v>
      </c>
      <c r="H1449" s="69" t="s">
        <v>9</v>
      </c>
      <c r="I1449" s="69" t="s">
        <v>1110</v>
      </c>
      <c r="J1449" s="69" t="s">
        <v>55</v>
      </c>
      <c r="K1449" s="69" t="s">
        <v>93</v>
      </c>
      <c r="M1449" s="69" t="s">
        <v>6</v>
      </c>
    </row>
    <row r="1450" spans="2:13">
      <c r="B1450" s="69">
        <v>1448</v>
      </c>
      <c r="C1450" s="69">
        <v>137</v>
      </c>
      <c r="D1450" s="69">
        <v>8</v>
      </c>
      <c r="E1450" s="69">
        <v>8</v>
      </c>
      <c r="F1450" s="69">
        <v>0</v>
      </c>
      <c r="G1450" s="69" t="s">
        <v>1067</v>
      </c>
      <c r="H1450" s="69" t="s">
        <v>9</v>
      </c>
      <c r="I1450" s="69" t="s">
        <v>1110</v>
      </c>
      <c r="J1450" s="69" t="s">
        <v>64</v>
      </c>
      <c r="K1450" s="69" t="s">
        <v>94</v>
      </c>
      <c r="M1450" s="69" t="s">
        <v>6</v>
      </c>
    </row>
    <row r="1451" spans="2:13">
      <c r="B1451" s="69">
        <v>1449</v>
      </c>
      <c r="C1451" s="69">
        <v>138</v>
      </c>
      <c r="D1451" s="69">
        <v>9</v>
      </c>
      <c r="E1451" s="69">
        <v>0</v>
      </c>
      <c r="F1451" s="69">
        <v>0</v>
      </c>
      <c r="G1451" s="69" t="s">
        <v>1067</v>
      </c>
      <c r="H1451" s="69" t="s">
        <v>9</v>
      </c>
      <c r="I1451" s="69" t="s">
        <v>1117</v>
      </c>
      <c r="J1451" s="69" t="s">
        <v>54</v>
      </c>
      <c r="K1451" s="69" t="s">
        <v>1117</v>
      </c>
      <c r="M1451" s="69" t="s">
        <v>6</v>
      </c>
    </row>
    <row r="1452" spans="2:13">
      <c r="B1452" s="69">
        <v>1450</v>
      </c>
      <c r="C1452" s="69">
        <v>138</v>
      </c>
      <c r="D1452" s="69">
        <v>9</v>
      </c>
      <c r="E1452" s="69">
        <v>1</v>
      </c>
      <c r="F1452" s="69">
        <v>0</v>
      </c>
      <c r="G1452" s="69" t="s">
        <v>1067</v>
      </c>
      <c r="H1452" s="69" t="s">
        <v>9</v>
      </c>
      <c r="I1452" s="69" t="s">
        <v>1117</v>
      </c>
      <c r="J1452" s="69" t="s">
        <v>55</v>
      </c>
      <c r="K1452" s="69" t="s">
        <v>1111</v>
      </c>
      <c r="M1452" s="69" t="s">
        <v>6</v>
      </c>
    </row>
    <row r="1453" spans="2:13">
      <c r="B1453" s="69">
        <v>1451</v>
      </c>
      <c r="C1453" s="69">
        <v>138</v>
      </c>
      <c r="D1453" s="69">
        <v>9</v>
      </c>
      <c r="E1453" s="69">
        <v>2</v>
      </c>
      <c r="F1453" s="69">
        <v>0</v>
      </c>
      <c r="G1453" s="69" t="s">
        <v>1067</v>
      </c>
      <c r="H1453" s="69" t="s">
        <v>9</v>
      </c>
      <c r="I1453" s="69" t="s">
        <v>1117</v>
      </c>
      <c r="J1453" s="69" t="s">
        <v>55</v>
      </c>
      <c r="K1453" s="69" t="s">
        <v>1112</v>
      </c>
      <c r="M1453" s="69" t="s">
        <v>6</v>
      </c>
    </row>
    <row r="1454" spans="2:13">
      <c r="B1454" s="69">
        <v>1452</v>
      </c>
      <c r="C1454" s="69">
        <v>138</v>
      </c>
      <c r="D1454" s="69">
        <v>9</v>
      </c>
      <c r="E1454" s="69">
        <v>3</v>
      </c>
      <c r="F1454" s="69">
        <v>0</v>
      </c>
      <c r="G1454" s="69" t="s">
        <v>1067</v>
      </c>
      <c r="H1454" s="69" t="s">
        <v>9</v>
      </c>
      <c r="I1454" s="69" t="s">
        <v>1117</v>
      </c>
      <c r="J1454" s="69" t="s">
        <v>214</v>
      </c>
      <c r="K1454" s="69" t="s">
        <v>1118</v>
      </c>
      <c r="M1454" s="69" t="s">
        <v>6</v>
      </c>
    </row>
    <row r="1455" spans="2:13">
      <c r="B1455" s="69">
        <v>1453</v>
      </c>
      <c r="C1455" s="69">
        <v>138</v>
      </c>
      <c r="D1455" s="69">
        <v>9</v>
      </c>
      <c r="E1455" s="69">
        <v>4</v>
      </c>
      <c r="F1455" s="69">
        <v>0</v>
      </c>
      <c r="G1455" s="69" t="s">
        <v>1067</v>
      </c>
      <c r="H1455" s="69" t="s">
        <v>9</v>
      </c>
      <c r="I1455" s="69" t="s">
        <v>1117</v>
      </c>
      <c r="J1455" s="69" t="s">
        <v>55</v>
      </c>
      <c r="K1455" s="69" t="s">
        <v>1113</v>
      </c>
      <c r="M1455" s="69" t="s">
        <v>6</v>
      </c>
    </row>
    <row r="1456" spans="2:13">
      <c r="B1456" s="69">
        <v>1454</v>
      </c>
      <c r="C1456" s="69">
        <v>138</v>
      </c>
      <c r="D1456" s="69">
        <v>9</v>
      </c>
      <c r="E1456" s="69">
        <v>5</v>
      </c>
      <c r="F1456" s="69">
        <v>0</v>
      </c>
      <c r="G1456" s="69" t="s">
        <v>1067</v>
      </c>
      <c r="H1456" s="69" t="s">
        <v>9</v>
      </c>
      <c r="I1456" s="69" t="s">
        <v>1117</v>
      </c>
      <c r="J1456" s="69" t="s">
        <v>55</v>
      </c>
      <c r="K1456" s="69" t="s">
        <v>1114</v>
      </c>
      <c r="M1456" s="69" t="s">
        <v>6</v>
      </c>
    </row>
    <row r="1457" spans="2:13">
      <c r="B1457" s="69">
        <v>1455</v>
      </c>
      <c r="C1457" s="69">
        <v>138</v>
      </c>
      <c r="D1457" s="69">
        <v>9</v>
      </c>
      <c r="E1457" s="69">
        <v>6</v>
      </c>
      <c r="F1457" s="69">
        <v>0</v>
      </c>
      <c r="G1457" s="69" t="s">
        <v>1067</v>
      </c>
      <c r="H1457" s="69" t="s">
        <v>9</v>
      </c>
      <c r="I1457" s="69" t="s">
        <v>1117</v>
      </c>
      <c r="J1457" s="69" t="s">
        <v>55</v>
      </c>
      <c r="K1457" s="69" t="s">
        <v>1115</v>
      </c>
      <c r="M1457" s="69" t="s">
        <v>6</v>
      </c>
    </row>
    <row r="1458" spans="2:13">
      <c r="B1458" s="69">
        <v>1456</v>
      </c>
      <c r="C1458" s="69">
        <v>138</v>
      </c>
      <c r="D1458" s="69">
        <v>9</v>
      </c>
      <c r="E1458" s="69">
        <v>7</v>
      </c>
      <c r="F1458" s="69">
        <v>0</v>
      </c>
      <c r="G1458" s="69" t="s">
        <v>1067</v>
      </c>
      <c r="H1458" s="69" t="s">
        <v>9</v>
      </c>
      <c r="I1458" s="69" t="s">
        <v>1117</v>
      </c>
      <c r="J1458" s="69" t="s">
        <v>55</v>
      </c>
      <c r="K1458" s="69" t="s">
        <v>1119</v>
      </c>
      <c r="M1458" s="69" t="s">
        <v>6</v>
      </c>
    </row>
    <row r="1459" spans="2:13">
      <c r="B1459" s="69">
        <v>1457</v>
      </c>
      <c r="C1459" s="69">
        <v>138</v>
      </c>
      <c r="D1459" s="69">
        <v>9</v>
      </c>
      <c r="E1459" s="69">
        <v>8</v>
      </c>
      <c r="F1459" s="69">
        <v>0</v>
      </c>
      <c r="G1459" s="69" t="s">
        <v>1067</v>
      </c>
      <c r="H1459" s="69" t="s">
        <v>9</v>
      </c>
      <c r="I1459" s="69" t="s">
        <v>1117</v>
      </c>
      <c r="J1459" s="69" t="s">
        <v>55</v>
      </c>
      <c r="K1459" s="69" t="s">
        <v>93</v>
      </c>
      <c r="M1459" s="69" t="s">
        <v>6</v>
      </c>
    </row>
    <row r="1460" spans="2:13">
      <c r="B1460" s="69">
        <v>1458</v>
      </c>
      <c r="C1460" s="69">
        <v>138</v>
      </c>
      <c r="D1460" s="69">
        <v>9</v>
      </c>
      <c r="E1460" s="69">
        <v>9</v>
      </c>
      <c r="F1460" s="69">
        <v>0</v>
      </c>
      <c r="G1460" s="69" t="s">
        <v>1067</v>
      </c>
      <c r="H1460" s="69" t="s">
        <v>9</v>
      </c>
      <c r="I1460" s="69" t="s">
        <v>1117</v>
      </c>
      <c r="J1460" s="69" t="s">
        <v>64</v>
      </c>
      <c r="K1460" s="69" t="s">
        <v>94</v>
      </c>
      <c r="M1460" s="69" t="s">
        <v>6</v>
      </c>
    </row>
    <row r="1461" spans="2:13">
      <c r="B1461" s="69">
        <v>1459</v>
      </c>
      <c r="C1461" s="69">
        <v>139</v>
      </c>
      <c r="D1461" s="69">
        <v>10</v>
      </c>
      <c r="E1461" s="69">
        <v>0</v>
      </c>
      <c r="F1461" s="69">
        <v>0</v>
      </c>
      <c r="G1461" s="69" t="s">
        <v>1067</v>
      </c>
      <c r="H1461" s="69" t="s">
        <v>9</v>
      </c>
      <c r="I1461" s="69" t="s">
        <v>1120</v>
      </c>
      <c r="J1461" s="69" t="s">
        <v>54</v>
      </c>
      <c r="K1461" s="69" t="s">
        <v>1120</v>
      </c>
      <c r="M1461" s="69" t="s">
        <v>6</v>
      </c>
    </row>
    <row r="1462" spans="2:13">
      <c r="B1462" s="69">
        <v>1460</v>
      </c>
      <c r="C1462" s="69">
        <v>139</v>
      </c>
      <c r="D1462" s="69">
        <v>10</v>
      </c>
      <c r="E1462" s="69">
        <v>1</v>
      </c>
      <c r="F1462" s="69">
        <v>0</v>
      </c>
      <c r="G1462" s="69" t="s">
        <v>1067</v>
      </c>
      <c r="H1462" s="69" t="s">
        <v>9</v>
      </c>
      <c r="I1462" s="69" t="s">
        <v>1120</v>
      </c>
      <c r="J1462" s="69" t="s">
        <v>55</v>
      </c>
      <c r="K1462" s="69" t="s">
        <v>1121</v>
      </c>
      <c r="M1462" s="69" t="s">
        <v>6</v>
      </c>
    </row>
    <row r="1463" spans="2:13">
      <c r="B1463" s="69">
        <v>1461</v>
      </c>
      <c r="C1463" s="69">
        <v>139</v>
      </c>
      <c r="D1463" s="69">
        <v>10</v>
      </c>
      <c r="E1463" s="69">
        <v>2</v>
      </c>
      <c r="F1463" s="69">
        <v>0</v>
      </c>
      <c r="G1463" s="69" t="s">
        <v>1067</v>
      </c>
      <c r="H1463" s="69" t="s">
        <v>9</v>
      </c>
      <c r="I1463" s="69" t="s">
        <v>1120</v>
      </c>
      <c r="J1463" s="69" t="s">
        <v>55</v>
      </c>
      <c r="K1463" s="69" t="s">
        <v>1122</v>
      </c>
      <c r="M1463" s="69" t="s">
        <v>6</v>
      </c>
    </row>
    <row r="1464" spans="2:13">
      <c r="B1464" s="69">
        <v>1462</v>
      </c>
      <c r="C1464" s="69">
        <v>139</v>
      </c>
      <c r="D1464" s="69">
        <v>10</v>
      </c>
      <c r="E1464" s="69">
        <v>3</v>
      </c>
      <c r="F1464" s="69">
        <v>0</v>
      </c>
      <c r="G1464" s="69" t="s">
        <v>1067</v>
      </c>
      <c r="H1464" s="69" t="s">
        <v>9</v>
      </c>
      <c r="I1464" s="69" t="s">
        <v>1120</v>
      </c>
      <c r="J1464" s="69" t="s">
        <v>55</v>
      </c>
      <c r="K1464" s="69" t="s">
        <v>1123</v>
      </c>
      <c r="M1464" s="69" t="s">
        <v>6</v>
      </c>
    </row>
    <row r="1465" spans="2:13">
      <c r="B1465" s="69">
        <v>1463</v>
      </c>
      <c r="C1465" s="69">
        <v>139</v>
      </c>
      <c r="D1465" s="69">
        <v>10</v>
      </c>
      <c r="E1465" s="69">
        <v>4</v>
      </c>
      <c r="F1465" s="69">
        <v>0</v>
      </c>
      <c r="G1465" s="69" t="s">
        <v>1067</v>
      </c>
      <c r="H1465" s="69" t="s">
        <v>9</v>
      </c>
      <c r="I1465" s="69" t="s">
        <v>1120</v>
      </c>
      <c r="J1465" s="69" t="s">
        <v>55</v>
      </c>
      <c r="K1465" s="69" t="s">
        <v>1124</v>
      </c>
      <c r="M1465" s="69" t="s">
        <v>6</v>
      </c>
    </row>
    <row r="1466" spans="2:13">
      <c r="B1466" s="69">
        <v>1464</v>
      </c>
      <c r="C1466" s="69">
        <v>139</v>
      </c>
      <c r="D1466" s="69">
        <v>10</v>
      </c>
      <c r="E1466" s="69">
        <v>5</v>
      </c>
      <c r="F1466" s="69">
        <v>0</v>
      </c>
      <c r="G1466" s="69" t="s">
        <v>1067</v>
      </c>
      <c r="H1466" s="69" t="s">
        <v>9</v>
      </c>
      <c r="I1466" s="69" t="s">
        <v>1120</v>
      </c>
      <c r="J1466" s="69" t="s">
        <v>55</v>
      </c>
      <c r="K1466" s="69" t="s">
        <v>1125</v>
      </c>
      <c r="M1466" s="69" t="s">
        <v>6</v>
      </c>
    </row>
    <row r="1467" spans="2:13">
      <c r="B1467" s="69">
        <v>1465</v>
      </c>
      <c r="C1467" s="69">
        <v>139</v>
      </c>
      <c r="D1467" s="69">
        <v>10</v>
      </c>
      <c r="E1467" s="69">
        <v>6</v>
      </c>
      <c r="F1467" s="69">
        <v>0</v>
      </c>
      <c r="G1467" s="69" t="s">
        <v>1067</v>
      </c>
      <c r="H1467" s="69" t="s">
        <v>9</v>
      </c>
      <c r="I1467" s="69" t="s">
        <v>1120</v>
      </c>
      <c r="J1467" s="69" t="s">
        <v>55</v>
      </c>
      <c r="K1467" s="69" t="s">
        <v>1126</v>
      </c>
      <c r="M1467" s="69" t="s">
        <v>6</v>
      </c>
    </row>
    <row r="1468" spans="2:13">
      <c r="B1468" s="69">
        <v>1466</v>
      </c>
      <c r="C1468" s="69">
        <v>139</v>
      </c>
      <c r="D1468" s="69">
        <v>10</v>
      </c>
      <c r="E1468" s="69">
        <v>7</v>
      </c>
      <c r="F1468" s="69">
        <v>0</v>
      </c>
      <c r="G1468" s="69" t="s">
        <v>1067</v>
      </c>
      <c r="H1468" s="69" t="s">
        <v>9</v>
      </c>
      <c r="I1468" s="69" t="s">
        <v>1120</v>
      </c>
      <c r="J1468" s="69" t="s">
        <v>55</v>
      </c>
      <c r="K1468" s="69" t="s">
        <v>1127</v>
      </c>
      <c r="M1468" s="69" t="s">
        <v>6</v>
      </c>
    </row>
    <row r="1469" spans="2:13">
      <c r="B1469" s="69">
        <v>1467</v>
      </c>
      <c r="C1469" s="69">
        <v>139</v>
      </c>
      <c r="D1469" s="69">
        <v>10</v>
      </c>
      <c r="E1469" s="69">
        <v>8</v>
      </c>
      <c r="F1469" s="69">
        <v>0</v>
      </c>
      <c r="G1469" s="69" t="s">
        <v>1067</v>
      </c>
      <c r="H1469" s="69" t="s">
        <v>9</v>
      </c>
      <c r="I1469" s="69" t="s">
        <v>1120</v>
      </c>
      <c r="J1469" s="69" t="s">
        <v>55</v>
      </c>
      <c r="K1469" s="69" t="s">
        <v>1128</v>
      </c>
      <c r="M1469" s="69" t="s">
        <v>6</v>
      </c>
    </row>
    <row r="1470" spans="2:13">
      <c r="B1470" s="69">
        <v>1468</v>
      </c>
      <c r="C1470" s="69">
        <v>139</v>
      </c>
      <c r="D1470" s="69">
        <v>10</v>
      </c>
      <c r="E1470" s="69">
        <v>9</v>
      </c>
      <c r="F1470" s="69">
        <v>0</v>
      </c>
      <c r="G1470" s="69" t="s">
        <v>1067</v>
      </c>
      <c r="H1470" s="69" t="s">
        <v>9</v>
      </c>
      <c r="I1470" s="69" t="s">
        <v>1120</v>
      </c>
      <c r="J1470" s="69" t="s">
        <v>55</v>
      </c>
      <c r="K1470" s="69" t="s">
        <v>93</v>
      </c>
      <c r="M1470" s="69" t="s">
        <v>6</v>
      </c>
    </row>
    <row r="1471" spans="2:13">
      <c r="B1471" s="69">
        <v>1469</v>
      </c>
      <c r="C1471" s="69">
        <v>139</v>
      </c>
      <c r="D1471" s="69">
        <v>10</v>
      </c>
      <c r="E1471" s="69">
        <v>10</v>
      </c>
      <c r="F1471" s="69">
        <v>0</v>
      </c>
      <c r="G1471" s="69" t="s">
        <v>1067</v>
      </c>
      <c r="H1471" s="69" t="s">
        <v>9</v>
      </c>
      <c r="I1471" s="69" t="s">
        <v>1120</v>
      </c>
      <c r="J1471" s="69" t="s">
        <v>64</v>
      </c>
      <c r="K1471" s="69" t="s">
        <v>94</v>
      </c>
      <c r="M1471" s="69" t="s">
        <v>6</v>
      </c>
    </row>
    <row r="1472" spans="2:13">
      <c r="B1472" s="69">
        <v>1470</v>
      </c>
      <c r="C1472" s="69">
        <v>140</v>
      </c>
      <c r="D1472" s="69">
        <v>7</v>
      </c>
      <c r="E1472" s="69">
        <v>0</v>
      </c>
      <c r="F1472" s="69">
        <v>0</v>
      </c>
      <c r="G1472" s="69" t="s">
        <v>1067</v>
      </c>
      <c r="H1472" s="69" t="s">
        <v>9</v>
      </c>
      <c r="I1472" s="69" t="s">
        <v>1129</v>
      </c>
      <c r="J1472" s="69" t="s">
        <v>54</v>
      </c>
      <c r="K1472" s="69" t="s">
        <v>1129</v>
      </c>
      <c r="M1472" s="69" t="s">
        <v>6</v>
      </c>
    </row>
    <row r="1473" spans="2:13">
      <c r="B1473" s="69">
        <v>1471</v>
      </c>
      <c r="C1473" s="69">
        <v>140</v>
      </c>
      <c r="D1473" s="69">
        <v>7</v>
      </c>
      <c r="E1473" s="69">
        <v>1</v>
      </c>
      <c r="F1473" s="69">
        <v>0</v>
      </c>
      <c r="G1473" s="69" t="s">
        <v>1067</v>
      </c>
      <c r="H1473" s="69" t="s">
        <v>9</v>
      </c>
      <c r="I1473" s="69" t="s">
        <v>1129</v>
      </c>
      <c r="J1473" s="69" t="s">
        <v>55</v>
      </c>
      <c r="K1473" s="69" t="s">
        <v>1130</v>
      </c>
      <c r="M1473" s="69" t="s">
        <v>6</v>
      </c>
    </row>
    <row r="1474" spans="2:13">
      <c r="B1474" s="69">
        <v>1472</v>
      </c>
      <c r="C1474" s="69">
        <v>140</v>
      </c>
      <c r="D1474" s="69">
        <v>7</v>
      </c>
      <c r="E1474" s="69">
        <v>2</v>
      </c>
      <c r="F1474" s="69">
        <v>0</v>
      </c>
      <c r="G1474" s="69" t="s">
        <v>1067</v>
      </c>
      <c r="H1474" s="69" t="s">
        <v>9</v>
      </c>
      <c r="I1474" s="69" t="s">
        <v>1129</v>
      </c>
      <c r="J1474" s="69" t="s">
        <v>55</v>
      </c>
      <c r="K1474" s="69" t="s">
        <v>1131</v>
      </c>
      <c r="M1474" s="69" t="s">
        <v>6</v>
      </c>
    </row>
    <row r="1475" spans="2:13">
      <c r="B1475" s="69">
        <v>1473</v>
      </c>
      <c r="C1475" s="69">
        <v>140</v>
      </c>
      <c r="D1475" s="69">
        <v>7</v>
      </c>
      <c r="E1475" s="69">
        <v>3</v>
      </c>
      <c r="F1475" s="69">
        <v>0</v>
      </c>
      <c r="G1475" s="69" t="s">
        <v>1067</v>
      </c>
      <c r="H1475" s="69" t="s">
        <v>9</v>
      </c>
      <c r="I1475" s="69" t="s">
        <v>1129</v>
      </c>
      <c r="J1475" s="69" t="s">
        <v>55</v>
      </c>
      <c r="K1475" s="69" t="s">
        <v>1132</v>
      </c>
      <c r="M1475" s="69" t="s">
        <v>6</v>
      </c>
    </row>
    <row r="1476" spans="2:13">
      <c r="B1476" s="69">
        <v>1474</v>
      </c>
      <c r="C1476" s="69">
        <v>140</v>
      </c>
      <c r="D1476" s="69">
        <v>7</v>
      </c>
      <c r="E1476" s="69">
        <v>4</v>
      </c>
      <c r="F1476" s="69">
        <v>0</v>
      </c>
      <c r="G1476" s="69" t="s">
        <v>1067</v>
      </c>
      <c r="H1476" s="69" t="s">
        <v>9</v>
      </c>
      <c r="I1476" s="69" t="s">
        <v>1129</v>
      </c>
      <c r="J1476" s="69" t="s">
        <v>55</v>
      </c>
      <c r="K1476" s="69" t="s">
        <v>1133</v>
      </c>
      <c r="M1476" s="69" t="s">
        <v>6</v>
      </c>
    </row>
    <row r="1477" spans="2:13">
      <c r="B1477" s="69">
        <v>1475</v>
      </c>
      <c r="C1477" s="69">
        <v>140</v>
      </c>
      <c r="D1477" s="69">
        <v>7</v>
      </c>
      <c r="E1477" s="69">
        <v>5</v>
      </c>
      <c r="F1477" s="69">
        <v>0</v>
      </c>
      <c r="G1477" s="69" t="s">
        <v>1067</v>
      </c>
      <c r="H1477" s="69" t="s">
        <v>9</v>
      </c>
      <c r="I1477" s="69" t="s">
        <v>1129</v>
      </c>
      <c r="J1477" s="69" t="s">
        <v>55</v>
      </c>
      <c r="K1477" s="69" t="s">
        <v>1134</v>
      </c>
      <c r="M1477" s="69" t="s">
        <v>6</v>
      </c>
    </row>
    <row r="1478" spans="2:13">
      <c r="B1478" s="69">
        <v>1476</v>
      </c>
      <c r="C1478" s="69">
        <v>140</v>
      </c>
      <c r="D1478" s="69">
        <v>7</v>
      </c>
      <c r="E1478" s="69">
        <v>6</v>
      </c>
      <c r="F1478" s="69">
        <v>0</v>
      </c>
      <c r="G1478" s="69" t="s">
        <v>1067</v>
      </c>
      <c r="H1478" s="69" t="s">
        <v>9</v>
      </c>
      <c r="I1478" s="69" t="s">
        <v>1129</v>
      </c>
      <c r="J1478" s="69" t="s">
        <v>55</v>
      </c>
      <c r="K1478" s="69" t="s">
        <v>93</v>
      </c>
      <c r="M1478" s="69" t="s">
        <v>6</v>
      </c>
    </row>
    <row r="1479" spans="2:13">
      <c r="B1479" s="69">
        <v>1477</v>
      </c>
      <c r="C1479" s="69">
        <v>140</v>
      </c>
      <c r="D1479" s="69">
        <v>7</v>
      </c>
      <c r="E1479" s="69">
        <v>7</v>
      </c>
      <c r="F1479" s="69">
        <v>0</v>
      </c>
      <c r="G1479" s="69" t="s">
        <v>1067</v>
      </c>
      <c r="H1479" s="69" t="s">
        <v>9</v>
      </c>
      <c r="I1479" s="69" t="s">
        <v>1129</v>
      </c>
      <c r="J1479" s="69" t="s">
        <v>64</v>
      </c>
      <c r="K1479" s="69" t="s">
        <v>94</v>
      </c>
      <c r="M1479" s="69" t="s">
        <v>6</v>
      </c>
    </row>
    <row r="1480" spans="2:13">
      <c r="B1480" s="69">
        <v>1478</v>
      </c>
      <c r="C1480" s="69">
        <v>141</v>
      </c>
      <c r="D1480" s="69">
        <v>5</v>
      </c>
      <c r="E1480" s="69">
        <v>0</v>
      </c>
      <c r="F1480" s="69">
        <v>0</v>
      </c>
      <c r="G1480" s="69" t="s">
        <v>1067</v>
      </c>
      <c r="H1480" s="69" t="s">
        <v>9</v>
      </c>
      <c r="I1480" s="69" t="s">
        <v>1135</v>
      </c>
      <c r="J1480" s="69" t="s">
        <v>54</v>
      </c>
      <c r="K1480" s="69" t="s">
        <v>1135</v>
      </c>
      <c r="M1480" s="69" t="s">
        <v>6</v>
      </c>
    </row>
    <row r="1481" spans="2:13">
      <c r="B1481" s="69">
        <v>1479</v>
      </c>
      <c r="C1481" s="69">
        <v>141</v>
      </c>
      <c r="D1481" s="69">
        <v>5</v>
      </c>
      <c r="E1481" s="69">
        <v>1</v>
      </c>
      <c r="F1481" s="69">
        <v>0</v>
      </c>
      <c r="G1481" s="69" t="s">
        <v>1067</v>
      </c>
      <c r="H1481" s="69" t="s">
        <v>9</v>
      </c>
      <c r="I1481" s="69" t="s">
        <v>1135</v>
      </c>
      <c r="J1481" s="69" t="s">
        <v>55</v>
      </c>
      <c r="K1481" s="69" t="s">
        <v>1136</v>
      </c>
      <c r="M1481" s="69" t="s">
        <v>6</v>
      </c>
    </row>
    <row r="1482" spans="2:13">
      <c r="B1482" s="69">
        <v>1480</v>
      </c>
      <c r="C1482" s="69">
        <v>141</v>
      </c>
      <c r="D1482" s="69">
        <v>5</v>
      </c>
      <c r="E1482" s="69">
        <v>2</v>
      </c>
      <c r="F1482" s="69">
        <v>0</v>
      </c>
      <c r="G1482" s="69" t="s">
        <v>1067</v>
      </c>
      <c r="H1482" s="69" t="s">
        <v>9</v>
      </c>
      <c r="I1482" s="69" t="s">
        <v>1135</v>
      </c>
      <c r="J1482" s="69" t="s">
        <v>55</v>
      </c>
      <c r="K1482" s="69" t="s">
        <v>1089</v>
      </c>
      <c r="M1482" s="69" t="s">
        <v>6</v>
      </c>
    </row>
    <row r="1483" spans="2:13">
      <c r="B1483" s="69">
        <v>1481</v>
      </c>
      <c r="C1483" s="69">
        <v>141</v>
      </c>
      <c r="D1483" s="69">
        <v>5</v>
      </c>
      <c r="E1483" s="69">
        <v>3</v>
      </c>
      <c r="F1483" s="69">
        <v>0</v>
      </c>
      <c r="G1483" s="69" t="s">
        <v>1067</v>
      </c>
      <c r="H1483" s="69" t="s">
        <v>9</v>
      </c>
      <c r="I1483" s="69" t="s">
        <v>1135</v>
      </c>
      <c r="J1483" s="69" t="s">
        <v>55</v>
      </c>
      <c r="K1483" s="69" t="s">
        <v>1090</v>
      </c>
      <c r="M1483" s="69" t="s">
        <v>6</v>
      </c>
    </row>
    <row r="1484" spans="2:13">
      <c r="B1484" s="69">
        <v>1482</v>
      </c>
      <c r="C1484" s="69">
        <v>141</v>
      </c>
      <c r="D1484" s="69">
        <v>5</v>
      </c>
      <c r="E1484" s="69">
        <v>4</v>
      </c>
      <c r="F1484" s="69">
        <v>0</v>
      </c>
      <c r="G1484" s="69" t="s">
        <v>1067</v>
      </c>
      <c r="H1484" s="69" t="s">
        <v>9</v>
      </c>
      <c r="I1484" s="69" t="s">
        <v>1135</v>
      </c>
      <c r="J1484" s="69" t="s">
        <v>55</v>
      </c>
      <c r="K1484" s="69" t="s">
        <v>93</v>
      </c>
      <c r="M1484" s="69" t="s">
        <v>6</v>
      </c>
    </row>
    <row r="1485" spans="2:13">
      <c r="B1485" s="69">
        <v>1483</v>
      </c>
      <c r="C1485" s="69">
        <v>141</v>
      </c>
      <c r="D1485" s="69">
        <v>5</v>
      </c>
      <c r="E1485" s="69">
        <v>5</v>
      </c>
      <c r="F1485" s="69">
        <v>0</v>
      </c>
      <c r="G1485" s="69" t="s">
        <v>1067</v>
      </c>
      <c r="H1485" s="69" t="s">
        <v>9</v>
      </c>
      <c r="I1485" s="69" t="s">
        <v>1135</v>
      </c>
      <c r="J1485" s="69" t="s">
        <v>64</v>
      </c>
      <c r="K1485" s="69" t="s">
        <v>94</v>
      </c>
      <c r="M1485" s="69" t="s">
        <v>6</v>
      </c>
    </row>
    <row r="1486" spans="2:13">
      <c r="B1486" s="69">
        <v>1484</v>
      </c>
      <c r="C1486" s="69">
        <v>142</v>
      </c>
      <c r="D1486" s="69">
        <v>7</v>
      </c>
      <c r="E1486" s="69">
        <v>0</v>
      </c>
      <c r="F1486" s="69">
        <v>0</v>
      </c>
      <c r="G1486" s="69" t="s">
        <v>1067</v>
      </c>
      <c r="H1486" s="69" t="s">
        <v>9</v>
      </c>
      <c r="I1486" s="69" t="s">
        <v>1137</v>
      </c>
      <c r="J1486" s="69" t="s">
        <v>54</v>
      </c>
      <c r="K1486" s="69" t="s">
        <v>1137</v>
      </c>
      <c r="M1486" s="69" t="s">
        <v>6</v>
      </c>
    </row>
    <row r="1487" spans="2:13">
      <c r="B1487" s="69">
        <v>1485</v>
      </c>
      <c r="C1487" s="69">
        <v>142</v>
      </c>
      <c r="D1487" s="69">
        <v>7</v>
      </c>
      <c r="E1487" s="69">
        <v>1</v>
      </c>
      <c r="F1487" s="69">
        <v>0</v>
      </c>
      <c r="G1487" s="69" t="s">
        <v>1067</v>
      </c>
      <c r="H1487" s="69" t="s">
        <v>9</v>
      </c>
      <c r="I1487" s="69" t="s">
        <v>1137</v>
      </c>
      <c r="J1487" s="69" t="s">
        <v>55</v>
      </c>
      <c r="K1487" s="69" t="s">
        <v>1138</v>
      </c>
      <c r="M1487" s="69" t="s">
        <v>6</v>
      </c>
    </row>
    <row r="1488" spans="2:13">
      <c r="B1488" s="69">
        <v>1486</v>
      </c>
      <c r="C1488" s="69">
        <v>142</v>
      </c>
      <c r="D1488" s="69">
        <v>7</v>
      </c>
      <c r="E1488" s="69">
        <v>2</v>
      </c>
      <c r="F1488" s="69">
        <v>0</v>
      </c>
      <c r="G1488" s="69" t="s">
        <v>1067</v>
      </c>
      <c r="H1488" s="69" t="s">
        <v>9</v>
      </c>
      <c r="I1488" s="69" t="s">
        <v>1137</v>
      </c>
      <c r="J1488" s="69" t="s">
        <v>55</v>
      </c>
      <c r="K1488" s="69" t="s">
        <v>1139</v>
      </c>
      <c r="M1488" s="69" t="s">
        <v>6</v>
      </c>
    </row>
    <row r="1489" spans="2:13">
      <c r="B1489" s="69">
        <v>1487</v>
      </c>
      <c r="C1489" s="69">
        <v>142</v>
      </c>
      <c r="D1489" s="69">
        <v>7</v>
      </c>
      <c r="E1489" s="69">
        <v>3</v>
      </c>
      <c r="F1489" s="69">
        <v>0</v>
      </c>
      <c r="G1489" s="69" t="s">
        <v>1067</v>
      </c>
      <c r="H1489" s="69" t="s">
        <v>9</v>
      </c>
      <c r="I1489" s="69" t="s">
        <v>1137</v>
      </c>
      <c r="J1489" s="69" t="s">
        <v>55</v>
      </c>
      <c r="K1489" s="69" t="s">
        <v>1140</v>
      </c>
      <c r="M1489" s="69" t="s">
        <v>6</v>
      </c>
    </row>
    <row r="1490" spans="2:13">
      <c r="B1490" s="69">
        <v>1488</v>
      </c>
      <c r="C1490" s="69">
        <v>142</v>
      </c>
      <c r="D1490" s="69">
        <v>7</v>
      </c>
      <c r="E1490" s="69">
        <v>4</v>
      </c>
      <c r="F1490" s="69">
        <v>0</v>
      </c>
      <c r="G1490" s="69" t="s">
        <v>1067</v>
      </c>
      <c r="H1490" s="69" t="s">
        <v>9</v>
      </c>
      <c r="I1490" s="69" t="s">
        <v>1137</v>
      </c>
      <c r="J1490" s="69" t="s">
        <v>55</v>
      </c>
      <c r="K1490" s="69" t="s">
        <v>1141</v>
      </c>
      <c r="M1490" s="69" t="s">
        <v>6</v>
      </c>
    </row>
    <row r="1491" spans="2:13">
      <c r="B1491" s="69">
        <v>1489</v>
      </c>
      <c r="C1491" s="69">
        <v>142</v>
      </c>
      <c r="D1491" s="69">
        <v>7</v>
      </c>
      <c r="E1491" s="69">
        <v>5</v>
      </c>
      <c r="F1491" s="69">
        <v>0</v>
      </c>
      <c r="G1491" s="69" t="s">
        <v>1067</v>
      </c>
      <c r="H1491" s="69" t="s">
        <v>9</v>
      </c>
      <c r="I1491" s="69" t="s">
        <v>1137</v>
      </c>
      <c r="J1491" s="69" t="s">
        <v>64</v>
      </c>
      <c r="K1491" s="69" t="s">
        <v>1142</v>
      </c>
      <c r="M1491" s="69" t="s">
        <v>6</v>
      </c>
    </row>
    <row r="1492" spans="2:13">
      <c r="B1492" s="69">
        <v>1490</v>
      </c>
      <c r="C1492" s="69">
        <v>142</v>
      </c>
      <c r="D1492" s="69">
        <v>7</v>
      </c>
      <c r="E1492" s="69">
        <v>6</v>
      </c>
      <c r="F1492" s="69">
        <v>0</v>
      </c>
      <c r="G1492" s="69" t="s">
        <v>1067</v>
      </c>
      <c r="H1492" s="69" t="s">
        <v>9</v>
      </c>
      <c r="I1492" s="69" t="s">
        <v>1137</v>
      </c>
      <c r="J1492" s="69" t="s">
        <v>55</v>
      </c>
      <c r="K1492" s="69" t="s">
        <v>93</v>
      </c>
      <c r="M1492" s="69" t="s">
        <v>6</v>
      </c>
    </row>
    <row r="1493" spans="2:13">
      <c r="B1493" s="69">
        <v>1491</v>
      </c>
      <c r="C1493" s="69">
        <v>142</v>
      </c>
      <c r="D1493" s="69">
        <v>7</v>
      </c>
      <c r="E1493" s="69">
        <v>7</v>
      </c>
      <c r="F1493" s="69">
        <v>0</v>
      </c>
      <c r="G1493" s="69" t="s">
        <v>1067</v>
      </c>
      <c r="H1493" s="69" t="s">
        <v>9</v>
      </c>
      <c r="I1493" s="69" t="s">
        <v>1137</v>
      </c>
      <c r="J1493" s="69" t="s">
        <v>64</v>
      </c>
      <c r="K1493" s="69" t="s">
        <v>94</v>
      </c>
      <c r="M1493" s="69" t="s">
        <v>6</v>
      </c>
    </row>
    <row r="1494" spans="2:13">
      <c r="B1494" s="69">
        <v>1492</v>
      </c>
      <c r="C1494" s="69">
        <v>143</v>
      </c>
      <c r="D1494" s="69">
        <v>9</v>
      </c>
      <c r="E1494" s="69">
        <v>0</v>
      </c>
      <c r="F1494" s="69">
        <v>0</v>
      </c>
      <c r="G1494" s="69" t="s">
        <v>1067</v>
      </c>
      <c r="H1494" s="69" t="s">
        <v>9</v>
      </c>
      <c r="I1494" s="69" t="s">
        <v>1143</v>
      </c>
      <c r="J1494" s="69" t="s">
        <v>54</v>
      </c>
      <c r="K1494" s="69" t="s">
        <v>1143</v>
      </c>
      <c r="M1494" s="69" t="s">
        <v>6</v>
      </c>
    </row>
    <row r="1495" spans="2:13">
      <c r="B1495" s="69">
        <v>1493</v>
      </c>
      <c r="C1495" s="69">
        <v>143</v>
      </c>
      <c r="D1495" s="69">
        <v>9</v>
      </c>
      <c r="E1495" s="69">
        <v>1</v>
      </c>
      <c r="F1495" s="69">
        <v>0</v>
      </c>
      <c r="G1495" s="69" t="s">
        <v>1067</v>
      </c>
      <c r="H1495" s="69" t="s">
        <v>9</v>
      </c>
      <c r="I1495" s="69" t="s">
        <v>1143</v>
      </c>
      <c r="J1495" s="69" t="s">
        <v>55</v>
      </c>
      <c r="K1495" s="69" t="s">
        <v>1144</v>
      </c>
      <c r="M1495" s="69" t="s">
        <v>6</v>
      </c>
    </row>
    <row r="1496" spans="2:13">
      <c r="B1496" s="69">
        <v>1494</v>
      </c>
      <c r="C1496" s="69">
        <v>143</v>
      </c>
      <c r="D1496" s="69">
        <v>9</v>
      </c>
      <c r="E1496" s="69">
        <v>2</v>
      </c>
      <c r="F1496" s="69">
        <v>0</v>
      </c>
      <c r="G1496" s="69" t="s">
        <v>1067</v>
      </c>
      <c r="H1496" s="69" t="s">
        <v>9</v>
      </c>
      <c r="I1496" s="69" t="s">
        <v>1143</v>
      </c>
      <c r="J1496" s="69" t="s">
        <v>55</v>
      </c>
      <c r="K1496" s="69" t="s">
        <v>1145</v>
      </c>
      <c r="M1496" s="69" t="s">
        <v>6</v>
      </c>
    </row>
    <row r="1497" spans="2:13">
      <c r="B1497" s="69">
        <v>1495</v>
      </c>
      <c r="C1497" s="69">
        <v>143</v>
      </c>
      <c r="D1497" s="69">
        <v>9</v>
      </c>
      <c r="E1497" s="69">
        <v>3</v>
      </c>
      <c r="F1497" s="69">
        <v>0</v>
      </c>
      <c r="G1497" s="69" t="s">
        <v>1067</v>
      </c>
      <c r="H1497" s="69" t="s">
        <v>9</v>
      </c>
      <c r="I1497" s="69" t="s">
        <v>1143</v>
      </c>
      <c r="J1497" s="69" t="s">
        <v>55</v>
      </c>
      <c r="K1497" s="69" t="s">
        <v>1146</v>
      </c>
      <c r="M1497" s="69" t="s">
        <v>6</v>
      </c>
    </row>
    <row r="1498" spans="2:13">
      <c r="B1498" s="69">
        <v>1496</v>
      </c>
      <c r="C1498" s="69">
        <v>143</v>
      </c>
      <c r="D1498" s="69">
        <v>9</v>
      </c>
      <c r="E1498" s="69">
        <v>4</v>
      </c>
      <c r="F1498" s="69">
        <v>0</v>
      </c>
      <c r="G1498" s="69" t="s">
        <v>1067</v>
      </c>
      <c r="H1498" s="69" t="s">
        <v>9</v>
      </c>
      <c r="I1498" s="69" t="s">
        <v>1143</v>
      </c>
      <c r="J1498" s="69" t="s">
        <v>55</v>
      </c>
      <c r="K1498" s="69" t="s">
        <v>1147</v>
      </c>
      <c r="M1498" s="69" t="s">
        <v>6</v>
      </c>
    </row>
    <row r="1499" spans="2:13">
      <c r="B1499" s="69">
        <v>1497</v>
      </c>
      <c r="C1499" s="69">
        <v>143</v>
      </c>
      <c r="D1499" s="69">
        <v>9</v>
      </c>
      <c r="E1499" s="69">
        <v>5</v>
      </c>
      <c r="F1499" s="69">
        <v>0</v>
      </c>
      <c r="G1499" s="69" t="s">
        <v>1067</v>
      </c>
      <c r="H1499" s="69" t="s">
        <v>9</v>
      </c>
      <c r="I1499" s="69" t="s">
        <v>1143</v>
      </c>
      <c r="J1499" s="69" t="s">
        <v>55</v>
      </c>
      <c r="K1499" s="69" t="s">
        <v>1148</v>
      </c>
      <c r="M1499" s="69" t="s">
        <v>6</v>
      </c>
    </row>
    <row r="1500" spans="2:13">
      <c r="B1500" s="69">
        <v>1498</v>
      </c>
      <c r="C1500" s="69">
        <v>143</v>
      </c>
      <c r="D1500" s="69">
        <v>9</v>
      </c>
      <c r="E1500" s="69">
        <v>6</v>
      </c>
      <c r="F1500" s="69">
        <v>0</v>
      </c>
      <c r="G1500" s="69" t="s">
        <v>1067</v>
      </c>
      <c r="H1500" s="69" t="s">
        <v>9</v>
      </c>
      <c r="I1500" s="69" t="s">
        <v>1143</v>
      </c>
      <c r="J1500" s="69" t="s">
        <v>55</v>
      </c>
      <c r="K1500" s="69" t="s">
        <v>1149</v>
      </c>
      <c r="M1500" s="69" t="s">
        <v>6</v>
      </c>
    </row>
    <row r="1501" spans="2:13">
      <c r="B1501" s="69">
        <v>1499</v>
      </c>
      <c r="C1501" s="69">
        <v>143</v>
      </c>
      <c r="D1501" s="69">
        <v>9</v>
      </c>
      <c r="E1501" s="69">
        <v>7</v>
      </c>
      <c r="F1501" s="69">
        <v>0</v>
      </c>
      <c r="G1501" s="69" t="s">
        <v>1067</v>
      </c>
      <c r="H1501" s="69" t="s">
        <v>9</v>
      </c>
      <c r="I1501" s="69" t="s">
        <v>1143</v>
      </c>
      <c r="J1501" s="69" t="s">
        <v>55</v>
      </c>
      <c r="K1501" s="69" t="s">
        <v>1150</v>
      </c>
      <c r="M1501" s="69" t="s">
        <v>6</v>
      </c>
    </row>
    <row r="1502" spans="2:13">
      <c r="B1502" s="69">
        <v>1500</v>
      </c>
      <c r="C1502" s="69">
        <v>143</v>
      </c>
      <c r="D1502" s="69">
        <v>9</v>
      </c>
      <c r="E1502" s="69">
        <v>8</v>
      </c>
      <c r="F1502" s="69">
        <v>0</v>
      </c>
      <c r="G1502" s="69" t="s">
        <v>1067</v>
      </c>
      <c r="H1502" s="69" t="s">
        <v>9</v>
      </c>
      <c r="I1502" s="69" t="s">
        <v>1143</v>
      </c>
      <c r="J1502" s="69" t="s">
        <v>55</v>
      </c>
      <c r="K1502" s="69" t="s">
        <v>93</v>
      </c>
      <c r="M1502" s="69" t="s">
        <v>6</v>
      </c>
    </row>
    <row r="1503" spans="2:13">
      <c r="B1503" s="69">
        <v>1501</v>
      </c>
      <c r="C1503" s="69">
        <v>143</v>
      </c>
      <c r="D1503" s="69">
        <v>9</v>
      </c>
      <c r="E1503" s="69">
        <v>9</v>
      </c>
      <c r="F1503" s="69">
        <v>0</v>
      </c>
      <c r="G1503" s="69" t="s">
        <v>1067</v>
      </c>
      <c r="H1503" s="69" t="s">
        <v>9</v>
      </c>
      <c r="I1503" s="69" t="s">
        <v>1143</v>
      </c>
      <c r="J1503" s="69" t="s">
        <v>64</v>
      </c>
      <c r="K1503" s="69" t="s">
        <v>94</v>
      </c>
      <c r="M1503" s="69" t="s">
        <v>6</v>
      </c>
    </row>
    <row r="1504" spans="2:13">
      <c r="B1504" s="69">
        <v>1502</v>
      </c>
      <c r="C1504" s="69">
        <v>144</v>
      </c>
      <c r="D1504" s="69">
        <v>7</v>
      </c>
      <c r="E1504" s="69">
        <v>0</v>
      </c>
      <c r="F1504" s="69">
        <v>0</v>
      </c>
      <c r="G1504" s="69" t="s">
        <v>1067</v>
      </c>
      <c r="H1504" s="69" t="s">
        <v>9</v>
      </c>
      <c r="I1504" s="69" t="s">
        <v>1151</v>
      </c>
      <c r="J1504" s="69" t="s">
        <v>54</v>
      </c>
      <c r="K1504" s="69" t="s">
        <v>1151</v>
      </c>
      <c r="M1504" s="69" t="s">
        <v>6</v>
      </c>
    </row>
    <row r="1505" spans="2:13">
      <c r="B1505" s="69">
        <v>1503</v>
      </c>
      <c r="C1505" s="69">
        <v>144</v>
      </c>
      <c r="D1505" s="69">
        <v>7</v>
      </c>
      <c r="E1505" s="69">
        <v>1</v>
      </c>
      <c r="F1505" s="69">
        <v>0</v>
      </c>
      <c r="G1505" s="69" t="s">
        <v>1067</v>
      </c>
      <c r="H1505" s="69" t="s">
        <v>9</v>
      </c>
      <c r="I1505" s="69" t="s">
        <v>1151</v>
      </c>
      <c r="J1505" s="69" t="s">
        <v>55</v>
      </c>
      <c r="K1505" s="69" t="s">
        <v>1152</v>
      </c>
      <c r="M1505" s="69" t="s">
        <v>6</v>
      </c>
    </row>
    <row r="1506" spans="2:13">
      <c r="B1506" s="69">
        <v>1504</v>
      </c>
      <c r="C1506" s="69">
        <v>144</v>
      </c>
      <c r="D1506" s="69">
        <v>7</v>
      </c>
      <c r="E1506" s="69">
        <v>2</v>
      </c>
      <c r="F1506" s="69">
        <v>0</v>
      </c>
      <c r="G1506" s="69" t="s">
        <v>1067</v>
      </c>
      <c r="H1506" s="69" t="s">
        <v>9</v>
      </c>
      <c r="I1506" s="69" t="s">
        <v>1151</v>
      </c>
      <c r="J1506" s="69" t="s">
        <v>55</v>
      </c>
      <c r="K1506" s="69" t="s">
        <v>1153</v>
      </c>
      <c r="M1506" s="69" t="s">
        <v>6</v>
      </c>
    </row>
    <row r="1507" spans="2:13">
      <c r="B1507" s="69">
        <v>1505</v>
      </c>
      <c r="C1507" s="69">
        <v>144</v>
      </c>
      <c r="D1507" s="69">
        <v>7</v>
      </c>
      <c r="E1507" s="69">
        <v>3</v>
      </c>
      <c r="F1507" s="69">
        <v>0</v>
      </c>
      <c r="G1507" s="69" t="s">
        <v>1067</v>
      </c>
      <c r="H1507" s="69" t="s">
        <v>9</v>
      </c>
      <c r="I1507" s="69" t="s">
        <v>1151</v>
      </c>
      <c r="J1507" s="69" t="s">
        <v>55</v>
      </c>
      <c r="K1507" s="69" t="s">
        <v>1154</v>
      </c>
      <c r="M1507" s="69" t="s">
        <v>6</v>
      </c>
    </row>
    <row r="1508" spans="2:13">
      <c r="B1508" s="69">
        <v>1506</v>
      </c>
      <c r="C1508" s="69">
        <v>144</v>
      </c>
      <c r="D1508" s="69">
        <v>7</v>
      </c>
      <c r="E1508" s="69">
        <v>4</v>
      </c>
      <c r="F1508" s="69">
        <v>0</v>
      </c>
      <c r="G1508" s="69" t="s">
        <v>1067</v>
      </c>
      <c r="H1508" s="69" t="s">
        <v>9</v>
      </c>
      <c r="I1508" s="69" t="s">
        <v>1151</v>
      </c>
      <c r="J1508" s="69" t="s">
        <v>55</v>
      </c>
      <c r="K1508" s="69" t="s">
        <v>1155</v>
      </c>
      <c r="M1508" s="69" t="s">
        <v>6</v>
      </c>
    </row>
    <row r="1509" spans="2:13">
      <c r="B1509" s="69">
        <v>1507</v>
      </c>
      <c r="C1509" s="69">
        <v>144</v>
      </c>
      <c r="D1509" s="69">
        <v>7</v>
      </c>
      <c r="E1509" s="69">
        <v>5</v>
      </c>
      <c r="F1509" s="69">
        <v>0</v>
      </c>
      <c r="G1509" s="69" t="s">
        <v>1067</v>
      </c>
      <c r="H1509" s="69" t="s">
        <v>9</v>
      </c>
      <c r="I1509" s="69" t="s">
        <v>1151</v>
      </c>
      <c r="J1509" s="69" t="s">
        <v>55</v>
      </c>
      <c r="K1509" s="69" t="s">
        <v>1156</v>
      </c>
      <c r="M1509" s="69" t="s">
        <v>6</v>
      </c>
    </row>
    <row r="1510" spans="2:13">
      <c r="B1510" s="69">
        <v>1508</v>
      </c>
      <c r="C1510" s="69">
        <v>144</v>
      </c>
      <c r="D1510" s="69">
        <v>7</v>
      </c>
      <c r="E1510" s="69">
        <v>6</v>
      </c>
      <c r="F1510" s="69">
        <v>0</v>
      </c>
      <c r="G1510" s="69" t="s">
        <v>1067</v>
      </c>
      <c r="H1510" s="69" t="s">
        <v>9</v>
      </c>
      <c r="I1510" s="69" t="s">
        <v>1151</v>
      </c>
      <c r="J1510" s="69" t="s">
        <v>55</v>
      </c>
      <c r="K1510" s="69" t="s">
        <v>93</v>
      </c>
      <c r="M1510" s="69" t="s">
        <v>6</v>
      </c>
    </row>
    <row r="1511" spans="2:13">
      <c r="B1511" s="69">
        <v>1509</v>
      </c>
      <c r="C1511" s="69">
        <v>144</v>
      </c>
      <c r="D1511" s="69">
        <v>7</v>
      </c>
      <c r="E1511" s="69">
        <v>7</v>
      </c>
      <c r="F1511" s="69">
        <v>0</v>
      </c>
      <c r="G1511" s="69" t="s">
        <v>1067</v>
      </c>
      <c r="H1511" s="69" t="s">
        <v>9</v>
      </c>
      <c r="I1511" s="69" t="s">
        <v>1151</v>
      </c>
      <c r="J1511" s="69" t="s">
        <v>64</v>
      </c>
      <c r="K1511" s="69" t="s">
        <v>94</v>
      </c>
      <c r="M1511" s="69" t="s">
        <v>6</v>
      </c>
    </row>
    <row r="1512" spans="2:13">
      <c r="B1512" s="69">
        <v>1510</v>
      </c>
      <c r="C1512" s="69">
        <v>145</v>
      </c>
      <c r="D1512" s="69">
        <v>6</v>
      </c>
      <c r="E1512" s="69">
        <v>0</v>
      </c>
      <c r="F1512" s="69">
        <v>0</v>
      </c>
      <c r="G1512" s="69" t="s">
        <v>1067</v>
      </c>
      <c r="H1512" s="69" t="s">
        <v>9</v>
      </c>
      <c r="I1512" s="69" t="s">
        <v>1157</v>
      </c>
      <c r="J1512" s="69" t="s">
        <v>54</v>
      </c>
      <c r="K1512" s="69" t="s">
        <v>1157</v>
      </c>
      <c r="M1512" s="69" t="s">
        <v>6</v>
      </c>
    </row>
    <row r="1513" spans="2:13">
      <c r="B1513" s="69">
        <v>1511</v>
      </c>
      <c r="C1513" s="69">
        <v>145</v>
      </c>
      <c r="D1513" s="69">
        <v>6</v>
      </c>
      <c r="E1513" s="69">
        <v>1</v>
      </c>
      <c r="F1513" s="69">
        <v>0</v>
      </c>
      <c r="G1513" s="69" t="s">
        <v>1067</v>
      </c>
      <c r="H1513" s="69" t="s">
        <v>9</v>
      </c>
      <c r="I1513" s="69" t="s">
        <v>1157</v>
      </c>
      <c r="J1513" s="69" t="s">
        <v>55</v>
      </c>
      <c r="K1513" s="69" t="s">
        <v>1158</v>
      </c>
      <c r="M1513" s="69" t="s">
        <v>6</v>
      </c>
    </row>
    <row r="1514" spans="2:13">
      <c r="B1514" s="69">
        <v>1512</v>
      </c>
      <c r="C1514" s="69">
        <v>145</v>
      </c>
      <c r="D1514" s="69">
        <v>6</v>
      </c>
      <c r="E1514" s="69">
        <v>2</v>
      </c>
      <c r="F1514" s="69">
        <v>0</v>
      </c>
      <c r="G1514" s="69" t="s">
        <v>1067</v>
      </c>
      <c r="H1514" s="69" t="s">
        <v>9</v>
      </c>
      <c r="I1514" s="69" t="s">
        <v>1157</v>
      </c>
      <c r="J1514" s="69" t="s">
        <v>55</v>
      </c>
      <c r="K1514" s="69" t="s">
        <v>1159</v>
      </c>
      <c r="M1514" s="69" t="s">
        <v>6</v>
      </c>
    </row>
    <row r="1515" spans="2:13">
      <c r="B1515" s="69">
        <v>1513</v>
      </c>
      <c r="C1515" s="69">
        <v>145</v>
      </c>
      <c r="D1515" s="69">
        <v>6</v>
      </c>
      <c r="E1515" s="69">
        <v>3</v>
      </c>
      <c r="F1515" s="69">
        <v>0</v>
      </c>
      <c r="G1515" s="69" t="s">
        <v>1067</v>
      </c>
      <c r="H1515" s="69" t="s">
        <v>9</v>
      </c>
      <c r="I1515" s="69" t="s">
        <v>1157</v>
      </c>
      <c r="J1515" s="69" t="s">
        <v>55</v>
      </c>
      <c r="K1515" s="69" t="s">
        <v>1160</v>
      </c>
      <c r="M1515" s="69" t="s">
        <v>6</v>
      </c>
    </row>
    <row r="1516" spans="2:13">
      <c r="B1516" s="69">
        <v>1514</v>
      </c>
      <c r="C1516" s="69">
        <v>145</v>
      </c>
      <c r="D1516" s="69">
        <v>6</v>
      </c>
      <c r="E1516" s="69">
        <v>4</v>
      </c>
      <c r="F1516" s="69">
        <v>0</v>
      </c>
      <c r="G1516" s="69" t="s">
        <v>1067</v>
      </c>
      <c r="H1516" s="69" t="s">
        <v>9</v>
      </c>
      <c r="I1516" s="69" t="s">
        <v>1157</v>
      </c>
      <c r="J1516" s="69" t="s">
        <v>55</v>
      </c>
      <c r="K1516" s="69" t="s">
        <v>1161</v>
      </c>
      <c r="M1516" s="69" t="s">
        <v>6</v>
      </c>
    </row>
    <row r="1517" spans="2:13">
      <c r="B1517" s="69">
        <v>1515</v>
      </c>
      <c r="C1517" s="69">
        <v>145</v>
      </c>
      <c r="D1517" s="69">
        <v>6</v>
      </c>
      <c r="E1517" s="69">
        <v>5</v>
      </c>
      <c r="F1517" s="69">
        <v>0</v>
      </c>
      <c r="G1517" s="69" t="s">
        <v>1067</v>
      </c>
      <c r="H1517" s="69" t="s">
        <v>9</v>
      </c>
      <c r="I1517" s="69" t="s">
        <v>1157</v>
      </c>
      <c r="J1517" s="69" t="s">
        <v>55</v>
      </c>
      <c r="K1517" s="69" t="s">
        <v>1162</v>
      </c>
      <c r="M1517" s="69" t="s">
        <v>6</v>
      </c>
    </row>
    <row r="1518" spans="2:13">
      <c r="B1518" s="69">
        <v>1516</v>
      </c>
      <c r="C1518" s="69">
        <v>145</v>
      </c>
      <c r="D1518" s="69">
        <v>6</v>
      </c>
      <c r="E1518" s="69">
        <v>6</v>
      </c>
      <c r="F1518" s="69">
        <v>0</v>
      </c>
      <c r="G1518" s="69" t="s">
        <v>1067</v>
      </c>
      <c r="H1518" s="69" t="s">
        <v>9</v>
      </c>
      <c r="I1518" s="69" t="s">
        <v>1157</v>
      </c>
      <c r="J1518" s="69" t="s">
        <v>55</v>
      </c>
      <c r="K1518" s="69" t="s">
        <v>1163</v>
      </c>
      <c r="M1518" s="69" t="s">
        <v>6</v>
      </c>
    </row>
    <row r="1519" spans="2:13">
      <c r="B1519" s="69">
        <v>1517</v>
      </c>
      <c r="C1519" s="69">
        <v>146</v>
      </c>
      <c r="D1519" s="69">
        <v>12</v>
      </c>
      <c r="E1519" s="69">
        <v>0</v>
      </c>
      <c r="F1519" s="69">
        <v>0</v>
      </c>
      <c r="G1519" s="69" t="s">
        <v>1067</v>
      </c>
      <c r="H1519" s="69" t="s">
        <v>9</v>
      </c>
      <c r="I1519" s="69" t="s">
        <v>1164</v>
      </c>
      <c r="J1519" s="69" t="s">
        <v>54</v>
      </c>
      <c r="K1519" s="69" t="s">
        <v>1164</v>
      </c>
      <c r="M1519" s="69" t="s">
        <v>6</v>
      </c>
    </row>
    <row r="1520" spans="2:13">
      <c r="B1520" s="69">
        <v>1518</v>
      </c>
      <c r="C1520" s="69">
        <v>146</v>
      </c>
      <c r="D1520" s="69">
        <v>12</v>
      </c>
      <c r="E1520" s="69">
        <v>1</v>
      </c>
      <c r="F1520" s="69">
        <v>0</v>
      </c>
      <c r="G1520" s="69" t="s">
        <v>1067</v>
      </c>
      <c r="H1520" s="69" t="s">
        <v>9</v>
      </c>
      <c r="I1520" s="69" t="s">
        <v>1164</v>
      </c>
      <c r="J1520" s="69" t="s">
        <v>55</v>
      </c>
      <c r="K1520" s="69" t="s">
        <v>1165</v>
      </c>
      <c r="M1520" s="69" t="s">
        <v>6</v>
      </c>
    </row>
    <row r="1521" spans="2:13">
      <c r="B1521" s="69">
        <v>1519</v>
      </c>
      <c r="C1521" s="69">
        <v>146</v>
      </c>
      <c r="D1521" s="69">
        <v>12</v>
      </c>
      <c r="E1521" s="69">
        <v>2</v>
      </c>
      <c r="F1521" s="69">
        <v>0</v>
      </c>
      <c r="G1521" s="69" t="s">
        <v>1067</v>
      </c>
      <c r="H1521" s="69" t="s">
        <v>9</v>
      </c>
      <c r="I1521" s="69" t="s">
        <v>1164</v>
      </c>
      <c r="J1521" s="69" t="s">
        <v>55</v>
      </c>
      <c r="K1521" s="69" t="s">
        <v>1166</v>
      </c>
      <c r="M1521" s="69" t="s">
        <v>6</v>
      </c>
    </row>
    <row r="1522" spans="2:13">
      <c r="B1522" s="69">
        <v>1520</v>
      </c>
      <c r="C1522" s="69">
        <v>146</v>
      </c>
      <c r="D1522" s="69">
        <v>12</v>
      </c>
      <c r="E1522" s="69">
        <v>3</v>
      </c>
      <c r="F1522" s="69">
        <v>0</v>
      </c>
      <c r="G1522" s="69" t="s">
        <v>1067</v>
      </c>
      <c r="H1522" s="69" t="s">
        <v>9</v>
      </c>
      <c r="I1522" s="69" t="s">
        <v>1164</v>
      </c>
      <c r="J1522" s="69" t="s">
        <v>55</v>
      </c>
      <c r="K1522" s="69" t="s">
        <v>1167</v>
      </c>
      <c r="M1522" s="69" t="s">
        <v>6</v>
      </c>
    </row>
    <row r="1523" spans="2:13">
      <c r="B1523" s="69">
        <v>1521</v>
      </c>
      <c r="C1523" s="69">
        <v>146</v>
      </c>
      <c r="D1523" s="69">
        <v>12</v>
      </c>
      <c r="E1523" s="69">
        <v>4</v>
      </c>
      <c r="F1523" s="69">
        <v>0</v>
      </c>
      <c r="G1523" s="69" t="s">
        <v>1067</v>
      </c>
      <c r="H1523" s="69" t="s">
        <v>9</v>
      </c>
      <c r="I1523" s="69" t="s">
        <v>1164</v>
      </c>
      <c r="J1523" s="69" t="s">
        <v>55</v>
      </c>
      <c r="K1523" s="69" t="s">
        <v>1168</v>
      </c>
      <c r="M1523" s="69" t="s">
        <v>6</v>
      </c>
    </row>
    <row r="1524" spans="2:13">
      <c r="B1524" s="69">
        <v>1522</v>
      </c>
      <c r="C1524" s="69">
        <v>146</v>
      </c>
      <c r="D1524" s="69">
        <v>12</v>
      </c>
      <c r="E1524" s="69">
        <v>5</v>
      </c>
      <c r="F1524" s="69">
        <v>0</v>
      </c>
      <c r="G1524" s="69" t="s">
        <v>1067</v>
      </c>
      <c r="H1524" s="69" t="s">
        <v>9</v>
      </c>
      <c r="I1524" s="69" t="s">
        <v>1164</v>
      </c>
      <c r="J1524" s="69" t="s">
        <v>55</v>
      </c>
      <c r="K1524" s="69" t="s">
        <v>1169</v>
      </c>
      <c r="M1524" s="69" t="s">
        <v>6</v>
      </c>
    </row>
    <row r="1525" spans="2:13">
      <c r="B1525" s="69">
        <v>1523</v>
      </c>
      <c r="C1525" s="69">
        <v>146</v>
      </c>
      <c r="D1525" s="69">
        <v>12</v>
      </c>
      <c r="E1525" s="69">
        <v>6</v>
      </c>
      <c r="F1525" s="69">
        <v>0</v>
      </c>
      <c r="G1525" s="69" t="s">
        <v>1067</v>
      </c>
      <c r="H1525" s="69" t="s">
        <v>9</v>
      </c>
      <c r="I1525" s="69" t="s">
        <v>1164</v>
      </c>
      <c r="J1525" s="69" t="s">
        <v>55</v>
      </c>
      <c r="K1525" s="69" t="s">
        <v>1170</v>
      </c>
      <c r="M1525" s="69" t="s">
        <v>6</v>
      </c>
    </row>
    <row r="1526" spans="2:13">
      <c r="B1526" s="69">
        <v>1524</v>
      </c>
      <c r="C1526" s="69">
        <v>146</v>
      </c>
      <c r="D1526" s="69">
        <v>12</v>
      </c>
      <c r="E1526" s="69">
        <v>7</v>
      </c>
      <c r="F1526" s="69">
        <v>0</v>
      </c>
      <c r="G1526" s="69" t="s">
        <v>1067</v>
      </c>
      <c r="H1526" s="69" t="s">
        <v>9</v>
      </c>
      <c r="I1526" s="69" t="s">
        <v>1164</v>
      </c>
      <c r="J1526" s="69" t="s">
        <v>55</v>
      </c>
      <c r="K1526" s="69" t="s">
        <v>1171</v>
      </c>
      <c r="M1526" s="69" t="s">
        <v>6</v>
      </c>
    </row>
    <row r="1527" spans="2:13">
      <c r="B1527" s="69">
        <v>1525</v>
      </c>
      <c r="C1527" s="69">
        <v>146</v>
      </c>
      <c r="D1527" s="69">
        <v>12</v>
      </c>
      <c r="E1527" s="69">
        <v>8</v>
      </c>
      <c r="F1527" s="69">
        <v>0</v>
      </c>
      <c r="G1527" s="69" t="s">
        <v>1067</v>
      </c>
      <c r="H1527" s="69" t="s">
        <v>9</v>
      </c>
      <c r="I1527" s="69" t="s">
        <v>1164</v>
      </c>
      <c r="J1527" s="69" t="s">
        <v>55</v>
      </c>
      <c r="K1527" s="69" t="s">
        <v>1172</v>
      </c>
      <c r="M1527" s="69" t="s">
        <v>6</v>
      </c>
    </row>
    <row r="1528" spans="2:13">
      <c r="B1528" s="69">
        <v>1526</v>
      </c>
      <c r="C1528" s="69">
        <v>146</v>
      </c>
      <c r="D1528" s="69">
        <v>12</v>
      </c>
      <c r="E1528" s="69">
        <v>9</v>
      </c>
      <c r="F1528" s="69">
        <v>0</v>
      </c>
      <c r="G1528" s="69" t="s">
        <v>1067</v>
      </c>
      <c r="H1528" s="69" t="s">
        <v>9</v>
      </c>
      <c r="I1528" s="69" t="s">
        <v>1164</v>
      </c>
      <c r="J1528" s="69" t="s">
        <v>55</v>
      </c>
      <c r="K1528" s="69" t="s">
        <v>1173</v>
      </c>
      <c r="M1528" s="69" t="s">
        <v>6</v>
      </c>
    </row>
    <row r="1529" spans="2:13">
      <c r="B1529" s="69">
        <v>1527</v>
      </c>
      <c r="C1529" s="69">
        <v>146</v>
      </c>
      <c r="D1529" s="69">
        <v>12</v>
      </c>
      <c r="E1529" s="69">
        <v>10</v>
      </c>
      <c r="F1529" s="69">
        <v>0</v>
      </c>
      <c r="G1529" s="69" t="s">
        <v>1067</v>
      </c>
      <c r="H1529" s="69" t="s">
        <v>9</v>
      </c>
      <c r="I1529" s="69" t="s">
        <v>1164</v>
      </c>
      <c r="J1529" s="69" t="s">
        <v>55</v>
      </c>
      <c r="K1529" s="69" t="s">
        <v>1174</v>
      </c>
      <c r="M1529" s="69" t="s">
        <v>6</v>
      </c>
    </row>
    <row r="1530" spans="2:13">
      <c r="B1530" s="69">
        <v>1528</v>
      </c>
      <c r="C1530" s="69">
        <v>146</v>
      </c>
      <c r="D1530" s="69">
        <v>12</v>
      </c>
      <c r="E1530" s="69">
        <v>11</v>
      </c>
      <c r="F1530" s="69">
        <v>0</v>
      </c>
      <c r="G1530" s="69" t="s">
        <v>1067</v>
      </c>
      <c r="H1530" s="69" t="s">
        <v>9</v>
      </c>
      <c r="I1530" s="69" t="s">
        <v>1164</v>
      </c>
      <c r="J1530" s="69" t="s">
        <v>55</v>
      </c>
      <c r="K1530" s="69" t="s">
        <v>93</v>
      </c>
      <c r="M1530" s="69" t="s">
        <v>6</v>
      </c>
    </row>
    <row r="1531" spans="2:13">
      <c r="B1531" s="69">
        <v>1529</v>
      </c>
      <c r="C1531" s="69">
        <v>146</v>
      </c>
      <c r="D1531" s="69">
        <v>12</v>
      </c>
      <c r="E1531" s="69">
        <v>12</v>
      </c>
      <c r="F1531" s="69">
        <v>0</v>
      </c>
      <c r="G1531" s="69" t="s">
        <v>1067</v>
      </c>
      <c r="H1531" s="69" t="s">
        <v>9</v>
      </c>
      <c r="I1531" s="69" t="s">
        <v>1164</v>
      </c>
      <c r="J1531" s="69" t="s">
        <v>64</v>
      </c>
      <c r="K1531" s="69" t="s">
        <v>94</v>
      </c>
      <c r="M1531" s="69" t="s">
        <v>6</v>
      </c>
    </row>
    <row r="1532" spans="2:13">
      <c r="B1532" s="69">
        <v>1530</v>
      </c>
      <c r="C1532" s="69">
        <v>147</v>
      </c>
      <c r="D1532" s="69">
        <v>32</v>
      </c>
      <c r="E1532" s="69">
        <v>0</v>
      </c>
      <c r="F1532" s="69">
        <v>0</v>
      </c>
      <c r="G1532" s="69" t="s">
        <v>1067</v>
      </c>
      <c r="H1532" s="69" t="s">
        <v>9</v>
      </c>
      <c r="I1532" s="69" t="s">
        <v>1175</v>
      </c>
      <c r="J1532" s="69" t="s">
        <v>478</v>
      </c>
      <c r="K1532" s="69" t="s">
        <v>1175</v>
      </c>
      <c r="M1532" s="69" t="s">
        <v>6</v>
      </c>
    </row>
    <row r="1533" spans="2:13">
      <c r="B1533" s="69">
        <v>1531</v>
      </c>
      <c r="C1533" s="69">
        <v>147</v>
      </c>
      <c r="D1533" s="69">
        <v>32</v>
      </c>
      <c r="E1533" s="69">
        <v>1</v>
      </c>
      <c r="F1533" s="69">
        <v>0</v>
      </c>
      <c r="G1533" s="69" t="s">
        <v>1067</v>
      </c>
      <c r="H1533" s="69" t="s">
        <v>9</v>
      </c>
      <c r="I1533" s="69" t="s">
        <v>1175</v>
      </c>
      <c r="J1533" s="69" t="s">
        <v>479</v>
      </c>
      <c r="K1533" s="69" t="s">
        <v>1176</v>
      </c>
      <c r="M1533" s="69" t="s">
        <v>6</v>
      </c>
    </row>
    <row r="1534" spans="2:13">
      <c r="B1534" s="69">
        <v>1532</v>
      </c>
      <c r="C1534" s="69">
        <v>147</v>
      </c>
      <c r="D1534" s="69">
        <v>32</v>
      </c>
      <c r="E1534" s="69">
        <v>2</v>
      </c>
      <c r="F1534" s="69">
        <v>0</v>
      </c>
      <c r="G1534" s="69" t="s">
        <v>1067</v>
      </c>
      <c r="H1534" s="69" t="s">
        <v>9</v>
      </c>
      <c r="I1534" s="69" t="s">
        <v>1175</v>
      </c>
      <c r="J1534" s="69" t="s">
        <v>55</v>
      </c>
      <c r="K1534" s="69" t="s">
        <v>1177</v>
      </c>
      <c r="M1534" s="69" t="s">
        <v>6</v>
      </c>
    </row>
    <row r="1535" spans="2:13">
      <c r="B1535" s="69">
        <v>1533</v>
      </c>
      <c r="C1535" s="69">
        <v>147</v>
      </c>
      <c r="D1535" s="69">
        <v>32</v>
      </c>
      <c r="E1535" s="69">
        <v>3</v>
      </c>
      <c r="F1535" s="69">
        <v>0</v>
      </c>
      <c r="G1535" s="69" t="s">
        <v>1067</v>
      </c>
      <c r="H1535" s="69" t="s">
        <v>9</v>
      </c>
      <c r="I1535" s="69" t="s">
        <v>1175</v>
      </c>
      <c r="J1535" s="69" t="s">
        <v>55</v>
      </c>
      <c r="K1535" s="69" t="s">
        <v>1178</v>
      </c>
      <c r="M1535" s="69" t="s">
        <v>6</v>
      </c>
    </row>
    <row r="1536" spans="2:13">
      <c r="B1536" s="69">
        <v>1534</v>
      </c>
      <c r="C1536" s="69">
        <v>147</v>
      </c>
      <c r="D1536" s="69">
        <v>32</v>
      </c>
      <c r="E1536" s="69">
        <v>4</v>
      </c>
      <c r="F1536" s="69">
        <v>0</v>
      </c>
      <c r="G1536" s="69" t="s">
        <v>1067</v>
      </c>
      <c r="H1536" s="69" t="s">
        <v>9</v>
      </c>
      <c r="I1536" s="69" t="s">
        <v>1175</v>
      </c>
      <c r="J1536" s="69" t="s">
        <v>269</v>
      </c>
      <c r="K1536" s="69" t="s">
        <v>1179</v>
      </c>
      <c r="M1536" s="69" t="s">
        <v>6</v>
      </c>
    </row>
    <row r="1537" spans="2:13">
      <c r="B1537" s="69">
        <v>1535</v>
      </c>
      <c r="C1537" s="69">
        <v>147</v>
      </c>
      <c r="D1537" s="69">
        <v>32</v>
      </c>
      <c r="E1537" s="69">
        <v>5</v>
      </c>
      <c r="F1537" s="69">
        <v>0</v>
      </c>
      <c r="G1537" s="69" t="s">
        <v>1067</v>
      </c>
      <c r="H1537" s="69" t="s">
        <v>9</v>
      </c>
      <c r="I1537" s="69" t="s">
        <v>1175</v>
      </c>
      <c r="J1537" s="69" t="s">
        <v>269</v>
      </c>
      <c r="K1537" s="69" t="s">
        <v>1180</v>
      </c>
      <c r="M1537" s="69" t="s">
        <v>6</v>
      </c>
    </row>
    <row r="1538" spans="2:13">
      <c r="B1538" s="69">
        <v>1536</v>
      </c>
      <c r="C1538" s="69">
        <v>147</v>
      </c>
      <c r="D1538" s="69">
        <v>32</v>
      </c>
      <c r="E1538" s="69">
        <v>6</v>
      </c>
      <c r="F1538" s="69">
        <v>0</v>
      </c>
      <c r="G1538" s="69" t="s">
        <v>1067</v>
      </c>
      <c r="H1538" s="69" t="s">
        <v>9</v>
      </c>
      <c r="I1538" s="69" t="s">
        <v>1175</v>
      </c>
      <c r="J1538" s="69" t="s">
        <v>269</v>
      </c>
      <c r="K1538" s="69" t="s">
        <v>1181</v>
      </c>
      <c r="M1538" s="69" t="s">
        <v>6</v>
      </c>
    </row>
    <row r="1539" spans="2:13">
      <c r="B1539" s="69">
        <v>1537</v>
      </c>
      <c r="C1539" s="69">
        <v>147</v>
      </c>
      <c r="D1539" s="69">
        <v>32</v>
      </c>
      <c r="E1539" s="69">
        <v>7</v>
      </c>
      <c r="F1539" s="69">
        <v>0</v>
      </c>
      <c r="G1539" s="69" t="s">
        <v>1067</v>
      </c>
      <c r="H1539" s="69" t="s">
        <v>9</v>
      </c>
      <c r="I1539" s="69" t="s">
        <v>1175</v>
      </c>
      <c r="J1539" s="69" t="s">
        <v>269</v>
      </c>
      <c r="K1539" s="69" t="s">
        <v>1182</v>
      </c>
      <c r="M1539" s="69" t="s">
        <v>6</v>
      </c>
    </row>
    <row r="1540" spans="2:13">
      <c r="B1540" s="69">
        <v>1538</v>
      </c>
      <c r="C1540" s="69">
        <v>147</v>
      </c>
      <c r="D1540" s="69">
        <v>32</v>
      </c>
      <c r="E1540" s="69">
        <v>8</v>
      </c>
      <c r="F1540" s="69">
        <v>0</v>
      </c>
      <c r="G1540" s="69" t="s">
        <v>1067</v>
      </c>
      <c r="H1540" s="69" t="s">
        <v>9</v>
      </c>
      <c r="I1540" s="69" t="s">
        <v>1175</v>
      </c>
      <c r="J1540" s="69" t="s">
        <v>269</v>
      </c>
      <c r="K1540" s="69" t="s">
        <v>1183</v>
      </c>
      <c r="M1540" s="69" t="s">
        <v>6</v>
      </c>
    </row>
    <row r="1541" spans="2:13">
      <c r="B1541" s="69">
        <v>1539</v>
      </c>
      <c r="C1541" s="69">
        <v>147</v>
      </c>
      <c r="D1541" s="69">
        <v>32</v>
      </c>
      <c r="E1541" s="69">
        <v>9</v>
      </c>
      <c r="F1541" s="69">
        <v>0</v>
      </c>
      <c r="G1541" s="69" t="s">
        <v>1067</v>
      </c>
      <c r="H1541" s="69" t="s">
        <v>9</v>
      </c>
      <c r="I1541" s="69" t="s">
        <v>1175</v>
      </c>
      <c r="J1541" s="69" t="s">
        <v>1184</v>
      </c>
      <c r="K1541" s="69" t="s">
        <v>1185</v>
      </c>
      <c r="M1541" s="69" t="s">
        <v>6</v>
      </c>
    </row>
    <row r="1542" spans="2:13">
      <c r="B1542" s="69">
        <v>1540</v>
      </c>
      <c r="C1542" s="69">
        <v>147</v>
      </c>
      <c r="D1542" s="69">
        <v>32</v>
      </c>
      <c r="E1542" s="69">
        <v>10</v>
      </c>
      <c r="F1542" s="69">
        <v>0</v>
      </c>
      <c r="G1542" s="69" t="s">
        <v>1067</v>
      </c>
      <c r="H1542" s="69" t="s">
        <v>9</v>
      </c>
      <c r="I1542" s="69" t="s">
        <v>1175</v>
      </c>
      <c r="J1542" s="69" t="s">
        <v>269</v>
      </c>
      <c r="K1542" s="69" t="s">
        <v>1186</v>
      </c>
      <c r="M1542" s="69" t="s">
        <v>6</v>
      </c>
    </row>
    <row r="1543" spans="2:13">
      <c r="B1543" s="69">
        <v>1541</v>
      </c>
      <c r="C1543" s="69">
        <v>147</v>
      </c>
      <c r="D1543" s="69">
        <v>32</v>
      </c>
      <c r="E1543" s="69">
        <v>11</v>
      </c>
      <c r="F1543" s="69">
        <v>0</v>
      </c>
      <c r="G1543" s="69" t="s">
        <v>1067</v>
      </c>
      <c r="H1543" s="69" t="s">
        <v>9</v>
      </c>
      <c r="I1543" s="69" t="s">
        <v>1175</v>
      </c>
      <c r="J1543" s="69" t="s">
        <v>269</v>
      </c>
      <c r="K1543" s="69" t="s">
        <v>1187</v>
      </c>
      <c r="M1543" s="69" t="s">
        <v>6</v>
      </c>
    </row>
    <row r="1544" spans="2:13">
      <c r="B1544" s="69">
        <v>1542</v>
      </c>
      <c r="C1544" s="69">
        <v>147</v>
      </c>
      <c r="D1544" s="69">
        <v>32</v>
      </c>
      <c r="E1544" s="69">
        <v>12</v>
      </c>
      <c r="F1544" s="69">
        <v>0</v>
      </c>
      <c r="G1544" s="69" t="s">
        <v>1067</v>
      </c>
      <c r="H1544" s="69" t="s">
        <v>9</v>
      </c>
      <c r="I1544" s="69" t="s">
        <v>1175</v>
      </c>
      <c r="J1544" s="69" t="s">
        <v>269</v>
      </c>
      <c r="K1544" s="69" t="s">
        <v>1188</v>
      </c>
      <c r="M1544" s="69" t="s">
        <v>6</v>
      </c>
    </row>
    <row r="1545" spans="2:13">
      <c r="B1545" s="69">
        <v>1543</v>
      </c>
      <c r="C1545" s="69">
        <v>147</v>
      </c>
      <c r="D1545" s="69">
        <v>32</v>
      </c>
      <c r="E1545" s="69">
        <v>13</v>
      </c>
      <c r="F1545" s="69">
        <v>0</v>
      </c>
      <c r="G1545" s="69" t="s">
        <v>1067</v>
      </c>
      <c r="H1545" s="69" t="s">
        <v>9</v>
      </c>
      <c r="I1545" s="69" t="s">
        <v>1175</v>
      </c>
      <c r="J1545" s="69" t="s">
        <v>269</v>
      </c>
      <c r="K1545" s="69" t="s">
        <v>1189</v>
      </c>
      <c r="M1545" s="69" t="s">
        <v>6</v>
      </c>
    </row>
    <row r="1546" spans="2:13">
      <c r="B1546" s="69">
        <v>1544</v>
      </c>
      <c r="C1546" s="69">
        <v>147</v>
      </c>
      <c r="D1546" s="69">
        <v>32</v>
      </c>
      <c r="E1546" s="69">
        <v>14</v>
      </c>
      <c r="F1546" s="69">
        <v>0</v>
      </c>
      <c r="G1546" s="69" t="s">
        <v>1067</v>
      </c>
      <c r="H1546" s="69" t="s">
        <v>9</v>
      </c>
      <c r="I1546" s="69" t="s">
        <v>1175</v>
      </c>
      <c r="J1546" s="69" t="s">
        <v>269</v>
      </c>
      <c r="K1546" s="69" t="s">
        <v>1190</v>
      </c>
      <c r="M1546" s="69" t="s">
        <v>6</v>
      </c>
    </row>
    <row r="1547" spans="2:13">
      <c r="B1547" s="69">
        <v>1545</v>
      </c>
      <c r="C1547" s="69">
        <v>147</v>
      </c>
      <c r="D1547" s="69">
        <v>32</v>
      </c>
      <c r="E1547" s="69">
        <v>15</v>
      </c>
      <c r="F1547" s="69">
        <v>0</v>
      </c>
      <c r="G1547" s="69" t="s">
        <v>1067</v>
      </c>
      <c r="H1547" s="69" t="s">
        <v>9</v>
      </c>
      <c r="I1547" s="69" t="s">
        <v>1175</v>
      </c>
      <c r="J1547" s="69" t="s">
        <v>1184</v>
      </c>
      <c r="K1547" s="69" t="s">
        <v>1191</v>
      </c>
      <c r="M1547" s="69" t="s">
        <v>6</v>
      </c>
    </row>
    <row r="1548" spans="2:13">
      <c r="B1548" s="69">
        <v>1546</v>
      </c>
      <c r="C1548" s="69">
        <v>147</v>
      </c>
      <c r="D1548" s="69">
        <v>32</v>
      </c>
      <c r="E1548" s="69">
        <v>16</v>
      </c>
      <c r="F1548" s="69">
        <v>0</v>
      </c>
      <c r="G1548" s="69" t="s">
        <v>1067</v>
      </c>
      <c r="H1548" s="69" t="s">
        <v>9</v>
      </c>
      <c r="I1548" s="69" t="s">
        <v>1175</v>
      </c>
      <c r="J1548" s="69" t="s">
        <v>269</v>
      </c>
      <c r="K1548" s="69" t="s">
        <v>1192</v>
      </c>
      <c r="M1548" s="69" t="s">
        <v>6</v>
      </c>
    </row>
    <row r="1549" spans="2:13">
      <c r="B1549" s="69">
        <v>1547</v>
      </c>
      <c r="C1549" s="69">
        <v>147</v>
      </c>
      <c r="D1549" s="69">
        <v>32</v>
      </c>
      <c r="E1549" s="69">
        <v>17</v>
      </c>
      <c r="F1549" s="69">
        <v>0</v>
      </c>
      <c r="G1549" s="69" t="s">
        <v>1067</v>
      </c>
      <c r="H1549" s="69" t="s">
        <v>9</v>
      </c>
      <c r="I1549" s="69" t="s">
        <v>1175</v>
      </c>
      <c r="J1549" s="69" t="s">
        <v>269</v>
      </c>
      <c r="K1549" s="69" t="s">
        <v>1193</v>
      </c>
      <c r="M1549" s="69" t="s">
        <v>6</v>
      </c>
    </row>
    <row r="1550" spans="2:13">
      <c r="B1550" s="69">
        <v>1548</v>
      </c>
      <c r="C1550" s="69">
        <v>147</v>
      </c>
      <c r="D1550" s="69">
        <v>32</v>
      </c>
      <c r="E1550" s="69">
        <v>18</v>
      </c>
      <c r="F1550" s="69">
        <v>0</v>
      </c>
      <c r="G1550" s="69" t="s">
        <v>1067</v>
      </c>
      <c r="H1550" s="69" t="s">
        <v>9</v>
      </c>
      <c r="I1550" s="69" t="s">
        <v>1175</v>
      </c>
      <c r="J1550" s="69" t="s">
        <v>269</v>
      </c>
      <c r="K1550" s="69" t="s">
        <v>1194</v>
      </c>
      <c r="M1550" s="69" t="s">
        <v>6</v>
      </c>
    </row>
    <row r="1551" spans="2:13">
      <c r="B1551" s="69">
        <v>1549</v>
      </c>
      <c r="C1551" s="69">
        <v>147</v>
      </c>
      <c r="D1551" s="69">
        <v>32</v>
      </c>
      <c r="E1551" s="69">
        <v>19</v>
      </c>
      <c r="F1551" s="69">
        <v>0</v>
      </c>
      <c r="G1551" s="69" t="s">
        <v>1067</v>
      </c>
      <c r="H1551" s="69" t="s">
        <v>9</v>
      </c>
      <c r="I1551" s="69" t="s">
        <v>1175</v>
      </c>
      <c r="J1551" s="69" t="s">
        <v>269</v>
      </c>
      <c r="K1551" s="69" t="s">
        <v>1195</v>
      </c>
      <c r="M1551" s="69" t="s">
        <v>6</v>
      </c>
    </row>
    <row r="1552" spans="2:13">
      <c r="B1552" s="69">
        <v>1550</v>
      </c>
      <c r="C1552" s="69">
        <v>147</v>
      </c>
      <c r="D1552" s="69">
        <v>32</v>
      </c>
      <c r="E1552" s="69">
        <v>20</v>
      </c>
      <c r="F1552" s="69">
        <v>0</v>
      </c>
      <c r="G1552" s="69" t="s">
        <v>1067</v>
      </c>
      <c r="H1552" s="69" t="s">
        <v>9</v>
      </c>
      <c r="I1552" s="69" t="s">
        <v>1175</v>
      </c>
      <c r="J1552" s="69" t="s">
        <v>269</v>
      </c>
      <c r="K1552" s="69" t="s">
        <v>1196</v>
      </c>
      <c r="M1552" s="69" t="s">
        <v>6</v>
      </c>
    </row>
    <row r="1553" spans="2:13">
      <c r="B1553" s="69">
        <v>1551</v>
      </c>
      <c r="C1553" s="69">
        <v>147</v>
      </c>
      <c r="D1553" s="69">
        <v>32</v>
      </c>
      <c r="E1553" s="69">
        <v>21</v>
      </c>
      <c r="F1553" s="69">
        <v>0</v>
      </c>
      <c r="G1553" s="69" t="s">
        <v>1067</v>
      </c>
      <c r="H1553" s="69" t="s">
        <v>9</v>
      </c>
      <c r="I1553" s="69" t="s">
        <v>1175</v>
      </c>
      <c r="J1553" s="69" t="s">
        <v>269</v>
      </c>
      <c r="K1553" s="69" t="s">
        <v>1197</v>
      </c>
      <c r="M1553" s="69" t="s">
        <v>6</v>
      </c>
    </row>
    <row r="1554" spans="2:13">
      <c r="B1554" s="69">
        <v>1552</v>
      </c>
      <c r="C1554" s="69">
        <v>147</v>
      </c>
      <c r="D1554" s="69">
        <v>32</v>
      </c>
      <c r="E1554" s="69">
        <v>22</v>
      </c>
      <c r="F1554" s="69">
        <v>0</v>
      </c>
      <c r="G1554" s="69" t="s">
        <v>1067</v>
      </c>
      <c r="H1554" s="69" t="s">
        <v>9</v>
      </c>
      <c r="I1554" s="69" t="s">
        <v>1175</v>
      </c>
      <c r="J1554" s="69" t="s">
        <v>1184</v>
      </c>
      <c r="K1554" s="69" t="s">
        <v>1198</v>
      </c>
      <c r="M1554" s="69" t="s">
        <v>6</v>
      </c>
    </row>
    <row r="1555" spans="2:13">
      <c r="B1555" s="69">
        <v>1553</v>
      </c>
      <c r="C1555" s="69">
        <v>147</v>
      </c>
      <c r="D1555" s="69">
        <v>32</v>
      </c>
      <c r="E1555" s="69">
        <v>23</v>
      </c>
      <c r="F1555" s="69">
        <v>0</v>
      </c>
      <c r="G1555" s="69" t="s">
        <v>1067</v>
      </c>
      <c r="H1555" s="69" t="s">
        <v>9</v>
      </c>
      <c r="I1555" s="69" t="s">
        <v>1175</v>
      </c>
      <c r="J1555" s="69" t="s">
        <v>269</v>
      </c>
      <c r="K1555" s="69" t="s">
        <v>1199</v>
      </c>
      <c r="M1555" s="69" t="s">
        <v>6</v>
      </c>
    </row>
    <row r="1556" spans="2:13">
      <c r="B1556" s="69">
        <v>1554</v>
      </c>
      <c r="C1556" s="69">
        <v>147</v>
      </c>
      <c r="D1556" s="69">
        <v>32</v>
      </c>
      <c r="E1556" s="69">
        <v>24</v>
      </c>
      <c r="F1556" s="69">
        <v>0</v>
      </c>
      <c r="G1556" s="69" t="s">
        <v>1067</v>
      </c>
      <c r="H1556" s="69" t="s">
        <v>9</v>
      </c>
      <c r="I1556" s="69" t="s">
        <v>1175</v>
      </c>
      <c r="J1556" s="69" t="s">
        <v>269</v>
      </c>
      <c r="K1556" s="69" t="s">
        <v>1200</v>
      </c>
      <c r="M1556" s="69" t="s">
        <v>6</v>
      </c>
    </row>
    <row r="1557" spans="2:13">
      <c r="B1557" s="69">
        <v>1555</v>
      </c>
      <c r="C1557" s="69">
        <v>147</v>
      </c>
      <c r="D1557" s="69">
        <v>32</v>
      </c>
      <c r="E1557" s="69">
        <v>25</v>
      </c>
      <c r="F1557" s="69">
        <v>0</v>
      </c>
      <c r="G1557" s="69" t="s">
        <v>1067</v>
      </c>
      <c r="H1557" s="69" t="s">
        <v>9</v>
      </c>
      <c r="I1557" s="69" t="s">
        <v>1175</v>
      </c>
      <c r="J1557" s="69" t="s">
        <v>269</v>
      </c>
      <c r="K1557" s="69" t="s">
        <v>1201</v>
      </c>
      <c r="M1557" s="69" t="s">
        <v>6</v>
      </c>
    </row>
    <row r="1558" spans="2:13">
      <c r="B1558" s="69">
        <v>1556</v>
      </c>
      <c r="C1558" s="69">
        <v>147</v>
      </c>
      <c r="D1558" s="69">
        <v>32</v>
      </c>
      <c r="E1558" s="69">
        <v>26</v>
      </c>
      <c r="F1558" s="69">
        <v>0</v>
      </c>
      <c r="G1558" s="69" t="s">
        <v>1067</v>
      </c>
      <c r="H1558" s="69" t="s">
        <v>9</v>
      </c>
      <c r="I1558" s="69" t="s">
        <v>1175</v>
      </c>
      <c r="J1558" s="69" t="s">
        <v>269</v>
      </c>
      <c r="K1558" s="69" t="s">
        <v>1202</v>
      </c>
      <c r="M1558" s="69" t="s">
        <v>6</v>
      </c>
    </row>
    <row r="1559" spans="2:13">
      <c r="B1559" s="69">
        <v>1557</v>
      </c>
      <c r="C1559" s="69">
        <v>147</v>
      </c>
      <c r="D1559" s="69">
        <v>32</v>
      </c>
      <c r="E1559" s="69">
        <v>27</v>
      </c>
      <c r="F1559" s="69">
        <v>0</v>
      </c>
      <c r="G1559" s="69" t="s">
        <v>1067</v>
      </c>
      <c r="H1559" s="69" t="s">
        <v>9</v>
      </c>
      <c r="I1559" s="69" t="s">
        <v>1175</v>
      </c>
      <c r="J1559" s="69" t="s">
        <v>269</v>
      </c>
      <c r="K1559" s="69" t="s">
        <v>1203</v>
      </c>
      <c r="M1559" s="69" t="s">
        <v>6</v>
      </c>
    </row>
    <row r="1560" spans="2:13">
      <c r="B1560" s="69">
        <v>1558</v>
      </c>
      <c r="C1560" s="69">
        <v>147</v>
      </c>
      <c r="D1560" s="69">
        <v>32</v>
      </c>
      <c r="E1560" s="69">
        <v>28</v>
      </c>
      <c r="F1560" s="69">
        <v>0</v>
      </c>
      <c r="G1560" s="69" t="s">
        <v>1067</v>
      </c>
      <c r="H1560" s="69" t="s">
        <v>9</v>
      </c>
      <c r="I1560" s="69" t="s">
        <v>1175</v>
      </c>
      <c r="J1560" s="69" t="s">
        <v>269</v>
      </c>
      <c r="K1560" s="69" t="s">
        <v>1204</v>
      </c>
      <c r="M1560" s="69" t="s">
        <v>6</v>
      </c>
    </row>
    <row r="1561" spans="2:13">
      <c r="B1561" s="69">
        <v>1559</v>
      </c>
      <c r="C1561" s="69">
        <v>147</v>
      </c>
      <c r="D1561" s="69">
        <v>32</v>
      </c>
      <c r="E1561" s="69">
        <v>29</v>
      </c>
      <c r="F1561" s="69">
        <v>0</v>
      </c>
      <c r="G1561" s="69" t="s">
        <v>1067</v>
      </c>
      <c r="H1561" s="69" t="s">
        <v>9</v>
      </c>
      <c r="I1561" s="69" t="s">
        <v>1175</v>
      </c>
      <c r="J1561" s="69" t="s">
        <v>269</v>
      </c>
      <c r="K1561" s="69" t="s">
        <v>1205</v>
      </c>
      <c r="M1561" s="69" t="s">
        <v>6</v>
      </c>
    </row>
    <row r="1562" spans="2:13">
      <c r="B1562" s="69">
        <v>1560</v>
      </c>
      <c r="C1562" s="69">
        <v>147</v>
      </c>
      <c r="D1562" s="69">
        <v>32</v>
      </c>
      <c r="E1562" s="69">
        <v>30</v>
      </c>
      <c r="F1562" s="69">
        <v>0</v>
      </c>
      <c r="G1562" s="69" t="s">
        <v>1067</v>
      </c>
      <c r="H1562" s="69" t="s">
        <v>9</v>
      </c>
      <c r="I1562" s="69" t="s">
        <v>1175</v>
      </c>
      <c r="J1562" s="69" t="s">
        <v>64</v>
      </c>
      <c r="K1562" s="69" t="s">
        <v>1142</v>
      </c>
      <c r="M1562" s="69" t="s">
        <v>6</v>
      </c>
    </row>
    <row r="1563" spans="2:13">
      <c r="B1563" s="69">
        <v>1561</v>
      </c>
      <c r="C1563" s="69">
        <v>147</v>
      </c>
      <c r="D1563" s="69">
        <v>32</v>
      </c>
      <c r="E1563" s="69">
        <v>31</v>
      </c>
      <c r="F1563" s="69">
        <v>0</v>
      </c>
      <c r="G1563" s="69" t="s">
        <v>1067</v>
      </c>
      <c r="H1563" s="69" t="s">
        <v>9</v>
      </c>
      <c r="I1563" s="69" t="s">
        <v>1175</v>
      </c>
      <c r="J1563" s="69" t="s">
        <v>55</v>
      </c>
      <c r="K1563" s="69" t="s">
        <v>93</v>
      </c>
      <c r="M1563" s="69" t="s">
        <v>6</v>
      </c>
    </row>
    <row r="1564" spans="2:13">
      <c r="B1564" s="69">
        <v>1562</v>
      </c>
      <c r="C1564" s="69">
        <v>147</v>
      </c>
      <c r="D1564" s="69">
        <v>32</v>
      </c>
      <c r="E1564" s="69">
        <v>32</v>
      </c>
      <c r="F1564" s="69">
        <v>0</v>
      </c>
      <c r="G1564" s="69" t="s">
        <v>1067</v>
      </c>
      <c r="H1564" s="69" t="s">
        <v>9</v>
      </c>
      <c r="I1564" s="69" t="s">
        <v>1175</v>
      </c>
      <c r="J1564" s="69" t="s">
        <v>64</v>
      </c>
      <c r="K1564" s="69" t="s">
        <v>94</v>
      </c>
      <c r="M1564" s="69" t="s">
        <v>6</v>
      </c>
    </row>
    <row r="1565" spans="2:13">
      <c r="B1565" s="69">
        <v>1563</v>
      </c>
      <c r="C1565" s="69">
        <v>148</v>
      </c>
      <c r="D1565" s="69">
        <v>6</v>
      </c>
      <c r="E1565" s="69">
        <v>0</v>
      </c>
      <c r="F1565" s="69">
        <v>0</v>
      </c>
      <c r="G1565" s="69" t="s">
        <v>1067</v>
      </c>
      <c r="H1565" s="69" t="s">
        <v>9</v>
      </c>
      <c r="I1565" s="69" t="s">
        <v>1206</v>
      </c>
      <c r="J1565" s="69" t="s">
        <v>54</v>
      </c>
      <c r="K1565" s="69" t="s">
        <v>1206</v>
      </c>
      <c r="M1565" s="69" t="s">
        <v>6</v>
      </c>
    </row>
    <row r="1566" spans="2:13">
      <c r="B1566" s="69">
        <v>1564</v>
      </c>
      <c r="C1566" s="69">
        <v>148</v>
      </c>
      <c r="D1566" s="69">
        <v>6</v>
      </c>
      <c r="E1566" s="69">
        <v>1</v>
      </c>
      <c r="F1566" s="69">
        <v>0</v>
      </c>
      <c r="G1566" s="69" t="s">
        <v>1067</v>
      </c>
      <c r="H1566" s="69" t="s">
        <v>9</v>
      </c>
      <c r="I1566" s="69" t="s">
        <v>1206</v>
      </c>
      <c r="J1566" s="69" t="s">
        <v>55</v>
      </c>
      <c r="K1566" s="69" t="s">
        <v>1207</v>
      </c>
      <c r="M1566" s="69" t="s">
        <v>6</v>
      </c>
    </row>
    <row r="1567" spans="2:13">
      <c r="B1567" s="69">
        <v>1565</v>
      </c>
      <c r="C1567" s="69">
        <v>148</v>
      </c>
      <c r="D1567" s="69">
        <v>6</v>
      </c>
      <c r="E1567" s="69">
        <v>2</v>
      </c>
      <c r="F1567" s="69">
        <v>0</v>
      </c>
      <c r="G1567" s="69" t="s">
        <v>1067</v>
      </c>
      <c r="H1567" s="69" t="s">
        <v>9</v>
      </c>
      <c r="I1567" s="69" t="s">
        <v>1206</v>
      </c>
      <c r="J1567" s="69" t="s">
        <v>55</v>
      </c>
      <c r="K1567" s="69" t="s">
        <v>1208</v>
      </c>
      <c r="M1567" s="69" t="s">
        <v>6</v>
      </c>
    </row>
    <row r="1568" spans="2:13">
      <c r="B1568" s="69">
        <v>1566</v>
      </c>
      <c r="C1568" s="69">
        <v>148</v>
      </c>
      <c r="D1568" s="69">
        <v>6</v>
      </c>
      <c r="E1568" s="69">
        <v>3</v>
      </c>
      <c r="F1568" s="69">
        <v>0</v>
      </c>
      <c r="G1568" s="69" t="s">
        <v>1067</v>
      </c>
      <c r="H1568" s="69" t="s">
        <v>9</v>
      </c>
      <c r="I1568" s="69" t="s">
        <v>1206</v>
      </c>
      <c r="J1568" s="69" t="s">
        <v>55</v>
      </c>
      <c r="K1568" s="69" t="s">
        <v>1209</v>
      </c>
      <c r="M1568" s="69" t="s">
        <v>6</v>
      </c>
    </row>
    <row r="1569" spans="2:13">
      <c r="B1569" s="69">
        <v>1567</v>
      </c>
      <c r="C1569" s="69">
        <v>148</v>
      </c>
      <c r="D1569" s="69">
        <v>6</v>
      </c>
      <c r="E1569" s="69">
        <v>4</v>
      </c>
      <c r="F1569" s="69">
        <v>0</v>
      </c>
      <c r="G1569" s="69" t="s">
        <v>1067</v>
      </c>
      <c r="H1569" s="69" t="s">
        <v>9</v>
      </c>
      <c r="I1569" s="69" t="s">
        <v>1206</v>
      </c>
      <c r="J1569" s="69" t="s">
        <v>55</v>
      </c>
      <c r="K1569" s="69" t="s">
        <v>1210</v>
      </c>
      <c r="M1569" s="69" t="s">
        <v>6</v>
      </c>
    </row>
    <row r="1570" spans="2:13">
      <c r="B1570" s="69">
        <v>1568</v>
      </c>
      <c r="C1570" s="69">
        <v>148</v>
      </c>
      <c r="D1570" s="69">
        <v>6</v>
      </c>
      <c r="E1570" s="69">
        <v>5</v>
      </c>
      <c r="F1570" s="69">
        <v>0</v>
      </c>
      <c r="G1570" s="69" t="s">
        <v>1067</v>
      </c>
      <c r="H1570" s="69" t="s">
        <v>9</v>
      </c>
      <c r="I1570" s="69" t="s">
        <v>1206</v>
      </c>
      <c r="J1570" s="69" t="s">
        <v>55</v>
      </c>
      <c r="K1570" s="69" t="s">
        <v>93</v>
      </c>
      <c r="M1570" s="69" t="s">
        <v>6</v>
      </c>
    </row>
    <row r="1571" spans="2:13">
      <c r="B1571" s="69">
        <v>1569</v>
      </c>
      <c r="C1571" s="69">
        <v>148</v>
      </c>
      <c r="D1571" s="69">
        <v>6</v>
      </c>
      <c r="E1571" s="69">
        <v>6</v>
      </c>
      <c r="F1571" s="69">
        <v>0</v>
      </c>
      <c r="G1571" s="69" t="s">
        <v>1067</v>
      </c>
      <c r="H1571" s="69" t="s">
        <v>9</v>
      </c>
      <c r="I1571" s="69" t="s">
        <v>1206</v>
      </c>
      <c r="J1571" s="69" t="s">
        <v>64</v>
      </c>
      <c r="K1571" s="69" t="s">
        <v>94</v>
      </c>
      <c r="M1571" s="69" t="s">
        <v>6</v>
      </c>
    </row>
    <row r="1572" spans="2:13">
      <c r="B1572" s="69">
        <v>1570</v>
      </c>
      <c r="C1572" s="69">
        <v>149</v>
      </c>
      <c r="D1572" s="69">
        <v>8</v>
      </c>
      <c r="E1572" s="69">
        <v>0</v>
      </c>
      <c r="F1572" s="69">
        <v>0</v>
      </c>
      <c r="G1572" s="69" t="s">
        <v>1067</v>
      </c>
      <c r="H1572" s="69" t="s">
        <v>9</v>
      </c>
      <c r="I1572" s="69" t="s">
        <v>1211</v>
      </c>
      <c r="J1572" s="69" t="s">
        <v>54</v>
      </c>
      <c r="K1572" s="69" t="s">
        <v>1211</v>
      </c>
      <c r="M1572" s="69" t="s">
        <v>6</v>
      </c>
    </row>
    <row r="1573" spans="2:13">
      <c r="B1573" s="69">
        <v>1571</v>
      </c>
      <c r="C1573" s="69">
        <v>149</v>
      </c>
      <c r="D1573" s="69">
        <v>8</v>
      </c>
      <c r="E1573" s="69">
        <v>1</v>
      </c>
      <c r="F1573" s="69">
        <v>0</v>
      </c>
      <c r="G1573" s="69" t="s">
        <v>1067</v>
      </c>
      <c r="H1573" s="69" t="s">
        <v>9</v>
      </c>
      <c r="I1573" s="69" t="s">
        <v>1211</v>
      </c>
      <c r="J1573" s="69" t="s">
        <v>55</v>
      </c>
      <c r="K1573" s="69" t="s">
        <v>1212</v>
      </c>
      <c r="M1573" s="69" t="s">
        <v>6</v>
      </c>
    </row>
    <row r="1574" spans="2:13">
      <c r="B1574" s="69">
        <v>1572</v>
      </c>
      <c r="C1574" s="69">
        <v>149</v>
      </c>
      <c r="D1574" s="69">
        <v>8</v>
      </c>
      <c r="E1574" s="69">
        <v>2</v>
      </c>
      <c r="F1574" s="69">
        <v>0</v>
      </c>
      <c r="G1574" s="69" t="s">
        <v>1067</v>
      </c>
      <c r="H1574" s="69" t="s">
        <v>9</v>
      </c>
      <c r="I1574" s="69" t="s">
        <v>1211</v>
      </c>
      <c r="J1574" s="69" t="s">
        <v>55</v>
      </c>
      <c r="K1574" s="69" t="s">
        <v>1213</v>
      </c>
      <c r="M1574" s="69" t="s">
        <v>6</v>
      </c>
    </row>
    <row r="1575" spans="2:13">
      <c r="B1575" s="69">
        <v>1573</v>
      </c>
      <c r="C1575" s="69">
        <v>149</v>
      </c>
      <c r="D1575" s="69">
        <v>8</v>
      </c>
      <c r="E1575" s="69">
        <v>3</v>
      </c>
      <c r="F1575" s="69">
        <v>0</v>
      </c>
      <c r="G1575" s="69" t="s">
        <v>1067</v>
      </c>
      <c r="H1575" s="69" t="s">
        <v>9</v>
      </c>
      <c r="I1575" s="69" t="s">
        <v>1211</v>
      </c>
      <c r="J1575" s="69" t="s">
        <v>55</v>
      </c>
      <c r="K1575" s="69" t="s">
        <v>1214</v>
      </c>
      <c r="M1575" s="69" t="s">
        <v>6</v>
      </c>
    </row>
    <row r="1576" spans="2:13">
      <c r="B1576" s="69">
        <v>1574</v>
      </c>
      <c r="C1576" s="69">
        <v>149</v>
      </c>
      <c r="D1576" s="69">
        <v>8</v>
      </c>
      <c r="E1576" s="69">
        <v>4</v>
      </c>
      <c r="F1576" s="69">
        <v>0</v>
      </c>
      <c r="G1576" s="69" t="s">
        <v>1067</v>
      </c>
      <c r="H1576" s="69" t="s">
        <v>9</v>
      </c>
      <c r="I1576" s="69" t="s">
        <v>1211</v>
      </c>
      <c r="J1576" s="69" t="s">
        <v>55</v>
      </c>
      <c r="K1576" s="69" t="s">
        <v>1141</v>
      </c>
      <c r="M1576" s="69" t="s">
        <v>6</v>
      </c>
    </row>
    <row r="1577" spans="2:13">
      <c r="B1577" s="69">
        <v>1575</v>
      </c>
      <c r="C1577" s="69">
        <v>149</v>
      </c>
      <c r="D1577" s="69">
        <v>8</v>
      </c>
      <c r="E1577" s="69">
        <v>5</v>
      </c>
      <c r="F1577" s="69">
        <v>0</v>
      </c>
      <c r="G1577" s="69" t="s">
        <v>1067</v>
      </c>
      <c r="H1577" s="69" t="s">
        <v>9</v>
      </c>
      <c r="I1577" s="69" t="s">
        <v>1211</v>
      </c>
      <c r="J1577" s="69" t="s">
        <v>55</v>
      </c>
      <c r="K1577" s="69" t="s">
        <v>1215</v>
      </c>
      <c r="M1577" s="69" t="s">
        <v>6</v>
      </c>
    </row>
    <row r="1578" spans="2:13">
      <c r="B1578" s="69">
        <v>1576</v>
      </c>
      <c r="C1578" s="69">
        <v>149</v>
      </c>
      <c r="D1578" s="69">
        <v>8</v>
      </c>
      <c r="E1578" s="69">
        <v>6</v>
      </c>
      <c r="F1578" s="69">
        <v>0</v>
      </c>
      <c r="G1578" s="69" t="s">
        <v>1067</v>
      </c>
      <c r="H1578" s="69" t="s">
        <v>9</v>
      </c>
      <c r="I1578" s="69" t="s">
        <v>1211</v>
      </c>
      <c r="J1578" s="69" t="s">
        <v>64</v>
      </c>
      <c r="K1578" s="69" t="s">
        <v>1142</v>
      </c>
      <c r="M1578" s="69" t="s">
        <v>6</v>
      </c>
    </row>
    <row r="1579" spans="2:13">
      <c r="B1579" s="69">
        <v>1577</v>
      </c>
      <c r="C1579" s="69">
        <v>149</v>
      </c>
      <c r="D1579" s="69">
        <v>8</v>
      </c>
      <c r="E1579" s="69">
        <v>7</v>
      </c>
      <c r="F1579" s="69">
        <v>0</v>
      </c>
      <c r="G1579" s="69" t="s">
        <v>1067</v>
      </c>
      <c r="H1579" s="69" t="s">
        <v>9</v>
      </c>
      <c r="I1579" s="69" t="s">
        <v>1211</v>
      </c>
      <c r="J1579" s="69" t="s">
        <v>55</v>
      </c>
      <c r="K1579" s="69" t="s">
        <v>93</v>
      </c>
      <c r="M1579" s="69" t="s">
        <v>6</v>
      </c>
    </row>
    <row r="1580" spans="2:13">
      <c r="B1580" s="69">
        <v>1578</v>
      </c>
      <c r="C1580" s="69">
        <v>149</v>
      </c>
      <c r="D1580" s="69">
        <v>8</v>
      </c>
      <c r="E1580" s="69">
        <v>8</v>
      </c>
      <c r="F1580" s="69">
        <v>0</v>
      </c>
      <c r="G1580" s="69" t="s">
        <v>1067</v>
      </c>
      <c r="H1580" s="69" t="s">
        <v>9</v>
      </c>
      <c r="I1580" s="69" t="s">
        <v>1211</v>
      </c>
      <c r="J1580" s="69" t="s">
        <v>64</v>
      </c>
      <c r="K1580" s="69" t="s">
        <v>94</v>
      </c>
      <c r="M1580" s="69" t="s">
        <v>6</v>
      </c>
    </row>
    <row r="1581" spans="2:13">
      <c r="B1581" s="69">
        <v>1579</v>
      </c>
      <c r="C1581" s="69">
        <v>150</v>
      </c>
      <c r="D1581" s="69">
        <v>9</v>
      </c>
      <c r="E1581" s="69">
        <v>0</v>
      </c>
      <c r="F1581" s="69">
        <v>0</v>
      </c>
      <c r="G1581" s="69" t="s">
        <v>1067</v>
      </c>
      <c r="H1581" s="69" t="s">
        <v>9</v>
      </c>
      <c r="I1581" s="69" t="s">
        <v>1216</v>
      </c>
      <c r="J1581" s="69" t="s">
        <v>54</v>
      </c>
      <c r="K1581" s="69" t="s">
        <v>1216</v>
      </c>
      <c r="M1581" s="69" t="s">
        <v>6</v>
      </c>
    </row>
    <row r="1582" spans="2:13">
      <c r="B1582" s="69">
        <v>1580</v>
      </c>
      <c r="C1582" s="69">
        <v>150</v>
      </c>
      <c r="D1582" s="69">
        <v>9</v>
      </c>
      <c r="E1582" s="69">
        <v>1</v>
      </c>
      <c r="F1582" s="69">
        <v>0</v>
      </c>
      <c r="G1582" s="69" t="s">
        <v>1067</v>
      </c>
      <c r="H1582" s="69" t="s">
        <v>9</v>
      </c>
      <c r="I1582" s="69" t="s">
        <v>1216</v>
      </c>
      <c r="J1582" s="69" t="s">
        <v>55</v>
      </c>
      <c r="K1582" s="69" t="s">
        <v>1217</v>
      </c>
      <c r="M1582" s="69" t="s">
        <v>6</v>
      </c>
    </row>
    <row r="1583" spans="2:13">
      <c r="B1583" s="69">
        <v>1581</v>
      </c>
      <c r="C1583" s="69">
        <v>150</v>
      </c>
      <c r="D1583" s="69">
        <v>9</v>
      </c>
      <c r="E1583" s="69">
        <v>2</v>
      </c>
      <c r="F1583" s="69">
        <v>0</v>
      </c>
      <c r="G1583" s="69" t="s">
        <v>1067</v>
      </c>
      <c r="H1583" s="69" t="s">
        <v>9</v>
      </c>
      <c r="I1583" s="69" t="s">
        <v>1216</v>
      </c>
      <c r="J1583" s="69" t="s">
        <v>55</v>
      </c>
      <c r="K1583" s="69" t="s">
        <v>1218</v>
      </c>
      <c r="M1583" s="69" t="s">
        <v>6</v>
      </c>
    </row>
    <row r="1584" spans="2:13">
      <c r="B1584" s="69">
        <v>1582</v>
      </c>
      <c r="C1584" s="69">
        <v>150</v>
      </c>
      <c r="D1584" s="69">
        <v>9</v>
      </c>
      <c r="E1584" s="69">
        <v>3</v>
      </c>
      <c r="F1584" s="69">
        <v>0</v>
      </c>
      <c r="G1584" s="69" t="s">
        <v>1067</v>
      </c>
      <c r="H1584" s="69" t="s">
        <v>9</v>
      </c>
      <c r="I1584" s="69" t="s">
        <v>1216</v>
      </c>
      <c r="J1584" s="69" t="s">
        <v>55</v>
      </c>
      <c r="K1584" s="69" t="s">
        <v>1219</v>
      </c>
      <c r="M1584" s="69" t="s">
        <v>6</v>
      </c>
    </row>
    <row r="1585" spans="2:13">
      <c r="B1585" s="69">
        <v>1583</v>
      </c>
      <c r="C1585" s="69">
        <v>150</v>
      </c>
      <c r="D1585" s="69">
        <v>9</v>
      </c>
      <c r="E1585" s="69">
        <v>4</v>
      </c>
      <c r="F1585" s="69">
        <v>0</v>
      </c>
      <c r="G1585" s="69" t="s">
        <v>1067</v>
      </c>
      <c r="H1585" s="69" t="s">
        <v>9</v>
      </c>
      <c r="I1585" s="69" t="s">
        <v>1216</v>
      </c>
      <c r="J1585" s="69" t="s">
        <v>55</v>
      </c>
      <c r="K1585" s="69" t="s">
        <v>1220</v>
      </c>
      <c r="M1585" s="69" t="s">
        <v>6</v>
      </c>
    </row>
    <row r="1586" spans="2:13">
      <c r="B1586" s="69">
        <v>1584</v>
      </c>
      <c r="C1586" s="69">
        <v>150</v>
      </c>
      <c r="D1586" s="69">
        <v>9</v>
      </c>
      <c r="E1586" s="69">
        <v>5</v>
      </c>
      <c r="F1586" s="69">
        <v>0</v>
      </c>
      <c r="G1586" s="69" t="s">
        <v>1067</v>
      </c>
      <c r="H1586" s="69" t="s">
        <v>9</v>
      </c>
      <c r="I1586" s="69" t="s">
        <v>1216</v>
      </c>
      <c r="J1586" s="69" t="s">
        <v>55</v>
      </c>
      <c r="K1586" s="69" t="s">
        <v>1221</v>
      </c>
      <c r="M1586" s="69" t="s">
        <v>6</v>
      </c>
    </row>
    <row r="1587" spans="2:13">
      <c r="B1587" s="69">
        <v>1585</v>
      </c>
      <c r="C1587" s="69">
        <v>150</v>
      </c>
      <c r="D1587" s="69">
        <v>9</v>
      </c>
      <c r="E1587" s="69">
        <v>6</v>
      </c>
      <c r="F1587" s="69">
        <v>0</v>
      </c>
      <c r="G1587" s="69" t="s">
        <v>1067</v>
      </c>
      <c r="H1587" s="69" t="s">
        <v>9</v>
      </c>
      <c r="I1587" s="69" t="s">
        <v>1216</v>
      </c>
      <c r="J1587" s="69" t="s">
        <v>55</v>
      </c>
      <c r="K1587" s="69" t="s">
        <v>1222</v>
      </c>
      <c r="M1587" s="69" t="s">
        <v>6</v>
      </c>
    </row>
    <row r="1588" spans="2:13">
      <c r="B1588" s="69">
        <v>1586</v>
      </c>
      <c r="C1588" s="69">
        <v>150</v>
      </c>
      <c r="D1588" s="69">
        <v>9</v>
      </c>
      <c r="E1588" s="69">
        <v>7</v>
      </c>
      <c r="F1588" s="69">
        <v>0</v>
      </c>
      <c r="G1588" s="69" t="s">
        <v>1067</v>
      </c>
      <c r="H1588" s="69" t="s">
        <v>9</v>
      </c>
      <c r="I1588" s="69" t="s">
        <v>1216</v>
      </c>
      <c r="J1588" s="69" t="s">
        <v>55</v>
      </c>
      <c r="K1588" s="69" t="s">
        <v>1223</v>
      </c>
      <c r="M1588" s="69" t="s">
        <v>6</v>
      </c>
    </row>
    <row r="1589" spans="2:13">
      <c r="B1589" s="69">
        <v>1587</v>
      </c>
      <c r="C1589" s="69">
        <v>150</v>
      </c>
      <c r="D1589" s="69">
        <v>9</v>
      </c>
      <c r="E1589" s="69">
        <v>8</v>
      </c>
      <c r="F1589" s="69">
        <v>0</v>
      </c>
      <c r="G1589" s="69" t="s">
        <v>1067</v>
      </c>
      <c r="H1589" s="69" t="s">
        <v>9</v>
      </c>
      <c r="I1589" s="69" t="s">
        <v>1216</v>
      </c>
      <c r="J1589" s="69" t="s">
        <v>55</v>
      </c>
      <c r="K1589" s="69" t="s">
        <v>93</v>
      </c>
      <c r="M1589" s="69" t="s">
        <v>6</v>
      </c>
    </row>
    <row r="1590" spans="2:13">
      <c r="B1590" s="69">
        <v>1588</v>
      </c>
      <c r="C1590" s="69">
        <v>150</v>
      </c>
      <c r="D1590" s="69">
        <v>9</v>
      </c>
      <c r="E1590" s="69">
        <v>9</v>
      </c>
      <c r="F1590" s="69">
        <v>0</v>
      </c>
      <c r="G1590" s="69" t="s">
        <v>1067</v>
      </c>
      <c r="H1590" s="69" t="s">
        <v>9</v>
      </c>
      <c r="I1590" s="69" t="s">
        <v>1216</v>
      </c>
      <c r="J1590" s="69" t="s">
        <v>64</v>
      </c>
      <c r="K1590" s="69" t="s">
        <v>94</v>
      </c>
      <c r="M1590" s="69" t="s">
        <v>6</v>
      </c>
    </row>
    <row r="1591" spans="2:13">
      <c r="B1591" s="69">
        <v>1589</v>
      </c>
      <c r="C1591" s="69">
        <v>151</v>
      </c>
      <c r="D1591" s="69">
        <v>9</v>
      </c>
      <c r="E1591" s="69">
        <v>0</v>
      </c>
      <c r="F1591" s="69">
        <v>0</v>
      </c>
      <c r="G1591" s="69" t="s">
        <v>1067</v>
      </c>
      <c r="H1591" s="69" t="s">
        <v>9</v>
      </c>
      <c r="I1591" s="69" t="s">
        <v>1224</v>
      </c>
      <c r="J1591" s="69" t="s">
        <v>54</v>
      </c>
      <c r="K1591" s="69" t="s">
        <v>1224</v>
      </c>
      <c r="M1591" s="69" t="s">
        <v>6</v>
      </c>
    </row>
    <row r="1592" spans="2:13">
      <c r="B1592" s="69">
        <v>1590</v>
      </c>
      <c r="C1592" s="69">
        <v>151</v>
      </c>
      <c r="D1592" s="69">
        <v>9</v>
      </c>
      <c r="E1592" s="69">
        <v>1</v>
      </c>
      <c r="F1592" s="69">
        <v>0</v>
      </c>
      <c r="G1592" s="69" t="s">
        <v>1067</v>
      </c>
      <c r="H1592" s="69" t="s">
        <v>9</v>
      </c>
      <c r="I1592" s="69" t="s">
        <v>1224</v>
      </c>
      <c r="J1592" s="69" t="s">
        <v>55</v>
      </c>
      <c r="K1592" s="69" t="s">
        <v>1225</v>
      </c>
      <c r="M1592" s="69" t="s">
        <v>6</v>
      </c>
    </row>
    <row r="1593" spans="2:13">
      <c r="B1593" s="69">
        <v>1591</v>
      </c>
      <c r="C1593" s="69">
        <v>151</v>
      </c>
      <c r="D1593" s="69">
        <v>9</v>
      </c>
      <c r="E1593" s="69">
        <v>2</v>
      </c>
      <c r="F1593" s="69">
        <v>0</v>
      </c>
      <c r="G1593" s="69" t="s">
        <v>1067</v>
      </c>
      <c r="H1593" s="69" t="s">
        <v>9</v>
      </c>
      <c r="I1593" s="69" t="s">
        <v>1224</v>
      </c>
      <c r="J1593" s="69" t="s">
        <v>55</v>
      </c>
      <c r="K1593" s="69" t="s">
        <v>1226</v>
      </c>
      <c r="M1593" s="69" t="s">
        <v>6</v>
      </c>
    </row>
    <row r="1594" spans="2:13">
      <c r="B1594" s="69">
        <v>1592</v>
      </c>
      <c r="C1594" s="69">
        <v>151</v>
      </c>
      <c r="D1594" s="69">
        <v>9</v>
      </c>
      <c r="E1594" s="69">
        <v>3</v>
      </c>
      <c r="F1594" s="69">
        <v>0</v>
      </c>
      <c r="G1594" s="69" t="s">
        <v>1067</v>
      </c>
      <c r="H1594" s="69" t="s">
        <v>9</v>
      </c>
      <c r="I1594" s="69" t="s">
        <v>1224</v>
      </c>
      <c r="J1594" s="69" t="s">
        <v>55</v>
      </c>
      <c r="K1594" s="69" t="s">
        <v>1227</v>
      </c>
      <c r="M1594" s="69" t="s">
        <v>6</v>
      </c>
    </row>
    <row r="1595" spans="2:13">
      <c r="B1595" s="69">
        <v>1593</v>
      </c>
      <c r="C1595" s="69">
        <v>151</v>
      </c>
      <c r="D1595" s="69">
        <v>9</v>
      </c>
      <c r="E1595" s="69">
        <v>4</v>
      </c>
      <c r="F1595" s="69">
        <v>0</v>
      </c>
      <c r="G1595" s="69" t="s">
        <v>1067</v>
      </c>
      <c r="H1595" s="69" t="s">
        <v>9</v>
      </c>
      <c r="I1595" s="69" t="s">
        <v>1224</v>
      </c>
      <c r="J1595" s="69" t="s">
        <v>55</v>
      </c>
      <c r="K1595" s="69" t="s">
        <v>1228</v>
      </c>
      <c r="M1595" s="69" t="s">
        <v>6</v>
      </c>
    </row>
    <row r="1596" spans="2:13">
      <c r="B1596" s="69">
        <v>1594</v>
      </c>
      <c r="C1596" s="69">
        <v>151</v>
      </c>
      <c r="D1596" s="69">
        <v>9</v>
      </c>
      <c r="E1596" s="69">
        <v>5</v>
      </c>
      <c r="F1596" s="69">
        <v>0</v>
      </c>
      <c r="G1596" s="69" t="s">
        <v>1067</v>
      </c>
      <c r="H1596" s="69" t="s">
        <v>9</v>
      </c>
      <c r="I1596" s="69" t="s">
        <v>1224</v>
      </c>
      <c r="J1596" s="69" t="s">
        <v>55</v>
      </c>
      <c r="K1596" s="69" t="s">
        <v>1229</v>
      </c>
      <c r="M1596" s="69" t="s">
        <v>6</v>
      </c>
    </row>
    <row r="1597" spans="2:13">
      <c r="B1597" s="69">
        <v>1595</v>
      </c>
      <c r="C1597" s="69">
        <v>151</v>
      </c>
      <c r="D1597" s="69">
        <v>9</v>
      </c>
      <c r="E1597" s="69">
        <v>6</v>
      </c>
      <c r="F1597" s="69">
        <v>0</v>
      </c>
      <c r="G1597" s="69" t="s">
        <v>1067</v>
      </c>
      <c r="H1597" s="69" t="s">
        <v>9</v>
      </c>
      <c r="I1597" s="69" t="s">
        <v>1224</v>
      </c>
      <c r="J1597" s="69" t="s">
        <v>55</v>
      </c>
      <c r="K1597" s="69" t="s">
        <v>1230</v>
      </c>
      <c r="M1597" s="69" t="s">
        <v>6</v>
      </c>
    </row>
    <row r="1598" spans="2:13">
      <c r="B1598" s="69">
        <v>1596</v>
      </c>
      <c r="C1598" s="69">
        <v>151</v>
      </c>
      <c r="D1598" s="69">
        <v>9</v>
      </c>
      <c r="E1598" s="69">
        <v>7</v>
      </c>
      <c r="F1598" s="69">
        <v>0</v>
      </c>
      <c r="G1598" s="69" t="s">
        <v>1067</v>
      </c>
      <c r="H1598" s="69" t="s">
        <v>9</v>
      </c>
      <c r="I1598" s="69" t="s">
        <v>1224</v>
      </c>
      <c r="J1598" s="69" t="s">
        <v>55</v>
      </c>
      <c r="K1598" s="69" t="s">
        <v>1231</v>
      </c>
      <c r="M1598" s="69" t="s">
        <v>6</v>
      </c>
    </row>
    <row r="1599" spans="2:13">
      <c r="B1599" s="69">
        <v>1597</v>
      </c>
      <c r="C1599" s="69">
        <v>151</v>
      </c>
      <c r="D1599" s="69">
        <v>9</v>
      </c>
      <c r="E1599" s="69">
        <v>8</v>
      </c>
      <c r="F1599" s="69">
        <v>0</v>
      </c>
      <c r="G1599" s="69" t="s">
        <v>1067</v>
      </c>
      <c r="H1599" s="69" t="s">
        <v>9</v>
      </c>
      <c r="I1599" s="69" t="s">
        <v>1224</v>
      </c>
      <c r="J1599" s="69" t="s">
        <v>55</v>
      </c>
      <c r="K1599" s="69" t="s">
        <v>93</v>
      </c>
      <c r="M1599" s="69" t="s">
        <v>6</v>
      </c>
    </row>
    <row r="1600" spans="2:13">
      <c r="B1600" s="69">
        <v>1598</v>
      </c>
      <c r="C1600" s="69">
        <v>151</v>
      </c>
      <c r="D1600" s="69">
        <v>9</v>
      </c>
      <c r="E1600" s="69">
        <v>9</v>
      </c>
      <c r="F1600" s="69">
        <v>0</v>
      </c>
      <c r="G1600" s="69" t="s">
        <v>1067</v>
      </c>
      <c r="H1600" s="69" t="s">
        <v>9</v>
      </c>
      <c r="I1600" s="69" t="s">
        <v>1224</v>
      </c>
      <c r="J1600" s="69" t="s">
        <v>64</v>
      </c>
      <c r="K1600" s="69" t="s">
        <v>94</v>
      </c>
      <c r="M1600" s="69" t="s">
        <v>6</v>
      </c>
    </row>
    <row r="1601" spans="2:13">
      <c r="B1601" s="69">
        <v>1599</v>
      </c>
      <c r="C1601" s="69">
        <v>152</v>
      </c>
      <c r="D1601" s="69">
        <v>5</v>
      </c>
      <c r="E1601" s="69">
        <v>0</v>
      </c>
      <c r="F1601" s="69">
        <v>0</v>
      </c>
      <c r="G1601" s="69" t="s">
        <v>1067</v>
      </c>
      <c r="H1601" s="69" t="s">
        <v>9</v>
      </c>
      <c r="I1601" s="69" t="s">
        <v>1232</v>
      </c>
      <c r="J1601" s="69" t="s">
        <v>54</v>
      </c>
      <c r="K1601" s="69" t="s">
        <v>1232</v>
      </c>
      <c r="M1601" s="69" t="s">
        <v>6</v>
      </c>
    </row>
    <row r="1602" spans="2:13">
      <c r="B1602" s="69">
        <v>1600</v>
      </c>
      <c r="C1602" s="69">
        <v>152</v>
      </c>
      <c r="D1602" s="69">
        <v>5</v>
      </c>
      <c r="E1602" s="69">
        <v>1</v>
      </c>
      <c r="F1602" s="69">
        <v>0</v>
      </c>
      <c r="G1602" s="69" t="s">
        <v>1067</v>
      </c>
      <c r="H1602" s="69" t="s">
        <v>9</v>
      </c>
      <c r="I1602" s="69" t="s">
        <v>1232</v>
      </c>
      <c r="J1602" s="69" t="s">
        <v>55</v>
      </c>
      <c r="K1602" s="69" t="s">
        <v>1233</v>
      </c>
      <c r="M1602" s="69" t="s">
        <v>6</v>
      </c>
    </row>
    <row r="1603" spans="2:13">
      <c r="B1603" s="69">
        <v>1601</v>
      </c>
      <c r="C1603" s="69">
        <v>152</v>
      </c>
      <c r="D1603" s="69">
        <v>5</v>
      </c>
      <c r="E1603" s="69">
        <v>2</v>
      </c>
      <c r="F1603" s="69">
        <v>0</v>
      </c>
      <c r="G1603" s="69" t="s">
        <v>1067</v>
      </c>
      <c r="H1603" s="69" t="s">
        <v>9</v>
      </c>
      <c r="I1603" s="69" t="s">
        <v>1232</v>
      </c>
      <c r="J1603" s="69" t="s">
        <v>55</v>
      </c>
      <c r="K1603" s="69" t="s">
        <v>1234</v>
      </c>
      <c r="M1603" s="69" t="s">
        <v>6</v>
      </c>
    </row>
    <row r="1604" spans="2:13">
      <c r="B1604" s="69">
        <v>1602</v>
      </c>
      <c r="C1604" s="69">
        <v>152</v>
      </c>
      <c r="D1604" s="69">
        <v>5</v>
      </c>
      <c r="E1604" s="69">
        <v>3</v>
      </c>
      <c r="F1604" s="69">
        <v>0</v>
      </c>
      <c r="G1604" s="69" t="s">
        <v>1067</v>
      </c>
      <c r="H1604" s="69" t="s">
        <v>9</v>
      </c>
      <c r="I1604" s="69" t="s">
        <v>1232</v>
      </c>
      <c r="J1604" s="69" t="s">
        <v>55</v>
      </c>
      <c r="K1604" s="69" t="s">
        <v>1235</v>
      </c>
      <c r="M1604" s="69" t="s">
        <v>6</v>
      </c>
    </row>
    <row r="1605" spans="2:13">
      <c r="B1605" s="69">
        <v>1603</v>
      </c>
      <c r="C1605" s="69">
        <v>152</v>
      </c>
      <c r="D1605" s="69">
        <v>5</v>
      </c>
      <c r="E1605" s="69">
        <v>4</v>
      </c>
      <c r="F1605" s="69">
        <v>0</v>
      </c>
      <c r="G1605" s="69" t="s">
        <v>1067</v>
      </c>
      <c r="H1605" s="69" t="s">
        <v>9</v>
      </c>
      <c r="I1605" s="69" t="s">
        <v>1232</v>
      </c>
      <c r="J1605" s="69" t="s">
        <v>55</v>
      </c>
      <c r="K1605" s="69" t="s">
        <v>93</v>
      </c>
      <c r="M1605" s="69" t="s">
        <v>6</v>
      </c>
    </row>
    <row r="1606" spans="2:13">
      <c r="B1606" s="69">
        <v>1604</v>
      </c>
      <c r="C1606" s="69">
        <v>152</v>
      </c>
      <c r="D1606" s="69">
        <v>5</v>
      </c>
      <c r="E1606" s="69">
        <v>5</v>
      </c>
      <c r="F1606" s="69">
        <v>0</v>
      </c>
      <c r="G1606" s="69" t="s">
        <v>1067</v>
      </c>
      <c r="H1606" s="69" t="s">
        <v>9</v>
      </c>
      <c r="I1606" s="69" t="s">
        <v>1232</v>
      </c>
      <c r="J1606" s="69" t="s">
        <v>64</v>
      </c>
      <c r="K1606" s="69" t="s">
        <v>94</v>
      </c>
      <c r="M1606" s="69" t="s">
        <v>6</v>
      </c>
    </row>
    <row r="1607" spans="2:13">
      <c r="B1607" s="69">
        <v>1605</v>
      </c>
      <c r="C1607" s="69">
        <v>153</v>
      </c>
      <c r="D1607" s="69">
        <v>8</v>
      </c>
      <c r="E1607" s="69">
        <v>0</v>
      </c>
      <c r="F1607" s="69">
        <v>0</v>
      </c>
      <c r="G1607" s="69" t="s">
        <v>1067</v>
      </c>
      <c r="H1607" s="69" t="s">
        <v>9</v>
      </c>
      <c r="I1607" s="69" t="s">
        <v>1236</v>
      </c>
      <c r="J1607" s="69" t="s">
        <v>54</v>
      </c>
      <c r="K1607" s="69" t="s">
        <v>1236</v>
      </c>
      <c r="M1607" s="69" t="s">
        <v>6</v>
      </c>
    </row>
    <row r="1608" spans="2:13">
      <c r="B1608" s="69">
        <v>1606</v>
      </c>
      <c r="C1608" s="69">
        <v>153</v>
      </c>
      <c r="D1608" s="69">
        <v>8</v>
      </c>
      <c r="E1608" s="69">
        <v>1</v>
      </c>
      <c r="F1608" s="69">
        <v>0</v>
      </c>
      <c r="G1608" s="69" t="s">
        <v>1067</v>
      </c>
      <c r="H1608" s="69" t="s">
        <v>9</v>
      </c>
      <c r="I1608" s="69" t="s">
        <v>1236</v>
      </c>
      <c r="J1608" s="69" t="s">
        <v>55</v>
      </c>
      <c r="K1608" s="69" t="s">
        <v>1237</v>
      </c>
      <c r="M1608" s="69" t="s">
        <v>6</v>
      </c>
    </row>
    <row r="1609" spans="2:13">
      <c r="B1609" s="69">
        <v>1607</v>
      </c>
      <c r="C1609" s="69">
        <v>153</v>
      </c>
      <c r="D1609" s="69">
        <v>8</v>
      </c>
      <c r="E1609" s="69">
        <v>2</v>
      </c>
      <c r="F1609" s="69">
        <v>0</v>
      </c>
      <c r="G1609" s="69" t="s">
        <v>1067</v>
      </c>
      <c r="H1609" s="69" t="s">
        <v>9</v>
      </c>
      <c r="I1609" s="69" t="s">
        <v>1236</v>
      </c>
      <c r="J1609" s="69" t="s">
        <v>55</v>
      </c>
      <c r="K1609" s="69" t="s">
        <v>1238</v>
      </c>
      <c r="M1609" s="69" t="s">
        <v>6</v>
      </c>
    </row>
    <row r="1610" spans="2:13">
      <c r="B1610" s="69">
        <v>1608</v>
      </c>
      <c r="C1610" s="69">
        <v>153</v>
      </c>
      <c r="D1610" s="69">
        <v>8</v>
      </c>
      <c r="E1610" s="69">
        <v>3</v>
      </c>
      <c r="F1610" s="69">
        <v>0</v>
      </c>
      <c r="G1610" s="69" t="s">
        <v>1067</v>
      </c>
      <c r="H1610" s="69" t="s">
        <v>9</v>
      </c>
      <c r="I1610" s="69" t="s">
        <v>1236</v>
      </c>
      <c r="J1610" s="69" t="s">
        <v>55</v>
      </c>
      <c r="K1610" s="69" t="s">
        <v>1239</v>
      </c>
      <c r="M1610" s="69" t="s">
        <v>6</v>
      </c>
    </row>
    <row r="1611" spans="2:13">
      <c r="B1611" s="69">
        <v>1609</v>
      </c>
      <c r="C1611" s="69">
        <v>153</v>
      </c>
      <c r="D1611" s="69">
        <v>8</v>
      </c>
      <c r="E1611" s="69">
        <v>4</v>
      </c>
      <c r="F1611" s="69">
        <v>0</v>
      </c>
      <c r="G1611" s="69" t="s">
        <v>1067</v>
      </c>
      <c r="H1611" s="69" t="s">
        <v>9</v>
      </c>
      <c r="I1611" s="69" t="s">
        <v>1236</v>
      </c>
      <c r="J1611" s="69" t="s">
        <v>55</v>
      </c>
      <c r="K1611" s="69" t="s">
        <v>1240</v>
      </c>
      <c r="M1611" s="69" t="s">
        <v>6</v>
      </c>
    </row>
    <row r="1612" spans="2:13">
      <c r="B1612" s="69">
        <v>1610</v>
      </c>
      <c r="C1612" s="69">
        <v>153</v>
      </c>
      <c r="D1612" s="69">
        <v>8</v>
      </c>
      <c r="E1612" s="69">
        <v>5</v>
      </c>
      <c r="F1612" s="69">
        <v>0</v>
      </c>
      <c r="G1612" s="69" t="s">
        <v>1067</v>
      </c>
      <c r="H1612" s="69" t="s">
        <v>9</v>
      </c>
      <c r="I1612" s="69" t="s">
        <v>1236</v>
      </c>
      <c r="J1612" s="69" t="s">
        <v>55</v>
      </c>
      <c r="K1612" s="69" t="s">
        <v>1125</v>
      </c>
      <c r="M1612" s="69" t="s">
        <v>6</v>
      </c>
    </row>
    <row r="1613" spans="2:13">
      <c r="B1613" s="69">
        <v>1611</v>
      </c>
      <c r="C1613" s="69">
        <v>153</v>
      </c>
      <c r="D1613" s="69">
        <v>8</v>
      </c>
      <c r="E1613" s="69">
        <v>6</v>
      </c>
      <c r="F1613" s="69">
        <v>0</v>
      </c>
      <c r="G1613" s="69" t="s">
        <v>1067</v>
      </c>
      <c r="H1613" s="69" t="s">
        <v>9</v>
      </c>
      <c r="I1613" s="69" t="s">
        <v>1236</v>
      </c>
      <c r="J1613" s="69" t="s">
        <v>55</v>
      </c>
      <c r="K1613" s="69" t="s">
        <v>1241</v>
      </c>
      <c r="M1613" s="69" t="s">
        <v>6</v>
      </c>
    </row>
    <row r="1614" spans="2:13">
      <c r="B1614" s="69">
        <v>1612</v>
      </c>
      <c r="C1614" s="69">
        <v>153</v>
      </c>
      <c r="D1614" s="69">
        <v>8</v>
      </c>
      <c r="E1614" s="69">
        <v>7</v>
      </c>
      <c r="F1614" s="69">
        <v>0</v>
      </c>
      <c r="G1614" s="69" t="s">
        <v>1067</v>
      </c>
      <c r="H1614" s="69" t="s">
        <v>9</v>
      </c>
      <c r="I1614" s="69" t="s">
        <v>1236</v>
      </c>
      <c r="J1614" s="69" t="s">
        <v>55</v>
      </c>
      <c r="K1614" s="69" t="s">
        <v>93</v>
      </c>
      <c r="M1614" s="69" t="s">
        <v>6</v>
      </c>
    </row>
    <row r="1615" spans="2:13">
      <c r="B1615" s="69">
        <v>1613</v>
      </c>
      <c r="C1615" s="69">
        <v>153</v>
      </c>
      <c r="D1615" s="69">
        <v>8</v>
      </c>
      <c r="E1615" s="69">
        <v>8</v>
      </c>
      <c r="F1615" s="69">
        <v>0</v>
      </c>
      <c r="G1615" s="69" t="s">
        <v>1067</v>
      </c>
      <c r="H1615" s="69" t="s">
        <v>9</v>
      </c>
      <c r="I1615" s="69" t="s">
        <v>1236</v>
      </c>
      <c r="J1615" s="69" t="s">
        <v>64</v>
      </c>
      <c r="K1615" s="69" t="s">
        <v>94</v>
      </c>
      <c r="M1615" s="69" t="s">
        <v>6</v>
      </c>
    </row>
    <row r="1616" spans="2:13">
      <c r="B1616" s="69">
        <v>1614</v>
      </c>
      <c r="C1616" s="69">
        <v>154</v>
      </c>
      <c r="D1616" s="69">
        <v>4</v>
      </c>
      <c r="E1616" s="69">
        <v>0</v>
      </c>
      <c r="F1616" s="69">
        <v>0</v>
      </c>
      <c r="G1616" s="69" t="s">
        <v>1242</v>
      </c>
      <c r="H1616" s="69" t="s">
        <v>52</v>
      </c>
      <c r="I1616" s="69" t="s">
        <v>1243</v>
      </c>
      <c r="J1616" s="69" t="s">
        <v>54</v>
      </c>
      <c r="K1616" s="69" t="s">
        <v>1243</v>
      </c>
      <c r="M1616" s="69" t="s">
        <v>6</v>
      </c>
    </row>
    <row r="1617" spans="2:13">
      <c r="B1617" s="69">
        <v>1615</v>
      </c>
      <c r="C1617" s="69">
        <v>154</v>
      </c>
      <c r="D1617" s="69">
        <v>4</v>
      </c>
      <c r="E1617" s="69">
        <v>1</v>
      </c>
      <c r="F1617" s="69">
        <v>0</v>
      </c>
      <c r="G1617" s="69" t="s">
        <v>1242</v>
      </c>
      <c r="H1617" s="69" t="s">
        <v>52</v>
      </c>
      <c r="I1617" s="69" t="s">
        <v>1243</v>
      </c>
      <c r="J1617" s="69" t="s">
        <v>55</v>
      </c>
      <c r="K1617" s="69" t="s">
        <v>62</v>
      </c>
      <c r="M1617" s="69" t="s">
        <v>6</v>
      </c>
    </row>
    <row r="1618" spans="2:13">
      <c r="B1618" s="69">
        <v>1616</v>
      </c>
      <c r="C1618" s="69">
        <v>154</v>
      </c>
      <c r="D1618" s="69">
        <v>4</v>
      </c>
      <c r="E1618" s="69">
        <v>2</v>
      </c>
      <c r="F1618" s="69">
        <v>0</v>
      </c>
      <c r="G1618" s="69" t="s">
        <v>1242</v>
      </c>
      <c r="H1618" s="69" t="s">
        <v>52</v>
      </c>
      <c r="I1618" s="69" t="s">
        <v>1243</v>
      </c>
      <c r="J1618" s="69" t="s">
        <v>55</v>
      </c>
      <c r="K1618" s="69" t="s">
        <v>63</v>
      </c>
      <c r="M1618" s="69" t="s">
        <v>6</v>
      </c>
    </row>
    <row r="1619" spans="2:13">
      <c r="B1619" s="69">
        <v>1617</v>
      </c>
      <c r="C1619" s="69">
        <v>154</v>
      </c>
      <c r="D1619" s="69">
        <v>4</v>
      </c>
      <c r="E1619" s="69">
        <v>3</v>
      </c>
      <c r="F1619" s="69">
        <v>0</v>
      </c>
      <c r="G1619" s="69" t="s">
        <v>1242</v>
      </c>
      <c r="H1619" s="69" t="s">
        <v>52</v>
      </c>
      <c r="I1619" s="69" t="s">
        <v>1243</v>
      </c>
      <c r="J1619" s="69" t="s">
        <v>64</v>
      </c>
      <c r="K1619" s="69" t="s">
        <v>65</v>
      </c>
      <c r="M1619" s="69" t="s">
        <v>6</v>
      </c>
    </row>
    <row r="1620" spans="2:13">
      <c r="B1620" s="69">
        <v>1618</v>
      </c>
      <c r="C1620" s="69">
        <v>154</v>
      </c>
      <c r="D1620" s="69">
        <v>4</v>
      </c>
      <c r="E1620" s="69">
        <v>4</v>
      </c>
      <c r="F1620" s="69">
        <v>0</v>
      </c>
      <c r="G1620" s="69" t="s">
        <v>1242</v>
      </c>
      <c r="H1620" s="69" t="s">
        <v>52</v>
      </c>
      <c r="I1620" s="69" t="s">
        <v>1243</v>
      </c>
      <c r="J1620" s="69" t="s">
        <v>55</v>
      </c>
      <c r="K1620" s="69" t="s">
        <v>660</v>
      </c>
      <c r="M1620" s="69" t="s">
        <v>6</v>
      </c>
    </row>
    <row r="1621" spans="2:13">
      <c r="B1621" s="69">
        <v>1619</v>
      </c>
      <c r="C1621" s="69">
        <v>155</v>
      </c>
      <c r="D1621" s="69">
        <v>14</v>
      </c>
      <c r="E1621" s="69">
        <v>0</v>
      </c>
      <c r="F1621" s="69">
        <v>0</v>
      </c>
      <c r="G1621" s="69" t="s">
        <v>1242</v>
      </c>
      <c r="H1621" s="69" t="s">
        <v>52</v>
      </c>
      <c r="I1621" s="69" t="s">
        <v>1244</v>
      </c>
      <c r="J1621" s="69" t="s">
        <v>54</v>
      </c>
      <c r="K1621" s="69" t="s">
        <v>1244</v>
      </c>
      <c r="M1621" s="69" t="s">
        <v>6</v>
      </c>
    </row>
    <row r="1622" spans="2:13">
      <c r="B1622" s="69">
        <v>1620</v>
      </c>
      <c r="C1622" s="69">
        <v>155</v>
      </c>
      <c r="D1622" s="69">
        <v>14</v>
      </c>
      <c r="E1622" s="69">
        <v>1</v>
      </c>
      <c r="F1622" s="69">
        <v>0</v>
      </c>
      <c r="G1622" s="69" t="s">
        <v>1242</v>
      </c>
      <c r="H1622" s="69" t="s">
        <v>52</v>
      </c>
      <c r="I1622" s="69" t="s">
        <v>1244</v>
      </c>
      <c r="J1622" s="69" t="s">
        <v>55</v>
      </c>
      <c r="K1622" s="69" t="s">
        <v>1245</v>
      </c>
      <c r="M1622" s="69" t="s">
        <v>6</v>
      </c>
    </row>
    <row r="1623" spans="2:13">
      <c r="B1623" s="69">
        <v>1621</v>
      </c>
      <c r="C1623" s="69">
        <v>155</v>
      </c>
      <c r="D1623" s="69">
        <v>14</v>
      </c>
      <c r="E1623" s="69">
        <v>2</v>
      </c>
      <c r="F1623" s="69">
        <v>0</v>
      </c>
      <c r="G1623" s="69" t="s">
        <v>1242</v>
      </c>
      <c r="H1623" s="69" t="s">
        <v>52</v>
      </c>
      <c r="I1623" s="69" t="s">
        <v>1244</v>
      </c>
      <c r="J1623" s="69" t="s">
        <v>55</v>
      </c>
      <c r="K1623" s="69" t="s">
        <v>1246</v>
      </c>
      <c r="M1623" s="69" t="s">
        <v>6</v>
      </c>
    </row>
    <row r="1624" spans="2:13">
      <c r="B1624" s="69">
        <v>1622</v>
      </c>
      <c r="C1624" s="69">
        <v>155</v>
      </c>
      <c r="D1624" s="69">
        <v>14</v>
      </c>
      <c r="E1624" s="69">
        <v>3</v>
      </c>
      <c r="F1624" s="69">
        <v>0</v>
      </c>
      <c r="G1624" s="69" t="s">
        <v>1242</v>
      </c>
      <c r="H1624" s="69" t="s">
        <v>52</v>
      </c>
      <c r="I1624" s="69" t="s">
        <v>1244</v>
      </c>
      <c r="J1624" s="69" t="s">
        <v>55</v>
      </c>
      <c r="K1624" s="69" t="s">
        <v>1247</v>
      </c>
      <c r="M1624" s="69" t="s">
        <v>6</v>
      </c>
    </row>
    <row r="1625" spans="2:13">
      <c r="B1625" s="69">
        <v>1623</v>
      </c>
      <c r="C1625" s="69">
        <v>155</v>
      </c>
      <c r="D1625" s="69">
        <v>14</v>
      </c>
      <c r="E1625" s="69">
        <v>4</v>
      </c>
      <c r="F1625" s="69">
        <v>0</v>
      </c>
      <c r="G1625" s="69" t="s">
        <v>1242</v>
      </c>
      <c r="H1625" s="69" t="s">
        <v>52</v>
      </c>
      <c r="I1625" s="69" t="s">
        <v>1244</v>
      </c>
      <c r="J1625" s="69" t="s">
        <v>55</v>
      </c>
      <c r="K1625" s="69" t="s">
        <v>1248</v>
      </c>
      <c r="M1625" s="69" t="s">
        <v>6</v>
      </c>
    </row>
    <row r="1626" spans="2:13">
      <c r="B1626" s="69">
        <v>1624</v>
      </c>
      <c r="C1626" s="69">
        <v>155</v>
      </c>
      <c r="D1626" s="69">
        <v>14</v>
      </c>
      <c r="E1626" s="69">
        <v>5</v>
      </c>
      <c r="F1626" s="69">
        <v>0</v>
      </c>
      <c r="G1626" s="69" t="s">
        <v>1242</v>
      </c>
      <c r="H1626" s="69" t="s">
        <v>52</v>
      </c>
      <c r="I1626" s="69" t="s">
        <v>1244</v>
      </c>
      <c r="J1626" s="69" t="s">
        <v>55</v>
      </c>
      <c r="K1626" s="69" t="s">
        <v>1249</v>
      </c>
      <c r="M1626" s="69" t="s">
        <v>6</v>
      </c>
    </row>
    <row r="1627" spans="2:13">
      <c r="B1627" s="69">
        <v>1625</v>
      </c>
      <c r="C1627" s="69">
        <v>155</v>
      </c>
      <c r="D1627" s="69">
        <v>14</v>
      </c>
      <c r="E1627" s="69">
        <v>6</v>
      </c>
      <c r="F1627" s="69">
        <v>0</v>
      </c>
      <c r="G1627" s="69" t="s">
        <v>1242</v>
      </c>
      <c r="H1627" s="69" t="s">
        <v>52</v>
      </c>
      <c r="I1627" s="69" t="s">
        <v>1244</v>
      </c>
      <c r="J1627" s="69" t="s">
        <v>55</v>
      </c>
      <c r="K1627" s="69" t="s">
        <v>1250</v>
      </c>
      <c r="M1627" s="69" t="s">
        <v>6</v>
      </c>
    </row>
    <row r="1628" spans="2:13">
      <c r="B1628" s="69">
        <v>1626</v>
      </c>
      <c r="C1628" s="69">
        <v>155</v>
      </c>
      <c r="D1628" s="69">
        <v>14</v>
      </c>
      <c r="E1628" s="69">
        <v>7</v>
      </c>
      <c r="F1628" s="69">
        <v>0</v>
      </c>
      <c r="G1628" s="69" t="s">
        <v>1242</v>
      </c>
      <c r="H1628" s="69" t="s">
        <v>52</v>
      </c>
      <c r="I1628" s="69" t="s">
        <v>1244</v>
      </c>
      <c r="J1628" s="69" t="s">
        <v>55</v>
      </c>
      <c r="K1628" s="69" t="s">
        <v>1251</v>
      </c>
      <c r="M1628" s="69" t="s">
        <v>6</v>
      </c>
    </row>
    <row r="1629" spans="2:13">
      <c r="B1629" s="69">
        <v>1627</v>
      </c>
      <c r="C1629" s="69">
        <v>155</v>
      </c>
      <c r="D1629" s="69">
        <v>14</v>
      </c>
      <c r="E1629" s="69">
        <v>8</v>
      </c>
      <c r="F1629" s="69">
        <v>0</v>
      </c>
      <c r="G1629" s="69" t="s">
        <v>1242</v>
      </c>
      <c r="H1629" s="69" t="s">
        <v>52</v>
      </c>
      <c r="I1629" s="69" t="s">
        <v>1244</v>
      </c>
      <c r="J1629" s="69" t="s">
        <v>55</v>
      </c>
      <c r="K1629" s="69" t="s">
        <v>1252</v>
      </c>
      <c r="M1629" s="69" t="s">
        <v>6</v>
      </c>
    </row>
    <row r="1630" spans="2:13">
      <c r="B1630" s="69">
        <v>1628</v>
      </c>
      <c r="C1630" s="69">
        <v>155</v>
      </c>
      <c r="D1630" s="69">
        <v>14</v>
      </c>
      <c r="E1630" s="69">
        <v>9</v>
      </c>
      <c r="F1630" s="69">
        <v>0</v>
      </c>
      <c r="G1630" s="69" t="s">
        <v>1242</v>
      </c>
      <c r="H1630" s="69" t="s">
        <v>52</v>
      </c>
      <c r="I1630" s="69" t="s">
        <v>1244</v>
      </c>
      <c r="J1630" s="69" t="s">
        <v>55</v>
      </c>
      <c r="K1630" s="69" t="s">
        <v>1253</v>
      </c>
      <c r="M1630" s="69" t="s">
        <v>6</v>
      </c>
    </row>
    <row r="1631" spans="2:13">
      <c r="B1631" s="69">
        <v>1629</v>
      </c>
      <c r="C1631" s="69">
        <v>155</v>
      </c>
      <c r="D1631" s="69">
        <v>14</v>
      </c>
      <c r="E1631" s="69">
        <v>10</v>
      </c>
      <c r="F1631" s="69">
        <v>0</v>
      </c>
      <c r="G1631" s="69" t="s">
        <v>1242</v>
      </c>
      <c r="H1631" s="69" t="s">
        <v>52</v>
      </c>
      <c r="I1631" s="69" t="s">
        <v>1244</v>
      </c>
      <c r="J1631" s="69" t="s">
        <v>55</v>
      </c>
      <c r="K1631" s="69" t="s">
        <v>1254</v>
      </c>
      <c r="M1631" s="69" t="s">
        <v>6</v>
      </c>
    </row>
    <row r="1632" spans="2:13">
      <c r="B1632" s="69">
        <v>1630</v>
      </c>
      <c r="C1632" s="69">
        <v>155</v>
      </c>
      <c r="D1632" s="69">
        <v>14</v>
      </c>
      <c r="E1632" s="69">
        <v>11</v>
      </c>
      <c r="F1632" s="69">
        <v>0</v>
      </c>
      <c r="G1632" s="69" t="s">
        <v>1242</v>
      </c>
      <c r="H1632" s="69" t="s">
        <v>52</v>
      </c>
      <c r="I1632" s="69" t="s">
        <v>1244</v>
      </c>
      <c r="J1632" s="69" t="s">
        <v>55</v>
      </c>
      <c r="K1632" s="69" t="s">
        <v>1255</v>
      </c>
      <c r="M1632" s="69" t="s">
        <v>6</v>
      </c>
    </row>
    <row r="1633" spans="2:13">
      <c r="B1633" s="69">
        <v>1631</v>
      </c>
      <c r="C1633" s="69">
        <v>155</v>
      </c>
      <c r="D1633" s="69">
        <v>14</v>
      </c>
      <c r="E1633" s="69">
        <v>12</v>
      </c>
      <c r="F1633" s="69">
        <v>0</v>
      </c>
      <c r="G1633" s="69" t="s">
        <v>1242</v>
      </c>
      <c r="H1633" s="69" t="s">
        <v>52</v>
      </c>
      <c r="I1633" s="69" t="s">
        <v>1244</v>
      </c>
      <c r="J1633" s="69" t="s">
        <v>55</v>
      </c>
      <c r="K1633" s="69" t="s">
        <v>1256</v>
      </c>
      <c r="M1633" s="69" t="s">
        <v>6</v>
      </c>
    </row>
    <row r="1634" spans="2:13">
      <c r="B1634" s="69">
        <v>1632</v>
      </c>
      <c r="C1634" s="69">
        <v>155</v>
      </c>
      <c r="D1634" s="69">
        <v>14</v>
      </c>
      <c r="E1634" s="69">
        <v>13</v>
      </c>
      <c r="F1634" s="69">
        <v>0</v>
      </c>
      <c r="G1634" s="69" t="s">
        <v>1242</v>
      </c>
      <c r="H1634" s="69" t="s">
        <v>52</v>
      </c>
      <c r="I1634" s="69" t="s">
        <v>1244</v>
      </c>
      <c r="J1634" s="69" t="s">
        <v>55</v>
      </c>
      <c r="K1634" s="69" t="s">
        <v>1257</v>
      </c>
      <c r="M1634" s="69" t="s">
        <v>6</v>
      </c>
    </row>
    <row r="1635" spans="2:13">
      <c r="B1635" s="69">
        <v>1633</v>
      </c>
      <c r="C1635" s="69">
        <v>155</v>
      </c>
      <c r="D1635" s="69">
        <v>14</v>
      </c>
      <c r="E1635" s="69">
        <v>14</v>
      </c>
      <c r="F1635" s="69">
        <v>0</v>
      </c>
      <c r="G1635" s="69" t="s">
        <v>1242</v>
      </c>
      <c r="H1635" s="69" t="s">
        <v>52</v>
      </c>
      <c r="I1635" s="69" t="s">
        <v>1244</v>
      </c>
      <c r="J1635" s="69" t="s">
        <v>64</v>
      </c>
      <c r="K1635" s="69" t="s">
        <v>65</v>
      </c>
      <c r="M1635" s="69" t="s">
        <v>6</v>
      </c>
    </row>
    <row r="1636" spans="2:13">
      <c r="B1636" s="69">
        <v>1634</v>
      </c>
      <c r="C1636" s="69">
        <v>156</v>
      </c>
      <c r="D1636" s="69">
        <v>14</v>
      </c>
      <c r="E1636" s="69">
        <v>0</v>
      </c>
      <c r="F1636" s="69">
        <v>0</v>
      </c>
      <c r="G1636" s="69" t="s">
        <v>1242</v>
      </c>
      <c r="H1636" s="69" t="s">
        <v>9</v>
      </c>
      <c r="I1636" s="69" t="s">
        <v>1258</v>
      </c>
      <c r="J1636" s="69" t="s">
        <v>54</v>
      </c>
      <c r="K1636" s="69" t="s">
        <v>1258</v>
      </c>
      <c r="M1636" s="69" t="s">
        <v>6</v>
      </c>
    </row>
    <row r="1637" spans="2:13">
      <c r="B1637" s="69">
        <v>1635</v>
      </c>
      <c r="C1637" s="69">
        <v>156</v>
      </c>
      <c r="D1637" s="69">
        <v>14</v>
      </c>
      <c r="E1637" s="69">
        <v>1</v>
      </c>
      <c r="F1637" s="69">
        <v>0</v>
      </c>
      <c r="G1637" s="69" t="s">
        <v>1242</v>
      </c>
      <c r="H1637" s="69" t="s">
        <v>9</v>
      </c>
      <c r="I1637" s="69" t="s">
        <v>1258</v>
      </c>
      <c r="J1637" s="69" t="s">
        <v>55</v>
      </c>
      <c r="K1637" s="69" t="s">
        <v>1259</v>
      </c>
      <c r="M1637" s="69" t="s">
        <v>6</v>
      </c>
    </row>
    <row r="1638" spans="2:13">
      <c r="B1638" s="69">
        <v>1636</v>
      </c>
      <c r="C1638" s="69">
        <v>156</v>
      </c>
      <c r="D1638" s="69">
        <v>14</v>
      </c>
      <c r="E1638" s="69">
        <v>2</v>
      </c>
      <c r="F1638" s="69">
        <v>0</v>
      </c>
      <c r="G1638" s="69" t="s">
        <v>1242</v>
      </c>
      <c r="H1638" s="69" t="s">
        <v>9</v>
      </c>
      <c r="I1638" s="69" t="s">
        <v>1258</v>
      </c>
      <c r="J1638" s="69" t="s">
        <v>218</v>
      </c>
      <c r="K1638" s="69" t="s">
        <v>1260</v>
      </c>
      <c r="L1638" s="69" t="s">
        <v>1261</v>
      </c>
      <c r="M1638" s="69" t="s">
        <v>6</v>
      </c>
    </row>
    <row r="1639" spans="2:13">
      <c r="B1639" s="69">
        <v>1637</v>
      </c>
      <c r="C1639" s="69">
        <v>156</v>
      </c>
      <c r="D1639" s="69">
        <v>14</v>
      </c>
      <c r="E1639" s="69">
        <v>3</v>
      </c>
      <c r="F1639" s="69">
        <v>0</v>
      </c>
      <c r="G1639" s="69" t="s">
        <v>1242</v>
      </c>
      <c r="H1639" s="69" t="s">
        <v>9</v>
      </c>
      <c r="I1639" s="69" t="s">
        <v>1258</v>
      </c>
      <c r="J1639" s="69" t="s">
        <v>218</v>
      </c>
      <c r="K1639" s="69" t="s">
        <v>1262</v>
      </c>
      <c r="L1639" s="69" t="s">
        <v>1263</v>
      </c>
      <c r="M1639" s="69" t="s">
        <v>6</v>
      </c>
    </row>
    <row r="1640" spans="2:13">
      <c r="B1640" s="69">
        <v>1638</v>
      </c>
      <c r="C1640" s="69">
        <v>156</v>
      </c>
      <c r="D1640" s="69">
        <v>14</v>
      </c>
      <c r="E1640" s="69">
        <v>4</v>
      </c>
      <c r="F1640" s="69">
        <v>0</v>
      </c>
      <c r="G1640" s="69" t="s">
        <v>1242</v>
      </c>
      <c r="H1640" s="69" t="s">
        <v>9</v>
      </c>
      <c r="I1640" s="69" t="s">
        <v>1258</v>
      </c>
      <c r="J1640" s="69" t="s">
        <v>724</v>
      </c>
      <c r="K1640" s="69" t="s">
        <v>1264</v>
      </c>
      <c r="M1640" s="69" t="s">
        <v>6</v>
      </c>
    </row>
    <row r="1641" spans="2:13">
      <c r="B1641" s="69">
        <v>1639</v>
      </c>
      <c r="C1641" s="69">
        <v>156</v>
      </c>
      <c r="D1641" s="69">
        <v>14</v>
      </c>
      <c r="E1641" s="69">
        <v>5</v>
      </c>
      <c r="F1641" s="69">
        <v>0</v>
      </c>
      <c r="G1641" s="69" t="s">
        <v>1242</v>
      </c>
      <c r="H1641" s="69" t="s">
        <v>9</v>
      </c>
      <c r="I1641" s="69" t="s">
        <v>1258</v>
      </c>
      <c r="J1641" s="69" t="s">
        <v>99</v>
      </c>
      <c r="K1641" s="69" t="s">
        <v>1265</v>
      </c>
      <c r="L1641" s="69" t="s">
        <v>1266</v>
      </c>
      <c r="M1641" s="69" t="s">
        <v>6</v>
      </c>
    </row>
    <row r="1642" spans="2:13">
      <c r="B1642" s="69">
        <v>1640</v>
      </c>
      <c r="C1642" s="69">
        <v>156</v>
      </c>
      <c r="D1642" s="69">
        <v>14</v>
      </c>
      <c r="E1642" s="69">
        <v>6</v>
      </c>
      <c r="F1642" s="69">
        <v>0</v>
      </c>
      <c r="G1642" s="69" t="s">
        <v>1242</v>
      </c>
      <c r="H1642" s="69" t="s">
        <v>9</v>
      </c>
      <c r="I1642" s="69" t="s">
        <v>1258</v>
      </c>
      <c r="J1642" s="69" t="s">
        <v>724</v>
      </c>
      <c r="K1642" s="69" t="s">
        <v>1264</v>
      </c>
      <c r="M1642" s="69" t="s">
        <v>6</v>
      </c>
    </row>
    <row r="1643" spans="2:13">
      <c r="B1643" s="69">
        <v>1641</v>
      </c>
      <c r="C1643" s="69">
        <v>156</v>
      </c>
      <c r="D1643" s="69">
        <v>14</v>
      </c>
      <c r="E1643" s="69">
        <v>7</v>
      </c>
      <c r="F1643" s="69">
        <v>0</v>
      </c>
      <c r="G1643" s="69" t="s">
        <v>1242</v>
      </c>
      <c r="H1643" s="69" t="s">
        <v>9</v>
      </c>
      <c r="I1643" s="69" t="s">
        <v>1258</v>
      </c>
      <c r="J1643" s="69" t="s">
        <v>99</v>
      </c>
      <c r="K1643" s="69" t="s">
        <v>1267</v>
      </c>
      <c r="L1643" s="69" t="s">
        <v>1268</v>
      </c>
      <c r="M1643" s="69" t="s">
        <v>6</v>
      </c>
    </row>
    <row r="1644" spans="2:13">
      <c r="B1644" s="69">
        <v>1642</v>
      </c>
      <c r="C1644" s="69">
        <v>156</v>
      </c>
      <c r="D1644" s="69">
        <v>14</v>
      </c>
      <c r="E1644" s="69">
        <v>8</v>
      </c>
      <c r="F1644" s="69">
        <v>0</v>
      </c>
      <c r="G1644" s="69" t="s">
        <v>1242</v>
      </c>
      <c r="H1644" s="69" t="s">
        <v>9</v>
      </c>
      <c r="I1644" s="69" t="s">
        <v>1258</v>
      </c>
      <c r="J1644" s="69" t="s">
        <v>724</v>
      </c>
      <c r="K1644" s="69" t="s">
        <v>1264</v>
      </c>
      <c r="M1644" s="69" t="s">
        <v>6</v>
      </c>
    </row>
    <row r="1645" spans="2:13">
      <c r="B1645" s="69">
        <v>1643</v>
      </c>
      <c r="C1645" s="69">
        <v>156</v>
      </c>
      <c r="D1645" s="69">
        <v>14</v>
      </c>
      <c r="E1645" s="69">
        <v>9</v>
      </c>
      <c r="F1645" s="69">
        <v>0</v>
      </c>
      <c r="G1645" s="69" t="s">
        <v>1242</v>
      </c>
      <c r="H1645" s="69" t="s">
        <v>9</v>
      </c>
      <c r="I1645" s="69" t="s">
        <v>1258</v>
      </c>
      <c r="J1645" s="69" t="s">
        <v>218</v>
      </c>
      <c r="K1645" s="69" t="s">
        <v>1269</v>
      </c>
      <c r="L1645" s="69" t="s">
        <v>1270</v>
      </c>
      <c r="M1645" s="69" t="s">
        <v>6</v>
      </c>
    </row>
    <row r="1646" spans="2:13">
      <c r="B1646" s="69">
        <v>1644</v>
      </c>
      <c r="C1646" s="69">
        <v>156</v>
      </c>
      <c r="D1646" s="69">
        <v>14</v>
      </c>
      <c r="E1646" s="69">
        <v>10</v>
      </c>
      <c r="F1646" s="69">
        <v>0</v>
      </c>
      <c r="G1646" s="69" t="s">
        <v>1242</v>
      </c>
      <c r="H1646" s="69" t="s">
        <v>9</v>
      </c>
      <c r="I1646" s="69" t="s">
        <v>1258</v>
      </c>
      <c r="J1646" s="69" t="s">
        <v>724</v>
      </c>
      <c r="K1646" s="69" t="s">
        <v>1264</v>
      </c>
      <c r="M1646" s="69" t="s">
        <v>6</v>
      </c>
    </row>
    <row r="1647" spans="2:13">
      <c r="B1647" s="69">
        <v>1645</v>
      </c>
      <c r="C1647" s="69">
        <v>156</v>
      </c>
      <c r="D1647" s="69">
        <v>14</v>
      </c>
      <c r="E1647" s="69">
        <v>11</v>
      </c>
      <c r="F1647" s="69">
        <v>0</v>
      </c>
      <c r="G1647" s="69" t="s">
        <v>1242</v>
      </c>
      <c r="H1647" s="69" t="s">
        <v>9</v>
      </c>
      <c r="I1647" s="69" t="s">
        <v>1258</v>
      </c>
      <c r="J1647" s="69" t="s">
        <v>218</v>
      </c>
      <c r="K1647" s="69" t="s">
        <v>1271</v>
      </c>
      <c r="L1647" s="69" t="s">
        <v>1272</v>
      </c>
      <c r="M1647" s="69" t="s">
        <v>6</v>
      </c>
    </row>
    <row r="1648" spans="2:13">
      <c r="B1648" s="69">
        <v>1646</v>
      </c>
      <c r="C1648" s="69">
        <v>156</v>
      </c>
      <c r="D1648" s="69">
        <v>14</v>
      </c>
      <c r="E1648" s="69">
        <v>12</v>
      </c>
      <c r="F1648" s="69">
        <v>0</v>
      </c>
      <c r="G1648" s="69" t="s">
        <v>1242</v>
      </c>
      <c r="H1648" s="69" t="s">
        <v>9</v>
      </c>
      <c r="I1648" s="69" t="s">
        <v>1258</v>
      </c>
      <c r="J1648" s="69" t="s">
        <v>64</v>
      </c>
      <c r="K1648" s="69" t="s">
        <v>1273</v>
      </c>
      <c r="M1648" s="69" t="s">
        <v>6</v>
      </c>
    </row>
    <row r="1649" spans="2:13">
      <c r="B1649" s="69">
        <v>1647</v>
      </c>
      <c r="C1649" s="69">
        <v>156</v>
      </c>
      <c r="D1649" s="69">
        <v>14</v>
      </c>
      <c r="E1649" s="69">
        <v>13</v>
      </c>
      <c r="F1649" s="69">
        <v>0</v>
      </c>
      <c r="G1649" s="69" t="s">
        <v>1242</v>
      </c>
      <c r="H1649" s="69" t="s">
        <v>9</v>
      </c>
      <c r="I1649" s="69" t="s">
        <v>1258</v>
      </c>
      <c r="J1649" s="69" t="s">
        <v>55</v>
      </c>
      <c r="K1649" s="69" t="s">
        <v>93</v>
      </c>
      <c r="M1649" s="69" t="s">
        <v>6</v>
      </c>
    </row>
    <row r="1650" spans="2:13">
      <c r="B1650" s="69">
        <v>1648</v>
      </c>
      <c r="C1650" s="69">
        <v>156</v>
      </c>
      <c r="D1650" s="69">
        <v>14</v>
      </c>
      <c r="E1650" s="69">
        <v>14</v>
      </c>
      <c r="F1650" s="69">
        <v>0</v>
      </c>
      <c r="G1650" s="69" t="s">
        <v>1242</v>
      </c>
      <c r="H1650" s="69" t="s">
        <v>9</v>
      </c>
      <c r="I1650" s="69" t="s">
        <v>1258</v>
      </c>
      <c r="J1650" s="69" t="s">
        <v>64</v>
      </c>
      <c r="K1650" s="69" t="s">
        <v>94</v>
      </c>
      <c r="M1650" s="69" t="s">
        <v>6</v>
      </c>
    </row>
    <row r="1651" spans="2:13">
      <c r="B1651" s="69">
        <v>1649</v>
      </c>
      <c r="C1651" s="69">
        <v>157</v>
      </c>
      <c r="D1651" s="69">
        <v>8</v>
      </c>
      <c r="E1651" s="69">
        <v>0</v>
      </c>
      <c r="F1651" s="69">
        <v>0</v>
      </c>
      <c r="G1651" s="69" t="s">
        <v>1242</v>
      </c>
      <c r="H1651" s="69" t="s">
        <v>9</v>
      </c>
      <c r="I1651" s="69" t="s">
        <v>1274</v>
      </c>
      <c r="J1651" s="69" t="s">
        <v>54</v>
      </c>
      <c r="K1651" s="69" t="s">
        <v>1274</v>
      </c>
      <c r="M1651" s="69" t="s">
        <v>6</v>
      </c>
    </row>
    <row r="1652" spans="2:13">
      <c r="B1652" s="69">
        <v>1650</v>
      </c>
      <c r="C1652" s="69">
        <v>157</v>
      </c>
      <c r="D1652" s="69">
        <v>8</v>
      </c>
      <c r="E1652" s="69">
        <v>1</v>
      </c>
      <c r="F1652" s="69">
        <v>0</v>
      </c>
      <c r="G1652" s="69" t="s">
        <v>1242</v>
      </c>
      <c r="H1652" s="69" t="s">
        <v>9</v>
      </c>
      <c r="I1652" s="69" t="s">
        <v>1274</v>
      </c>
      <c r="J1652" s="69" t="s">
        <v>55</v>
      </c>
      <c r="K1652" s="69" t="s">
        <v>1275</v>
      </c>
      <c r="M1652" s="69" t="s">
        <v>6</v>
      </c>
    </row>
    <row r="1653" spans="2:13">
      <c r="B1653" s="69">
        <v>1651</v>
      </c>
      <c r="C1653" s="69">
        <v>157</v>
      </c>
      <c r="D1653" s="69">
        <v>8</v>
      </c>
      <c r="E1653" s="69">
        <v>2</v>
      </c>
      <c r="F1653" s="69">
        <v>0</v>
      </c>
      <c r="G1653" s="69" t="s">
        <v>1242</v>
      </c>
      <c r="H1653" s="69" t="s">
        <v>9</v>
      </c>
      <c r="I1653" s="69" t="s">
        <v>1274</v>
      </c>
      <c r="J1653" s="69" t="s">
        <v>55</v>
      </c>
      <c r="K1653" s="69" t="s">
        <v>1276</v>
      </c>
      <c r="M1653" s="69" t="s">
        <v>6</v>
      </c>
    </row>
    <row r="1654" spans="2:13">
      <c r="B1654" s="69">
        <v>1652</v>
      </c>
      <c r="C1654" s="69">
        <v>157</v>
      </c>
      <c r="D1654" s="69">
        <v>8</v>
      </c>
      <c r="E1654" s="69">
        <v>3</v>
      </c>
      <c r="F1654" s="69">
        <v>0</v>
      </c>
      <c r="G1654" s="69" t="s">
        <v>1242</v>
      </c>
      <c r="H1654" s="69" t="s">
        <v>9</v>
      </c>
      <c r="I1654" s="69" t="s">
        <v>1274</v>
      </c>
      <c r="J1654" s="69" t="s">
        <v>55</v>
      </c>
      <c r="K1654" s="69" t="s">
        <v>1277</v>
      </c>
      <c r="M1654" s="69" t="s">
        <v>6</v>
      </c>
    </row>
    <row r="1655" spans="2:13">
      <c r="B1655" s="69">
        <v>1653</v>
      </c>
      <c r="C1655" s="69">
        <v>157</v>
      </c>
      <c r="D1655" s="69">
        <v>8</v>
      </c>
      <c r="E1655" s="69">
        <v>4</v>
      </c>
      <c r="F1655" s="69">
        <v>0</v>
      </c>
      <c r="G1655" s="69" t="s">
        <v>1242</v>
      </c>
      <c r="H1655" s="69" t="s">
        <v>9</v>
      </c>
      <c r="I1655" s="69" t="s">
        <v>1274</v>
      </c>
      <c r="J1655" s="69" t="s">
        <v>55</v>
      </c>
      <c r="K1655" s="69" t="s">
        <v>1278</v>
      </c>
      <c r="M1655" s="69" t="s">
        <v>6</v>
      </c>
    </row>
    <row r="1656" spans="2:13">
      <c r="B1656" s="69">
        <v>1654</v>
      </c>
      <c r="C1656" s="69">
        <v>157</v>
      </c>
      <c r="D1656" s="69">
        <v>8</v>
      </c>
      <c r="E1656" s="69">
        <v>5</v>
      </c>
      <c r="F1656" s="69">
        <v>0</v>
      </c>
      <c r="G1656" s="69" t="s">
        <v>1242</v>
      </c>
      <c r="H1656" s="69" t="s">
        <v>9</v>
      </c>
      <c r="I1656" s="69" t="s">
        <v>1274</v>
      </c>
      <c r="J1656" s="69" t="s">
        <v>55</v>
      </c>
      <c r="K1656" s="69" t="s">
        <v>1279</v>
      </c>
      <c r="M1656" s="69" t="s">
        <v>6</v>
      </c>
    </row>
    <row r="1657" spans="2:13">
      <c r="B1657" s="69">
        <v>1655</v>
      </c>
      <c r="C1657" s="69">
        <v>157</v>
      </c>
      <c r="D1657" s="69">
        <v>8</v>
      </c>
      <c r="E1657" s="69">
        <v>6</v>
      </c>
      <c r="F1657" s="69">
        <v>0</v>
      </c>
      <c r="G1657" s="69" t="s">
        <v>1242</v>
      </c>
      <c r="H1657" s="69" t="s">
        <v>9</v>
      </c>
      <c r="I1657" s="69" t="s">
        <v>1274</v>
      </c>
      <c r="J1657" s="69" t="s">
        <v>55</v>
      </c>
      <c r="K1657" s="69" t="s">
        <v>1280</v>
      </c>
      <c r="M1657" s="69" t="s">
        <v>6</v>
      </c>
    </row>
    <row r="1658" spans="2:13">
      <c r="B1658" s="69">
        <v>1656</v>
      </c>
      <c r="C1658" s="69">
        <v>157</v>
      </c>
      <c r="D1658" s="69">
        <v>8</v>
      </c>
      <c r="E1658" s="69">
        <v>7</v>
      </c>
      <c r="F1658" s="69">
        <v>0</v>
      </c>
      <c r="G1658" s="69" t="s">
        <v>1242</v>
      </c>
      <c r="H1658" s="69" t="s">
        <v>9</v>
      </c>
      <c r="I1658" s="69" t="s">
        <v>1274</v>
      </c>
      <c r="J1658" s="69" t="s">
        <v>55</v>
      </c>
      <c r="K1658" s="69" t="s">
        <v>93</v>
      </c>
      <c r="M1658" s="69" t="s">
        <v>6</v>
      </c>
    </row>
    <row r="1659" spans="2:13">
      <c r="B1659" s="69">
        <v>1657</v>
      </c>
      <c r="C1659" s="69">
        <v>157</v>
      </c>
      <c r="D1659" s="69">
        <v>8</v>
      </c>
      <c r="E1659" s="69">
        <v>8</v>
      </c>
      <c r="F1659" s="69">
        <v>0</v>
      </c>
      <c r="G1659" s="69" t="s">
        <v>1242</v>
      </c>
      <c r="H1659" s="69" t="s">
        <v>9</v>
      </c>
      <c r="I1659" s="69" t="s">
        <v>1274</v>
      </c>
      <c r="J1659" s="69" t="s">
        <v>64</v>
      </c>
      <c r="K1659" s="69" t="s">
        <v>94</v>
      </c>
      <c r="M1659" s="69" t="s">
        <v>6</v>
      </c>
    </row>
    <row r="1660" spans="2:13">
      <c r="B1660" s="69">
        <v>1658</v>
      </c>
      <c r="C1660" s="69">
        <v>158</v>
      </c>
      <c r="D1660" s="69">
        <v>12</v>
      </c>
      <c r="E1660" s="69">
        <v>0</v>
      </c>
      <c r="F1660" s="69">
        <v>0</v>
      </c>
      <c r="G1660" s="69" t="s">
        <v>1242</v>
      </c>
      <c r="H1660" s="69" t="s">
        <v>9</v>
      </c>
      <c r="I1660" s="69" t="s">
        <v>1281</v>
      </c>
      <c r="J1660" s="69" t="s">
        <v>54</v>
      </c>
      <c r="K1660" s="69" t="s">
        <v>1281</v>
      </c>
      <c r="M1660" s="69" t="s">
        <v>6</v>
      </c>
    </row>
    <row r="1661" spans="2:13">
      <c r="B1661" s="69">
        <v>1659</v>
      </c>
      <c r="C1661" s="69">
        <v>158</v>
      </c>
      <c r="D1661" s="69">
        <v>12</v>
      </c>
      <c r="E1661" s="69">
        <v>1</v>
      </c>
      <c r="F1661" s="69">
        <v>0</v>
      </c>
      <c r="G1661" s="69" t="s">
        <v>1242</v>
      </c>
      <c r="H1661" s="69" t="s">
        <v>9</v>
      </c>
      <c r="I1661" s="69" t="s">
        <v>1281</v>
      </c>
      <c r="J1661" s="69" t="s">
        <v>55</v>
      </c>
      <c r="K1661" s="69" t="s">
        <v>1282</v>
      </c>
      <c r="M1661" s="69" t="s">
        <v>6</v>
      </c>
    </row>
    <row r="1662" spans="2:13">
      <c r="B1662" s="69">
        <v>1660</v>
      </c>
      <c r="C1662" s="69">
        <v>158</v>
      </c>
      <c r="D1662" s="69">
        <v>12</v>
      </c>
      <c r="E1662" s="69">
        <v>2</v>
      </c>
      <c r="F1662" s="69">
        <v>0</v>
      </c>
      <c r="G1662" s="69" t="s">
        <v>1242</v>
      </c>
      <c r="H1662" s="69" t="s">
        <v>9</v>
      </c>
      <c r="I1662" s="69" t="s">
        <v>1281</v>
      </c>
      <c r="J1662" s="69" t="s">
        <v>55</v>
      </c>
      <c r="K1662" s="69" t="s">
        <v>1283</v>
      </c>
      <c r="M1662" s="69" t="s">
        <v>6</v>
      </c>
    </row>
    <row r="1663" spans="2:13">
      <c r="B1663" s="69">
        <v>1661</v>
      </c>
      <c r="C1663" s="69">
        <v>158</v>
      </c>
      <c r="D1663" s="69">
        <v>12</v>
      </c>
      <c r="E1663" s="69">
        <v>3</v>
      </c>
      <c r="F1663" s="69">
        <v>0</v>
      </c>
      <c r="G1663" s="69" t="s">
        <v>1242</v>
      </c>
      <c r="H1663" s="69" t="s">
        <v>9</v>
      </c>
      <c r="I1663" s="69" t="s">
        <v>1281</v>
      </c>
      <c r="J1663" s="69" t="s">
        <v>55</v>
      </c>
      <c r="K1663" s="69" t="s">
        <v>1284</v>
      </c>
      <c r="M1663" s="69" t="s">
        <v>6</v>
      </c>
    </row>
    <row r="1664" spans="2:13">
      <c r="B1664" s="69">
        <v>1662</v>
      </c>
      <c r="C1664" s="69">
        <v>158</v>
      </c>
      <c r="D1664" s="69">
        <v>12</v>
      </c>
      <c r="E1664" s="69">
        <v>4</v>
      </c>
      <c r="F1664" s="69">
        <v>0</v>
      </c>
      <c r="G1664" s="69" t="s">
        <v>1242</v>
      </c>
      <c r="H1664" s="69" t="s">
        <v>9</v>
      </c>
      <c r="I1664" s="69" t="s">
        <v>1281</v>
      </c>
      <c r="J1664" s="69" t="s">
        <v>55</v>
      </c>
      <c r="K1664" s="69" t="s">
        <v>1285</v>
      </c>
      <c r="M1664" s="69" t="s">
        <v>6</v>
      </c>
    </row>
    <row r="1665" spans="2:13">
      <c r="B1665" s="69">
        <v>1663</v>
      </c>
      <c r="C1665" s="69">
        <v>158</v>
      </c>
      <c r="D1665" s="69">
        <v>12</v>
      </c>
      <c r="E1665" s="69">
        <v>5</v>
      </c>
      <c r="F1665" s="69">
        <v>0</v>
      </c>
      <c r="G1665" s="69" t="s">
        <v>1242</v>
      </c>
      <c r="H1665" s="69" t="s">
        <v>9</v>
      </c>
      <c r="I1665" s="69" t="s">
        <v>1281</v>
      </c>
      <c r="J1665" s="69" t="s">
        <v>55</v>
      </c>
      <c r="K1665" s="69" t="s">
        <v>1286</v>
      </c>
      <c r="M1665" s="69" t="s">
        <v>6</v>
      </c>
    </row>
    <row r="1666" spans="2:13">
      <c r="B1666" s="69">
        <v>1664</v>
      </c>
      <c r="C1666" s="69">
        <v>158</v>
      </c>
      <c r="D1666" s="69">
        <v>12</v>
      </c>
      <c r="E1666" s="69">
        <v>6</v>
      </c>
      <c r="F1666" s="69">
        <v>0</v>
      </c>
      <c r="G1666" s="69" t="s">
        <v>1242</v>
      </c>
      <c r="H1666" s="69" t="s">
        <v>9</v>
      </c>
      <c r="I1666" s="69" t="s">
        <v>1281</v>
      </c>
      <c r="J1666" s="69" t="s">
        <v>55</v>
      </c>
      <c r="K1666" s="69" t="s">
        <v>1287</v>
      </c>
      <c r="M1666" s="69" t="s">
        <v>6</v>
      </c>
    </row>
    <row r="1667" spans="2:13">
      <c r="B1667" s="69">
        <v>1665</v>
      </c>
      <c r="C1667" s="69">
        <v>158</v>
      </c>
      <c r="D1667" s="69">
        <v>12</v>
      </c>
      <c r="E1667" s="69">
        <v>7</v>
      </c>
      <c r="F1667" s="69">
        <v>0</v>
      </c>
      <c r="G1667" s="69" t="s">
        <v>1242</v>
      </c>
      <c r="H1667" s="69" t="s">
        <v>9</v>
      </c>
      <c r="I1667" s="69" t="s">
        <v>1281</v>
      </c>
      <c r="J1667" s="69" t="s">
        <v>55</v>
      </c>
      <c r="K1667" s="69" t="s">
        <v>1288</v>
      </c>
      <c r="M1667" s="69" t="s">
        <v>6</v>
      </c>
    </row>
    <row r="1668" spans="2:13">
      <c r="B1668" s="69">
        <v>1666</v>
      </c>
      <c r="C1668" s="69">
        <v>158</v>
      </c>
      <c r="D1668" s="69">
        <v>12</v>
      </c>
      <c r="E1668" s="69">
        <v>8</v>
      </c>
      <c r="F1668" s="69">
        <v>0</v>
      </c>
      <c r="G1668" s="69" t="s">
        <v>1242</v>
      </c>
      <c r="H1668" s="69" t="s">
        <v>9</v>
      </c>
      <c r="I1668" s="69" t="s">
        <v>1281</v>
      </c>
      <c r="J1668" s="69" t="s">
        <v>55</v>
      </c>
      <c r="K1668" s="69" t="s">
        <v>1289</v>
      </c>
      <c r="M1668" s="69" t="s">
        <v>6</v>
      </c>
    </row>
    <row r="1669" spans="2:13">
      <c r="B1669" s="69">
        <v>1667</v>
      </c>
      <c r="C1669" s="69">
        <v>158</v>
      </c>
      <c r="D1669" s="69">
        <v>12</v>
      </c>
      <c r="E1669" s="69">
        <v>9</v>
      </c>
      <c r="F1669" s="69">
        <v>0</v>
      </c>
      <c r="G1669" s="69" t="s">
        <v>1242</v>
      </c>
      <c r="H1669" s="69" t="s">
        <v>9</v>
      </c>
      <c r="I1669" s="69" t="s">
        <v>1281</v>
      </c>
      <c r="J1669" s="69" t="s">
        <v>55</v>
      </c>
      <c r="K1669" s="69" t="s">
        <v>1290</v>
      </c>
      <c r="M1669" s="69" t="s">
        <v>6</v>
      </c>
    </row>
    <row r="1670" spans="2:13">
      <c r="B1670" s="69">
        <v>1668</v>
      </c>
      <c r="C1670" s="69">
        <v>158</v>
      </c>
      <c r="D1670" s="69">
        <v>12</v>
      </c>
      <c r="E1670" s="69">
        <v>10</v>
      </c>
      <c r="F1670" s="69">
        <v>0</v>
      </c>
      <c r="G1670" s="69" t="s">
        <v>1242</v>
      </c>
      <c r="H1670" s="69" t="s">
        <v>9</v>
      </c>
      <c r="I1670" s="69" t="s">
        <v>1281</v>
      </c>
      <c r="J1670" s="69" t="s">
        <v>55</v>
      </c>
      <c r="K1670" s="69" t="s">
        <v>1291</v>
      </c>
      <c r="M1670" s="69" t="s">
        <v>6</v>
      </c>
    </row>
    <row r="1671" spans="2:13">
      <c r="B1671" s="69">
        <v>1669</v>
      </c>
      <c r="C1671" s="69">
        <v>158</v>
      </c>
      <c r="D1671" s="69">
        <v>12</v>
      </c>
      <c r="E1671" s="69">
        <v>11</v>
      </c>
      <c r="F1671" s="69">
        <v>0</v>
      </c>
      <c r="G1671" s="69" t="s">
        <v>1242</v>
      </c>
      <c r="H1671" s="69" t="s">
        <v>9</v>
      </c>
      <c r="I1671" s="69" t="s">
        <v>1281</v>
      </c>
      <c r="J1671" s="69" t="s">
        <v>55</v>
      </c>
      <c r="K1671" s="69" t="s">
        <v>93</v>
      </c>
      <c r="M1671" s="69" t="s">
        <v>6</v>
      </c>
    </row>
    <row r="1672" spans="2:13">
      <c r="B1672" s="69">
        <v>1670</v>
      </c>
      <c r="C1672" s="69">
        <v>158</v>
      </c>
      <c r="D1672" s="69">
        <v>12</v>
      </c>
      <c r="E1672" s="69">
        <v>12</v>
      </c>
      <c r="F1672" s="69">
        <v>0</v>
      </c>
      <c r="G1672" s="69" t="s">
        <v>1242</v>
      </c>
      <c r="H1672" s="69" t="s">
        <v>9</v>
      </c>
      <c r="I1672" s="69" t="s">
        <v>1281</v>
      </c>
      <c r="J1672" s="69" t="s">
        <v>64</v>
      </c>
      <c r="K1672" s="69" t="s">
        <v>94</v>
      </c>
      <c r="M1672" s="69" t="s">
        <v>6</v>
      </c>
    </row>
    <row r="1673" spans="2:13">
      <c r="B1673" s="69">
        <v>1671</v>
      </c>
      <c r="C1673" s="69">
        <v>159</v>
      </c>
      <c r="D1673" s="69">
        <v>6</v>
      </c>
      <c r="E1673" s="69">
        <v>0</v>
      </c>
      <c r="F1673" s="69">
        <v>0</v>
      </c>
      <c r="G1673" s="69" t="s">
        <v>1242</v>
      </c>
      <c r="H1673" s="69" t="s">
        <v>9</v>
      </c>
      <c r="I1673" s="69" t="s">
        <v>1292</v>
      </c>
      <c r="J1673" s="69" t="s">
        <v>54</v>
      </c>
      <c r="K1673" s="69" t="s">
        <v>1292</v>
      </c>
      <c r="M1673" s="69" t="s">
        <v>6</v>
      </c>
    </row>
    <row r="1674" spans="2:13">
      <c r="B1674" s="69">
        <v>1672</v>
      </c>
      <c r="C1674" s="69">
        <v>159</v>
      </c>
      <c r="D1674" s="69">
        <v>6</v>
      </c>
      <c r="E1674" s="69">
        <v>1</v>
      </c>
      <c r="F1674" s="69">
        <v>0</v>
      </c>
      <c r="G1674" s="69" t="s">
        <v>1242</v>
      </c>
      <c r="H1674" s="69" t="s">
        <v>9</v>
      </c>
      <c r="I1674" s="69" t="s">
        <v>1292</v>
      </c>
      <c r="J1674" s="69" t="s">
        <v>55</v>
      </c>
      <c r="K1674" s="69" t="s">
        <v>1293</v>
      </c>
      <c r="M1674" s="69" t="s">
        <v>6</v>
      </c>
    </row>
    <row r="1675" spans="2:13">
      <c r="B1675" s="69">
        <v>1673</v>
      </c>
      <c r="C1675" s="69">
        <v>159</v>
      </c>
      <c r="D1675" s="69">
        <v>6</v>
      </c>
      <c r="E1675" s="69">
        <v>2</v>
      </c>
      <c r="F1675" s="69">
        <v>0</v>
      </c>
      <c r="G1675" s="69" t="s">
        <v>1242</v>
      </c>
      <c r="H1675" s="69" t="s">
        <v>9</v>
      </c>
      <c r="I1675" s="69" t="s">
        <v>1292</v>
      </c>
      <c r="J1675" s="69" t="s">
        <v>55</v>
      </c>
      <c r="K1675" s="69" t="s">
        <v>1294</v>
      </c>
      <c r="M1675" s="69" t="s">
        <v>6</v>
      </c>
    </row>
    <row r="1676" spans="2:13">
      <c r="B1676" s="69">
        <v>1674</v>
      </c>
      <c r="C1676" s="69">
        <v>159</v>
      </c>
      <c r="D1676" s="69">
        <v>6</v>
      </c>
      <c r="E1676" s="69">
        <v>3</v>
      </c>
      <c r="F1676" s="69">
        <v>0</v>
      </c>
      <c r="G1676" s="69" t="s">
        <v>1242</v>
      </c>
      <c r="H1676" s="69" t="s">
        <v>9</v>
      </c>
      <c r="I1676" s="69" t="s">
        <v>1292</v>
      </c>
      <c r="J1676" s="69" t="s">
        <v>55</v>
      </c>
      <c r="K1676" s="69" t="s">
        <v>1295</v>
      </c>
      <c r="M1676" s="69" t="s">
        <v>6</v>
      </c>
    </row>
    <row r="1677" spans="2:13">
      <c r="B1677" s="69">
        <v>1675</v>
      </c>
      <c r="C1677" s="69">
        <v>159</v>
      </c>
      <c r="D1677" s="69">
        <v>6</v>
      </c>
      <c r="E1677" s="69">
        <v>4</v>
      </c>
      <c r="F1677" s="69">
        <v>0</v>
      </c>
      <c r="G1677" s="69" t="s">
        <v>1242</v>
      </c>
      <c r="H1677" s="69" t="s">
        <v>9</v>
      </c>
      <c r="I1677" s="69" t="s">
        <v>1292</v>
      </c>
      <c r="J1677" s="69" t="s">
        <v>55</v>
      </c>
      <c r="K1677" s="69" t="s">
        <v>1296</v>
      </c>
      <c r="M1677" s="69" t="s">
        <v>6</v>
      </c>
    </row>
    <row r="1678" spans="2:13">
      <c r="B1678" s="69">
        <v>1676</v>
      </c>
      <c r="C1678" s="69">
        <v>159</v>
      </c>
      <c r="D1678" s="69">
        <v>6</v>
      </c>
      <c r="E1678" s="69">
        <v>5</v>
      </c>
      <c r="F1678" s="69">
        <v>0</v>
      </c>
      <c r="G1678" s="69" t="s">
        <v>1242</v>
      </c>
      <c r="H1678" s="69" t="s">
        <v>9</v>
      </c>
      <c r="I1678" s="69" t="s">
        <v>1292</v>
      </c>
      <c r="J1678" s="69" t="s">
        <v>55</v>
      </c>
      <c r="K1678" s="69" t="s">
        <v>93</v>
      </c>
      <c r="M1678" s="69" t="s">
        <v>6</v>
      </c>
    </row>
    <row r="1679" spans="2:13">
      <c r="B1679" s="69">
        <v>1677</v>
      </c>
      <c r="C1679" s="69">
        <v>159</v>
      </c>
      <c r="D1679" s="69">
        <v>6</v>
      </c>
      <c r="E1679" s="69">
        <v>6</v>
      </c>
      <c r="F1679" s="69">
        <v>0</v>
      </c>
      <c r="G1679" s="69" t="s">
        <v>1242</v>
      </c>
      <c r="H1679" s="69" t="s">
        <v>9</v>
      </c>
      <c r="I1679" s="69" t="s">
        <v>1292</v>
      </c>
      <c r="J1679" s="69" t="s">
        <v>64</v>
      </c>
      <c r="K1679" s="69" t="s">
        <v>94</v>
      </c>
      <c r="M1679" s="69" t="s">
        <v>6</v>
      </c>
    </row>
    <row r="1680" spans="2:13">
      <c r="B1680" s="69">
        <v>1678</v>
      </c>
      <c r="C1680" s="69">
        <v>160</v>
      </c>
      <c r="D1680" s="69">
        <v>9</v>
      </c>
      <c r="E1680" s="69">
        <v>0</v>
      </c>
      <c r="F1680" s="69">
        <v>0</v>
      </c>
      <c r="G1680" s="69" t="s">
        <v>1242</v>
      </c>
      <c r="H1680" s="69" t="s">
        <v>9</v>
      </c>
      <c r="I1680" s="69" t="s">
        <v>1297</v>
      </c>
      <c r="J1680" s="69" t="s">
        <v>54</v>
      </c>
      <c r="K1680" s="69" t="s">
        <v>1297</v>
      </c>
      <c r="M1680" s="69" t="s">
        <v>6</v>
      </c>
    </row>
    <row r="1681" spans="2:13">
      <c r="B1681" s="69">
        <v>1679</v>
      </c>
      <c r="C1681" s="69">
        <v>160</v>
      </c>
      <c r="D1681" s="69">
        <v>9</v>
      </c>
      <c r="E1681" s="69">
        <v>1</v>
      </c>
      <c r="F1681" s="69">
        <v>0</v>
      </c>
      <c r="G1681" s="69" t="s">
        <v>1242</v>
      </c>
      <c r="H1681" s="69" t="s">
        <v>9</v>
      </c>
      <c r="I1681" s="69" t="s">
        <v>1297</v>
      </c>
      <c r="J1681" s="69" t="s">
        <v>55</v>
      </c>
      <c r="K1681" s="69" t="s">
        <v>1298</v>
      </c>
      <c r="M1681" s="69" t="s">
        <v>6</v>
      </c>
    </row>
    <row r="1682" spans="2:13">
      <c r="B1682" s="69">
        <v>1680</v>
      </c>
      <c r="C1682" s="69">
        <v>160</v>
      </c>
      <c r="D1682" s="69">
        <v>9</v>
      </c>
      <c r="E1682" s="69">
        <v>2</v>
      </c>
      <c r="F1682" s="69">
        <v>0</v>
      </c>
      <c r="G1682" s="69" t="s">
        <v>1242</v>
      </c>
      <c r="H1682" s="69" t="s">
        <v>9</v>
      </c>
      <c r="I1682" s="69" t="s">
        <v>1297</v>
      </c>
      <c r="J1682" s="69" t="s">
        <v>55</v>
      </c>
      <c r="K1682" s="69" t="s">
        <v>1299</v>
      </c>
      <c r="M1682" s="69" t="s">
        <v>6</v>
      </c>
    </row>
    <row r="1683" spans="2:13">
      <c r="B1683" s="69">
        <v>1681</v>
      </c>
      <c r="C1683" s="69">
        <v>160</v>
      </c>
      <c r="D1683" s="69">
        <v>9</v>
      </c>
      <c r="E1683" s="69">
        <v>3</v>
      </c>
      <c r="F1683" s="69">
        <v>0</v>
      </c>
      <c r="G1683" s="69" t="s">
        <v>1242</v>
      </c>
      <c r="H1683" s="69" t="s">
        <v>9</v>
      </c>
      <c r="I1683" s="69" t="s">
        <v>1297</v>
      </c>
      <c r="J1683" s="69" t="s">
        <v>55</v>
      </c>
      <c r="K1683" s="69" t="s">
        <v>1300</v>
      </c>
      <c r="M1683" s="69" t="s">
        <v>6</v>
      </c>
    </row>
    <row r="1684" spans="2:13">
      <c r="B1684" s="69">
        <v>1682</v>
      </c>
      <c r="C1684" s="69">
        <v>160</v>
      </c>
      <c r="D1684" s="69">
        <v>9</v>
      </c>
      <c r="E1684" s="69">
        <v>4</v>
      </c>
      <c r="F1684" s="69">
        <v>0</v>
      </c>
      <c r="G1684" s="69" t="s">
        <v>1242</v>
      </c>
      <c r="H1684" s="69" t="s">
        <v>9</v>
      </c>
      <c r="I1684" s="69" t="s">
        <v>1297</v>
      </c>
      <c r="J1684" s="69" t="s">
        <v>55</v>
      </c>
      <c r="K1684" s="69" t="s">
        <v>1301</v>
      </c>
      <c r="M1684" s="69" t="s">
        <v>6</v>
      </c>
    </row>
    <row r="1685" spans="2:13">
      <c r="B1685" s="69">
        <v>1683</v>
      </c>
      <c r="C1685" s="69">
        <v>160</v>
      </c>
      <c r="D1685" s="69">
        <v>9</v>
      </c>
      <c r="E1685" s="69">
        <v>5</v>
      </c>
      <c r="F1685" s="69">
        <v>0</v>
      </c>
      <c r="G1685" s="69" t="s">
        <v>1242</v>
      </c>
      <c r="H1685" s="69" t="s">
        <v>9</v>
      </c>
      <c r="I1685" s="69" t="s">
        <v>1297</v>
      </c>
      <c r="J1685" s="69" t="s">
        <v>55</v>
      </c>
      <c r="K1685" s="69" t="s">
        <v>1302</v>
      </c>
      <c r="M1685" s="69" t="s">
        <v>6</v>
      </c>
    </row>
    <row r="1686" spans="2:13">
      <c r="B1686" s="69">
        <v>1684</v>
      </c>
      <c r="C1686" s="69">
        <v>160</v>
      </c>
      <c r="D1686" s="69">
        <v>9</v>
      </c>
      <c r="E1686" s="69">
        <v>6</v>
      </c>
      <c r="F1686" s="69">
        <v>0</v>
      </c>
      <c r="G1686" s="69" t="s">
        <v>1242</v>
      </c>
      <c r="H1686" s="69" t="s">
        <v>9</v>
      </c>
      <c r="I1686" s="69" t="s">
        <v>1297</v>
      </c>
      <c r="J1686" s="69" t="s">
        <v>55</v>
      </c>
      <c r="K1686" s="69" t="s">
        <v>1303</v>
      </c>
      <c r="M1686" s="69" t="s">
        <v>6</v>
      </c>
    </row>
    <row r="1687" spans="2:13">
      <c r="B1687" s="69">
        <v>1685</v>
      </c>
      <c r="C1687" s="69">
        <v>160</v>
      </c>
      <c r="D1687" s="69">
        <v>9</v>
      </c>
      <c r="E1687" s="69">
        <v>7</v>
      </c>
      <c r="F1687" s="69">
        <v>0</v>
      </c>
      <c r="G1687" s="69" t="s">
        <v>1242</v>
      </c>
      <c r="H1687" s="69" t="s">
        <v>9</v>
      </c>
      <c r="I1687" s="69" t="s">
        <v>1297</v>
      </c>
      <c r="J1687" s="69" t="s">
        <v>55</v>
      </c>
      <c r="K1687" s="69" t="s">
        <v>1296</v>
      </c>
      <c r="M1687" s="69" t="s">
        <v>6</v>
      </c>
    </row>
    <row r="1688" spans="2:13">
      <c r="B1688" s="69">
        <v>1686</v>
      </c>
      <c r="C1688" s="69">
        <v>160</v>
      </c>
      <c r="D1688" s="69">
        <v>9</v>
      </c>
      <c r="E1688" s="69">
        <v>8</v>
      </c>
      <c r="F1688" s="69">
        <v>0</v>
      </c>
      <c r="G1688" s="69" t="s">
        <v>1242</v>
      </c>
      <c r="H1688" s="69" t="s">
        <v>9</v>
      </c>
      <c r="I1688" s="69" t="s">
        <v>1297</v>
      </c>
      <c r="J1688" s="69" t="s">
        <v>55</v>
      </c>
      <c r="K1688" s="69" t="s">
        <v>93</v>
      </c>
      <c r="M1688" s="69" t="s">
        <v>6</v>
      </c>
    </row>
    <row r="1689" spans="2:13">
      <c r="B1689" s="69">
        <v>1687</v>
      </c>
      <c r="C1689" s="69">
        <v>160</v>
      </c>
      <c r="D1689" s="69">
        <v>9</v>
      </c>
      <c r="E1689" s="69">
        <v>9</v>
      </c>
      <c r="F1689" s="69">
        <v>0</v>
      </c>
      <c r="G1689" s="69" t="s">
        <v>1242</v>
      </c>
      <c r="H1689" s="69" t="s">
        <v>9</v>
      </c>
      <c r="I1689" s="69" t="s">
        <v>1297</v>
      </c>
      <c r="J1689" s="69" t="s">
        <v>64</v>
      </c>
      <c r="K1689" s="69" t="s">
        <v>94</v>
      </c>
      <c r="M1689" s="69" t="s">
        <v>6</v>
      </c>
    </row>
    <row r="1690" spans="2:13">
      <c r="B1690" s="69">
        <v>1688</v>
      </c>
      <c r="C1690" s="69">
        <v>161</v>
      </c>
      <c r="D1690" s="69">
        <v>19</v>
      </c>
      <c r="E1690" s="69">
        <v>0</v>
      </c>
      <c r="F1690" s="69">
        <v>0</v>
      </c>
      <c r="G1690" s="69" t="s">
        <v>1242</v>
      </c>
      <c r="H1690" s="69" t="s">
        <v>9</v>
      </c>
      <c r="I1690" s="69" t="s">
        <v>1304</v>
      </c>
      <c r="J1690" s="69" t="s">
        <v>54</v>
      </c>
      <c r="K1690" s="69" t="s">
        <v>1304</v>
      </c>
      <c r="M1690" s="69" t="s">
        <v>6</v>
      </c>
    </row>
    <row r="1691" spans="2:13">
      <c r="B1691" s="69">
        <v>1689</v>
      </c>
      <c r="C1691" s="69">
        <v>161</v>
      </c>
      <c r="D1691" s="69">
        <v>19</v>
      </c>
      <c r="E1691" s="69">
        <v>1</v>
      </c>
      <c r="F1691" s="69">
        <v>0</v>
      </c>
      <c r="G1691" s="69" t="s">
        <v>1242</v>
      </c>
      <c r="H1691" s="69" t="s">
        <v>9</v>
      </c>
      <c r="I1691" s="69" t="s">
        <v>1304</v>
      </c>
      <c r="J1691" s="69" t="s">
        <v>55</v>
      </c>
      <c r="K1691" s="69" t="s">
        <v>1305</v>
      </c>
      <c r="M1691" s="69" t="s">
        <v>6</v>
      </c>
    </row>
    <row r="1692" spans="2:13">
      <c r="B1692" s="69">
        <v>1690</v>
      </c>
      <c r="C1692" s="69">
        <v>161</v>
      </c>
      <c r="D1692" s="69">
        <v>19</v>
      </c>
      <c r="E1692" s="69">
        <v>2</v>
      </c>
      <c r="F1692" s="69">
        <v>0</v>
      </c>
      <c r="G1692" s="69" t="s">
        <v>1242</v>
      </c>
      <c r="H1692" s="69" t="s">
        <v>9</v>
      </c>
      <c r="I1692" s="69" t="s">
        <v>1304</v>
      </c>
      <c r="J1692" s="69" t="s">
        <v>55</v>
      </c>
      <c r="K1692" s="69" t="s">
        <v>1306</v>
      </c>
      <c r="M1692" s="69" t="s">
        <v>6</v>
      </c>
    </row>
    <row r="1693" spans="2:13">
      <c r="B1693" s="69">
        <v>1691</v>
      </c>
      <c r="C1693" s="69">
        <v>161</v>
      </c>
      <c r="D1693" s="69">
        <v>19</v>
      </c>
      <c r="E1693" s="69">
        <v>3</v>
      </c>
      <c r="F1693" s="69">
        <v>0</v>
      </c>
      <c r="G1693" s="69" t="s">
        <v>1242</v>
      </c>
      <c r="H1693" s="69" t="s">
        <v>9</v>
      </c>
      <c r="I1693" s="69" t="s">
        <v>1304</v>
      </c>
      <c r="J1693" s="69" t="s">
        <v>55</v>
      </c>
      <c r="K1693" s="69" t="s">
        <v>1307</v>
      </c>
      <c r="M1693" s="69" t="s">
        <v>6</v>
      </c>
    </row>
    <row r="1694" spans="2:13">
      <c r="B1694" s="69">
        <v>1692</v>
      </c>
      <c r="C1694" s="69">
        <v>161</v>
      </c>
      <c r="D1694" s="69">
        <v>19</v>
      </c>
      <c r="E1694" s="69">
        <v>4</v>
      </c>
      <c r="F1694" s="69">
        <v>0</v>
      </c>
      <c r="G1694" s="69" t="s">
        <v>1242</v>
      </c>
      <c r="H1694" s="69" t="s">
        <v>9</v>
      </c>
      <c r="I1694" s="69" t="s">
        <v>1304</v>
      </c>
      <c r="J1694" s="69" t="s">
        <v>55</v>
      </c>
      <c r="K1694" s="69" t="s">
        <v>1308</v>
      </c>
      <c r="M1694" s="69" t="s">
        <v>6</v>
      </c>
    </row>
    <row r="1695" spans="2:13">
      <c r="B1695" s="69">
        <v>1693</v>
      </c>
      <c r="C1695" s="69">
        <v>161</v>
      </c>
      <c r="D1695" s="69">
        <v>19</v>
      </c>
      <c r="E1695" s="69">
        <v>5</v>
      </c>
      <c r="F1695" s="69">
        <v>0</v>
      </c>
      <c r="G1695" s="69" t="s">
        <v>1242</v>
      </c>
      <c r="H1695" s="69" t="s">
        <v>9</v>
      </c>
      <c r="I1695" s="69" t="s">
        <v>1304</v>
      </c>
      <c r="J1695" s="69" t="s">
        <v>55</v>
      </c>
      <c r="K1695" s="69" t="s">
        <v>1309</v>
      </c>
      <c r="M1695" s="69" t="s">
        <v>6</v>
      </c>
    </row>
    <row r="1696" spans="2:13">
      <c r="B1696" s="69">
        <v>1694</v>
      </c>
      <c r="C1696" s="69">
        <v>161</v>
      </c>
      <c r="D1696" s="69">
        <v>19</v>
      </c>
      <c r="E1696" s="69">
        <v>6</v>
      </c>
      <c r="F1696" s="69">
        <v>0</v>
      </c>
      <c r="G1696" s="69" t="s">
        <v>1242</v>
      </c>
      <c r="H1696" s="69" t="s">
        <v>9</v>
      </c>
      <c r="I1696" s="69" t="s">
        <v>1304</v>
      </c>
      <c r="J1696" s="69" t="s">
        <v>55</v>
      </c>
      <c r="K1696" s="69" t="s">
        <v>1310</v>
      </c>
      <c r="M1696" s="69" t="s">
        <v>6</v>
      </c>
    </row>
    <row r="1697" spans="2:13">
      <c r="B1697" s="69">
        <v>1695</v>
      </c>
      <c r="C1697" s="69">
        <v>161</v>
      </c>
      <c r="D1697" s="69">
        <v>19</v>
      </c>
      <c r="E1697" s="69">
        <v>7</v>
      </c>
      <c r="F1697" s="69">
        <v>0</v>
      </c>
      <c r="G1697" s="69" t="s">
        <v>1242</v>
      </c>
      <c r="H1697" s="69" t="s">
        <v>9</v>
      </c>
      <c r="I1697" s="69" t="s">
        <v>1304</v>
      </c>
      <c r="J1697" s="69" t="s">
        <v>55</v>
      </c>
      <c r="K1697" s="69" t="s">
        <v>1311</v>
      </c>
      <c r="M1697" s="69" t="s">
        <v>6</v>
      </c>
    </row>
    <row r="1698" spans="2:13">
      <c r="B1698" s="69">
        <v>1696</v>
      </c>
      <c r="C1698" s="69">
        <v>161</v>
      </c>
      <c r="D1698" s="69">
        <v>19</v>
      </c>
      <c r="E1698" s="69">
        <v>8</v>
      </c>
      <c r="F1698" s="69">
        <v>0</v>
      </c>
      <c r="G1698" s="69" t="s">
        <v>1242</v>
      </c>
      <c r="H1698" s="69" t="s">
        <v>9</v>
      </c>
      <c r="I1698" s="69" t="s">
        <v>1304</v>
      </c>
      <c r="J1698" s="69" t="s">
        <v>55</v>
      </c>
      <c r="K1698" s="69" t="s">
        <v>1312</v>
      </c>
      <c r="M1698" s="69" t="s">
        <v>6</v>
      </c>
    </row>
    <row r="1699" spans="2:13">
      <c r="B1699" s="69">
        <v>1697</v>
      </c>
      <c r="C1699" s="69">
        <v>161</v>
      </c>
      <c r="D1699" s="69">
        <v>19</v>
      </c>
      <c r="E1699" s="69">
        <v>9</v>
      </c>
      <c r="F1699" s="69">
        <v>0</v>
      </c>
      <c r="G1699" s="69" t="s">
        <v>1242</v>
      </c>
      <c r="H1699" s="69" t="s">
        <v>9</v>
      </c>
      <c r="I1699" s="69" t="s">
        <v>1304</v>
      </c>
      <c r="J1699" s="69" t="s">
        <v>55</v>
      </c>
      <c r="K1699" s="69" t="s">
        <v>1313</v>
      </c>
      <c r="M1699" s="69" t="s">
        <v>6</v>
      </c>
    </row>
    <row r="1700" spans="2:13">
      <c r="B1700" s="69">
        <v>1698</v>
      </c>
      <c r="C1700" s="69">
        <v>161</v>
      </c>
      <c r="D1700" s="69">
        <v>19</v>
      </c>
      <c r="E1700" s="69">
        <v>10</v>
      </c>
      <c r="F1700" s="69">
        <v>0</v>
      </c>
      <c r="G1700" s="69" t="s">
        <v>1242</v>
      </c>
      <c r="H1700" s="69" t="s">
        <v>9</v>
      </c>
      <c r="I1700" s="69" t="s">
        <v>1304</v>
      </c>
      <c r="J1700" s="69" t="s">
        <v>55</v>
      </c>
      <c r="K1700" s="69" t="s">
        <v>1314</v>
      </c>
      <c r="M1700" s="69" t="s">
        <v>6</v>
      </c>
    </row>
    <row r="1701" spans="2:13">
      <c r="B1701" s="69">
        <v>1699</v>
      </c>
      <c r="C1701" s="69">
        <v>161</v>
      </c>
      <c r="D1701" s="69">
        <v>19</v>
      </c>
      <c r="E1701" s="69">
        <v>11</v>
      </c>
      <c r="F1701" s="69">
        <v>0</v>
      </c>
      <c r="G1701" s="69" t="s">
        <v>1242</v>
      </c>
      <c r="H1701" s="69" t="s">
        <v>9</v>
      </c>
      <c r="I1701" s="69" t="s">
        <v>1304</v>
      </c>
      <c r="J1701" s="69" t="s">
        <v>214</v>
      </c>
      <c r="K1701" s="69" t="s">
        <v>1315</v>
      </c>
      <c r="M1701" s="69" t="s">
        <v>6</v>
      </c>
    </row>
    <row r="1702" spans="2:13">
      <c r="B1702" s="69">
        <v>1700</v>
      </c>
      <c r="C1702" s="69">
        <v>161</v>
      </c>
      <c r="D1702" s="69">
        <v>19</v>
      </c>
      <c r="E1702" s="69">
        <v>12</v>
      </c>
      <c r="F1702" s="69">
        <v>0</v>
      </c>
      <c r="G1702" s="69" t="s">
        <v>1242</v>
      </c>
      <c r="H1702" s="69" t="s">
        <v>9</v>
      </c>
      <c r="I1702" s="69" t="s">
        <v>1304</v>
      </c>
      <c r="J1702" s="69" t="s">
        <v>55</v>
      </c>
      <c r="K1702" s="69" t="s">
        <v>1316</v>
      </c>
      <c r="M1702" s="69" t="s">
        <v>6</v>
      </c>
    </row>
    <row r="1703" spans="2:13">
      <c r="B1703" s="69">
        <v>1701</v>
      </c>
      <c r="C1703" s="69">
        <v>161</v>
      </c>
      <c r="D1703" s="69">
        <v>19</v>
      </c>
      <c r="E1703" s="69">
        <v>13</v>
      </c>
      <c r="F1703" s="69">
        <v>0</v>
      </c>
      <c r="G1703" s="69" t="s">
        <v>1242</v>
      </c>
      <c r="H1703" s="69" t="s">
        <v>9</v>
      </c>
      <c r="I1703" s="69" t="s">
        <v>1304</v>
      </c>
      <c r="J1703" s="69" t="s">
        <v>55</v>
      </c>
      <c r="K1703" s="69" t="s">
        <v>1317</v>
      </c>
      <c r="M1703" s="69" t="s">
        <v>6</v>
      </c>
    </row>
    <row r="1704" spans="2:13">
      <c r="B1704" s="69">
        <v>1702</v>
      </c>
      <c r="C1704" s="69">
        <v>161</v>
      </c>
      <c r="D1704" s="69">
        <v>19</v>
      </c>
      <c r="E1704" s="69">
        <v>14</v>
      </c>
      <c r="F1704" s="69">
        <v>0</v>
      </c>
      <c r="G1704" s="69" t="s">
        <v>1242</v>
      </c>
      <c r="H1704" s="69" t="s">
        <v>9</v>
      </c>
      <c r="I1704" s="69" t="s">
        <v>1304</v>
      </c>
      <c r="J1704" s="69" t="s">
        <v>55</v>
      </c>
      <c r="K1704" s="69" t="s">
        <v>1318</v>
      </c>
      <c r="M1704" s="69" t="s">
        <v>6</v>
      </c>
    </row>
    <row r="1705" spans="2:13">
      <c r="B1705" s="69">
        <v>1703</v>
      </c>
      <c r="C1705" s="69">
        <v>161</v>
      </c>
      <c r="D1705" s="69">
        <v>19</v>
      </c>
      <c r="E1705" s="69">
        <v>15</v>
      </c>
      <c r="F1705" s="69">
        <v>0</v>
      </c>
      <c r="G1705" s="69" t="s">
        <v>1242</v>
      </c>
      <c r="H1705" s="69" t="s">
        <v>9</v>
      </c>
      <c r="I1705" s="69" t="s">
        <v>1304</v>
      </c>
      <c r="J1705" s="69" t="s">
        <v>55</v>
      </c>
      <c r="K1705" s="69" t="s">
        <v>1319</v>
      </c>
      <c r="M1705" s="69" t="s">
        <v>6</v>
      </c>
    </row>
    <row r="1706" spans="2:13">
      <c r="B1706" s="69">
        <v>1704</v>
      </c>
      <c r="C1706" s="69">
        <v>161</v>
      </c>
      <c r="D1706" s="69">
        <v>19</v>
      </c>
      <c r="E1706" s="69">
        <v>16</v>
      </c>
      <c r="F1706" s="69">
        <v>0</v>
      </c>
      <c r="G1706" s="69" t="s">
        <v>1242</v>
      </c>
      <c r="H1706" s="69" t="s">
        <v>9</v>
      </c>
      <c r="I1706" s="69" t="s">
        <v>1304</v>
      </c>
      <c r="J1706" s="69" t="s">
        <v>55</v>
      </c>
      <c r="K1706" s="69" t="s">
        <v>1320</v>
      </c>
      <c r="M1706" s="69" t="s">
        <v>6</v>
      </c>
    </row>
    <row r="1707" spans="2:13">
      <c r="B1707" s="69">
        <v>1705</v>
      </c>
      <c r="C1707" s="69">
        <v>161</v>
      </c>
      <c r="D1707" s="69">
        <v>19</v>
      </c>
      <c r="E1707" s="69">
        <v>17</v>
      </c>
      <c r="F1707" s="69">
        <v>0</v>
      </c>
      <c r="G1707" s="69" t="s">
        <v>1242</v>
      </c>
      <c r="H1707" s="69" t="s">
        <v>9</v>
      </c>
      <c r="I1707" s="69" t="s">
        <v>1304</v>
      </c>
      <c r="J1707" s="69" t="s">
        <v>55</v>
      </c>
      <c r="K1707" s="69" t="s">
        <v>1321</v>
      </c>
      <c r="M1707" s="69" t="s">
        <v>6</v>
      </c>
    </row>
    <row r="1708" spans="2:13">
      <c r="B1708" s="69">
        <v>1706</v>
      </c>
      <c r="C1708" s="69">
        <v>161</v>
      </c>
      <c r="D1708" s="69">
        <v>19</v>
      </c>
      <c r="E1708" s="69">
        <v>18</v>
      </c>
      <c r="F1708" s="69">
        <v>0</v>
      </c>
      <c r="G1708" s="69" t="s">
        <v>1242</v>
      </c>
      <c r="H1708" s="69" t="s">
        <v>9</v>
      </c>
      <c r="I1708" s="69" t="s">
        <v>1304</v>
      </c>
      <c r="J1708" s="69" t="s">
        <v>55</v>
      </c>
      <c r="K1708" s="69" t="s">
        <v>93</v>
      </c>
      <c r="M1708" s="69" t="s">
        <v>6</v>
      </c>
    </row>
    <row r="1709" spans="2:13">
      <c r="B1709" s="69">
        <v>1707</v>
      </c>
      <c r="C1709" s="69">
        <v>161</v>
      </c>
      <c r="D1709" s="69">
        <v>19</v>
      </c>
      <c r="E1709" s="69">
        <v>19</v>
      </c>
      <c r="F1709" s="69">
        <v>0</v>
      </c>
      <c r="G1709" s="69" t="s">
        <v>1242</v>
      </c>
      <c r="H1709" s="69" t="s">
        <v>9</v>
      </c>
      <c r="I1709" s="69" t="s">
        <v>1304</v>
      </c>
      <c r="J1709" s="69" t="s">
        <v>64</v>
      </c>
      <c r="K1709" s="69" t="s">
        <v>94</v>
      </c>
      <c r="M1709" s="69" t="s">
        <v>6</v>
      </c>
    </row>
    <row r="1710" spans="2:13">
      <c r="B1710" s="69">
        <v>1708</v>
      </c>
      <c r="C1710" s="69">
        <v>162</v>
      </c>
      <c r="D1710" s="69">
        <v>6</v>
      </c>
      <c r="E1710" s="69">
        <v>0</v>
      </c>
      <c r="F1710" s="69">
        <v>0</v>
      </c>
      <c r="G1710" s="69" t="s">
        <v>1242</v>
      </c>
      <c r="H1710" s="69" t="s">
        <v>9</v>
      </c>
      <c r="I1710" s="69" t="s">
        <v>1322</v>
      </c>
      <c r="J1710" s="69" t="s">
        <v>54</v>
      </c>
      <c r="K1710" s="69" t="s">
        <v>1322</v>
      </c>
      <c r="M1710" s="69" t="s">
        <v>6</v>
      </c>
    </row>
    <row r="1711" spans="2:13">
      <c r="B1711" s="69">
        <v>1709</v>
      </c>
      <c r="C1711" s="69">
        <v>162</v>
      </c>
      <c r="D1711" s="69">
        <v>6</v>
      </c>
      <c r="E1711" s="69">
        <v>1</v>
      </c>
      <c r="F1711" s="69">
        <v>0</v>
      </c>
      <c r="G1711" s="69" t="s">
        <v>1242</v>
      </c>
      <c r="H1711" s="69" t="s">
        <v>9</v>
      </c>
      <c r="I1711" s="69" t="s">
        <v>1322</v>
      </c>
      <c r="J1711" s="69" t="s">
        <v>55</v>
      </c>
      <c r="K1711" s="69" t="s">
        <v>1293</v>
      </c>
      <c r="M1711" s="69" t="s">
        <v>6</v>
      </c>
    </row>
    <row r="1712" spans="2:13">
      <c r="B1712" s="69">
        <v>1710</v>
      </c>
      <c r="C1712" s="69">
        <v>162</v>
      </c>
      <c r="D1712" s="69">
        <v>6</v>
      </c>
      <c r="E1712" s="69">
        <v>2</v>
      </c>
      <c r="F1712" s="69">
        <v>0</v>
      </c>
      <c r="G1712" s="69" t="s">
        <v>1242</v>
      </c>
      <c r="H1712" s="69" t="s">
        <v>9</v>
      </c>
      <c r="I1712" s="69" t="s">
        <v>1322</v>
      </c>
      <c r="J1712" s="69" t="s">
        <v>55</v>
      </c>
      <c r="K1712" s="69" t="s">
        <v>1294</v>
      </c>
      <c r="M1712" s="69" t="s">
        <v>6</v>
      </c>
    </row>
    <row r="1713" spans="2:13">
      <c r="B1713" s="69">
        <v>1711</v>
      </c>
      <c r="C1713" s="69">
        <v>162</v>
      </c>
      <c r="D1713" s="69">
        <v>6</v>
      </c>
      <c r="E1713" s="69">
        <v>3</v>
      </c>
      <c r="F1713" s="69">
        <v>0</v>
      </c>
      <c r="G1713" s="69" t="s">
        <v>1242</v>
      </c>
      <c r="H1713" s="69" t="s">
        <v>9</v>
      </c>
      <c r="I1713" s="69" t="s">
        <v>1322</v>
      </c>
      <c r="J1713" s="69" t="s">
        <v>55</v>
      </c>
      <c r="K1713" s="69" t="s">
        <v>1295</v>
      </c>
      <c r="M1713" s="69" t="s">
        <v>6</v>
      </c>
    </row>
    <row r="1714" spans="2:13">
      <c r="B1714" s="69">
        <v>1712</v>
      </c>
      <c r="C1714" s="69">
        <v>162</v>
      </c>
      <c r="D1714" s="69">
        <v>6</v>
      </c>
      <c r="E1714" s="69">
        <v>4</v>
      </c>
      <c r="F1714" s="69">
        <v>0</v>
      </c>
      <c r="G1714" s="69" t="s">
        <v>1242</v>
      </c>
      <c r="H1714" s="69" t="s">
        <v>9</v>
      </c>
      <c r="I1714" s="69" t="s">
        <v>1322</v>
      </c>
      <c r="J1714" s="69" t="s">
        <v>55</v>
      </c>
      <c r="K1714" s="69" t="s">
        <v>1296</v>
      </c>
      <c r="M1714" s="69" t="s">
        <v>6</v>
      </c>
    </row>
    <row r="1715" spans="2:13">
      <c r="B1715" s="69">
        <v>1713</v>
      </c>
      <c r="C1715" s="69">
        <v>162</v>
      </c>
      <c r="D1715" s="69">
        <v>6</v>
      </c>
      <c r="E1715" s="69">
        <v>5</v>
      </c>
      <c r="F1715" s="69">
        <v>0</v>
      </c>
      <c r="G1715" s="69" t="s">
        <v>1242</v>
      </c>
      <c r="H1715" s="69" t="s">
        <v>9</v>
      </c>
      <c r="I1715" s="69" t="s">
        <v>1322</v>
      </c>
      <c r="J1715" s="69" t="s">
        <v>55</v>
      </c>
      <c r="K1715" s="69" t="s">
        <v>93</v>
      </c>
      <c r="M1715" s="69" t="s">
        <v>6</v>
      </c>
    </row>
    <row r="1716" spans="2:13">
      <c r="B1716" s="69">
        <v>1714</v>
      </c>
      <c r="C1716" s="69">
        <v>162</v>
      </c>
      <c r="D1716" s="69">
        <v>6</v>
      </c>
      <c r="E1716" s="69">
        <v>6</v>
      </c>
      <c r="F1716" s="69">
        <v>0</v>
      </c>
      <c r="G1716" s="69" t="s">
        <v>1242</v>
      </c>
      <c r="H1716" s="69" t="s">
        <v>9</v>
      </c>
      <c r="I1716" s="69" t="s">
        <v>1322</v>
      </c>
      <c r="J1716" s="69" t="s">
        <v>64</v>
      </c>
      <c r="K1716" s="69" t="s">
        <v>94</v>
      </c>
      <c r="M1716" s="69" t="s">
        <v>6</v>
      </c>
    </row>
    <row r="1717" spans="2:13">
      <c r="B1717" s="69">
        <v>1715</v>
      </c>
      <c r="C1717" s="69">
        <v>163</v>
      </c>
      <c r="D1717" s="69">
        <v>10</v>
      </c>
      <c r="E1717" s="69">
        <v>0</v>
      </c>
      <c r="F1717" s="69">
        <v>0</v>
      </c>
      <c r="G1717" s="69" t="s">
        <v>1242</v>
      </c>
      <c r="H1717" s="69" t="s">
        <v>9</v>
      </c>
      <c r="I1717" s="69" t="s">
        <v>1323</v>
      </c>
      <c r="J1717" s="69" t="s">
        <v>54</v>
      </c>
      <c r="K1717" s="69" t="s">
        <v>1323</v>
      </c>
      <c r="M1717" s="69" t="s">
        <v>6</v>
      </c>
    </row>
    <row r="1718" spans="2:13">
      <c r="B1718" s="69">
        <v>1716</v>
      </c>
      <c r="C1718" s="69">
        <v>163</v>
      </c>
      <c r="D1718" s="69">
        <v>10</v>
      </c>
      <c r="E1718" s="69">
        <v>1</v>
      </c>
      <c r="F1718" s="69">
        <v>0</v>
      </c>
      <c r="G1718" s="69" t="s">
        <v>1242</v>
      </c>
      <c r="H1718" s="69" t="s">
        <v>9</v>
      </c>
      <c r="I1718" s="69" t="s">
        <v>1323</v>
      </c>
      <c r="J1718" s="69" t="s">
        <v>55</v>
      </c>
      <c r="K1718" s="69" t="s">
        <v>1324</v>
      </c>
      <c r="M1718" s="69" t="s">
        <v>6</v>
      </c>
    </row>
    <row r="1719" spans="2:13">
      <c r="B1719" s="69">
        <v>1717</v>
      </c>
      <c r="C1719" s="69">
        <v>163</v>
      </c>
      <c r="D1719" s="69">
        <v>10</v>
      </c>
      <c r="E1719" s="69">
        <v>2</v>
      </c>
      <c r="F1719" s="69">
        <v>0</v>
      </c>
      <c r="G1719" s="69" t="s">
        <v>1242</v>
      </c>
      <c r="H1719" s="69" t="s">
        <v>9</v>
      </c>
      <c r="I1719" s="69" t="s">
        <v>1323</v>
      </c>
      <c r="J1719" s="69" t="s">
        <v>55</v>
      </c>
      <c r="K1719" s="69" t="s">
        <v>1325</v>
      </c>
      <c r="M1719" s="69" t="s">
        <v>6</v>
      </c>
    </row>
    <row r="1720" spans="2:13">
      <c r="B1720" s="69">
        <v>1718</v>
      </c>
      <c r="C1720" s="69">
        <v>163</v>
      </c>
      <c r="D1720" s="69">
        <v>10</v>
      </c>
      <c r="E1720" s="69">
        <v>3</v>
      </c>
      <c r="F1720" s="69">
        <v>0</v>
      </c>
      <c r="G1720" s="69" t="s">
        <v>1242</v>
      </c>
      <c r="H1720" s="69" t="s">
        <v>9</v>
      </c>
      <c r="I1720" s="69" t="s">
        <v>1323</v>
      </c>
      <c r="J1720" s="69" t="s">
        <v>55</v>
      </c>
      <c r="K1720" s="69" t="s">
        <v>1326</v>
      </c>
      <c r="M1720" s="69" t="s">
        <v>6</v>
      </c>
    </row>
    <row r="1721" spans="2:13">
      <c r="B1721" s="69">
        <v>1719</v>
      </c>
      <c r="C1721" s="69">
        <v>163</v>
      </c>
      <c r="D1721" s="69">
        <v>10</v>
      </c>
      <c r="E1721" s="69">
        <v>4</v>
      </c>
      <c r="F1721" s="69">
        <v>0</v>
      </c>
      <c r="G1721" s="69" t="s">
        <v>1242</v>
      </c>
      <c r="H1721" s="69" t="s">
        <v>9</v>
      </c>
      <c r="I1721" s="69" t="s">
        <v>1323</v>
      </c>
      <c r="J1721" s="69" t="s">
        <v>55</v>
      </c>
      <c r="K1721" s="69" t="s">
        <v>1327</v>
      </c>
      <c r="M1721" s="69" t="s">
        <v>6</v>
      </c>
    </row>
    <row r="1722" spans="2:13">
      <c r="B1722" s="69">
        <v>1720</v>
      </c>
      <c r="C1722" s="69">
        <v>163</v>
      </c>
      <c r="D1722" s="69">
        <v>10</v>
      </c>
      <c r="E1722" s="69">
        <v>5</v>
      </c>
      <c r="F1722" s="69">
        <v>0</v>
      </c>
      <c r="G1722" s="69" t="s">
        <v>1242</v>
      </c>
      <c r="H1722" s="69" t="s">
        <v>9</v>
      </c>
      <c r="I1722" s="69" t="s">
        <v>1323</v>
      </c>
      <c r="J1722" s="69" t="s">
        <v>55</v>
      </c>
      <c r="K1722" s="69" t="s">
        <v>1328</v>
      </c>
      <c r="M1722" s="69" t="s">
        <v>6</v>
      </c>
    </row>
    <row r="1723" spans="2:13">
      <c r="B1723" s="69">
        <v>1721</v>
      </c>
      <c r="C1723" s="69">
        <v>163</v>
      </c>
      <c r="D1723" s="69">
        <v>10</v>
      </c>
      <c r="E1723" s="69">
        <v>6</v>
      </c>
      <c r="F1723" s="69">
        <v>0</v>
      </c>
      <c r="G1723" s="69" t="s">
        <v>1242</v>
      </c>
      <c r="H1723" s="69" t="s">
        <v>9</v>
      </c>
      <c r="I1723" s="69" t="s">
        <v>1323</v>
      </c>
      <c r="J1723" s="69" t="s">
        <v>55</v>
      </c>
      <c r="K1723" s="69" t="s">
        <v>1329</v>
      </c>
      <c r="M1723" s="69" t="s">
        <v>6</v>
      </c>
    </row>
    <row r="1724" spans="2:13">
      <c r="B1724" s="69">
        <v>1722</v>
      </c>
      <c r="C1724" s="69">
        <v>163</v>
      </c>
      <c r="D1724" s="69">
        <v>10</v>
      </c>
      <c r="E1724" s="69">
        <v>7</v>
      </c>
      <c r="F1724" s="69">
        <v>0</v>
      </c>
      <c r="G1724" s="69" t="s">
        <v>1242</v>
      </c>
      <c r="H1724" s="69" t="s">
        <v>9</v>
      </c>
      <c r="I1724" s="69" t="s">
        <v>1323</v>
      </c>
      <c r="J1724" s="69" t="s">
        <v>55</v>
      </c>
      <c r="K1724" s="69" t="s">
        <v>1330</v>
      </c>
      <c r="M1724" s="69" t="s">
        <v>6</v>
      </c>
    </row>
    <row r="1725" spans="2:13">
      <c r="B1725" s="69">
        <v>1723</v>
      </c>
      <c r="C1725" s="69">
        <v>163</v>
      </c>
      <c r="D1725" s="69">
        <v>10</v>
      </c>
      <c r="E1725" s="69">
        <v>8</v>
      </c>
      <c r="F1725" s="69">
        <v>0</v>
      </c>
      <c r="G1725" s="69" t="s">
        <v>1242</v>
      </c>
      <c r="H1725" s="69" t="s">
        <v>9</v>
      </c>
      <c r="I1725" s="69" t="s">
        <v>1323</v>
      </c>
      <c r="J1725" s="69" t="s">
        <v>55</v>
      </c>
      <c r="K1725" s="69" t="s">
        <v>1280</v>
      </c>
      <c r="M1725" s="69" t="s">
        <v>6</v>
      </c>
    </row>
    <row r="1726" spans="2:13">
      <c r="B1726" s="69">
        <v>1724</v>
      </c>
      <c r="C1726" s="69">
        <v>163</v>
      </c>
      <c r="D1726" s="69">
        <v>10</v>
      </c>
      <c r="E1726" s="69">
        <v>9</v>
      </c>
      <c r="F1726" s="69">
        <v>0</v>
      </c>
      <c r="G1726" s="69" t="s">
        <v>1242</v>
      </c>
      <c r="H1726" s="69" t="s">
        <v>9</v>
      </c>
      <c r="I1726" s="69" t="s">
        <v>1323</v>
      </c>
      <c r="J1726" s="69" t="s">
        <v>55</v>
      </c>
      <c r="K1726" s="69" t="s">
        <v>93</v>
      </c>
      <c r="M1726" s="69" t="s">
        <v>6</v>
      </c>
    </row>
    <row r="1727" spans="2:13">
      <c r="B1727" s="69">
        <v>1725</v>
      </c>
      <c r="C1727" s="69">
        <v>163</v>
      </c>
      <c r="D1727" s="69">
        <v>10</v>
      </c>
      <c r="E1727" s="69">
        <v>10</v>
      </c>
      <c r="F1727" s="69">
        <v>0</v>
      </c>
      <c r="G1727" s="69" t="s">
        <v>1242</v>
      </c>
      <c r="H1727" s="69" t="s">
        <v>9</v>
      </c>
      <c r="I1727" s="69" t="s">
        <v>1323</v>
      </c>
      <c r="J1727" s="69" t="s">
        <v>64</v>
      </c>
      <c r="K1727" s="69" t="s">
        <v>94</v>
      </c>
      <c r="M1727" s="69" t="s">
        <v>6</v>
      </c>
    </row>
    <row r="1728" spans="2:13">
      <c r="B1728" s="69">
        <v>1726</v>
      </c>
      <c r="C1728" s="69">
        <v>164</v>
      </c>
      <c r="D1728" s="69">
        <v>5</v>
      </c>
      <c r="E1728" s="69">
        <v>0</v>
      </c>
      <c r="F1728" s="69">
        <v>0</v>
      </c>
      <c r="G1728" s="69" t="s">
        <v>1242</v>
      </c>
      <c r="H1728" s="69" t="s">
        <v>9</v>
      </c>
      <c r="I1728" s="69" t="s">
        <v>1331</v>
      </c>
      <c r="J1728" s="69" t="s">
        <v>54</v>
      </c>
      <c r="K1728" s="69" t="s">
        <v>1331</v>
      </c>
      <c r="M1728" s="69" t="s">
        <v>6</v>
      </c>
    </row>
    <row r="1729" spans="2:13">
      <c r="B1729" s="69">
        <v>1727</v>
      </c>
      <c r="C1729" s="69">
        <v>164</v>
      </c>
      <c r="D1729" s="69">
        <v>5</v>
      </c>
      <c r="E1729" s="69">
        <v>1</v>
      </c>
      <c r="F1729" s="69">
        <v>0</v>
      </c>
      <c r="G1729" s="69" t="s">
        <v>1242</v>
      </c>
      <c r="H1729" s="69" t="s">
        <v>9</v>
      </c>
      <c r="I1729" s="69" t="s">
        <v>1331</v>
      </c>
      <c r="J1729" s="69" t="s">
        <v>55</v>
      </c>
      <c r="K1729" s="69" t="s">
        <v>1332</v>
      </c>
      <c r="M1729" s="69" t="s">
        <v>6</v>
      </c>
    </row>
    <row r="1730" spans="2:13">
      <c r="B1730" s="69">
        <v>1728</v>
      </c>
      <c r="C1730" s="69">
        <v>164</v>
      </c>
      <c r="D1730" s="69">
        <v>5</v>
      </c>
      <c r="E1730" s="69">
        <v>2</v>
      </c>
      <c r="F1730" s="69">
        <v>0</v>
      </c>
      <c r="G1730" s="69" t="s">
        <v>1242</v>
      </c>
      <c r="H1730" s="69" t="s">
        <v>9</v>
      </c>
      <c r="I1730" s="69" t="s">
        <v>1331</v>
      </c>
      <c r="J1730" s="69" t="s">
        <v>55</v>
      </c>
      <c r="K1730" s="69" t="s">
        <v>1333</v>
      </c>
      <c r="M1730" s="69" t="s">
        <v>6</v>
      </c>
    </row>
    <row r="1731" spans="2:13">
      <c r="B1731" s="69">
        <v>1729</v>
      </c>
      <c r="C1731" s="69">
        <v>164</v>
      </c>
      <c r="D1731" s="69">
        <v>5</v>
      </c>
      <c r="E1731" s="69">
        <v>3</v>
      </c>
      <c r="F1731" s="69">
        <v>0</v>
      </c>
      <c r="G1731" s="69" t="s">
        <v>1242</v>
      </c>
      <c r="H1731" s="69" t="s">
        <v>9</v>
      </c>
      <c r="I1731" s="69" t="s">
        <v>1331</v>
      </c>
      <c r="J1731" s="69" t="s">
        <v>55</v>
      </c>
      <c r="K1731" s="69" t="s">
        <v>1334</v>
      </c>
      <c r="M1731" s="69" t="s">
        <v>6</v>
      </c>
    </row>
    <row r="1732" spans="2:13">
      <c r="B1732" s="69">
        <v>1730</v>
      </c>
      <c r="C1732" s="69">
        <v>164</v>
      </c>
      <c r="D1732" s="69">
        <v>5</v>
      </c>
      <c r="E1732" s="69">
        <v>4</v>
      </c>
      <c r="F1732" s="69">
        <v>0</v>
      </c>
      <c r="G1732" s="69" t="s">
        <v>1242</v>
      </c>
      <c r="H1732" s="69" t="s">
        <v>9</v>
      </c>
      <c r="I1732" s="69" t="s">
        <v>1331</v>
      </c>
      <c r="J1732" s="69" t="s">
        <v>55</v>
      </c>
      <c r="K1732" s="69" t="s">
        <v>93</v>
      </c>
      <c r="M1732" s="69" t="s">
        <v>6</v>
      </c>
    </row>
    <row r="1733" spans="2:13">
      <c r="B1733" s="69">
        <v>1731</v>
      </c>
      <c r="C1733" s="69">
        <v>164</v>
      </c>
      <c r="D1733" s="69">
        <v>5</v>
      </c>
      <c r="E1733" s="69">
        <v>5</v>
      </c>
      <c r="F1733" s="69">
        <v>0</v>
      </c>
      <c r="G1733" s="69" t="s">
        <v>1242</v>
      </c>
      <c r="H1733" s="69" t="s">
        <v>9</v>
      </c>
      <c r="I1733" s="69" t="s">
        <v>1331</v>
      </c>
      <c r="J1733" s="69" t="s">
        <v>64</v>
      </c>
      <c r="K1733" s="69" t="s">
        <v>94</v>
      </c>
      <c r="M1733" s="69" t="s">
        <v>6</v>
      </c>
    </row>
    <row r="1734" spans="2:13">
      <c r="B1734" s="69">
        <v>1732</v>
      </c>
      <c r="C1734" s="69">
        <v>165</v>
      </c>
      <c r="D1734" s="69">
        <v>19</v>
      </c>
      <c r="E1734" s="69">
        <v>0</v>
      </c>
      <c r="F1734" s="69">
        <v>0</v>
      </c>
      <c r="G1734" s="69" t="s">
        <v>1242</v>
      </c>
      <c r="H1734" s="69" t="s">
        <v>9</v>
      </c>
      <c r="I1734" s="69" t="s">
        <v>1335</v>
      </c>
      <c r="J1734" s="69" t="s">
        <v>47</v>
      </c>
      <c r="K1734" s="69" t="s">
        <v>1335</v>
      </c>
      <c r="M1734" s="69" t="s">
        <v>6</v>
      </c>
    </row>
    <row r="1735" spans="2:13">
      <c r="B1735" s="69">
        <v>1733</v>
      </c>
      <c r="C1735" s="69">
        <v>165</v>
      </c>
      <c r="D1735" s="69">
        <v>19</v>
      </c>
      <c r="E1735" s="69">
        <v>1</v>
      </c>
      <c r="F1735" s="69">
        <v>0</v>
      </c>
      <c r="G1735" s="69" t="s">
        <v>1242</v>
      </c>
      <c r="H1735" s="69" t="s">
        <v>9</v>
      </c>
      <c r="I1735" s="69" t="s">
        <v>1335</v>
      </c>
      <c r="J1735" s="69" t="s">
        <v>1184</v>
      </c>
      <c r="K1735" s="69" t="s">
        <v>1336</v>
      </c>
      <c r="M1735" s="69" t="s">
        <v>6</v>
      </c>
    </row>
    <row r="1736" spans="2:13">
      <c r="B1736" s="69">
        <v>1734</v>
      </c>
      <c r="C1736" s="69">
        <v>165</v>
      </c>
      <c r="D1736" s="69">
        <v>19</v>
      </c>
      <c r="E1736" s="69">
        <v>2</v>
      </c>
      <c r="F1736" s="69">
        <v>0</v>
      </c>
      <c r="G1736" s="69" t="s">
        <v>1242</v>
      </c>
      <c r="H1736" s="69" t="s">
        <v>9</v>
      </c>
      <c r="I1736" s="69" t="s">
        <v>1335</v>
      </c>
      <c r="J1736" s="69" t="s">
        <v>55</v>
      </c>
      <c r="K1736" s="69" t="s">
        <v>1337</v>
      </c>
      <c r="M1736" s="69" t="s">
        <v>6</v>
      </c>
    </row>
    <row r="1737" spans="2:13">
      <c r="B1737" s="69">
        <v>1735</v>
      </c>
      <c r="C1737" s="69">
        <v>165</v>
      </c>
      <c r="D1737" s="69">
        <v>19</v>
      </c>
      <c r="E1737" s="69">
        <v>3</v>
      </c>
      <c r="F1737" s="69">
        <v>0</v>
      </c>
      <c r="G1737" s="69" t="s">
        <v>1242</v>
      </c>
      <c r="H1737" s="69" t="s">
        <v>9</v>
      </c>
      <c r="I1737" s="69" t="s">
        <v>1335</v>
      </c>
      <c r="J1737" s="69" t="s">
        <v>55</v>
      </c>
      <c r="K1737" s="69" t="s">
        <v>1338</v>
      </c>
      <c r="M1737" s="69" t="s">
        <v>6</v>
      </c>
    </row>
    <row r="1738" spans="2:13">
      <c r="B1738" s="69">
        <v>1736</v>
      </c>
      <c r="C1738" s="69">
        <v>165</v>
      </c>
      <c r="D1738" s="69">
        <v>19</v>
      </c>
      <c r="E1738" s="69">
        <v>4</v>
      </c>
      <c r="F1738" s="69">
        <v>0</v>
      </c>
      <c r="G1738" s="69" t="s">
        <v>1242</v>
      </c>
      <c r="H1738" s="69" t="s">
        <v>9</v>
      </c>
      <c r="I1738" s="69" t="s">
        <v>1335</v>
      </c>
      <c r="J1738" s="69" t="s">
        <v>1184</v>
      </c>
      <c r="K1738" s="69" t="s">
        <v>1339</v>
      </c>
      <c r="M1738" s="69" t="s">
        <v>6</v>
      </c>
    </row>
    <row r="1739" spans="2:13">
      <c r="B1739" s="69">
        <v>1737</v>
      </c>
      <c r="C1739" s="69">
        <v>165</v>
      </c>
      <c r="D1739" s="69">
        <v>19</v>
      </c>
      <c r="E1739" s="69">
        <v>5</v>
      </c>
      <c r="F1739" s="69">
        <v>0</v>
      </c>
      <c r="G1739" s="69" t="s">
        <v>1242</v>
      </c>
      <c r="H1739" s="69" t="s">
        <v>9</v>
      </c>
      <c r="I1739" s="69" t="s">
        <v>1335</v>
      </c>
      <c r="J1739" s="69" t="s">
        <v>55</v>
      </c>
      <c r="K1739" s="69" t="s">
        <v>1340</v>
      </c>
      <c r="M1739" s="69" t="s">
        <v>6</v>
      </c>
    </row>
    <row r="1740" spans="2:13">
      <c r="B1740" s="69">
        <v>1738</v>
      </c>
      <c r="C1740" s="69">
        <v>165</v>
      </c>
      <c r="D1740" s="69">
        <v>19</v>
      </c>
      <c r="E1740" s="69">
        <v>6</v>
      </c>
      <c r="F1740" s="69">
        <v>0</v>
      </c>
      <c r="G1740" s="69" t="s">
        <v>1242</v>
      </c>
      <c r="H1740" s="69" t="s">
        <v>9</v>
      </c>
      <c r="I1740" s="69" t="s">
        <v>1335</v>
      </c>
      <c r="J1740" s="69" t="s">
        <v>55</v>
      </c>
      <c r="K1740" s="69" t="s">
        <v>1337</v>
      </c>
      <c r="M1740" s="69" t="s">
        <v>6</v>
      </c>
    </row>
    <row r="1741" spans="2:13">
      <c r="B1741" s="69">
        <v>1739</v>
      </c>
      <c r="C1741" s="69">
        <v>165</v>
      </c>
      <c r="D1741" s="69">
        <v>19</v>
      </c>
      <c r="E1741" s="69">
        <v>7</v>
      </c>
      <c r="F1741" s="69">
        <v>0</v>
      </c>
      <c r="G1741" s="69" t="s">
        <v>1242</v>
      </c>
      <c r="H1741" s="69" t="s">
        <v>9</v>
      </c>
      <c r="I1741" s="69" t="s">
        <v>1335</v>
      </c>
      <c r="J1741" s="69" t="s">
        <v>55</v>
      </c>
      <c r="K1741" s="69" t="s">
        <v>1341</v>
      </c>
      <c r="M1741" s="69" t="s">
        <v>6</v>
      </c>
    </row>
    <row r="1742" spans="2:13">
      <c r="B1742" s="69">
        <v>1740</v>
      </c>
      <c r="C1742" s="69">
        <v>165</v>
      </c>
      <c r="D1742" s="69">
        <v>19</v>
      </c>
      <c r="E1742" s="69">
        <v>8</v>
      </c>
      <c r="F1742" s="69">
        <v>0</v>
      </c>
      <c r="G1742" s="69" t="s">
        <v>1242</v>
      </c>
      <c r="H1742" s="69" t="s">
        <v>9</v>
      </c>
      <c r="I1742" s="69" t="s">
        <v>1335</v>
      </c>
      <c r="J1742" s="69" t="s">
        <v>55</v>
      </c>
      <c r="K1742" s="69" t="s">
        <v>1342</v>
      </c>
      <c r="M1742" s="69" t="s">
        <v>6</v>
      </c>
    </row>
    <row r="1743" spans="2:13">
      <c r="B1743" s="69">
        <v>1741</v>
      </c>
      <c r="C1743" s="69">
        <v>165</v>
      </c>
      <c r="D1743" s="69">
        <v>19</v>
      </c>
      <c r="E1743" s="69">
        <v>9</v>
      </c>
      <c r="F1743" s="69">
        <v>0</v>
      </c>
      <c r="G1743" s="69" t="s">
        <v>1242</v>
      </c>
      <c r="H1743" s="69" t="s">
        <v>9</v>
      </c>
      <c r="I1743" s="69" t="s">
        <v>1335</v>
      </c>
      <c r="J1743" s="69" t="s">
        <v>55</v>
      </c>
      <c r="K1743" s="69" t="s">
        <v>1343</v>
      </c>
      <c r="M1743" s="69" t="s">
        <v>6</v>
      </c>
    </row>
    <row r="1744" spans="2:13">
      <c r="B1744" s="69">
        <v>1742</v>
      </c>
      <c r="C1744" s="69">
        <v>165</v>
      </c>
      <c r="D1744" s="69">
        <v>19</v>
      </c>
      <c r="E1744" s="69">
        <v>10</v>
      </c>
      <c r="F1744" s="69">
        <v>0</v>
      </c>
      <c r="G1744" s="69" t="s">
        <v>1242</v>
      </c>
      <c r="H1744" s="69" t="s">
        <v>9</v>
      </c>
      <c r="I1744" s="69" t="s">
        <v>1335</v>
      </c>
      <c r="J1744" s="69" t="s">
        <v>55</v>
      </c>
      <c r="K1744" s="69" t="s">
        <v>1344</v>
      </c>
      <c r="M1744" s="69" t="s">
        <v>6</v>
      </c>
    </row>
    <row r="1745" spans="2:13">
      <c r="B1745" s="69">
        <v>1743</v>
      </c>
      <c r="C1745" s="69">
        <v>165</v>
      </c>
      <c r="D1745" s="69">
        <v>19</v>
      </c>
      <c r="E1745" s="69">
        <v>11</v>
      </c>
      <c r="F1745" s="69">
        <v>0</v>
      </c>
      <c r="G1745" s="69" t="s">
        <v>1242</v>
      </c>
      <c r="H1745" s="69" t="s">
        <v>9</v>
      </c>
      <c r="I1745" s="69" t="s">
        <v>1335</v>
      </c>
      <c r="J1745" s="69" t="s">
        <v>55</v>
      </c>
      <c r="K1745" s="69" t="s">
        <v>1345</v>
      </c>
      <c r="M1745" s="69" t="s">
        <v>6</v>
      </c>
    </row>
    <row r="1746" spans="2:13">
      <c r="B1746" s="69">
        <v>1744</v>
      </c>
      <c r="C1746" s="69">
        <v>165</v>
      </c>
      <c r="D1746" s="69">
        <v>19</v>
      </c>
      <c r="E1746" s="69">
        <v>12</v>
      </c>
      <c r="F1746" s="69">
        <v>0</v>
      </c>
      <c r="G1746" s="69" t="s">
        <v>1242</v>
      </c>
      <c r="H1746" s="69" t="s">
        <v>9</v>
      </c>
      <c r="I1746" s="69" t="s">
        <v>1335</v>
      </c>
      <c r="J1746" s="69" t="s">
        <v>55</v>
      </c>
      <c r="K1746" s="69" t="s">
        <v>1346</v>
      </c>
      <c r="M1746" s="69" t="s">
        <v>6</v>
      </c>
    </row>
    <row r="1747" spans="2:13">
      <c r="B1747" s="69">
        <v>1745</v>
      </c>
      <c r="C1747" s="69">
        <v>165</v>
      </c>
      <c r="D1747" s="69">
        <v>19</v>
      </c>
      <c r="E1747" s="69">
        <v>13</v>
      </c>
      <c r="F1747" s="69">
        <v>0</v>
      </c>
      <c r="G1747" s="69" t="s">
        <v>1242</v>
      </c>
      <c r="H1747" s="69" t="s">
        <v>9</v>
      </c>
      <c r="I1747" s="69" t="s">
        <v>1335</v>
      </c>
      <c r="J1747" s="69" t="s">
        <v>1184</v>
      </c>
      <c r="K1747" s="69" t="s">
        <v>1347</v>
      </c>
      <c r="M1747" s="69" t="s">
        <v>6</v>
      </c>
    </row>
    <row r="1748" spans="2:13">
      <c r="B1748" s="69">
        <v>1746</v>
      </c>
      <c r="C1748" s="69">
        <v>165</v>
      </c>
      <c r="D1748" s="69">
        <v>19</v>
      </c>
      <c r="E1748" s="69">
        <v>14</v>
      </c>
      <c r="F1748" s="69">
        <v>0</v>
      </c>
      <c r="G1748" s="69" t="s">
        <v>1242</v>
      </c>
      <c r="H1748" s="69" t="s">
        <v>9</v>
      </c>
      <c r="I1748" s="69" t="s">
        <v>1335</v>
      </c>
      <c r="J1748" s="69" t="s">
        <v>55</v>
      </c>
      <c r="K1748" s="69" t="s">
        <v>1348</v>
      </c>
      <c r="M1748" s="69" t="s">
        <v>6</v>
      </c>
    </row>
    <row r="1749" spans="2:13">
      <c r="B1749" s="69">
        <v>1747</v>
      </c>
      <c r="C1749" s="69">
        <v>165</v>
      </c>
      <c r="D1749" s="69">
        <v>19</v>
      </c>
      <c r="E1749" s="69">
        <v>15</v>
      </c>
      <c r="F1749" s="69">
        <v>0</v>
      </c>
      <c r="G1749" s="69" t="s">
        <v>1242</v>
      </c>
      <c r="H1749" s="69" t="s">
        <v>9</v>
      </c>
      <c r="I1749" s="69" t="s">
        <v>1335</v>
      </c>
      <c r="J1749" s="69" t="s">
        <v>55</v>
      </c>
      <c r="K1749" s="69" t="s">
        <v>1349</v>
      </c>
      <c r="M1749" s="69" t="s">
        <v>6</v>
      </c>
    </row>
    <row r="1750" spans="2:13">
      <c r="B1750" s="69">
        <v>1748</v>
      </c>
      <c r="C1750" s="69">
        <v>165</v>
      </c>
      <c r="D1750" s="69">
        <v>19</v>
      </c>
      <c r="E1750" s="69">
        <v>16</v>
      </c>
      <c r="F1750" s="69">
        <v>0</v>
      </c>
      <c r="G1750" s="69" t="s">
        <v>1242</v>
      </c>
      <c r="H1750" s="69" t="s">
        <v>9</v>
      </c>
      <c r="I1750" s="69" t="s">
        <v>1335</v>
      </c>
      <c r="J1750" s="69" t="s">
        <v>1184</v>
      </c>
      <c r="K1750" s="69" t="s">
        <v>1350</v>
      </c>
      <c r="M1750" s="69" t="s">
        <v>6</v>
      </c>
    </row>
    <row r="1751" spans="2:13">
      <c r="B1751" s="69">
        <v>1749</v>
      </c>
      <c r="C1751" s="69">
        <v>165</v>
      </c>
      <c r="D1751" s="69">
        <v>19</v>
      </c>
      <c r="E1751" s="69">
        <v>17</v>
      </c>
      <c r="F1751" s="69">
        <v>0</v>
      </c>
      <c r="G1751" s="69" t="s">
        <v>1242</v>
      </c>
      <c r="H1751" s="69" t="s">
        <v>9</v>
      </c>
      <c r="I1751" s="69" t="s">
        <v>1335</v>
      </c>
      <c r="J1751" s="69" t="s">
        <v>55</v>
      </c>
      <c r="K1751" s="69" t="s">
        <v>1351</v>
      </c>
      <c r="M1751" s="69" t="s">
        <v>6</v>
      </c>
    </row>
    <row r="1752" spans="2:13">
      <c r="B1752" s="69">
        <v>1750</v>
      </c>
      <c r="C1752" s="69">
        <v>165</v>
      </c>
      <c r="D1752" s="69">
        <v>19</v>
      </c>
      <c r="E1752" s="69">
        <v>18</v>
      </c>
      <c r="F1752" s="69">
        <v>0</v>
      </c>
      <c r="G1752" s="69" t="s">
        <v>1242</v>
      </c>
      <c r="H1752" s="69" t="s">
        <v>9</v>
      </c>
      <c r="I1752" s="69" t="s">
        <v>1335</v>
      </c>
      <c r="J1752" s="69" t="s">
        <v>55</v>
      </c>
      <c r="K1752" s="69" t="s">
        <v>93</v>
      </c>
      <c r="M1752" s="69" t="s">
        <v>6</v>
      </c>
    </row>
    <row r="1753" spans="2:13">
      <c r="B1753" s="69">
        <v>1751</v>
      </c>
      <c r="C1753" s="69">
        <v>165</v>
      </c>
      <c r="D1753" s="69">
        <v>19</v>
      </c>
      <c r="E1753" s="69">
        <v>19</v>
      </c>
      <c r="F1753" s="69">
        <v>0</v>
      </c>
      <c r="G1753" s="69" t="s">
        <v>1242</v>
      </c>
      <c r="H1753" s="69" t="s">
        <v>9</v>
      </c>
      <c r="I1753" s="69" t="s">
        <v>1335</v>
      </c>
      <c r="J1753" s="69" t="s">
        <v>64</v>
      </c>
      <c r="K1753" s="69" t="s">
        <v>94</v>
      </c>
      <c r="M1753" s="69" t="s">
        <v>6</v>
      </c>
    </row>
    <row r="1754" spans="2:13">
      <c r="B1754" s="69">
        <v>1752</v>
      </c>
      <c r="C1754" s="69">
        <v>166</v>
      </c>
      <c r="D1754" s="69">
        <v>9</v>
      </c>
      <c r="E1754" s="69">
        <v>0</v>
      </c>
      <c r="F1754" s="69">
        <v>0</v>
      </c>
      <c r="G1754" s="69" t="s">
        <v>1242</v>
      </c>
      <c r="H1754" s="69" t="s">
        <v>9</v>
      </c>
      <c r="I1754" s="69" t="s">
        <v>1352</v>
      </c>
      <c r="J1754" s="69" t="s">
        <v>54</v>
      </c>
      <c r="K1754" s="69" t="s">
        <v>1352</v>
      </c>
      <c r="M1754" s="69" t="s">
        <v>6</v>
      </c>
    </row>
    <row r="1755" spans="2:13">
      <c r="B1755" s="69">
        <v>1753</v>
      </c>
      <c r="C1755" s="69">
        <v>166</v>
      </c>
      <c r="D1755" s="69">
        <v>9</v>
      </c>
      <c r="E1755" s="69">
        <v>1</v>
      </c>
      <c r="F1755" s="69">
        <v>0</v>
      </c>
      <c r="G1755" s="69" t="s">
        <v>1242</v>
      </c>
      <c r="H1755" s="69" t="s">
        <v>9</v>
      </c>
      <c r="I1755" s="69" t="s">
        <v>1352</v>
      </c>
      <c r="J1755" s="69" t="s">
        <v>55</v>
      </c>
      <c r="K1755" s="69" t="s">
        <v>1353</v>
      </c>
      <c r="M1755" s="69" t="s">
        <v>6</v>
      </c>
    </row>
    <row r="1756" spans="2:13">
      <c r="B1756" s="69">
        <v>1754</v>
      </c>
      <c r="C1756" s="69">
        <v>166</v>
      </c>
      <c r="D1756" s="69">
        <v>9</v>
      </c>
      <c r="E1756" s="69">
        <v>2</v>
      </c>
      <c r="F1756" s="69">
        <v>0</v>
      </c>
      <c r="G1756" s="69" t="s">
        <v>1242</v>
      </c>
      <c r="H1756" s="69" t="s">
        <v>9</v>
      </c>
      <c r="I1756" s="69" t="s">
        <v>1352</v>
      </c>
      <c r="J1756" s="69" t="s">
        <v>55</v>
      </c>
      <c r="K1756" s="69" t="s">
        <v>1354</v>
      </c>
      <c r="M1756" s="69" t="s">
        <v>6</v>
      </c>
    </row>
    <row r="1757" spans="2:13">
      <c r="B1757" s="69">
        <v>1755</v>
      </c>
      <c r="C1757" s="69">
        <v>166</v>
      </c>
      <c r="D1757" s="69">
        <v>9</v>
      </c>
      <c r="E1757" s="69">
        <v>3</v>
      </c>
      <c r="F1757" s="69">
        <v>0</v>
      </c>
      <c r="G1757" s="69" t="s">
        <v>1242</v>
      </c>
      <c r="H1757" s="69" t="s">
        <v>9</v>
      </c>
      <c r="I1757" s="69" t="s">
        <v>1352</v>
      </c>
      <c r="J1757" s="69" t="s">
        <v>55</v>
      </c>
      <c r="K1757" s="69" t="s">
        <v>1355</v>
      </c>
      <c r="M1757" s="69" t="s">
        <v>6</v>
      </c>
    </row>
    <row r="1758" spans="2:13">
      <c r="B1758" s="69">
        <v>1756</v>
      </c>
      <c r="C1758" s="69">
        <v>166</v>
      </c>
      <c r="D1758" s="69">
        <v>9</v>
      </c>
      <c r="E1758" s="69">
        <v>4</v>
      </c>
      <c r="F1758" s="69">
        <v>0</v>
      </c>
      <c r="G1758" s="69" t="s">
        <v>1242</v>
      </c>
      <c r="H1758" s="69" t="s">
        <v>9</v>
      </c>
      <c r="I1758" s="69" t="s">
        <v>1352</v>
      </c>
      <c r="J1758" s="69" t="s">
        <v>55</v>
      </c>
      <c r="K1758" s="69" t="s">
        <v>1356</v>
      </c>
      <c r="M1758" s="69" t="s">
        <v>6</v>
      </c>
    </row>
    <row r="1759" spans="2:13">
      <c r="B1759" s="69">
        <v>1757</v>
      </c>
      <c r="C1759" s="69">
        <v>166</v>
      </c>
      <c r="D1759" s="69">
        <v>9</v>
      </c>
      <c r="E1759" s="69">
        <v>5</v>
      </c>
      <c r="F1759" s="69">
        <v>0</v>
      </c>
      <c r="G1759" s="69" t="s">
        <v>1242</v>
      </c>
      <c r="H1759" s="69" t="s">
        <v>9</v>
      </c>
      <c r="I1759" s="69" t="s">
        <v>1352</v>
      </c>
      <c r="J1759" s="69" t="s">
        <v>55</v>
      </c>
      <c r="K1759" s="69" t="s">
        <v>1357</v>
      </c>
      <c r="M1759" s="69" t="s">
        <v>6</v>
      </c>
    </row>
    <row r="1760" spans="2:13">
      <c r="B1760" s="69">
        <v>1758</v>
      </c>
      <c r="C1760" s="69">
        <v>166</v>
      </c>
      <c r="D1760" s="69">
        <v>9</v>
      </c>
      <c r="E1760" s="69">
        <v>6</v>
      </c>
      <c r="F1760" s="69">
        <v>0</v>
      </c>
      <c r="G1760" s="69" t="s">
        <v>1242</v>
      </c>
      <c r="H1760" s="69" t="s">
        <v>9</v>
      </c>
      <c r="I1760" s="69" t="s">
        <v>1352</v>
      </c>
      <c r="J1760" s="69" t="s">
        <v>55</v>
      </c>
      <c r="K1760" s="69" t="s">
        <v>1358</v>
      </c>
      <c r="M1760" s="69" t="s">
        <v>6</v>
      </c>
    </row>
    <row r="1761" spans="2:13">
      <c r="B1761" s="69">
        <v>1759</v>
      </c>
      <c r="C1761" s="69">
        <v>166</v>
      </c>
      <c r="D1761" s="69">
        <v>9</v>
      </c>
      <c r="E1761" s="69">
        <v>7</v>
      </c>
      <c r="F1761" s="69">
        <v>0</v>
      </c>
      <c r="G1761" s="69" t="s">
        <v>1242</v>
      </c>
      <c r="H1761" s="69" t="s">
        <v>9</v>
      </c>
      <c r="I1761" s="69" t="s">
        <v>1352</v>
      </c>
      <c r="J1761" s="69" t="s">
        <v>55</v>
      </c>
      <c r="K1761" s="69" t="s">
        <v>1359</v>
      </c>
      <c r="M1761" s="69" t="s">
        <v>6</v>
      </c>
    </row>
    <row r="1762" spans="2:13">
      <c r="B1762" s="69">
        <v>1760</v>
      </c>
      <c r="C1762" s="69">
        <v>166</v>
      </c>
      <c r="D1762" s="69">
        <v>9</v>
      </c>
      <c r="E1762" s="69">
        <v>8</v>
      </c>
      <c r="F1762" s="69">
        <v>0</v>
      </c>
      <c r="G1762" s="69" t="s">
        <v>1242</v>
      </c>
      <c r="H1762" s="69" t="s">
        <v>9</v>
      </c>
      <c r="I1762" s="69" t="s">
        <v>1352</v>
      </c>
      <c r="J1762" s="69" t="s">
        <v>55</v>
      </c>
      <c r="K1762" s="69" t="s">
        <v>93</v>
      </c>
      <c r="M1762" s="69" t="s">
        <v>6</v>
      </c>
    </row>
    <row r="1763" spans="2:13">
      <c r="B1763" s="69">
        <v>1761</v>
      </c>
      <c r="C1763" s="69">
        <v>166</v>
      </c>
      <c r="D1763" s="69">
        <v>9</v>
      </c>
      <c r="E1763" s="69">
        <v>9</v>
      </c>
      <c r="F1763" s="69">
        <v>0</v>
      </c>
      <c r="G1763" s="69" t="s">
        <v>1242</v>
      </c>
      <c r="H1763" s="69" t="s">
        <v>9</v>
      </c>
      <c r="I1763" s="69" t="s">
        <v>1352</v>
      </c>
      <c r="J1763" s="69" t="s">
        <v>64</v>
      </c>
      <c r="K1763" s="69" t="s">
        <v>94</v>
      </c>
      <c r="M1763" s="69" t="s">
        <v>6</v>
      </c>
    </row>
    <row r="1764" spans="2:13">
      <c r="B1764" s="69">
        <v>1762</v>
      </c>
      <c r="C1764" s="69">
        <v>167</v>
      </c>
      <c r="D1764" s="69">
        <v>13</v>
      </c>
      <c r="E1764" s="69">
        <v>0</v>
      </c>
      <c r="F1764" s="69">
        <v>0</v>
      </c>
      <c r="G1764" s="69" t="s">
        <v>1242</v>
      </c>
      <c r="H1764" s="69" t="s">
        <v>9</v>
      </c>
      <c r="I1764" s="69" t="s">
        <v>1360</v>
      </c>
      <c r="J1764" s="69" t="s">
        <v>54</v>
      </c>
      <c r="K1764" s="69" t="s">
        <v>1360</v>
      </c>
      <c r="M1764" s="69" t="s">
        <v>6</v>
      </c>
    </row>
    <row r="1765" spans="2:13">
      <c r="B1765" s="69">
        <v>1763</v>
      </c>
      <c r="C1765" s="69">
        <v>167</v>
      </c>
      <c r="D1765" s="69">
        <v>13</v>
      </c>
      <c r="E1765" s="69">
        <v>1</v>
      </c>
      <c r="F1765" s="69">
        <v>0</v>
      </c>
      <c r="G1765" s="69" t="s">
        <v>1242</v>
      </c>
      <c r="H1765" s="69" t="s">
        <v>9</v>
      </c>
      <c r="I1765" s="69" t="s">
        <v>1360</v>
      </c>
      <c r="J1765" s="69" t="s">
        <v>55</v>
      </c>
      <c r="K1765" s="69" t="s">
        <v>1361</v>
      </c>
      <c r="M1765" s="69" t="s">
        <v>6</v>
      </c>
    </row>
    <row r="1766" spans="2:13">
      <c r="B1766" s="69">
        <v>1764</v>
      </c>
      <c r="C1766" s="69">
        <v>167</v>
      </c>
      <c r="D1766" s="69">
        <v>13</v>
      </c>
      <c r="E1766" s="69">
        <v>2</v>
      </c>
      <c r="F1766" s="69">
        <v>0</v>
      </c>
      <c r="G1766" s="69" t="s">
        <v>1242</v>
      </c>
      <c r="H1766" s="69" t="s">
        <v>9</v>
      </c>
      <c r="I1766" s="69" t="s">
        <v>1360</v>
      </c>
      <c r="J1766" s="69" t="s">
        <v>55</v>
      </c>
      <c r="K1766" s="69" t="s">
        <v>1362</v>
      </c>
      <c r="M1766" s="69" t="s">
        <v>6</v>
      </c>
    </row>
    <row r="1767" spans="2:13">
      <c r="B1767" s="69">
        <v>1765</v>
      </c>
      <c r="C1767" s="69">
        <v>167</v>
      </c>
      <c r="D1767" s="69">
        <v>13</v>
      </c>
      <c r="E1767" s="69">
        <v>3</v>
      </c>
      <c r="F1767" s="69">
        <v>0</v>
      </c>
      <c r="G1767" s="69" t="s">
        <v>1242</v>
      </c>
      <c r="H1767" s="69" t="s">
        <v>9</v>
      </c>
      <c r="I1767" s="69" t="s">
        <v>1360</v>
      </c>
      <c r="J1767" s="69" t="s">
        <v>55</v>
      </c>
      <c r="K1767" s="69" t="s">
        <v>1363</v>
      </c>
      <c r="M1767" s="69" t="s">
        <v>6</v>
      </c>
    </row>
    <row r="1768" spans="2:13">
      <c r="B1768" s="69">
        <v>1766</v>
      </c>
      <c r="C1768" s="69">
        <v>167</v>
      </c>
      <c r="D1768" s="69">
        <v>13</v>
      </c>
      <c r="E1768" s="69">
        <v>4</v>
      </c>
      <c r="F1768" s="69">
        <v>0</v>
      </c>
      <c r="G1768" s="69" t="s">
        <v>1242</v>
      </c>
      <c r="H1768" s="69" t="s">
        <v>9</v>
      </c>
      <c r="I1768" s="69" t="s">
        <v>1360</v>
      </c>
      <c r="J1768" s="69" t="s">
        <v>55</v>
      </c>
      <c r="K1768" s="69" t="s">
        <v>1364</v>
      </c>
      <c r="M1768" s="69" t="s">
        <v>6</v>
      </c>
    </row>
    <row r="1769" spans="2:13">
      <c r="B1769" s="69">
        <v>1767</v>
      </c>
      <c r="C1769" s="69">
        <v>167</v>
      </c>
      <c r="D1769" s="69">
        <v>13</v>
      </c>
      <c r="E1769" s="69">
        <v>5</v>
      </c>
      <c r="F1769" s="69">
        <v>0</v>
      </c>
      <c r="G1769" s="69" t="s">
        <v>1242</v>
      </c>
      <c r="H1769" s="69" t="s">
        <v>9</v>
      </c>
      <c r="I1769" s="69" t="s">
        <v>1360</v>
      </c>
      <c r="J1769" s="69" t="s">
        <v>55</v>
      </c>
      <c r="K1769" s="69" t="s">
        <v>1365</v>
      </c>
      <c r="M1769" s="69" t="s">
        <v>6</v>
      </c>
    </row>
    <row r="1770" spans="2:13">
      <c r="B1770" s="69">
        <v>1768</v>
      </c>
      <c r="C1770" s="69">
        <v>167</v>
      </c>
      <c r="D1770" s="69">
        <v>13</v>
      </c>
      <c r="E1770" s="69">
        <v>6</v>
      </c>
      <c r="F1770" s="69">
        <v>0</v>
      </c>
      <c r="G1770" s="69" t="s">
        <v>1242</v>
      </c>
      <c r="H1770" s="69" t="s">
        <v>9</v>
      </c>
      <c r="I1770" s="69" t="s">
        <v>1360</v>
      </c>
      <c r="J1770" s="69" t="s">
        <v>55</v>
      </c>
      <c r="K1770" s="69" t="s">
        <v>1366</v>
      </c>
      <c r="M1770" s="69" t="s">
        <v>6</v>
      </c>
    </row>
    <row r="1771" spans="2:13">
      <c r="B1771" s="69">
        <v>1769</v>
      </c>
      <c r="C1771" s="69">
        <v>167</v>
      </c>
      <c r="D1771" s="69">
        <v>13</v>
      </c>
      <c r="E1771" s="69">
        <v>7</v>
      </c>
      <c r="F1771" s="69">
        <v>0</v>
      </c>
      <c r="G1771" s="69" t="s">
        <v>1242</v>
      </c>
      <c r="H1771" s="69" t="s">
        <v>9</v>
      </c>
      <c r="I1771" s="69" t="s">
        <v>1360</v>
      </c>
      <c r="J1771" s="69" t="s">
        <v>55</v>
      </c>
      <c r="K1771" s="69" t="s">
        <v>1367</v>
      </c>
      <c r="M1771" s="69" t="s">
        <v>6</v>
      </c>
    </row>
    <row r="1772" spans="2:13">
      <c r="B1772" s="69">
        <v>1770</v>
      </c>
      <c r="C1772" s="69">
        <v>167</v>
      </c>
      <c r="D1772" s="69">
        <v>13</v>
      </c>
      <c r="E1772" s="69">
        <v>8</v>
      </c>
      <c r="F1772" s="69">
        <v>0</v>
      </c>
      <c r="G1772" s="69" t="s">
        <v>1242</v>
      </c>
      <c r="H1772" s="69" t="s">
        <v>9</v>
      </c>
      <c r="I1772" s="69" t="s">
        <v>1360</v>
      </c>
      <c r="J1772" s="69" t="s">
        <v>55</v>
      </c>
      <c r="K1772" s="69" t="s">
        <v>1368</v>
      </c>
      <c r="M1772" s="69" t="s">
        <v>6</v>
      </c>
    </row>
    <row r="1773" spans="2:13">
      <c r="B1773" s="69">
        <v>1771</v>
      </c>
      <c r="C1773" s="69">
        <v>167</v>
      </c>
      <c r="D1773" s="69">
        <v>13</v>
      </c>
      <c r="E1773" s="69">
        <v>9</v>
      </c>
      <c r="F1773" s="69">
        <v>0</v>
      </c>
      <c r="G1773" s="69" t="s">
        <v>1242</v>
      </c>
      <c r="H1773" s="69" t="s">
        <v>9</v>
      </c>
      <c r="I1773" s="69" t="s">
        <v>1360</v>
      </c>
      <c r="J1773" s="69" t="s">
        <v>55</v>
      </c>
      <c r="K1773" s="69" t="s">
        <v>1369</v>
      </c>
      <c r="M1773" s="69" t="s">
        <v>6</v>
      </c>
    </row>
    <row r="1774" spans="2:13">
      <c r="B1774" s="69">
        <v>1772</v>
      </c>
      <c r="C1774" s="69">
        <v>167</v>
      </c>
      <c r="D1774" s="69">
        <v>13</v>
      </c>
      <c r="E1774" s="69">
        <v>10</v>
      </c>
      <c r="F1774" s="69">
        <v>0</v>
      </c>
      <c r="G1774" s="69" t="s">
        <v>1242</v>
      </c>
      <c r="H1774" s="69" t="s">
        <v>9</v>
      </c>
      <c r="I1774" s="69" t="s">
        <v>1360</v>
      </c>
      <c r="J1774" s="69" t="s">
        <v>55</v>
      </c>
      <c r="K1774" s="69" t="s">
        <v>1370</v>
      </c>
      <c r="M1774" s="69" t="s">
        <v>6</v>
      </c>
    </row>
    <row r="1775" spans="2:13">
      <c r="B1775" s="69">
        <v>1773</v>
      </c>
      <c r="C1775" s="69">
        <v>167</v>
      </c>
      <c r="D1775" s="69">
        <v>13</v>
      </c>
      <c r="E1775" s="69">
        <v>11</v>
      </c>
      <c r="F1775" s="69">
        <v>0</v>
      </c>
      <c r="G1775" s="69" t="s">
        <v>1242</v>
      </c>
      <c r="H1775" s="69" t="s">
        <v>9</v>
      </c>
      <c r="I1775" s="69" t="s">
        <v>1360</v>
      </c>
      <c r="J1775" s="69" t="s">
        <v>55</v>
      </c>
      <c r="K1775" s="69" t="s">
        <v>1371</v>
      </c>
      <c r="M1775" s="69" t="s">
        <v>6</v>
      </c>
    </row>
    <row r="1776" spans="2:13">
      <c r="B1776" s="69">
        <v>1774</v>
      </c>
      <c r="C1776" s="69">
        <v>167</v>
      </c>
      <c r="D1776" s="69">
        <v>13</v>
      </c>
      <c r="E1776" s="69">
        <v>12</v>
      </c>
      <c r="F1776" s="69">
        <v>0</v>
      </c>
      <c r="G1776" s="69" t="s">
        <v>1242</v>
      </c>
      <c r="H1776" s="69" t="s">
        <v>9</v>
      </c>
      <c r="I1776" s="69" t="s">
        <v>1360</v>
      </c>
      <c r="J1776" s="69" t="s">
        <v>55</v>
      </c>
      <c r="K1776" s="69" t="s">
        <v>93</v>
      </c>
      <c r="M1776" s="69" t="s">
        <v>6</v>
      </c>
    </row>
    <row r="1777" spans="2:13">
      <c r="B1777" s="69">
        <v>1775</v>
      </c>
      <c r="C1777" s="69">
        <v>167</v>
      </c>
      <c r="D1777" s="69">
        <v>13</v>
      </c>
      <c r="E1777" s="69">
        <v>13</v>
      </c>
      <c r="F1777" s="69">
        <v>0</v>
      </c>
      <c r="G1777" s="69" t="s">
        <v>1242</v>
      </c>
      <c r="H1777" s="69" t="s">
        <v>9</v>
      </c>
      <c r="I1777" s="69" t="s">
        <v>1360</v>
      </c>
      <c r="J1777" s="69" t="s">
        <v>64</v>
      </c>
      <c r="K1777" s="69" t="s">
        <v>94</v>
      </c>
      <c r="M1777" s="69" t="s">
        <v>6</v>
      </c>
    </row>
    <row r="1778" spans="2:13">
      <c r="B1778" s="69">
        <v>1776</v>
      </c>
      <c r="C1778" s="69">
        <v>168</v>
      </c>
      <c r="D1778" s="69">
        <v>10</v>
      </c>
      <c r="E1778" s="69">
        <v>0</v>
      </c>
      <c r="F1778" s="69">
        <v>0</v>
      </c>
      <c r="G1778" s="69" t="s">
        <v>1242</v>
      </c>
      <c r="H1778" s="69" t="s">
        <v>9</v>
      </c>
      <c r="I1778" s="69" t="s">
        <v>1372</v>
      </c>
      <c r="J1778" s="69" t="s">
        <v>54</v>
      </c>
      <c r="K1778" s="69" t="s">
        <v>1372</v>
      </c>
      <c r="M1778" s="69" t="s">
        <v>6</v>
      </c>
    </row>
    <row r="1779" spans="2:13">
      <c r="B1779" s="69">
        <v>1777</v>
      </c>
      <c r="C1779" s="69">
        <v>168</v>
      </c>
      <c r="D1779" s="69">
        <v>10</v>
      </c>
      <c r="E1779" s="69">
        <v>1</v>
      </c>
      <c r="F1779" s="69">
        <v>0</v>
      </c>
      <c r="G1779" s="69" t="s">
        <v>1242</v>
      </c>
      <c r="H1779" s="69" t="s">
        <v>9</v>
      </c>
      <c r="I1779" s="69" t="s">
        <v>1372</v>
      </c>
      <c r="J1779" s="69" t="s">
        <v>55</v>
      </c>
      <c r="K1779" s="69" t="s">
        <v>1373</v>
      </c>
      <c r="M1779" s="69" t="s">
        <v>6</v>
      </c>
    </row>
    <row r="1780" spans="2:13">
      <c r="B1780" s="69">
        <v>1778</v>
      </c>
      <c r="C1780" s="69">
        <v>168</v>
      </c>
      <c r="D1780" s="69">
        <v>10</v>
      </c>
      <c r="E1780" s="69">
        <v>2</v>
      </c>
      <c r="F1780" s="69">
        <v>0</v>
      </c>
      <c r="G1780" s="69" t="s">
        <v>1242</v>
      </c>
      <c r="H1780" s="69" t="s">
        <v>9</v>
      </c>
      <c r="I1780" s="69" t="s">
        <v>1372</v>
      </c>
      <c r="J1780" s="69" t="s">
        <v>55</v>
      </c>
      <c r="K1780" s="69" t="s">
        <v>1374</v>
      </c>
      <c r="M1780" s="69" t="s">
        <v>6</v>
      </c>
    </row>
    <row r="1781" spans="2:13">
      <c r="B1781" s="69">
        <v>1779</v>
      </c>
      <c r="C1781" s="69">
        <v>168</v>
      </c>
      <c r="D1781" s="69">
        <v>10</v>
      </c>
      <c r="E1781" s="69">
        <v>3</v>
      </c>
      <c r="F1781" s="69">
        <v>0</v>
      </c>
      <c r="G1781" s="69" t="s">
        <v>1242</v>
      </c>
      <c r="H1781" s="69" t="s">
        <v>9</v>
      </c>
      <c r="I1781" s="69" t="s">
        <v>1372</v>
      </c>
      <c r="J1781" s="69" t="s">
        <v>55</v>
      </c>
      <c r="K1781" s="69" t="s">
        <v>1375</v>
      </c>
      <c r="M1781" s="69" t="s">
        <v>6</v>
      </c>
    </row>
    <row r="1782" spans="2:13">
      <c r="B1782" s="69">
        <v>1780</v>
      </c>
      <c r="C1782" s="69">
        <v>168</v>
      </c>
      <c r="D1782" s="69">
        <v>10</v>
      </c>
      <c r="E1782" s="69">
        <v>4</v>
      </c>
      <c r="F1782" s="69">
        <v>0</v>
      </c>
      <c r="G1782" s="69" t="s">
        <v>1242</v>
      </c>
      <c r="H1782" s="69" t="s">
        <v>9</v>
      </c>
      <c r="I1782" s="69" t="s">
        <v>1372</v>
      </c>
      <c r="J1782" s="69" t="s">
        <v>55</v>
      </c>
      <c r="K1782" s="69" t="s">
        <v>1376</v>
      </c>
      <c r="M1782" s="69" t="s">
        <v>6</v>
      </c>
    </row>
    <row r="1783" spans="2:13">
      <c r="B1783" s="69">
        <v>1781</v>
      </c>
      <c r="C1783" s="69">
        <v>168</v>
      </c>
      <c r="D1783" s="69">
        <v>10</v>
      </c>
      <c r="E1783" s="69">
        <v>5</v>
      </c>
      <c r="F1783" s="69">
        <v>0</v>
      </c>
      <c r="G1783" s="69" t="s">
        <v>1242</v>
      </c>
      <c r="H1783" s="69" t="s">
        <v>9</v>
      </c>
      <c r="I1783" s="69" t="s">
        <v>1372</v>
      </c>
      <c r="J1783" s="69" t="s">
        <v>55</v>
      </c>
      <c r="K1783" s="69" t="s">
        <v>1377</v>
      </c>
      <c r="M1783" s="69" t="s">
        <v>6</v>
      </c>
    </row>
    <row r="1784" spans="2:13">
      <c r="B1784" s="69">
        <v>1782</v>
      </c>
      <c r="C1784" s="69">
        <v>168</v>
      </c>
      <c r="D1784" s="69">
        <v>10</v>
      </c>
      <c r="E1784" s="69">
        <v>6</v>
      </c>
      <c r="F1784" s="69">
        <v>0</v>
      </c>
      <c r="G1784" s="69" t="s">
        <v>1242</v>
      </c>
      <c r="H1784" s="69" t="s">
        <v>9</v>
      </c>
      <c r="I1784" s="69" t="s">
        <v>1372</v>
      </c>
      <c r="J1784" s="69" t="s">
        <v>55</v>
      </c>
      <c r="K1784" s="69" t="s">
        <v>1378</v>
      </c>
      <c r="M1784" s="69" t="s">
        <v>6</v>
      </c>
    </row>
    <row r="1785" spans="2:13">
      <c r="B1785" s="69">
        <v>1783</v>
      </c>
      <c r="C1785" s="69">
        <v>168</v>
      </c>
      <c r="D1785" s="69">
        <v>10</v>
      </c>
      <c r="E1785" s="69">
        <v>7</v>
      </c>
      <c r="F1785" s="69">
        <v>0</v>
      </c>
      <c r="G1785" s="69" t="s">
        <v>1242</v>
      </c>
      <c r="H1785" s="69" t="s">
        <v>9</v>
      </c>
      <c r="I1785" s="69" t="s">
        <v>1372</v>
      </c>
      <c r="J1785" s="69" t="s">
        <v>55</v>
      </c>
      <c r="K1785" s="69" t="s">
        <v>1379</v>
      </c>
      <c r="M1785" s="69" t="s">
        <v>6</v>
      </c>
    </row>
    <row r="1786" spans="2:13">
      <c r="B1786" s="69">
        <v>1784</v>
      </c>
      <c r="C1786" s="69">
        <v>168</v>
      </c>
      <c r="D1786" s="69">
        <v>10</v>
      </c>
      <c r="E1786" s="69">
        <v>8</v>
      </c>
      <c r="F1786" s="69">
        <v>0</v>
      </c>
      <c r="G1786" s="69" t="s">
        <v>1242</v>
      </c>
      <c r="H1786" s="69" t="s">
        <v>9</v>
      </c>
      <c r="I1786" s="69" t="s">
        <v>1372</v>
      </c>
      <c r="J1786" s="69" t="s">
        <v>55</v>
      </c>
      <c r="K1786" s="69" t="s">
        <v>1246</v>
      </c>
      <c r="M1786" s="69" t="s">
        <v>6</v>
      </c>
    </row>
    <row r="1787" spans="2:13">
      <c r="B1787" s="69">
        <v>1785</v>
      </c>
      <c r="C1787" s="69">
        <v>168</v>
      </c>
      <c r="D1787" s="69">
        <v>10</v>
      </c>
      <c r="E1787" s="69">
        <v>9</v>
      </c>
      <c r="F1787" s="69">
        <v>0</v>
      </c>
      <c r="G1787" s="69" t="s">
        <v>1242</v>
      </c>
      <c r="H1787" s="69" t="s">
        <v>9</v>
      </c>
      <c r="I1787" s="69" t="s">
        <v>1372</v>
      </c>
      <c r="J1787" s="69" t="s">
        <v>55</v>
      </c>
      <c r="K1787" s="69" t="s">
        <v>93</v>
      </c>
      <c r="M1787" s="69" t="s">
        <v>6</v>
      </c>
    </row>
    <row r="1788" spans="2:13">
      <c r="B1788" s="69">
        <v>1786</v>
      </c>
      <c r="C1788" s="69">
        <v>168</v>
      </c>
      <c r="D1788" s="69">
        <v>10</v>
      </c>
      <c r="E1788" s="69">
        <v>10</v>
      </c>
      <c r="F1788" s="69">
        <v>0</v>
      </c>
      <c r="G1788" s="69" t="s">
        <v>1242</v>
      </c>
      <c r="H1788" s="69" t="s">
        <v>9</v>
      </c>
      <c r="I1788" s="69" t="s">
        <v>1372</v>
      </c>
      <c r="J1788" s="69" t="s">
        <v>64</v>
      </c>
      <c r="K1788" s="69" t="s">
        <v>94</v>
      </c>
      <c r="M1788" s="69" t="s">
        <v>6</v>
      </c>
    </row>
    <row r="1789" spans="2:13">
      <c r="B1789" s="69">
        <v>1787</v>
      </c>
      <c r="C1789" s="69">
        <v>169</v>
      </c>
      <c r="D1789" s="69">
        <v>18</v>
      </c>
      <c r="E1789" s="69">
        <v>0</v>
      </c>
      <c r="F1789" s="69">
        <v>0</v>
      </c>
      <c r="G1789" s="69" t="s">
        <v>1242</v>
      </c>
      <c r="H1789" s="69" t="s">
        <v>9</v>
      </c>
      <c r="I1789" s="69" t="s">
        <v>1380</v>
      </c>
      <c r="J1789" s="69" t="s">
        <v>478</v>
      </c>
      <c r="K1789" s="69" t="s">
        <v>1380</v>
      </c>
      <c r="M1789" s="69" t="s">
        <v>6</v>
      </c>
    </row>
    <row r="1790" spans="2:13">
      <c r="B1790" s="69">
        <v>1788</v>
      </c>
      <c r="C1790" s="69">
        <v>169</v>
      </c>
      <c r="D1790" s="69">
        <v>18</v>
      </c>
      <c r="E1790" s="69">
        <v>1</v>
      </c>
      <c r="F1790" s="69">
        <v>0</v>
      </c>
      <c r="G1790" s="69" t="s">
        <v>1242</v>
      </c>
      <c r="H1790" s="69" t="s">
        <v>9</v>
      </c>
      <c r="I1790" s="69" t="s">
        <v>1380</v>
      </c>
      <c r="J1790" s="69" t="s">
        <v>479</v>
      </c>
      <c r="K1790" s="69" t="s">
        <v>1381</v>
      </c>
      <c r="M1790" s="69" t="s">
        <v>6</v>
      </c>
    </row>
    <row r="1791" spans="2:13">
      <c r="B1791" s="69">
        <v>1789</v>
      </c>
      <c r="C1791" s="69">
        <v>169</v>
      </c>
      <c r="D1791" s="69">
        <v>18</v>
      </c>
      <c r="E1791" s="69">
        <v>2</v>
      </c>
      <c r="F1791" s="69">
        <v>0</v>
      </c>
      <c r="G1791" s="69" t="s">
        <v>1242</v>
      </c>
      <c r="H1791" s="69" t="s">
        <v>9</v>
      </c>
      <c r="I1791" s="69" t="s">
        <v>1380</v>
      </c>
      <c r="J1791" s="69" t="s">
        <v>55</v>
      </c>
      <c r="K1791" s="69" t="s">
        <v>1382</v>
      </c>
      <c r="M1791" s="69" t="s">
        <v>6</v>
      </c>
    </row>
    <row r="1792" spans="2:13">
      <c r="B1792" s="69">
        <v>1790</v>
      </c>
      <c r="C1792" s="69">
        <v>169</v>
      </c>
      <c r="D1792" s="69">
        <v>18</v>
      </c>
      <c r="E1792" s="69">
        <v>3</v>
      </c>
      <c r="F1792" s="69">
        <v>0</v>
      </c>
      <c r="G1792" s="69" t="s">
        <v>1242</v>
      </c>
      <c r="H1792" s="69" t="s">
        <v>9</v>
      </c>
      <c r="I1792" s="69" t="s">
        <v>1380</v>
      </c>
      <c r="J1792" s="69" t="s">
        <v>214</v>
      </c>
      <c r="K1792" s="69" t="s">
        <v>853</v>
      </c>
      <c r="M1792" s="69" t="s">
        <v>6</v>
      </c>
    </row>
    <row r="1793" spans="2:13">
      <c r="B1793" s="69">
        <v>1791</v>
      </c>
      <c r="C1793" s="69">
        <v>169</v>
      </c>
      <c r="D1793" s="69">
        <v>18</v>
      </c>
      <c r="E1793" s="69">
        <v>4</v>
      </c>
      <c r="F1793" s="69">
        <v>0</v>
      </c>
      <c r="G1793" s="69" t="s">
        <v>1242</v>
      </c>
      <c r="H1793" s="69" t="s">
        <v>9</v>
      </c>
      <c r="I1793" s="69" t="s">
        <v>1380</v>
      </c>
      <c r="J1793" s="69" t="s">
        <v>55</v>
      </c>
      <c r="K1793" s="69" t="s">
        <v>854</v>
      </c>
      <c r="M1793" s="69" t="s">
        <v>6</v>
      </c>
    </row>
    <row r="1794" spans="2:13">
      <c r="B1794" s="69">
        <v>1792</v>
      </c>
      <c r="C1794" s="69">
        <v>169</v>
      </c>
      <c r="D1794" s="69">
        <v>18</v>
      </c>
      <c r="E1794" s="69">
        <v>5</v>
      </c>
      <c r="F1794" s="69">
        <v>0</v>
      </c>
      <c r="G1794" s="69" t="s">
        <v>1242</v>
      </c>
      <c r="H1794" s="69" t="s">
        <v>9</v>
      </c>
      <c r="I1794" s="69" t="s">
        <v>1380</v>
      </c>
      <c r="J1794" s="69" t="s">
        <v>479</v>
      </c>
      <c r="K1794" s="69" t="s">
        <v>1383</v>
      </c>
      <c r="M1794" s="69" t="s">
        <v>6</v>
      </c>
    </row>
    <row r="1795" spans="2:13">
      <c r="B1795" s="69">
        <v>1793</v>
      </c>
      <c r="C1795" s="69">
        <v>169</v>
      </c>
      <c r="D1795" s="69">
        <v>18</v>
      </c>
      <c r="E1795" s="69">
        <v>6</v>
      </c>
      <c r="F1795" s="69">
        <v>0</v>
      </c>
      <c r="G1795" s="69" t="s">
        <v>1242</v>
      </c>
      <c r="H1795" s="69" t="s">
        <v>9</v>
      </c>
      <c r="I1795" s="69" t="s">
        <v>1380</v>
      </c>
      <c r="J1795" s="69" t="s">
        <v>55</v>
      </c>
      <c r="K1795" s="69" t="s">
        <v>1384</v>
      </c>
      <c r="M1795" s="69" t="s">
        <v>6</v>
      </c>
    </row>
    <row r="1796" spans="2:13">
      <c r="B1796" s="69">
        <v>1794</v>
      </c>
      <c r="C1796" s="69">
        <v>169</v>
      </c>
      <c r="D1796" s="69">
        <v>18</v>
      </c>
      <c r="E1796" s="69">
        <v>7</v>
      </c>
      <c r="F1796" s="69">
        <v>0</v>
      </c>
      <c r="G1796" s="69" t="s">
        <v>1242</v>
      </c>
      <c r="H1796" s="69" t="s">
        <v>9</v>
      </c>
      <c r="I1796" s="69" t="s">
        <v>1380</v>
      </c>
      <c r="J1796" s="69" t="s">
        <v>55</v>
      </c>
      <c r="K1796" s="69" t="s">
        <v>1385</v>
      </c>
      <c r="M1796" s="69" t="s">
        <v>6</v>
      </c>
    </row>
    <row r="1797" spans="2:13">
      <c r="B1797" s="69">
        <v>1795</v>
      </c>
      <c r="C1797" s="69">
        <v>169</v>
      </c>
      <c r="D1797" s="69">
        <v>18</v>
      </c>
      <c r="E1797" s="69">
        <v>8</v>
      </c>
      <c r="F1797" s="69">
        <v>0</v>
      </c>
      <c r="G1797" s="69" t="s">
        <v>1242</v>
      </c>
      <c r="H1797" s="69" t="s">
        <v>9</v>
      </c>
      <c r="I1797" s="69" t="s">
        <v>1380</v>
      </c>
      <c r="J1797" s="69" t="s">
        <v>55</v>
      </c>
      <c r="K1797" s="69" t="s">
        <v>1386</v>
      </c>
      <c r="M1797" s="69" t="s">
        <v>6</v>
      </c>
    </row>
    <row r="1798" spans="2:13">
      <c r="B1798" s="69">
        <v>1796</v>
      </c>
      <c r="C1798" s="69">
        <v>169</v>
      </c>
      <c r="D1798" s="69">
        <v>18</v>
      </c>
      <c r="E1798" s="69">
        <v>9</v>
      </c>
      <c r="F1798" s="69">
        <v>0</v>
      </c>
      <c r="G1798" s="69" t="s">
        <v>1242</v>
      </c>
      <c r="H1798" s="69" t="s">
        <v>9</v>
      </c>
      <c r="I1798" s="69" t="s">
        <v>1380</v>
      </c>
      <c r="J1798" s="69" t="s">
        <v>55</v>
      </c>
      <c r="K1798" s="69" t="s">
        <v>1387</v>
      </c>
      <c r="M1798" s="69" t="s">
        <v>6</v>
      </c>
    </row>
    <row r="1799" spans="2:13">
      <c r="B1799" s="69">
        <v>1797</v>
      </c>
      <c r="C1799" s="69">
        <v>169</v>
      </c>
      <c r="D1799" s="69">
        <v>18</v>
      </c>
      <c r="E1799" s="69">
        <v>10</v>
      </c>
      <c r="F1799" s="69">
        <v>0</v>
      </c>
      <c r="G1799" s="69" t="s">
        <v>1242</v>
      </c>
      <c r="H1799" s="69" t="s">
        <v>9</v>
      </c>
      <c r="I1799" s="69" t="s">
        <v>1380</v>
      </c>
      <c r="J1799" s="69" t="s">
        <v>55</v>
      </c>
      <c r="K1799" s="69" t="s">
        <v>1388</v>
      </c>
      <c r="M1799" s="69" t="s">
        <v>6</v>
      </c>
    </row>
    <row r="1800" spans="2:13">
      <c r="B1800" s="69">
        <v>1798</v>
      </c>
      <c r="C1800" s="69">
        <v>169</v>
      </c>
      <c r="D1800" s="69">
        <v>18</v>
      </c>
      <c r="E1800" s="69">
        <v>11</v>
      </c>
      <c r="F1800" s="69">
        <v>0</v>
      </c>
      <c r="G1800" s="69" t="s">
        <v>1242</v>
      </c>
      <c r="H1800" s="69" t="s">
        <v>9</v>
      </c>
      <c r="I1800" s="69" t="s">
        <v>1380</v>
      </c>
      <c r="J1800" s="69" t="s">
        <v>55</v>
      </c>
      <c r="K1800" s="69" t="s">
        <v>1389</v>
      </c>
      <c r="M1800" s="69" t="s">
        <v>6</v>
      </c>
    </row>
    <row r="1801" spans="2:13">
      <c r="B1801" s="69">
        <v>1799</v>
      </c>
      <c r="C1801" s="69">
        <v>169</v>
      </c>
      <c r="D1801" s="69">
        <v>18</v>
      </c>
      <c r="E1801" s="69">
        <v>12</v>
      </c>
      <c r="F1801" s="69">
        <v>0</v>
      </c>
      <c r="G1801" s="69" t="s">
        <v>1242</v>
      </c>
      <c r="H1801" s="69" t="s">
        <v>9</v>
      </c>
      <c r="I1801" s="69" t="s">
        <v>1380</v>
      </c>
      <c r="J1801" s="69" t="s">
        <v>1390</v>
      </c>
      <c r="K1801" s="69" t="s">
        <v>1391</v>
      </c>
      <c r="M1801" s="69" t="s">
        <v>6</v>
      </c>
    </row>
    <row r="1802" spans="2:13">
      <c r="B1802" s="69">
        <v>1800</v>
      </c>
      <c r="C1802" s="69">
        <v>169</v>
      </c>
      <c r="D1802" s="69">
        <v>18</v>
      </c>
      <c r="E1802" s="69">
        <v>13</v>
      </c>
      <c r="F1802" s="69">
        <v>0</v>
      </c>
      <c r="G1802" s="69" t="s">
        <v>1242</v>
      </c>
      <c r="H1802" s="69" t="s">
        <v>9</v>
      </c>
      <c r="I1802" s="69" t="s">
        <v>1380</v>
      </c>
      <c r="J1802" s="69" t="s">
        <v>55</v>
      </c>
      <c r="K1802" s="69" t="s">
        <v>1392</v>
      </c>
      <c r="M1802" s="69" t="s">
        <v>6</v>
      </c>
    </row>
    <row r="1803" spans="2:13">
      <c r="B1803" s="69">
        <v>1801</v>
      </c>
      <c r="C1803" s="69">
        <v>169</v>
      </c>
      <c r="D1803" s="69">
        <v>18</v>
      </c>
      <c r="E1803" s="69">
        <v>14</v>
      </c>
      <c r="F1803" s="69">
        <v>0</v>
      </c>
      <c r="G1803" s="69" t="s">
        <v>1242</v>
      </c>
      <c r="H1803" s="69" t="s">
        <v>9</v>
      </c>
      <c r="I1803" s="69" t="s">
        <v>1380</v>
      </c>
      <c r="J1803" s="69" t="s">
        <v>55</v>
      </c>
      <c r="K1803" s="69" t="s">
        <v>1393</v>
      </c>
      <c r="M1803" s="69" t="s">
        <v>6</v>
      </c>
    </row>
    <row r="1804" spans="2:13">
      <c r="B1804" s="69">
        <v>1802</v>
      </c>
      <c r="C1804" s="69">
        <v>169</v>
      </c>
      <c r="D1804" s="69">
        <v>18</v>
      </c>
      <c r="E1804" s="69">
        <v>15</v>
      </c>
      <c r="F1804" s="69">
        <v>0</v>
      </c>
      <c r="G1804" s="69" t="s">
        <v>1242</v>
      </c>
      <c r="H1804" s="69" t="s">
        <v>9</v>
      </c>
      <c r="I1804" s="69" t="s">
        <v>1380</v>
      </c>
      <c r="J1804" s="69" t="s">
        <v>55</v>
      </c>
      <c r="K1804" s="69" t="s">
        <v>1394</v>
      </c>
      <c r="M1804" s="69" t="s">
        <v>6</v>
      </c>
    </row>
    <row r="1805" spans="2:13">
      <c r="B1805" s="69">
        <v>1803</v>
      </c>
      <c r="C1805" s="69">
        <v>169</v>
      </c>
      <c r="D1805" s="69">
        <v>18</v>
      </c>
      <c r="E1805" s="69">
        <v>16</v>
      </c>
      <c r="F1805" s="69">
        <v>0</v>
      </c>
      <c r="G1805" s="69" t="s">
        <v>1242</v>
      </c>
      <c r="H1805" s="69" t="s">
        <v>9</v>
      </c>
      <c r="I1805" s="69" t="s">
        <v>1380</v>
      </c>
      <c r="J1805" s="69" t="s">
        <v>64</v>
      </c>
      <c r="K1805" s="69" t="s">
        <v>772</v>
      </c>
      <c r="M1805" s="69" t="s">
        <v>6</v>
      </c>
    </row>
    <row r="1806" spans="2:13">
      <c r="B1806" s="69">
        <v>1804</v>
      </c>
      <c r="C1806" s="69">
        <v>169</v>
      </c>
      <c r="D1806" s="69">
        <v>18</v>
      </c>
      <c r="E1806" s="69">
        <v>17</v>
      </c>
      <c r="F1806" s="69">
        <v>0</v>
      </c>
      <c r="G1806" s="69" t="s">
        <v>1242</v>
      </c>
      <c r="H1806" s="69" t="s">
        <v>9</v>
      </c>
      <c r="I1806" s="69" t="s">
        <v>1380</v>
      </c>
      <c r="J1806" s="69" t="s">
        <v>55</v>
      </c>
      <c r="K1806" s="69" t="s">
        <v>93</v>
      </c>
      <c r="M1806" s="69" t="s">
        <v>6</v>
      </c>
    </row>
    <row r="1807" spans="2:13">
      <c r="B1807" s="69">
        <v>1805</v>
      </c>
      <c r="C1807" s="69">
        <v>169</v>
      </c>
      <c r="D1807" s="69">
        <v>18</v>
      </c>
      <c r="E1807" s="69">
        <v>18</v>
      </c>
      <c r="F1807" s="69">
        <v>0</v>
      </c>
      <c r="G1807" s="69" t="s">
        <v>1242</v>
      </c>
      <c r="H1807" s="69" t="s">
        <v>9</v>
      </c>
      <c r="I1807" s="69" t="s">
        <v>1380</v>
      </c>
      <c r="J1807" s="69" t="s">
        <v>64</v>
      </c>
      <c r="K1807" s="69" t="s">
        <v>94</v>
      </c>
      <c r="M1807" s="69" t="s">
        <v>6</v>
      </c>
    </row>
    <row r="1808" spans="2:13">
      <c r="B1808" s="69">
        <v>1806</v>
      </c>
      <c r="C1808" s="69">
        <v>170</v>
      </c>
      <c r="D1808" s="69">
        <v>4</v>
      </c>
      <c r="E1808" s="69">
        <v>0</v>
      </c>
      <c r="F1808" s="69">
        <v>0</v>
      </c>
      <c r="G1808" s="69" t="s">
        <v>32</v>
      </c>
      <c r="H1808" s="69" t="s">
        <v>52</v>
      </c>
      <c r="I1808" s="69" t="s">
        <v>1395</v>
      </c>
      <c r="J1808" s="69" t="s">
        <v>54</v>
      </c>
      <c r="K1808" s="69" t="s">
        <v>1395</v>
      </c>
      <c r="M1808" s="69" t="s">
        <v>6</v>
      </c>
    </row>
    <row r="1809" spans="2:13">
      <c r="B1809" s="69">
        <v>1807</v>
      </c>
      <c r="C1809" s="69">
        <v>170</v>
      </c>
      <c r="D1809" s="69">
        <v>4</v>
      </c>
      <c r="E1809" s="69">
        <v>1</v>
      </c>
      <c r="F1809" s="69">
        <v>0</v>
      </c>
      <c r="G1809" s="69" t="s">
        <v>32</v>
      </c>
      <c r="H1809" s="69" t="s">
        <v>52</v>
      </c>
      <c r="I1809" s="69" t="s">
        <v>1395</v>
      </c>
      <c r="J1809" s="69" t="s">
        <v>55</v>
      </c>
      <c r="K1809" s="69" t="s">
        <v>62</v>
      </c>
      <c r="M1809" s="69" t="s">
        <v>6</v>
      </c>
    </row>
    <row r="1810" spans="2:13">
      <c r="B1810" s="69">
        <v>1808</v>
      </c>
      <c r="C1810" s="69">
        <v>170</v>
      </c>
      <c r="D1810" s="69">
        <v>4</v>
      </c>
      <c r="E1810" s="69">
        <v>2</v>
      </c>
      <c r="F1810" s="69">
        <v>0</v>
      </c>
      <c r="G1810" s="69" t="s">
        <v>32</v>
      </c>
      <c r="H1810" s="69" t="s">
        <v>52</v>
      </c>
      <c r="I1810" s="69" t="s">
        <v>1395</v>
      </c>
      <c r="J1810" s="69" t="s">
        <v>55</v>
      </c>
      <c r="K1810" s="69" t="s">
        <v>63</v>
      </c>
      <c r="M1810" s="69" t="s">
        <v>6</v>
      </c>
    </row>
    <row r="1811" spans="2:13">
      <c r="B1811" s="69">
        <v>1809</v>
      </c>
      <c r="C1811" s="69">
        <v>170</v>
      </c>
      <c r="D1811" s="69">
        <v>4</v>
      </c>
      <c r="E1811" s="69">
        <v>3</v>
      </c>
      <c r="F1811" s="69">
        <v>0</v>
      </c>
      <c r="G1811" s="69" t="s">
        <v>32</v>
      </c>
      <c r="H1811" s="69" t="s">
        <v>52</v>
      </c>
      <c r="I1811" s="69" t="s">
        <v>1395</v>
      </c>
      <c r="J1811" s="69" t="s">
        <v>64</v>
      </c>
      <c r="K1811" s="69" t="s">
        <v>65</v>
      </c>
      <c r="M1811" s="69" t="s">
        <v>6</v>
      </c>
    </row>
    <row r="1812" spans="2:13">
      <c r="B1812" s="69">
        <v>1810</v>
      </c>
      <c r="C1812" s="69">
        <v>170</v>
      </c>
      <c r="D1812" s="69">
        <v>4</v>
      </c>
      <c r="E1812" s="69">
        <v>4</v>
      </c>
      <c r="F1812" s="69">
        <v>0</v>
      </c>
      <c r="G1812" s="69" t="s">
        <v>32</v>
      </c>
      <c r="H1812" s="69" t="s">
        <v>52</v>
      </c>
      <c r="I1812" s="69" t="s">
        <v>1395</v>
      </c>
      <c r="J1812" s="69" t="s">
        <v>55</v>
      </c>
      <c r="K1812" s="69" t="s">
        <v>660</v>
      </c>
      <c r="M1812" s="69" t="s">
        <v>6</v>
      </c>
    </row>
    <row r="1813" spans="2:13">
      <c r="B1813" s="69">
        <v>1811</v>
      </c>
      <c r="C1813" s="69">
        <v>171</v>
      </c>
      <c r="D1813" s="69">
        <v>27</v>
      </c>
      <c r="E1813" s="69">
        <v>0</v>
      </c>
      <c r="F1813" s="69">
        <v>0</v>
      </c>
      <c r="G1813" s="69" t="s">
        <v>32</v>
      </c>
      <c r="H1813" s="69" t="s">
        <v>9</v>
      </c>
      <c r="I1813" s="69" t="s">
        <v>1396</v>
      </c>
      <c r="J1813" s="69" t="s">
        <v>478</v>
      </c>
      <c r="K1813" s="69" t="s">
        <v>1396</v>
      </c>
      <c r="M1813" s="69" t="s">
        <v>6</v>
      </c>
    </row>
    <row r="1814" spans="2:13">
      <c r="B1814" s="69">
        <v>1812</v>
      </c>
      <c r="C1814" s="69">
        <v>171</v>
      </c>
      <c r="D1814" s="69">
        <v>27</v>
      </c>
      <c r="E1814" s="69">
        <v>1</v>
      </c>
      <c r="F1814" s="69">
        <v>0</v>
      </c>
      <c r="G1814" s="69" t="s">
        <v>32</v>
      </c>
      <c r="H1814" s="69" t="s">
        <v>9</v>
      </c>
      <c r="I1814" s="69" t="s">
        <v>1396</v>
      </c>
      <c r="J1814" s="69" t="s">
        <v>479</v>
      </c>
      <c r="K1814" s="69" t="s">
        <v>1397</v>
      </c>
      <c r="M1814" s="69" t="s">
        <v>6</v>
      </c>
    </row>
    <row r="1815" spans="2:13">
      <c r="B1815" s="69">
        <v>1813</v>
      </c>
      <c r="C1815" s="69">
        <v>171</v>
      </c>
      <c r="D1815" s="69">
        <v>27</v>
      </c>
      <c r="E1815" s="69">
        <v>2</v>
      </c>
      <c r="F1815" s="69">
        <v>0</v>
      </c>
      <c r="G1815" s="69" t="s">
        <v>32</v>
      </c>
      <c r="H1815" s="69" t="s">
        <v>9</v>
      </c>
      <c r="I1815" s="69" t="s">
        <v>1396</v>
      </c>
      <c r="J1815" s="69" t="s">
        <v>55</v>
      </c>
      <c r="K1815" s="69" t="s">
        <v>1398</v>
      </c>
      <c r="M1815" s="69" t="s">
        <v>6</v>
      </c>
    </row>
    <row r="1816" spans="2:13">
      <c r="B1816" s="69">
        <v>1814</v>
      </c>
      <c r="C1816" s="69">
        <v>171</v>
      </c>
      <c r="D1816" s="69">
        <v>27</v>
      </c>
      <c r="E1816" s="69">
        <v>3</v>
      </c>
      <c r="F1816" s="69">
        <v>0</v>
      </c>
      <c r="G1816" s="69" t="s">
        <v>32</v>
      </c>
      <c r="H1816" s="69" t="s">
        <v>9</v>
      </c>
      <c r="I1816" s="69" t="s">
        <v>1396</v>
      </c>
      <c r="J1816" s="69" t="s">
        <v>55</v>
      </c>
      <c r="K1816" s="69" t="s">
        <v>1399</v>
      </c>
      <c r="M1816" s="69" t="s">
        <v>6</v>
      </c>
    </row>
    <row r="1817" spans="2:13">
      <c r="B1817" s="69">
        <v>1815</v>
      </c>
      <c r="C1817" s="69">
        <v>171</v>
      </c>
      <c r="D1817" s="69">
        <v>27</v>
      </c>
      <c r="E1817" s="69">
        <v>4</v>
      </c>
      <c r="F1817" s="69">
        <v>0</v>
      </c>
      <c r="G1817" s="69" t="s">
        <v>32</v>
      </c>
      <c r="H1817" s="69" t="s">
        <v>9</v>
      </c>
      <c r="I1817" s="69" t="s">
        <v>1396</v>
      </c>
      <c r="J1817" s="69" t="s">
        <v>55</v>
      </c>
      <c r="K1817" s="69" t="s">
        <v>1400</v>
      </c>
      <c r="M1817" s="69" t="s">
        <v>6</v>
      </c>
    </row>
    <row r="1818" spans="2:13">
      <c r="B1818" s="69">
        <v>1816</v>
      </c>
      <c r="C1818" s="69">
        <v>171</v>
      </c>
      <c r="D1818" s="69">
        <v>27</v>
      </c>
      <c r="E1818" s="69">
        <v>5</v>
      </c>
      <c r="F1818" s="69">
        <v>0</v>
      </c>
      <c r="G1818" s="69" t="s">
        <v>32</v>
      </c>
      <c r="H1818" s="69" t="s">
        <v>9</v>
      </c>
      <c r="I1818" s="69" t="s">
        <v>1396</v>
      </c>
      <c r="J1818" s="69" t="s">
        <v>55</v>
      </c>
      <c r="K1818" s="69" t="s">
        <v>1401</v>
      </c>
      <c r="M1818" s="69" t="s">
        <v>6</v>
      </c>
    </row>
    <row r="1819" spans="2:13">
      <c r="B1819" s="69">
        <v>1817</v>
      </c>
      <c r="C1819" s="69">
        <v>171</v>
      </c>
      <c r="D1819" s="69">
        <v>27</v>
      </c>
      <c r="E1819" s="69">
        <v>6</v>
      </c>
      <c r="F1819" s="69">
        <v>0</v>
      </c>
      <c r="G1819" s="69" t="s">
        <v>32</v>
      </c>
      <c r="H1819" s="69" t="s">
        <v>9</v>
      </c>
      <c r="I1819" s="69" t="s">
        <v>1396</v>
      </c>
      <c r="J1819" s="69" t="s">
        <v>479</v>
      </c>
      <c r="K1819" s="69" t="s">
        <v>1402</v>
      </c>
      <c r="M1819" s="69" t="s">
        <v>6</v>
      </c>
    </row>
    <row r="1820" spans="2:13">
      <c r="B1820" s="69">
        <v>1818</v>
      </c>
      <c r="C1820" s="69">
        <v>171</v>
      </c>
      <c r="D1820" s="69">
        <v>27</v>
      </c>
      <c r="E1820" s="69">
        <v>7</v>
      </c>
      <c r="F1820" s="69">
        <v>0</v>
      </c>
      <c r="G1820" s="69" t="s">
        <v>32</v>
      </c>
      <c r="H1820" s="69" t="s">
        <v>9</v>
      </c>
      <c r="I1820" s="69" t="s">
        <v>1396</v>
      </c>
      <c r="J1820" s="69" t="s">
        <v>55</v>
      </c>
      <c r="K1820" s="69" t="s">
        <v>1403</v>
      </c>
      <c r="M1820" s="69" t="s">
        <v>6</v>
      </c>
    </row>
    <row r="1821" spans="2:13">
      <c r="B1821" s="69">
        <v>1819</v>
      </c>
      <c r="C1821" s="69">
        <v>171</v>
      </c>
      <c r="D1821" s="69">
        <v>27</v>
      </c>
      <c r="E1821" s="69">
        <v>8</v>
      </c>
      <c r="F1821" s="69">
        <v>0</v>
      </c>
      <c r="G1821" s="69" t="s">
        <v>32</v>
      </c>
      <c r="H1821" s="69" t="s">
        <v>9</v>
      </c>
      <c r="I1821" s="69" t="s">
        <v>1396</v>
      </c>
      <c r="J1821" s="69" t="s">
        <v>55</v>
      </c>
      <c r="K1821" s="69" t="s">
        <v>1404</v>
      </c>
      <c r="M1821" s="69" t="s">
        <v>6</v>
      </c>
    </row>
    <row r="1822" spans="2:13">
      <c r="B1822" s="69">
        <v>1820</v>
      </c>
      <c r="C1822" s="69">
        <v>171</v>
      </c>
      <c r="D1822" s="69">
        <v>27</v>
      </c>
      <c r="E1822" s="69">
        <v>9</v>
      </c>
      <c r="F1822" s="69">
        <v>0</v>
      </c>
      <c r="G1822" s="69" t="s">
        <v>32</v>
      </c>
      <c r="H1822" s="69" t="s">
        <v>9</v>
      </c>
      <c r="I1822" s="69" t="s">
        <v>1396</v>
      </c>
      <c r="J1822" s="69" t="s">
        <v>55</v>
      </c>
      <c r="K1822" s="69" t="s">
        <v>1277</v>
      </c>
      <c r="M1822" s="69" t="s">
        <v>6</v>
      </c>
    </row>
    <row r="1823" spans="2:13">
      <c r="B1823" s="69">
        <v>1821</v>
      </c>
      <c r="C1823" s="69">
        <v>171</v>
      </c>
      <c r="D1823" s="69">
        <v>27</v>
      </c>
      <c r="E1823" s="69">
        <v>10</v>
      </c>
      <c r="F1823" s="69">
        <v>0</v>
      </c>
      <c r="G1823" s="69" t="s">
        <v>32</v>
      </c>
      <c r="H1823" s="69" t="s">
        <v>9</v>
      </c>
      <c r="I1823" s="69" t="s">
        <v>1396</v>
      </c>
      <c r="J1823" s="69" t="s">
        <v>55</v>
      </c>
      <c r="K1823" s="69" t="s">
        <v>1405</v>
      </c>
      <c r="M1823" s="69" t="s">
        <v>6</v>
      </c>
    </row>
    <row r="1824" spans="2:13">
      <c r="B1824" s="69">
        <v>1822</v>
      </c>
      <c r="C1824" s="69">
        <v>171</v>
      </c>
      <c r="D1824" s="69">
        <v>27</v>
      </c>
      <c r="E1824" s="69">
        <v>11</v>
      </c>
      <c r="F1824" s="69">
        <v>0</v>
      </c>
      <c r="G1824" s="69" t="s">
        <v>32</v>
      </c>
      <c r="H1824" s="69" t="s">
        <v>9</v>
      </c>
      <c r="I1824" s="69" t="s">
        <v>1396</v>
      </c>
      <c r="J1824" s="69" t="s">
        <v>55</v>
      </c>
      <c r="K1824" s="69" t="s">
        <v>1406</v>
      </c>
      <c r="M1824" s="69" t="s">
        <v>6</v>
      </c>
    </row>
    <row r="1825" spans="2:13">
      <c r="B1825" s="69">
        <v>1823</v>
      </c>
      <c r="C1825" s="69">
        <v>171</v>
      </c>
      <c r="D1825" s="69">
        <v>27</v>
      </c>
      <c r="E1825" s="69">
        <v>12</v>
      </c>
      <c r="F1825" s="69">
        <v>0</v>
      </c>
      <c r="G1825" s="69" t="s">
        <v>32</v>
      </c>
      <c r="H1825" s="69" t="s">
        <v>9</v>
      </c>
      <c r="I1825" s="69" t="s">
        <v>1396</v>
      </c>
      <c r="J1825" s="69" t="s">
        <v>55</v>
      </c>
      <c r="K1825" s="69" t="s">
        <v>1407</v>
      </c>
      <c r="M1825" s="69" t="s">
        <v>6</v>
      </c>
    </row>
    <row r="1826" spans="2:13">
      <c r="B1826" s="69">
        <v>1824</v>
      </c>
      <c r="C1826" s="69">
        <v>171</v>
      </c>
      <c r="D1826" s="69">
        <v>27</v>
      </c>
      <c r="E1826" s="69">
        <v>13</v>
      </c>
      <c r="F1826" s="69">
        <v>0</v>
      </c>
      <c r="G1826" s="69" t="s">
        <v>32</v>
      </c>
      <c r="H1826" s="69" t="s">
        <v>9</v>
      </c>
      <c r="I1826" s="69" t="s">
        <v>1396</v>
      </c>
      <c r="J1826" s="69" t="s">
        <v>479</v>
      </c>
      <c r="K1826" s="69" t="s">
        <v>1408</v>
      </c>
      <c r="M1826" s="69" t="s">
        <v>6</v>
      </c>
    </row>
    <row r="1827" spans="2:13">
      <c r="B1827" s="69">
        <v>1825</v>
      </c>
      <c r="C1827" s="69">
        <v>171</v>
      </c>
      <c r="D1827" s="69">
        <v>27</v>
      </c>
      <c r="E1827" s="69">
        <v>14</v>
      </c>
      <c r="F1827" s="69">
        <v>0</v>
      </c>
      <c r="G1827" s="69" t="s">
        <v>32</v>
      </c>
      <c r="H1827" s="69" t="s">
        <v>9</v>
      </c>
      <c r="I1827" s="69" t="s">
        <v>1396</v>
      </c>
      <c r="J1827" s="69" t="s">
        <v>55</v>
      </c>
      <c r="K1827" s="69" t="s">
        <v>1409</v>
      </c>
      <c r="M1827" s="69" t="s">
        <v>6</v>
      </c>
    </row>
    <row r="1828" spans="2:13">
      <c r="B1828" s="69">
        <v>1826</v>
      </c>
      <c r="C1828" s="69">
        <v>171</v>
      </c>
      <c r="D1828" s="69">
        <v>27</v>
      </c>
      <c r="E1828" s="69">
        <v>15</v>
      </c>
      <c r="F1828" s="69">
        <v>0</v>
      </c>
      <c r="G1828" s="69" t="s">
        <v>32</v>
      </c>
      <c r="H1828" s="69" t="s">
        <v>9</v>
      </c>
      <c r="I1828" s="69" t="s">
        <v>1396</v>
      </c>
      <c r="J1828" s="69" t="s">
        <v>55</v>
      </c>
      <c r="K1828" s="69" t="s">
        <v>1410</v>
      </c>
      <c r="M1828" s="69" t="s">
        <v>6</v>
      </c>
    </row>
    <row r="1829" spans="2:13">
      <c r="B1829" s="69">
        <v>1827</v>
      </c>
      <c r="C1829" s="69">
        <v>171</v>
      </c>
      <c r="D1829" s="69">
        <v>27</v>
      </c>
      <c r="E1829" s="69">
        <v>16</v>
      </c>
      <c r="F1829" s="69">
        <v>0</v>
      </c>
      <c r="G1829" s="69" t="s">
        <v>32</v>
      </c>
      <c r="H1829" s="69" t="s">
        <v>9</v>
      </c>
      <c r="I1829" s="69" t="s">
        <v>1396</v>
      </c>
      <c r="J1829" s="69" t="s">
        <v>55</v>
      </c>
      <c r="K1829" s="69" t="s">
        <v>1411</v>
      </c>
      <c r="M1829" s="69" t="s">
        <v>6</v>
      </c>
    </row>
    <row r="1830" spans="2:13">
      <c r="B1830" s="69">
        <v>1828</v>
      </c>
      <c r="C1830" s="69">
        <v>171</v>
      </c>
      <c r="D1830" s="69">
        <v>27</v>
      </c>
      <c r="E1830" s="69">
        <v>17</v>
      </c>
      <c r="F1830" s="69">
        <v>0</v>
      </c>
      <c r="G1830" s="69" t="s">
        <v>32</v>
      </c>
      <c r="H1830" s="69" t="s">
        <v>9</v>
      </c>
      <c r="I1830" s="69" t="s">
        <v>1396</v>
      </c>
      <c r="J1830" s="69" t="s">
        <v>55</v>
      </c>
      <c r="K1830" s="69" t="s">
        <v>1412</v>
      </c>
      <c r="M1830" s="69" t="s">
        <v>6</v>
      </c>
    </row>
    <row r="1831" spans="2:13">
      <c r="B1831" s="69">
        <v>1829</v>
      </c>
      <c r="C1831" s="69">
        <v>171</v>
      </c>
      <c r="D1831" s="69">
        <v>27</v>
      </c>
      <c r="E1831" s="69">
        <v>18</v>
      </c>
      <c r="F1831" s="69">
        <v>0</v>
      </c>
      <c r="G1831" s="69" t="s">
        <v>32</v>
      </c>
      <c r="H1831" s="69" t="s">
        <v>9</v>
      </c>
      <c r="I1831" s="69" t="s">
        <v>1396</v>
      </c>
      <c r="J1831" s="69" t="s">
        <v>55</v>
      </c>
      <c r="K1831" s="69" t="s">
        <v>1413</v>
      </c>
      <c r="M1831" s="69" t="s">
        <v>6</v>
      </c>
    </row>
    <row r="1832" spans="2:13">
      <c r="B1832" s="69">
        <v>1830</v>
      </c>
      <c r="C1832" s="69">
        <v>171</v>
      </c>
      <c r="D1832" s="69">
        <v>27</v>
      </c>
      <c r="E1832" s="69">
        <v>19</v>
      </c>
      <c r="F1832" s="69">
        <v>0</v>
      </c>
      <c r="G1832" s="69" t="s">
        <v>32</v>
      </c>
      <c r="H1832" s="69" t="s">
        <v>9</v>
      </c>
      <c r="I1832" s="69" t="s">
        <v>1396</v>
      </c>
      <c r="J1832" s="69" t="s">
        <v>55</v>
      </c>
      <c r="K1832" s="69" t="s">
        <v>1414</v>
      </c>
      <c r="M1832" s="69" t="s">
        <v>6</v>
      </c>
    </row>
    <row r="1833" spans="2:13">
      <c r="B1833" s="69">
        <v>1831</v>
      </c>
      <c r="C1833" s="69">
        <v>171</v>
      </c>
      <c r="D1833" s="69">
        <v>27</v>
      </c>
      <c r="E1833" s="69">
        <v>20</v>
      </c>
      <c r="F1833" s="69">
        <v>0</v>
      </c>
      <c r="G1833" s="69" t="s">
        <v>32</v>
      </c>
      <c r="H1833" s="69" t="s">
        <v>9</v>
      </c>
      <c r="I1833" s="69" t="s">
        <v>1396</v>
      </c>
      <c r="J1833" s="69" t="s">
        <v>55</v>
      </c>
      <c r="K1833" s="69" t="s">
        <v>1415</v>
      </c>
      <c r="M1833" s="69" t="s">
        <v>6</v>
      </c>
    </row>
    <row r="1834" spans="2:13">
      <c r="B1834" s="69">
        <v>1832</v>
      </c>
      <c r="C1834" s="69">
        <v>171</v>
      </c>
      <c r="D1834" s="69">
        <v>27</v>
      </c>
      <c r="E1834" s="69">
        <v>21</v>
      </c>
      <c r="F1834" s="69">
        <v>0</v>
      </c>
      <c r="G1834" s="69" t="s">
        <v>32</v>
      </c>
      <c r="H1834" s="69" t="s">
        <v>9</v>
      </c>
      <c r="I1834" s="69" t="s">
        <v>1396</v>
      </c>
      <c r="J1834" s="69" t="s">
        <v>479</v>
      </c>
      <c r="K1834" s="69" t="s">
        <v>1416</v>
      </c>
      <c r="M1834" s="69" t="s">
        <v>6</v>
      </c>
    </row>
    <row r="1835" spans="2:13">
      <c r="B1835" s="69">
        <v>1833</v>
      </c>
      <c r="C1835" s="69">
        <v>171</v>
      </c>
      <c r="D1835" s="69">
        <v>27</v>
      </c>
      <c r="E1835" s="69">
        <v>22</v>
      </c>
      <c r="F1835" s="69">
        <v>0</v>
      </c>
      <c r="G1835" s="69" t="s">
        <v>32</v>
      </c>
      <c r="H1835" s="69" t="s">
        <v>9</v>
      </c>
      <c r="I1835" s="69" t="s">
        <v>1396</v>
      </c>
      <c r="J1835" s="69" t="s">
        <v>55</v>
      </c>
      <c r="K1835" s="69" t="s">
        <v>1417</v>
      </c>
      <c r="M1835" s="69" t="s">
        <v>6</v>
      </c>
    </row>
    <row r="1836" spans="2:13">
      <c r="B1836" s="69">
        <v>1834</v>
      </c>
      <c r="C1836" s="69">
        <v>171</v>
      </c>
      <c r="D1836" s="69">
        <v>27</v>
      </c>
      <c r="E1836" s="69">
        <v>23</v>
      </c>
      <c r="F1836" s="69">
        <v>0</v>
      </c>
      <c r="G1836" s="69" t="s">
        <v>32</v>
      </c>
      <c r="H1836" s="69" t="s">
        <v>9</v>
      </c>
      <c r="I1836" s="69" t="s">
        <v>1396</v>
      </c>
      <c r="J1836" s="69" t="s">
        <v>55</v>
      </c>
      <c r="K1836" s="69" t="s">
        <v>1418</v>
      </c>
      <c r="M1836" s="69" t="s">
        <v>6</v>
      </c>
    </row>
    <row r="1837" spans="2:13">
      <c r="B1837" s="69">
        <v>1835</v>
      </c>
      <c r="C1837" s="69">
        <v>171</v>
      </c>
      <c r="D1837" s="69">
        <v>27</v>
      </c>
      <c r="E1837" s="69">
        <v>24</v>
      </c>
      <c r="F1837" s="69">
        <v>0</v>
      </c>
      <c r="G1837" s="69" t="s">
        <v>32</v>
      </c>
      <c r="H1837" s="69" t="s">
        <v>9</v>
      </c>
      <c r="I1837" s="69" t="s">
        <v>1396</v>
      </c>
      <c r="J1837" s="69" t="s">
        <v>55</v>
      </c>
      <c r="K1837" s="69" t="s">
        <v>1419</v>
      </c>
      <c r="M1837" s="69" t="s">
        <v>6</v>
      </c>
    </row>
    <row r="1838" spans="2:13">
      <c r="B1838" s="69">
        <v>1836</v>
      </c>
      <c r="C1838" s="69">
        <v>171</v>
      </c>
      <c r="D1838" s="69">
        <v>27</v>
      </c>
      <c r="E1838" s="69">
        <v>25</v>
      </c>
      <c r="F1838" s="69">
        <v>0</v>
      </c>
      <c r="G1838" s="69" t="s">
        <v>32</v>
      </c>
      <c r="H1838" s="69" t="s">
        <v>9</v>
      </c>
      <c r="I1838" s="69" t="s">
        <v>1396</v>
      </c>
      <c r="J1838" s="69" t="s">
        <v>55</v>
      </c>
      <c r="K1838" s="69" t="s">
        <v>1420</v>
      </c>
      <c r="M1838" s="69" t="s">
        <v>6</v>
      </c>
    </row>
    <row r="1839" spans="2:13">
      <c r="B1839" s="69">
        <v>1837</v>
      </c>
      <c r="C1839" s="69">
        <v>171</v>
      </c>
      <c r="D1839" s="69">
        <v>27</v>
      </c>
      <c r="E1839" s="69">
        <v>26</v>
      </c>
      <c r="F1839" s="69">
        <v>0</v>
      </c>
      <c r="G1839" s="69" t="s">
        <v>32</v>
      </c>
      <c r="H1839" s="69" t="s">
        <v>9</v>
      </c>
      <c r="I1839" s="69" t="s">
        <v>1396</v>
      </c>
      <c r="J1839" s="69" t="s">
        <v>55</v>
      </c>
      <c r="K1839" s="69" t="s">
        <v>93</v>
      </c>
      <c r="M1839" s="69" t="s">
        <v>6</v>
      </c>
    </row>
    <row r="1840" spans="2:13">
      <c r="B1840" s="69">
        <v>1838</v>
      </c>
      <c r="C1840" s="69">
        <v>171</v>
      </c>
      <c r="D1840" s="69">
        <v>27</v>
      </c>
      <c r="E1840" s="69">
        <v>27</v>
      </c>
      <c r="F1840" s="69">
        <v>0</v>
      </c>
      <c r="G1840" s="69" t="s">
        <v>32</v>
      </c>
      <c r="H1840" s="69" t="s">
        <v>9</v>
      </c>
      <c r="I1840" s="69" t="s">
        <v>1396</v>
      </c>
      <c r="J1840" s="69" t="s">
        <v>64</v>
      </c>
      <c r="K1840" s="69" t="s">
        <v>94</v>
      </c>
      <c r="M1840" s="69" t="s">
        <v>6</v>
      </c>
    </row>
    <row r="1841" spans="2:13">
      <c r="B1841" s="69">
        <v>1839</v>
      </c>
      <c r="C1841" s="69">
        <v>172</v>
      </c>
      <c r="D1841" s="69">
        <v>21</v>
      </c>
      <c r="E1841" s="69">
        <v>0</v>
      </c>
      <c r="F1841" s="69">
        <v>0</v>
      </c>
      <c r="G1841" s="69" t="s">
        <v>32</v>
      </c>
      <c r="H1841" s="69" t="s">
        <v>9</v>
      </c>
      <c r="I1841" s="69" t="s">
        <v>1421</v>
      </c>
      <c r="J1841" s="69" t="s">
        <v>478</v>
      </c>
      <c r="K1841" s="69" t="s">
        <v>1421</v>
      </c>
      <c r="M1841" s="69" t="s">
        <v>6</v>
      </c>
    </row>
    <row r="1842" spans="2:13">
      <c r="B1842" s="69">
        <v>1840</v>
      </c>
      <c r="C1842" s="69">
        <v>172</v>
      </c>
      <c r="D1842" s="69">
        <v>21</v>
      </c>
      <c r="E1842" s="69">
        <v>1</v>
      </c>
      <c r="F1842" s="69">
        <v>0</v>
      </c>
      <c r="G1842" s="69" t="s">
        <v>32</v>
      </c>
      <c r="H1842" s="69" t="s">
        <v>9</v>
      </c>
      <c r="I1842" s="69" t="s">
        <v>1421</v>
      </c>
      <c r="J1842" s="69" t="s">
        <v>479</v>
      </c>
      <c r="K1842" s="69" t="s">
        <v>1402</v>
      </c>
      <c r="M1842" s="69" t="s">
        <v>6</v>
      </c>
    </row>
    <row r="1843" spans="2:13">
      <c r="B1843" s="69">
        <v>1841</v>
      </c>
      <c r="C1843" s="69">
        <v>172</v>
      </c>
      <c r="D1843" s="69">
        <v>21</v>
      </c>
      <c r="E1843" s="69">
        <v>2</v>
      </c>
      <c r="F1843" s="69">
        <v>0</v>
      </c>
      <c r="G1843" s="69" t="s">
        <v>32</v>
      </c>
      <c r="H1843" s="69" t="s">
        <v>9</v>
      </c>
      <c r="I1843" s="69" t="s">
        <v>1421</v>
      </c>
      <c r="J1843" s="69" t="s">
        <v>55</v>
      </c>
      <c r="K1843" s="69" t="s">
        <v>1422</v>
      </c>
      <c r="M1843" s="69" t="s">
        <v>6</v>
      </c>
    </row>
    <row r="1844" spans="2:13">
      <c r="B1844" s="69">
        <v>1842</v>
      </c>
      <c r="C1844" s="69">
        <v>172</v>
      </c>
      <c r="D1844" s="69">
        <v>21</v>
      </c>
      <c r="E1844" s="69">
        <v>3</v>
      </c>
      <c r="F1844" s="69">
        <v>0</v>
      </c>
      <c r="G1844" s="69" t="s">
        <v>32</v>
      </c>
      <c r="H1844" s="69" t="s">
        <v>9</v>
      </c>
      <c r="I1844" s="69" t="s">
        <v>1421</v>
      </c>
      <c r="J1844" s="69" t="s">
        <v>55</v>
      </c>
      <c r="K1844" s="69" t="s">
        <v>1282</v>
      </c>
      <c r="M1844" s="69" t="s">
        <v>6</v>
      </c>
    </row>
    <row r="1845" spans="2:13">
      <c r="B1845" s="69">
        <v>1843</v>
      </c>
      <c r="C1845" s="69">
        <v>172</v>
      </c>
      <c r="D1845" s="69">
        <v>21</v>
      </c>
      <c r="E1845" s="69">
        <v>4</v>
      </c>
      <c r="F1845" s="69">
        <v>0</v>
      </c>
      <c r="G1845" s="69" t="s">
        <v>32</v>
      </c>
      <c r="H1845" s="69" t="s">
        <v>9</v>
      </c>
      <c r="I1845" s="69" t="s">
        <v>1421</v>
      </c>
      <c r="J1845" s="69" t="s">
        <v>55</v>
      </c>
      <c r="K1845" s="69" t="s">
        <v>1283</v>
      </c>
      <c r="M1845" s="69" t="s">
        <v>6</v>
      </c>
    </row>
    <row r="1846" spans="2:13">
      <c r="B1846" s="69">
        <v>1844</v>
      </c>
      <c r="C1846" s="69">
        <v>172</v>
      </c>
      <c r="D1846" s="69">
        <v>21</v>
      </c>
      <c r="E1846" s="69">
        <v>5</v>
      </c>
      <c r="F1846" s="69">
        <v>0</v>
      </c>
      <c r="G1846" s="69" t="s">
        <v>32</v>
      </c>
      <c r="H1846" s="69" t="s">
        <v>9</v>
      </c>
      <c r="I1846" s="69" t="s">
        <v>1421</v>
      </c>
      <c r="J1846" s="69" t="s">
        <v>55</v>
      </c>
      <c r="K1846" s="69" t="s">
        <v>1423</v>
      </c>
      <c r="M1846" s="69" t="s">
        <v>6</v>
      </c>
    </row>
    <row r="1847" spans="2:13">
      <c r="B1847" s="69">
        <v>1845</v>
      </c>
      <c r="C1847" s="69">
        <v>172</v>
      </c>
      <c r="D1847" s="69">
        <v>21</v>
      </c>
      <c r="E1847" s="69">
        <v>6</v>
      </c>
      <c r="F1847" s="69">
        <v>0</v>
      </c>
      <c r="G1847" s="69" t="s">
        <v>32</v>
      </c>
      <c r="H1847" s="69" t="s">
        <v>9</v>
      </c>
      <c r="I1847" s="69" t="s">
        <v>1421</v>
      </c>
      <c r="J1847" s="69" t="s">
        <v>55</v>
      </c>
      <c r="K1847" s="69" t="s">
        <v>1285</v>
      </c>
      <c r="M1847" s="69" t="s">
        <v>6</v>
      </c>
    </row>
    <row r="1848" spans="2:13">
      <c r="B1848" s="69">
        <v>1846</v>
      </c>
      <c r="C1848" s="69">
        <v>172</v>
      </c>
      <c r="D1848" s="69">
        <v>21</v>
      </c>
      <c r="E1848" s="69">
        <v>7</v>
      </c>
      <c r="F1848" s="69">
        <v>0</v>
      </c>
      <c r="G1848" s="69" t="s">
        <v>32</v>
      </c>
      <c r="H1848" s="69" t="s">
        <v>9</v>
      </c>
      <c r="I1848" s="69" t="s">
        <v>1421</v>
      </c>
      <c r="J1848" s="69" t="s">
        <v>55</v>
      </c>
      <c r="K1848" s="69" t="s">
        <v>1424</v>
      </c>
      <c r="M1848" s="69" t="s">
        <v>6</v>
      </c>
    </row>
    <row r="1849" spans="2:13">
      <c r="B1849" s="69">
        <v>1847</v>
      </c>
      <c r="C1849" s="69">
        <v>172</v>
      </c>
      <c r="D1849" s="69">
        <v>21</v>
      </c>
      <c r="E1849" s="69">
        <v>8</v>
      </c>
      <c r="F1849" s="69">
        <v>0</v>
      </c>
      <c r="G1849" s="69" t="s">
        <v>32</v>
      </c>
      <c r="H1849" s="69" t="s">
        <v>9</v>
      </c>
      <c r="I1849" s="69" t="s">
        <v>1421</v>
      </c>
      <c r="J1849" s="69" t="s">
        <v>55</v>
      </c>
      <c r="K1849" s="69" t="s">
        <v>1425</v>
      </c>
      <c r="M1849" s="69" t="s">
        <v>6</v>
      </c>
    </row>
    <row r="1850" spans="2:13">
      <c r="B1850" s="69">
        <v>1848</v>
      </c>
      <c r="C1850" s="69">
        <v>172</v>
      </c>
      <c r="D1850" s="69">
        <v>21</v>
      </c>
      <c r="E1850" s="69">
        <v>9</v>
      </c>
      <c r="F1850" s="69">
        <v>0</v>
      </c>
      <c r="G1850" s="69" t="s">
        <v>32</v>
      </c>
      <c r="H1850" s="69" t="s">
        <v>9</v>
      </c>
      <c r="I1850" s="69" t="s">
        <v>1421</v>
      </c>
      <c r="J1850" s="69" t="s">
        <v>55</v>
      </c>
      <c r="K1850" s="69" t="s">
        <v>1426</v>
      </c>
      <c r="M1850" s="69" t="s">
        <v>6</v>
      </c>
    </row>
    <row r="1851" spans="2:13">
      <c r="B1851" s="69">
        <v>1849</v>
      </c>
      <c r="C1851" s="69">
        <v>172</v>
      </c>
      <c r="D1851" s="69">
        <v>21</v>
      </c>
      <c r="E1851" s="69">
        <v>10</v>
      </c>
      <c r="F1851" s="69">
        <v>0</v>
      </c>
      <c r="G1851" s="69" t="s">
        <v>32</v>
      </c>
      <c r="H1851" s="69" t="s">
        <v>9</v>
      </c>
      <c r="I1851" s="69" t="s">
        <v>1421</v>
      </c>
      <c r="J1851" s="69" t="s">
        <v>55</v>
      </c>
      <c r="K1851" s="69" t="s">
        <v>1427</v>
      </c>
      <c r="M1851" s="69" t="s">
        <v>6</v>
      </c>
    </row>
    <row r="1852" spans="2:13">
      <c r="B1852" s="69">
        <v>1850</v>
      </c>
      <c r="C1852" s="69">
        <v>172</v>
      </c>
      <c r="D1852" s="69">
        <v>21</v>
      </c>
      <c r="E1852" s="69">
        <v>11</v>
      </c>
      <c r="F1852" s="69">
        <v>0</v>
      </c>
      <c r="G1852" s="69" t="s">
        <v>32</v>
      </c>
      <c r="H1852" s="69" t="s">
        <v>9</v>
      </c>
      <c r="I1852" s="69" t="s">
        <v>1421</v>
      </c>
      <c r="J1852" s="69" t="s">
        <v>55</v>
      </c>
      <c r="K1852" s="69" t="s">
        <v>1428</v>
      </c>
      <c r="M1852" s="69" t="s">
        <v>6</v>
      </c>
    </row>
    <row r="1853" spans="2:13">
      <c r="B1853" s="69">
        <v>1851</v>
      </c>
      <c r="C1853" s="69">
        <v>172</v>
      </c>
      <c r="D1853" s="69">
        <v>21</v>
      </c>
      <c r="E1853" s="69">
        <v>12</v>
      </c>
      <c r="F1853" s="69">
        <v>0</v>
      </c>
      <c r="G1853" s="69" t="s">
        <v>32</v>
      </c>
      <c r="H1853" s="69" t="s">
        <v>9</v>
      </c>
      <c r="I1853" s="69" t="s">
        <v>1421</v>
      </c>
      <c r="J1853" s="69" t="s">
        <v>55</v>
      </c>
      <c r="K1853" s="69" t="s">
        <v>1291</v>
      </c>
      <c r="M1853" s="69" t="s">
        <v>6</v>
      </c>
    </row>
    <row r="1854" spans="2:13">
      <c r="B1854" s="69">
        <v>1852</v>
      </c>
      <c r="C1854" s="69">
        <v>172</v>
      </c>
      <c r="D1854" s="69">
        <v>21</v>
      </c>
      <c r="E1854" s="69">
        <v>13</v>
      </c>
      <c r="F1854" s="69">
        <v>0</v>
      </c>
      <c r="G1854" s="69" t="s">
        <v>32</v>
      </c>
      <c r="H1854" s="69" t="s">
        <v>9</v>
      </c>
      <c r="I1854" s="69" t="s">
        <v>1421</v>
      </c>
      <c r="J1854" s="69" t="s">
        <v>479</v>
      </c>
      <c r="K1854" s="69" t="s">
        <v>1408</v>
      </c>
      <c r="M1854" s="69" t="s">
        <v>6</v>
      </c>
    </row>
    <row r="1855" spans="2:13">
      <c r="B1855" s="69">
        <v>1853</v>
      </c>
      <c r="C1855" s="69">
        <v>172</v>
      </c>
      <c r="D1855" s="69">
        <v>21</v>
      </c>
      <c r="E1855" s="69">
        <v>14</v>
      </c>
      <c r="F1855" s="69">
        <v>0</v>
      </c>
      <c r="G1855" s="69" t="s">
        <v>32</v>
      </c>
      <c r="H1855" s="69" t="s">
        <v>9</v>
      </c>
      <c r="I1855" s="69" t="s">
        <v>1421</v>
      </c>
      <c r="J1855" s="69" t="s">
        <v>55</v>
      </c>
      <c r="K1855" s="69" t="s">
        <v>1158</v>
      </c>
      <c r="M1855" s="69" t="s">
        <v>6</v>
      </c>
    </row>
    <row r="1856" spans="2:13">
      <c r="B1856" s="69">
        <v>1854</v>
      </c>
      <c r="C1856" s="69">
        <v>172</v>
      </c>
      <c r="D1856" s="69">
        <v>21</v>
      </c>
      <c r="E1856" s="69">
        <v>15</v>
      </c>
      <c r="F1856" s="69">
        <v>0</v>
      </c>
      <c r="G1856" s="69" t="s">
        <v>32</v>
      </c>
      <c r="H1856" s="69" t="s">
        <v>9</v>
      </c>
      <c r="I1856" s="69" t="s">
        <v>1421</v>
      </c>
      <c r="J1856" s="69" t="s">
        <v>55</v>
      </c>
      <c r="K1856" s="69" t="s">
        <v>1159</v>
      </c>
      <c r="M1856" s="69" t="s">
        <v>6</v>
      </c>
    </row>
    <row r="1857" spans="2:13">
      <c r="B1857" s="69">
        <v>1855</v>
      </c>
      <c r="C1857" s="69">
        <v>172</v>
      </c>
      <c r="D1857" s="69">
        <v>21</v>
      </c>
      <c r="E1857" s="69">
        <v>16</v>
      </c>
      <c r="F1857" s="69">
        <v>0</v>
      </c>
      <c r="G1857" s="69" t="s">
        <v>32</v>
      </c>
      <c r="H1857" s="69" t="s">
        <v>9</v>
      </c>
      <c r="I1857" s="69" t="s">
        <v>1421</v>
      </c>
      <c r="J1857" s="69" t="s">
        <v>55</v>
      </c>
      <c r="K1857" s="69" t="s">
        <v>1429</v>
      </c>
      <c r="M1857" s="69" t="s">
        <v>6</v>
      </c>
    </row>
    <row r="1858" spans="2:13">
      <c r="B1858" s="69">
        <v>1856</v>
      </c>
      <c r="C1858" s="69">
        <v>172</v>
      </c>
      <c r="D1858" s="69">
        <v>21</v>
      </c>
      <c r="E1858" s="69">
        <v>17</v>
      </c>
      <c r="F1858" s="69">
        <v>0</v>
      </c>
      <c r="G1858" s="69" t="s">
        <v>32</v>
      </c>
      <c r="H1858" s="69" t="s">
        <v>9</v>
      </c>
      <c r="I1858" s="69" t="s">
        <v>1421</v>
      </c>
      <c r="J1858" s="69" t="s">
        <v>55</v>
      </c>
      <c r="K1858" s="69" t="s">
        <v>1430</v>
      </c>
      <c r="M1858" s="69" t="s">
        <v>6</v>
      </c>
    </row>
    <row r="1859" spans="2:13">
      <c r="B1859" s="69">
        <v>1857</v>
      </c>
      <c r="C1859" s="69">
        <v>172</v>
      </c>
      <c r="D1859" s="69">
        <v>21</v>
      </c>
      <c r="E1859" s="69">
        <v>18</v>
      </c>
      <c r="F1859" s="69">
        <v>0</v>
      </c>
      <c r="G1859" s="69" t="s">
        <v>32</v>
      </c>
      <c r="H1859" s="69" t="s">
        <v>9</v>
      </c>
      <c r="I1859" s="69" t="s">
        <v>1421</v>
      </c>
      <c r="J1859" s="69" t="s">
        <v>55</v>
      </c>
      <c r="K1859" s="69" t="s">
        <v>1431</v>
      </c>
      <c r="M1859" s="69" t="s">
        <v>6</v>
      </c>
    </row>
    <row r="1860" spans="2:13">
      <c r="B1860" s="69">
        <v>1858</v>
      </c>
      <c r="C1860" s="69">
        <v>172</v>
      </c>
      <c r="D1860" s="69">
        <v>21</v>
      </c>
      <c r="E1860" s="69">
        <v>19</v>
      </c>
      <c r="F1860" s="69">
        <v>0</v>
      </c>
      <c r="G1860" s="69" t="s">
        <v>32</v>
      </c>
      <c r="H1860" s="69" t="s">
        <v>9</v>
      </c>
      <c r="I1860" s="69" t="s">
        <v>1421</v>
      </c>
      <c r="J1860" s="69" t="s">
        <v>55</v>
      </c>
      <c r="K1860" s="69" t="s">
        <v>1432</v>
      </c>
      <c r="M1860" s="69" t="s">
        <v>6</v>
      </c>
    </row>
    <row r="1861" spans="2:13">
      <c r="B1861" s="69">
        <v>1859</v>
      </c>
      <c r="C1861" s="69">
        <v>172</v>
      </c>
      <c r="D1861" s="69">
        <v>21</v>
      </c>
      <c r="E1861" s="69">
        <v>20</v>
      </c>
      <c r="F1861" s="69">
        <v>0</v>
      </c>
      <c r="G1861" s="69" t="s">
        <v>32</v>
      </c>
      <c r="H1861" s="69" t="s">
        <v>9</v>
      </c>
      <c r="I1861" s="69" t="s">
        <v>1421</v>
      </c>
      <c r="J1861" s="69" t="s">
        <v>55</v>
      </c>
      <c r="K1861" s="69" t="s">
        <v>93</v>
      </c>
      <c r="M1861" s="69" t="s">
        <v>6</v>
      </c>
    </row>
    <row r="1862" spans="2:13">
      <c r="B1862" s="69">
        <v>1860</v>
      </c>
      <c r="C1862" s="69">
        <v>172</v>
      </c>
      <c r="D1862" s="69">
        <v>21</v>
      </c>
      <c r="E1862" s="69">
        <v>21</v>
      </c>
      <c r="F1862" s="69">
        <v>0</v>
      </c>
      <c r="G1862" s="69" t="s">
        <v>32</v>
      </c>
      <c r="H1862" s="69" t="s">
        <v>9</v>
      </c>
      <c r="I1862" s="69" t="s">
        <v>1421</v>
      </c>
      <c r="J1862" s="69" t="s">
        <v>64</v>
      </c>
      <c r="K1862" s="69" t="s">
        <v>94</v>
      </c>
      <c r="M1862" s="69" t="s">
        <v>6</v>
      </c>
    </row>
    <row r="1863" spans="2:13">
      <c r="B1863" s="69">
        <v>1861</v>
      </c>
      <c r="C1863" s="69">
        <v>173</v>
      </c>
      <c r="D1863" s="69">
        <v>9</v>
      </c>
      <c r="E1863" s="69">
        <v>0</v>
      </c>
      <c r="F1863" s="69">
        <v>0</v>
      </c>
      <c r="G1863" s="69" t="s">
        <v>32</v>
      </c>
      <c r="H1863" s="69" t="s">
        <v>9</v>
      </c>
      <c r="I1863" s="69" t="s">
        <v>1433</v>
      </c>
      <c r="J1863" s="69" t="s">
        <v>54</v>
      </c>
      <c r="K1863" s="69" t="s">
        <v>1433</v>
      </c>
      <c r="M1863" s="69" t="s">
        <v>6</v>
      </c>
    </row>
    <row r="1864" spans="2:13">
      <c r="B1864" s="69">
        <v>1862</v>
      </c>
      <c r="C1864" s="69">
        <v>173</v>
      </c>
      <c r="D1864" s="69">
        <v>9</v>
      </c>
      <c r="E1864" s="69">
        <v>1</v>
      </c>
      <c r="F1864" s="69">
        <v>0</v>
      </c>
      <c r="G1864" s="69" t="s">
        <v>32</v>
      </c>
      <c r="H1864" s="69" t="s">
        <v>9</v>
      </c>
      <c r="I1864" s="69" t="s">
        <v>1433</v>
      </c>
      <c r="J1864" s="69" t="s">
        <v>55</v>
      </c>
      <c r="K1864" s="69" t="s">
        <v>1434</v>
      </c>
      <c r="M1864" s="69" t="s">
        <v>6</v>
      </c>
    </row>
    <row r="1865" spans="2:13">
      <c r="B1865" s="69">
        <v>1863</v>
      </c>
      <c r="C1865" s="69">
        <v>173</v>
      </c>
      <c r="D1865" s="69">
        <v>9</v>
      </c>
      <c r="E1865" s="69">
        <v>2</v>
      </c>
      <c r="F1865" s="69">
        <v>0</v>
      </c>
      <c r="G1865" s="69" t="s">
        <v>32</v>
      </c>
      <c r="H1865" s="69" t="s">
        <v>9</v>
      </c>
      <c r="I1865" s="69" t="s">
        <v>1433</v>
      </c>
      <c r="J1865" s="69" t="s">
        <v>55</v>
      </c>
      <c r="K1865" s="69" t="s">
        <v>1435</v>
      </c>
      <c r="M1865" s="69" t="s">
        <v>6</v>
      </c>
    </row>
    <row r="1866" spans="2:13">
      <c r="B1866" s="69">
        <v>1864</v>
      </c>
      <c r="C1866" s="69">
        <v>173</v>
      </c>
      <c r="D1866" s="69">
        <v>9</v>
      </c>
      <c r="E1866" s="69">
        <v>3</v>
      </c>
      <c r="F1866" s="69">
        <v>0</v>
      </c>
      <c r="G1866" s="69" t="s">
        <v>32</v>
      </c>
      <c r="H1866" s="69" t="s">
        <v>9</v>
      </c>
      <c r="I1866" s="69" t="s">
        <v>1433</v>
      </c>
      <c r="J1866" s="69" t="s">
        <v>55</v>
      </c>
      <c r="K1866" s="69" t="s">
        <v>1436</v>
      </c>
      <c r="M1866" s="69" t="s">
        <v>6</v>
      </c>
    </row>
    <row r="1867" spans="2:13">
      <c r="B1867" s="69">
        <v>1865</v>
      </c>
      <c r="C1867" s="69">
        <v>173</v>
      </c>
      <c r="D1867" s="69">
        <v>9</v>
      </c>
      <c r="E1867" s="69">
        <v>4</v>
      </c>
      <c r="F1867" s="69">
        <v>0</v>
      </c>
      <c r="G1867" s="69" t="s">
        <v>32</v>
      </c>
      <c r="H1867" s="69" t="s">
        <v>9</v>
      </c>
      <c r="I1867" s="69" t="s">
        <v>1433</v>
      </c>
      <c r="J1867" s="69" t="s">
        <v>55</v>
      </c>
      <c r="K1867" s="69" t="s">
        <v>1437</v>
      </c>
      <c r="M1867" s="69" t="s">
        <v>6</v>
      </c>
    </row>
    <row r="1868" spans="2:13">
      <c r="B1868" s="69">
        <v>1866</v>
      </c>
      <c r="C1868" s="69">
        <v>173</v>
      </c>
      <c r="D1868" s="69">
        <v>9</v>
      </c>
      <c r="E1868" s="69">
        <v>5</v>
      </c>
      <c r="F1868" s="69">
        <v>0</v>
      </c>
      <c r="G1868" s="69" t="s">
        <v>32</v>
      </c>
      <c r="H1868" s="69" t="s">
        <v>9</v>
      </c>
      <c r="I1868" s="69" t="s">
        <v>1433</v>
      </c>
      <c r="J1868" s="69" t="s">
        <v>55</v>
      </c>
      <c r="K1868" s="69" t="s">
        <v>1438</v>
      </c>
      <c r="M1868" s="69" t="s">
        <v>6</v>
      </c>
    </row>
    <row r="1869" spans="2:13">
      <c r="B1869" s="69">
        <v>1867</v>
      </c>
      <c r="C1869" s="69">
        <v>173</v>
      </c>
      <c r="D1869" s="69">
        <v>9</v>
      </c>
      <c r="E1869" s="69">
        <v>6</v>
      </c>
      <c r="F1869" s="69">
        <v>0</v>
      </c>
      <c r="G1869" s="69" t="s">
        <v>32</v>
      </c>
      <c r="H1869" s="69" t="s">
        <v>9</v>
      </c>
      <c r="I1869" s="69" t="s">
        <v>1433</v>
      </c>
      <c r="J1869" s="69" t="s">
        <v>55</v>
      </c>
      <c r="K1869" s="69" t="s">
        <v>1439</v>
      </c>
      <c r="M1869" s="69" t="s">
        <v>6</v>
      </c>
    </row>
    <row r="1870" spans="2:13">
      <c r="B1870" s="69">
        <v>1868</v>
      </c>
      <c r="C1870" s="69">
        <v>173</v>
      </c>
      <c r="D1870" s="69">
        <v>9</v>
      </c>
      <c r="E1870" s="69">
        <v>7</v>
      </c>
      <c r="F1870" s="69">
        <v>0</v>
      </c>
      <c r="G1870" s="69" t="s">
        <v>32</v>
      </c>
      <c r="H1870" s="69" t="s">
        <v>9</v>
      </c>
      <c r="I1870" s="69" t="s">
        <v>1433</v>
      </c>
      <c r="J1870" s="69" t="s">
        <v>55</v>
      </c>
      <c r="K1870" s="69" t="s">
        <v>1440</v>
      </c>
      <c r="M1870" s="69" t="s">
        <v>6</v>
      </c>
    </row>
    <row r="1871" spans="2:13">
      <c r="B1871" s="69">
        <v>1869</v>
      </c>
      <c r="C1871" s="69">
        <v>173</v>
      </c>
      <c r="D1871" s="69">
        <v>9</v>
      </c>
      <c r="E1871" s="69">
        <v>8</v>
      </c>
      <c r="F1871" s="69">
        <v>0</v>
      </c>
      <c r="G1871" s="69" t="s">
        <v>32</v>
      </c>
      <c r="H1871" s="69" t="s">
        <v>9</v>
      </c>
      <c r="I1871" s="69" t="s">
        <v>1433</v>
      </c>
      <c r="J1871" s="69" t="s">
        <v>55</v>
      </c>
      <c r="K1871" s="69" t="s">
        <v>93</v>
      </c>
      <c r="M1871" s="69" t="s">
        <v>6</v>
      </c>
    </row>
    <row r="1872" spans="2:13">
      <c r="B1872" s="69">
        <v>1870</v>
      </c>
      <c r="C1872" s="69">
        <v>173</v>
      </c>
      <c r="D1872" s="69">
        <v>9</v>
      </c>
      <c r="E1872" s="69">
        <v>9</v>
      </c>
      <c r="F1872" s="69">
        <v>0</v>
      </c>
      <c r="G1872" s="69" t="s">
        <v>32</v>
      </c>
      <c r="H1872" s="69" t="s">
        <v>9</v>
      </c>
      <c r="I1872" s="69" t="s">
        <v>1433</v>
      </c>
      <c r="J1872" s="69" t="s">
        <v>64</v>
      </c>
      <c r="K1872" s="69" t="s">
        <v>94</v>
      </c>
      <c r="M1872" s="69" t="s">
        <v>6</v>
      </c>
    </row>
    <row r="1873" spans="2:13">
      <c r="B1873" s="69">
        <v>1871</v>
      </c>
      <c r="C1873" s="69">
        <v>174</v>
      </c>
      <c r="D1873" s="69">
        <v>13</v>
      </c>
      <c r="E1873" s="69">
        <v>0</v>
      </c>
      <c r="F1873" s="69">
        <v>0</v>
      </c>
      <c r="G1873" s="69" t="s">
        <v>32</v>
      </c>
      <c r="H1873" s="69" t="s">
        <v>9</v>
      </c>
      <c r="I1873" s="69" t="s">
        <v>1441</v>
      </c>
      <c r="J1873" s="69" t="s">
        <v>54</v>
      </c>
      <c r="K1873" s="69" t="s">
        <v>1441</v>
      </c>
      <c r="M1873" s="69" t="s">
        <v>6</v>
      </c>
    </row>
    <row r="1874" spans="2:13">
      <c r="B1874" s="69">
        <v>1872</v>
      </c>
      <c r="C1874" s="69">
        <v>174</v>
      </c>
      <c r="D1874" s="69">
        <v>13</v>
      </c>
      <c r="E1874" s="69">
        <v>1</v>
      </c>
      <c r="F1874" s="69">
        <v>0</v>
      </c>
      <c r="G1874" s="69" t="s">
        <v>32</v>
      </c>
      <c r="H1874" s="69" t="s">
        <v>9</v>
      </c>
      <c r="I1874" s="69" t="s">
        <v>1441</v>
      </c>
      <c r="J1874" s="69" t="s">
        <v>55</v>
      </c>
      <c r="K1874" s="69" t="s">
        <v>1442</v>
      </c>
      <c r="M1874" s="69" t="s">
        <v>6</v>
      </c>
    </row>
    <row r="1875" spans="2:13">
      <c r="B1875" s="69">
        <v>1873</v>
      </c>
      <c r="C1875" s="69">
        <v>174</v>
      </c>
      <c r="D1875" s="69">
        <v>13</v>
      </c>
      <c r="E1875" s="69">
        <v>2</v>
      </c>
      <c r="F1875" s="69">
        <v>0</v>
      </c>
      <c r="G1875" s="69" t="s">
        <v>32</v>
      </c>
      <c r="H1875" s="69" t="s">
        <v>9</v>
      </c>
      <c r="I1875" s="69" t="s">
        <v>1441</v>
      </c>
      <c r="J1875" s="69" t="s">
        <v>214</v>
      </c>
      <c r="K1875" s="69" t="s">
        <v>1443</v>
      </c>
      <c r="M1875" s="69" t="s">
        <v>6</v>
      </c>
    </row>
    <row r="1876" spans="2:13">
      <c r="B1876" s="69">
        <v>1874</v>
      </c>
      <c r="C1876" s="69">
        <v>174</v>
      </c>
      <c r="D1876" s="69">
        <v>13</v>
      </c>
      <c r="E1876" s="69">
        <v>3</v>
      </c>
      <c r="F1876" s="69">
        <v>0</v>
      </c>
      <c r="G1876" s="69" t="s">
        <v>32</v>
      </c>
      <c r="H1876" s="69" t="s">
        <v>9</v>
      </c>
      <c r="I1876" s="69" t="s">
        <v>1441</v>
      </c>
      <c r="J1876" s="69" t="s">
        <v>214</v>
      </c>
      <c r="K1876" s="69" t="s">
        <v>1444</v>
      </c>
      <c r="M1876" s="69" t="s">
        <v>6</v>
      </c>
    </row>
    <row r="1877" spans="2:13">
      <c r="B1877" s="69">
        <v>1875</v>
      </c>
      <c r="C1877" s="69">
        <v>174</v>
      </c>
      <c r="D1877" s="69">
        <v>13</v>
      </c>
      <c r="E1877" s="69">
        <v>4</v>
      </c>
      <c r="F1877" s="69">
        <v>0</v>
      </c>
      <c r="G1877" s="69" t="s">
        <v>32</v>
      </c>
      <c r="H1877" s="69" t="s">
        <v>9</v>
      </c>
      <c r="I1877" s="69" t="s">
        <v>1441</v>
      </c>
      <c r="J1877" s="69" t="s">
        <v>214</v>
      </c>
      <c r="K1877" s="69" t="s">
        <v>1445</v>
      </c>
      <c r="M1877" s="69" t="s">
        <v>6</v>
      </c>
    </row>
    <row r="1878" spans="2:13">
      <c r="B1878" s="69">
        <v>1876</v>
      </c>
      <c r="C1878" s="69">
        <v>174</v>
      </c>
      <c r="D1878" s="69">
        <v>13</v>
      </c>
      <c r="E1878" s="69">
        <v>5</v>
      </c>
      <c r="F1878" s="69">
        <v>0</v>
      </c>
      <c r="G1878" s="69" t="s">
        <v>32</v>
      </c>
      <c r="H1878" s="69" t="s">
        <v>9</v>
      </c>
      <c r="I1878" s="69" t="s">
        <v>1441</v>
      </c>
      <c r="J1878" s="69" t="s">
        <v>214</v>
      </c>
      <c r="K1878" s="69" t="s">
        <v>1446</v>
      </c>
      <c r="M1878" s="69" t="s">
        <v>6</v>
      </c>
    </row>
    <row r="1879" spans="2:13">
      <c r="B1879" s="69">
        <v>1877</v>
      </c>
      <c r="C1879" s="69">
        <v>174</v>
      </c>
      <c r="D1879" s="69">
        <v>13</v>
      </c>
      <c r="E1879" s="69">
        <v>6</v>
      </c>
      <c r="F1879" s="69">
        <v>0</v>
      </c>
      <c r="G1879" s="69" t="s">
        <v>32</v>
      </c>
      <c r="H1879" s="69" t="s">
        <v>9</v>
      </c>
      <c r="I1879" s="69" t="s">
        <v>1441</v>
      </c>
      <c r="J1879" s="69" t="s">
        <v>214</v>
      </c>
      <c r="K1879" s="69" t="s">
        <v>1447</v>
      </c>
      <c r="M1879" s="69" t="s">
        <v>6</v>
      </c>
    </row>
    <row r="1880" spans="2:13">
      <c r="B1880" s="69">
        <v>1878</v>
      </c>
      <c r="C1880" s="69">
        <v>174</v>
      </c>
      <c r="D1880" s="69">
        <v>13</v>
      </c>
      <c r="E1880" s="69">
        <v>7</v>
      </c>
      <c r="F1880" s="69">
        <v>0</v>
      </c>
      <c r="G1880" s="69" t="s">
        <v>32</v>
      </c>
      <c r="H1880" s="69" t="s">
        <v>9</v>
      </c>
      <c r="I1880" s="69" t="s">
        <v>1441</v>
      </c>
      <c r="J1880" s="69" t="s">
        <v>1448</v>
      </c>
      <c r="K1880" s="69" t="s">
        <v>1449</v>
      </c>
      <c r="M1880" s="69" t="s">
        <v>6</v>
      </c>
    </row>
    <row r="1881" spans="2:13">
      <c r="B1881" s="69">
        <v>1879</v>
      </c>
      <c r="C1881" s="69">
        <v>174</v>
      </c>
      <c r="D1881" s="69">
        <v>13</v>
      </c>
      <c r="E1881" s="69">
        <v>8</v>
      </c>
      <c r="F1881" s="69">
        <v>0</v>
      </c>
      <c r="G1881" s="69" t="s">
        <v>32</v>
      </c>
      <c r="H1881" s="69" t="s">
        <v>9</v>
      </c>
      <c r="I1881" s="69" t="s">
        <v>1441</v>
      </c>
      <c r="J1881" s="69" t="s">
        <v>214</v>
      </c>
      <c r="K1881" s="69" t="s">
        <v>1450</v>
      </c>
      <c r="M1881" s="69" t="s">
        <v>6</v>
      </c>
    </row>
    <row r="1882" spans="2:13">
      <c r="B1882" s="69">
        <v>1880</v>
      </c>
      <c r="C1882" s="69">
        <v>174</v>
      </c>
      <c r="D1882" s="69">
        <v>13</v>
      </c>
      <c r="E1882" s="69">
        <v>9</v>
      </c>
      <c r="F1882" s="69">
        <v>0</v>
      </c>
      <c r="G1882" s="69" t="s">
        <v>32</v>
      </c>
      <c r="H1882" s="69" t="s">
        <v>9</v>
      </c>
      <c r="I1882" s="69" t="s">
        <v>1441</v>
      </c>
      <c r="J1882" s="69" t="s">
        <v>214</v>
      </c>
      <c r="K1882" s="69" t="s">
        <v>1451</v>
      </c>
      <c r="M1882" s="69" t="s">
        <v>6</v>
      </c>
    </row>
    <row r="1883" spans="2:13">
      <c r="B1883" s="69">
        <v>1881</v>
      </c>
      <c r="C1883" s="69">
        <v>174</v>
      </c>
      <c r="D1883" s="69">
        <v>13</v>
      </c>
      <c r="E1883" s="69">
        <v>10</v>
      </c>
      <c r="F1883" s="69">
        <v>0</v>
      </c>
      <c r="G1883" s="69" t="s">
        <v>32</v>
      </c>
      <c r="H1883" s="69" t="s">
        <v>9</v>
      </c>
      <c r="I1883" s="69" t="s">
        <v>1441</v>
      </c>
      <c r="J1883" s="69" t="s">
        <v>214</v>
      </c>
      <c r="K1883" s="69" t="s">
        <v>1452</v>
      </c>
      <c r="M1883" s="69" t="s">
        <v>6</v>
      </c>
    </row>
    <row r="1884" spans="2:13">
      <c r="B1884" s="69">
        <v>1882</v>
      </c>
      <c r="C1884" s="69">
        <v>174</v>
      </c>
      <c r="D1884" s="69">
        <v>13</v>
      </c>
      <c r="E1884" s="69">
        <v>11</v>
      </c>
      <c r="F1884" s="69">
        <v>0</v>
      </c>
      <c r="G1884" s="69" t="s">
        <v>32</v>
      </c>
      <c r="H1884" s="69" t="s">
        <v>9</v>
      </c>
      <c r="I1884" s="69" t="s">
        <v>1441</v>
      </c>
      <c r="J1884" s="69" t="s">
        <v>55</v>
      </c>
      <c r="K1884" s="69" t="s">
        <v>1453</v>
      </c>
      <c r="M1884" s="69" t="s">
        <v>6</v>
      </c>
    </row>
    <row r="1885" spans="2:13">
      <c r="B1885" s="69">
        <v>1883</v>
      </c>
      <c r="C1885" s="69">
        <v>174</v>
      </c>
      <c r="D1885" s="69">
        <v>13</v>
      </c>
      <c r="E1885" s="69">
        <v>12</v>
      </c>
      <c r="F1885" s="69">
        <v>0</v>
      </c>
      <c r="G1885" s="69" t="s">
        <v>32</v>
      </c>
      <c r="H1885" s="69" t="s">
        <v>9</v>
      </c>
      <c r="I1885" s="69" t="s">
        <v>1441</v>
      </c>
      <c r="J1885" s="69" t="s">
        <v>55</v>
      </c>
      <c r="K1885" s="69" t="s">
        <v>93</v>
      </c>
      <c r="M1885" s="69" t="s">
        <v>6</v>
      </c>
    </row>
    <row r="1886" spans="2:13">
      <c r="B1886" s="69">
        <v>1884</v>
      </c>
      <c r="C1886" s="69">
        <v>174</v>
      </c>
      <c r="D1886" s="69">
        <v>13</v>
      </c>
      <c r="E1886" s="69">
        <v>13</v>
      </c>
      <c r="F1886" s="69">
        <v>0</v>
      </c>
      <c r="G1886" s="69" t="s">
        <v>32</v>
      </c>
      <c r="H1886" s="69" t="s">
        <v>9</v>
      </c>
      <c r="I1886" s="69" t="s">
        <v>1441</v>
      </c>
      <c r="J1886" s="69" t="s">
        <v>64</v>
      </c>
      <c r="K1886" s="69" t="s">
        <v>94</v>
      </c>
      <c r="M1886" s="69" t="s">
        <v>6</v>
      </c>
    </row>
    <row r="1887" spans="2:13">
      <c r="B1887" s="69">
        <v>1885</v>
      </c>
      <c r="C1887" s="69">
        <v>175</v>
      </c>
      <c r="D1887" s="69">
        <v>14</v>
      </c>
      <c r="E1887" s="69">
        <v>0</v>
      </c>
      <c r="F1887" s="69">
        <v>0</v>
      </c>
      <c r="G1887" s="69" t="s">
        <v>32</v>
      </c>
      <c r="H1887" s="69" t="s">
        <v>9</v>
      </c>
      <c r="I1887" s="69" t="s">
        <v>1454</v>
      </c>
      <c r="J1887" s="69" t="s">
        <v>478</v>
      </c>
      <c r="K1887" s="69" t="s">
        <v>1454</v>
      </c>
      <c r="M1887" s="69" t="s">
        <v>6</v>
      </c>
    </row>
    <row r="1888" spans="2:13">
      <c r="B1888" s="69">
        <v>1886</v>
      </c>
      <c r="C1888" s="69">
        <v>175</v>
      </c>
      <c r="D1888" s="69">
        <v>14</v>
      </c>
      <c r="E1888" s="69">
        <v>1</v>
      </c>
      <c r="F1888" s="69">
        <v>0</v>
      </c>
      <c r="G1888" s="69" t="s">
        <v>32</v>
      </c>
      <c r="H1888" s="69" t="s">
        <v>9</v>
      </c>
      <c r="I1888" s="69" t="s">
        <v>1454</v>
      </c>
      <c r="J1888" s="69" t="s">
        <v>479</v>
      </c>
      <c r="K1888" s="69" t="s">
        <v>1402</v>
      </c>
      <c r="M1888" s="69" t="s">
        <v>6</v>
      </c>
    </row>
    <row r="1889" spans="2:13">
      <c r="B1889" s="69">
        <v>1887</v>
      </c>
      <c r="C1889" s="69">
        <v>175</v>
      </c>
      <c r="D1889" s="69">
        <v>14</v>
      </c>
      <c r="E1889" s="69">
        <v>2</v>
      </c>
      <c r="F1889" s="69">
        <v>0</v>
      </c>
      <c r="G1889" s="69" t="s">
        <v>32</v>
      </c>
      <c r="H1889" s="69" t="s">
        <v>9</v>
      </c>
      <c r="I1889" s="69" t="s">
        <v>1454</v>
      </c>
      <c r="J1889" s="69" t="s">
        <v>55</v>
      </c>
      <c r="K1889" s="69" t="s">
        <v>1455</v>
      </c>
      <c r="M1889" s="69" t="s">
        <v>6</v>
      </c>
    </row>
    <row r="1890" spans="2:13">
      <c r="B1890" s="69">
        <v>1888</v>
      </c>
      <c r="C1890" s="69">
        <v>175</v>
      </c>
      <c r="D1890" s="69">
        <v>14</v>
      </c>
      <c r="E1890" s="69">
        <v>3</v>
      </c>
      <c r="F1890" s="69">
        <v>0</v>
      </c>
      <c r="G1890" s="69" t="s">
        <v>32</v>
      </c>
      <c r="H1890" s="69" t="s">
        <v>9</v>
      </c>
      <c r="I1890" s="69" t="s">
        <v>1454</v>
      </c>
      <c r="J1890" s="69" t="s">
        <v>55</v>
      </c>
      <c r="K1890" s="69" t="s">
        <v>1456</v>
      </c>
      <c r="M1890" s="69" t="s">
        <v>6</v>
      </c>
    </row>
    <row r="1891" spans="2:13">
      <c r="B1891" s="69">
        <v>1889</v>
      </c>
      <c r="C1891" s="69">
        <v>175</v>
      </c>
      <c r="D1891" s="69">
        <v>14</v>
      </c>
      <c r="E1891" s="69">
        <v>4</v>
      </c>
      <c r="F1891" s="69">
        <v>0</v>
      </c>
      <c r="G1891" s="69" t="s">
        <v>32</v>
      </c>
      <c r="H1891" s="69" t="s">
        <v>9</v>
      </c>
      <c r="I1891" s="69" t="s">
        <v>1454</v>
      </c>
      <c r="J1891" s="69" t="s">
        <v>55</v>
      </c>
      <c r="K1891" s="69" t="s">
        <v>1457</v>
      </c>
      <c r="M1891" s="69" t="s">
        <v>6</v>
      </c>
    </row>
    <row r="1892" spans="2:13">
      <c r="B1892" s="69">
        <v>1890</v>
      </c>
      <c r="C1892" s="69">
        <v>175</v>
      </c>
      <c r="D1892" s="69">
        <v>14</v>
      </c>
      <c r="E1892" s="69">
        <v>5</v>
      </c>
      <c r="F1892" s="69">
        <v>0</v>
      </c>
      <c r="G1892" s="69" t="s">
        <v>32</v>
      </c>
      <c r="H1892" s="69" t="s">
        <v>9</v>
      </c>
      <c r="I1892" s="69" t="s">
        <v>1454</v>
      </c>
      <c r="J1892" s="69" t="s">
        <v>55</v>
      </c>
      <c r="K1892" s="69" t="s">
        <v>1458</v>
      </c>
      <c r="M1892" s="69" t="s">
        <v>6</v>
      </c>
    </row>
    <row r="1893" spans="2:13">
      <c r="B1893" s="69">
        <v>1891</v>
      </c>
      <c r="C1893" s="69">
        <v>175</v>
      </c>
      <c r="D1893" s="69">
        <v>14</v>
      </c>
      <c r="E1893" s="69">
        <v>6</v>
      </c>
      <c r="F1893" s="69">
        <v>0</v>
      </c>
      <c r="G1893" s="69" t="s">
        <v>32</v>
      </c>
      <c r="H1893" s="69" t="s">
        <v>9</v>
      </c>
      <c r="I1893" s="69" t="s">
        <v>1454</v>
      </c>
      <c r="J1893" s="69" t="s">
        <v>55</v>
      </c>
      <c r="K1893" s="69" t="s">
        <v>1459</v>
      </c>
      <c r="M1893" s="69" t="s">
        <v>6</v>
      </c>
    </row>
    <row r="1894" spans="2:13">
      <c r="B1894" s="69">
        <v>1892</v>
      </c>
      <c r="C1894" s="69">
        <v>175</v>
      </c>
      <c r="D1894" s="69">
        <v>14</v>
      </c>
      <c r="E1894" s="69">
        <v>7</v>
      </c>
      <c r="F1894" s="69">
        <v>0</v>
      </c>
      <c r="G1894" s="69" t="s">
        <v>32</v>
      </c>
      <c r="H1894" s="69" t="s">
        <v>9</v>
      </c>
      <c r="I1894" s="69" t="s">
        <v>1454</v>
      </c>
      <c r="J1894" s="69" t="s">
        <v>55</v>
      </c>
      <c r="K1894" s="69" t="s">
        <v>1460</v>
      </c>
      <c r="M1894" s="69" t="s">
        <v>6</v>
      </c>
    </row>
    <row r="1895" spans="2:13">
      <c r="B1895" s="69">
        <v>1893</v>
      </c>
      <c r="C1895" s="69">
        <v>175</v>
      </c>
      <c r="D1895" s="69">
        <v>14</v>
      </c>
      <c r="E1895" s="69">
        <v>8</v>
      </c>
      <c r="F1895" s="69">
        <v>0</v>
      </c>
      <c r="G1895" s="69" t="s">
        <v>32</v>
      </c>
      <c r="H1895" s="69" t="s">
        <v>9</v>
      </c>
      <c r="I1895" s="69" t="s">
        <v>1454</v>
      </c>
      <c r="J1895" s="69" t="s">
        <v>55</v>
      </c>
      <c r="K1895" s="69" t="s">
        <v>1461</v>
      </c>
      <c r="M1895" s="69" t="s">
        <v>6</v>
      </c>
    </row>
    <row r="1896" spans="2:13">
      <c r="B1896" s="69">
        <v>1894</v>
      </c>
      <c r="C1896" s="69">
        <v>175</v>
      </c>
      <c r="D1896" s="69">
        <v>14</v>
      </c>
      <c r="E1896" s="69">
        <v>9</v>
      </c>
      <c r="F1896" s="69">
        <v>0</v>
      </c>
      <c r="G1896" s="69" t="s">
        <v>32</v>
      </c>
      <c r="H1896" s="69" t="s">
        <v>9</v>
      </c>
      <c r="I1896" s="69" t="s">
        <v>1454</v>
      </c>
      <c r="J1896" s="69" t="s">
        <v>479</v>
      </c>
      <c r="K1896" s="69" t="s">
        <v>1408</v>
      </c>
      <c r="M1896" s="69" t="s">
        <v>6</v>
      </c>
    </row>
    <row r="1897" spans="2:13">
      <c r="B1897" s="69">
        <v>1895</v>
      </c>
      <c r="C1897" s="69">
        <v>175</v>
      </c>
      <c r="D1897" s="69">
        <v>14</v>
      </c>
      <c r="E1897" s="69">
        <v>10</v>
      </c>
      <c r="F1897" s="69">
        <v>0</v>
      </c>
      <c r="G1897" s="69" t="s">
        <v>32</v>
      </c>
      <c r="H1897" s="69" t="s">
        <v>9</v>
      </c>
      <c r="I1897" s="69" t="s">
        <v>1454</v>
      </c>
      <c r="J1897" s="69" t="s">
        <v>55</v>
      </c>
      <c r="K1897" s="69" t="s">
        <v>1462</v>
      </c>
      <c r="M1897" s="69" t="s">
        <v>6</v>
      </c>
    </row>
    <row r="1898" spans="2:13">
      <c r="B1898" s="69">
        <v>1896</v>
      </c>
      <c r="C1898" s="69">
        <v>175</v>
      </c>
      <c r="D1898" s="69">
        <v>14</v>
      </c>
      <c r="E1898" s="69">
        <v>11</v>
      </c>
      <c r="F1898" s="69">
        <v>0</v>
      </c>
      <c r="G1898" s="69" t="s">
        <v>32</v>
      </c>
      <c r="H1898" s="69" t="s">
        <v>9</v>
      </c>
      <c r="I1898" s="69" t="s">
        <v>1454</v>
      </c>
      <c r="J1898" s="69" t="s">
        <v>55</v>
      </c>
      <c r="K1898" s="69" t="s">
        <v>1463</v>
      </c>
      <c r="M1898" s="69" t="s">
        <v>6</v>
      </c>
    </row>
    <row r="1899" spans="2:13">
      <c r="B1899" s="69">
        <v>1897</v>
      </c>
      <c r="C1899" s="69">
        <v>175</v>
      </c>
      <c r="D1899" s="69">
        <v>14</v>
      </c>
      <c r="E1899" s="69">
        <v>12</v>
      </c>
      <c r="F1899" s="69">
        <v>0</v>
      </c>
      <c r="G1899" s="69" t="s">
        <v>32</v>
      </c>
      <c r="H1899" s="69" t="s">
        <v>9</v>
      </c>
      <c r="I1899" s="69" t="s">
        <v>1454</v>
      </c>
      <c r="J1899" s="69" t="s">
        <v>55</v>
      </c>
      <c r="K1899" s="69" t="s">
        <v>1464</v>
      </c>
      <c r="M1899" s="69" t="s">
        <v>6</v>
      </c>
    </row>
    <row r="1900" spans="2:13">
      <c r="B1900" s="69">
        <v>1898</v>
      </c>
      <c r="C1900" s="69">
        <v>175</v>
      </c>
      <c r="D1900" s="69">
        <v>14</v>
      </c>
      <c r="E1900" s="69">
        <v>13</v>
      </c>
      <c r="F1900" s="69">
        <v>0</v>
      </c>
      <c r="G1900" s="69" t="s">
        <v>32</v>
      </c>
      <c r="H1900" s="69" t="s">
        <v>9</v>
      </c>
      <c r="I1900" s="69" t="s">
        <v>1454</v>
      </c>
      <c r="J1900" s="69" t="s">
        <v>55</v>
      </c>
      <c r="K1900" s="69" t="s">
        <v>93</v>
      </c>
      <c r="M1900" s="69" t="s">
        <v>6</v>
      </c>
    </row>
    <row r="1901" spans="2:13">
      <c r="B1901" s="69">
        <v>1899</v>
      </c>
      <c r="C1901" s="69">
        <v>175</v>
      </c>
      <c r="D1901" s="69">
        <v>14</v>
      </c>
      <c r="E1901" s="69">
        <v>14</v>
      </c>
      <c r="F1901" s="69">
        <v>0</v>
      </c>
      <c r="G1901" s="69" t="s">
        <v>32</v>
      </c>
      <c r="H1901" s="69" t="s">
        <v>9</v>
      </c>
      <c r="I1901" s="69" t="s">
        <v>1454</v>
      </c>
      <c r="J1901" s="69" t="s">
        <v>64</v>
      </c>
      <c r="K1901" s="69" t="s">
        <v>94</v>
      </c>
      <c r="M1901" s="69" t="s">
        <v>6</v>
      </c>
    </row>
    <row r="1902" spans="2:13">
      <c r="B1902" s="69">
        <v>1900</v>
      </c>
      <c r="C1902" s="69">
        <v>176</v>
      </c>
      <c r="D1902" s="69">
        <v>6</v>
      </c>
      <c r="E1902" s="69">
        <v>0</v>
      </c>
      <c r="F1902" s="69">
        <v>0</v>
      </c>
      <c r="G1902" s="69" t="s">
        <v>32</v>
      </c>
      <c r="H1902" s="69" t="s">
        <v>9</v>
      </c>
      <c r="I1902" s="69" t="s">
        <v>1465</v>
      </c>
      <c r="J1902" s="69" t="s">
        <v>54</v>
      </c>
      <c r="K1902" s="69" t="s">
        <v>1465</v>
      </c>
      <c r="M1902" s="69" t="s">
        <v>6</v>
      </c>
    </row>
    <row r="1903" spans="2:13">
      <c r="B1903" s="69">
        <v>1901</v>
      </c>
      <c r="C1903" s="69">
        <v>176</v>
      </c>
      <c r="D1903" s="69">
        <v>6</v>
      </c>
      <c r="E1903" s="69">
        <v>1</v>
      </c>
      <c r="F1903" s="69">
        <v>0</v>
      </c>
      <c r="G1903" s="69" t="s">
        <v>32</v>
      </c>
      <c r="H1903" s="69" t="s">
        <v>9</v>
      </c>
      <c r="I1903" s="69" t="s">
        <v>1465</v>
      </c>
      <c r="J1903" s="69" t="s">
        <v>55</v>
      </c>
      <c r="K1903" s="69" t="s">
        <v>1455</v>
      </c>
      <c r="M1903" s="69" t="s">
        <v>6</v>
      </c>
    </row>
    <row r="1904" spans="2:13">
      <c r="B1904" s="69">
        <v>1902</v>
      </c>
      <c r="C1904" s="69">
        <v>176</v>
      </c>
      <c r="D1904" s="69">
        <v>6</v>
      </c>
      <c r="E1904" s="69">
        <v>2</v>
      </c>
      <c r="F1904" s="69">
        <v>0</v>
      </c>
      <c r="G1904" s="69" t="s">
        <v>32</v>
      </c>
      <c r="H1904" s="69" t="s">
        <v>9</v>
      </c>
      <c r="I1904" s="69" t="s">
        <v>1465</v>
      </c>
      <c r="J1904" s="69" t="s">
        <v>55</v>
      </c>
      <c r="K1904" s="69" t="s">
        <v>1456</v>
      </c>
      <c r="M1904" s="69" t="s">
        <v>6</v>
      </c>
    </row>
    <row r="1905" spans="2:13">
      <c r="B1905" s="69">
        <v>1903</v>
      </c>
      <c r="C1905" s="69">
        <v>176</v>
      </c>
      <c r="D1905" s="69">
        <v>6</v>
      </c>
      <c r="E1905" s="69">
        <v>3</v>
      </c>
      <c r="F1905" s="69">
        <v>0</v>
      </c>
      <c r="G1905" s="69" t="s">
        <v>32</v>
      </c>
      <c r="H1905" s="69" t="s">
        <v>9</v>
      </c>
      <c r="I1905" s="69" t="s">
        <v>1465</v>
      </c>
      <c r="J1905" s="69" t="s">
        <v>55</v>
      </c>
      <c r="K1905" s="69" t="s">
        <v>1460</v>
      </c>
      <c r="M1905" s="69" t="s">
        <v>6</v>
      </c>
    </row>
    <row r="1906" spans="2:13">
      <c r="B1906" s="69">
        <v>1904</v>
      </c>
      <c r="C1906" s="69">
        <v>176</v>
      </c>
      <c r="D1906" s="69">
        <v>6</v>
      </c>
      <c r="E1906" s="69">
        <v>4</v>
      </c>
      <c r="F1906" s="69">
        <v>0</v>
      </c>
      <c r="G1906" s="69" t="s">
        <v>32</v>
      </c>
      <c r="H1906" s="69" t="s">
        <v>9</v>
      </c>
      <c r="I1906" s="69" t="s">
        <v>1465</v>
      </c>
      <c r="J1906" s="69" t="s">
        <v>55</v>
      </c>
      <c r="K1906" s="69" t="s">
        <v>1461</v>
      </c>
      <c r="M1906" s="69" t="s">
        <v>6</v>
      </c>
    </row>
    <row r="1907" spans="2:13">
      <c r="B1907" s="69">
        <v>1905</v>
      </c>
      <c r="C1907" s="69">
        <v>176</v>
      </c>
      <c r="D1907" s="69">
        <v>6</v>
      </c>
      <c r="E1907" s="69">
        <v>5</v>
      </c>
      <c r="F1907" s="69">
        <v>0</v>
      </c>
      <c r="G1907" s="69" t="s">
        <v>32</v>
      </c>
      <c r="H1907" s="69" t="s">
        <v>9</v>
      </c>
      <c r="I1907" s="69" t="s">
        <v>1465</v>
      </c>
      <c r="J1907" s="69" t="s">
        <v>55</v>
      </c>
      <c r="K1907" s="69" t="s">
        <v>93</v>
      </c>
      <c r="M1907" s="69" t="s">
        <v>6</v>
      </c>
    </row>
    <row r="1908" spans="2:13">
      <c r="B1908" s="69">
        <v>1906</v>
      </c>
      <c r="C1908" s="69">
        <v>176</v>
      </c>
      <c r="D1908" s="69">
        <v>6</v>
      </c>
      <c r="E1908" s="69">
        <v>6</v>
      </c>
      <c r="F1908" s="69">
        <v>0</v>
      </c>
      <c r="G1908" s="69" t="s">
        <v>32</v>
      </c>
      <c r="H1908" s="69" t="s">
        <v>9</v>
      </c>
      <c r="I1908" s="69" t="s">
        <v>1465</v>
      </c>
      <c r="J1908" s="69" t="s">
        <v>64</v>
      </c>
      <c r="K1908" s="69" t="s">
        <v>94</v>
      </c>
      <c r="M1908" s="69" t="s">
        <v>6</v>
      </c>
    </row>
    <row r="1909" spans="2:13">
      <c r="B1909" s="69">
        <v>1907</v>
      </c>
      <c r="C1909" s="69">
        <v>177</v>
      </c>
      <c r="D1909" s="69">
        <v>20</v>
      </c>
      <c r="E1909" s="69">
        <v>0</v>
      </c>
      <c r="F1909" s="69">
        <v>0</v>
      </c>
      <c r="G1909" s="69" t="s">
        <v>32</v>
      </c>
      <c r="H1909" s="69" t="s">
        <v>9</v>
      </c>
      <c r="I1909" s="69" t="s">
        <v>1466</v>
      </c>
      <c r="J1909" s="69" t="s">
        <v>478</v>
      </c>
      <c r="K1909" s="69" t="s">
        <v>1466</v>
      </c>
      <c r="M1909" s="69" t="s">
        <v>6</v>
      </c>
    </row>
    <row r="1910" spans="2:13">
      <c r="B1910" s="69">
        <v>1908</v>
      </c>
      <c r="C1910" s="69">
        <v>177</v>
      </c>
      <c r="D1910" s="69">
        <v>20</v>
      </c>
      <c r="E1910" s="69">
        <v>1</v>
      </c>
      <c r="F1910" s="69">
        <v>0</v>
      </c>
      <c r="G1910" s="69" t="s">
        <v>32</v>
      </c>
      <c r="H1910" s="69" t="s">
        <v>9</v>
      </c>
      <c r="I1910" s="69" t="s">
        <v>1466</v>
      </c>
      <c r="J1910" s="69" t="s">
        <v>479</v>
      </c>
      <c r="K1910" s="69" t="s">
        <v>1402</v>
      </c>
      <c r="M1910" s="69" t="s">
        <v>6</v>
      </c>
    </row>
    <row r="1911" spans="2:13">
      <c r="B1911" s="69">
        <v>1909</v>
      </c>
      <c r="C1911" s="69">
        <v>177</v>
      </c>
      <c r="D1911" s="69">
        <v>20</v>
      </c>
      <c r="E1911" s="69">
        <v>2</v>
      </c>
      <c r="F1911" s="69">
        <v>0</v>
      </c>
      <c r="G1911" s="69" t="s">
        <v>32</v>
      </c>
      <c r="H1911" s="69" t="s">
        <v>9</v>
      </c>
      <c r="I1911" s="69" t="s">
        <v>1466</v>
      </c>
      <c r="J1911" s="69" t="s">
        <v>55</v>
      </c>
      <c r="K1911" s="69" t="s">
        <v>1455</v>
      </c>
      <c r="M1911" s="69" t="s">
        <v>6</v>
      </c>
    </row>
    <row r="1912" spans="2:13">
      <c r="B1912" s="69">
        <v>1910</v>
      </c>
      <c r="C1912" s="69">
        <v>177</v>
      </c>
      <c r="D1912" s="69">
        <v>20</v>
      </c>
      <c r="E1912" s="69">
        <v>3</v>
      </c>
      <c r="F1912" s="69">
        <v>0</v>
      </c>
      <c r="G1912" s="69" t="s">
        <v>32</v>
      </c>
      <c r="H1912" s="69" t="s">
        <v>9</v>
      </c>
      <c r="I1912" s="69" t="s">
        <v>1466</v>
      </c>
      <c r="J1912" s="69" t="s">
        <v>55</v>
      </c>
      <c r="K1912" s="69" t="s">
        <v>1456</v>
      </c>
      <c r="M1912" s="69" t="s">
        <v>6</v>
      </c>
    </row>
    <row r="1913" spans="2:13">
      <c r="B1913" s="69">
        <v>1911</v>
      </c>
      <c r="C1913" s="69">
        <v>177</v>
      </c>
      <c r="D1913" s="69">
        <v>20</v>
      </c>
      <c r="E1913" s="69">
        <v>4</v>
      </c>
      <c r="F1913" s="69">
        <v>0</v>
      </c>
      <c r="G1913" s="69" t="s">
        <v>32</v>
      </c>
      <c r="H1913" s="69" t="s">
        <v>9</v>
      </c>
      <c r="I1913" s="69" t="s">
        <v>1466</v>
      </c>
      <c r="J1913" s="69" t="s">
        <v>55</v>
      </c>
      <c r="K1913" s="69" t="s">
        <v>1460</v>
      </c>
      <c r="M1913" s="69" t="s">
        <v>6</v>
      </c>
    </row>
    <row r="1914" spans="2:13">
      <c r="B1914" s="69">
        <v>1912</v>
      </c>
      <c r="C1914" s="69">
        <v>177</v>
      </c>
      <c r="D1914" s="69">
        <v>20</v>
      </c>
      <c r="E1914" s="69">
        <v>5</v>
      </c>
      <c r="F1914" s="69">
        <v>0</v>
      </c>
      <c r="G1914" s="69" t="s">
        <v>32</v>
      </c>
      <c r="H1914" s="69" t="s">
        <v>9</v>
      </c>
      <c r="I1914" s="69" t="s">
        <v>1466</v>
      </c>
      <c r="J1914" s="69" t="s">
        <v>55</v>
      </c>
      <c r="K1914" s="69" t="s">
        <v>1461</v>
      </c>
      <c r="M1914" s="69" t="s">
        <v>6</v>
      </c>
    </row>
    <row r="1915" spans="2:13">
      <c r="B1915" s="69">
        <v>1913</v>
      </c>
      <c r="C1915" s="69">
        <v>177</v>
      </c>
      <c r="D1915" s="69">
        <v>20</v>
      </c>
      <c r="E1915" s="69">
        <v>6</v>
      </c>
      <c r="F1915" s="69">
        <v>0</v>
      </c>
      <c r="G1915" s="69" t="s">
        <v>32</v>
      </c>
      <c r="H1915" s="69" t="s">
        <v>9</v>
      </c>
      <c r="I1915" s="69" t="s">
        <v>1466</v>
      </c>
      <c r="J1915" s="69" t="s">
        <v>479</v>
      </c>
      <c r="K1915" s="69" t="s">
        <v>1408</v>
      </c>
      <c r="M1915" s="69" t="s">
        <v>6</v>
      </c>
    </row>
    <row r="1916" spans="2:13">
      <c r="B1916" s="69">
        <v>1914</v>
      </c>
      <c r="C1916" s="69">
        <v>177</v>
      </c>
      <c r="D1916" s="69">
        <v>20</v>
      </c>
      <c r="E1916" s="69">
        <v>7</v>
      </c>
      <c r="F1916" s="69">
        <v>0</v>
      </c>
      <c r="G1916" s="69" t="s">
        <v>32</v>
      </c>
      <c r="H1916" s="69" t="s">
        <v>9</v>
      </c>
      <c r="I1916" s="69" t="s">
        <v>1466</v>
      </c>
      <c r="J1916" s="69" t="s">
        <v>55</v>
      </c>
      <c r="K1916" s="69" t="s">
        <v>1464</v>
      </c>
      <c r="M1916" s="69" t="s">
        <v>6</v>
      </c>
    </row>
    <row r="1917" spans="2:13">
      <c r="B1917" s="69">
        <v>1915</v>
      </c>
      <c r="C1917" s="69">
        <v>177</v>
      </c>
      <c r="D1917" s="69">
        <v>20</v>
      </c>
      <c r="E1917" s="69">
        <v>8</v>
      </c>
      <c r="F1917" s="69">
        <v>0</v>
      </c>
      <c r="G1917" s="69" t="s">
        <v>32</v>
      </c>
      <c r="H1917" s="69" t="s">
        <v>9</v>
      </c>
      <c r="I1917" s="69" t="s">
        <v>1466</v>
      </c>
      <c r="J1917" s="69" t="s">
        <v>64</v>
      </c>
      <c r="K1917" s="69" t="s">
        <v>1461</v>
      </c>
      <c r="M1917" s="69" t="s">
        <v>6</v>
      </c>
    </row>
    <row r="1918" spans="2:13">
      <c r="B1918" s="69">
        <v>1916</v>
      </c>
      <c r="C1918" s="69">
        <v>177</v>
      </c>
      <c r="D1918" s="69">
        <v>20</v>
      </c>
      <c r="E1918" s="69">
        <v>9</v>
      </c>
      <c r="F1918" s="69">
        <v>0</v>
      </c>
      <c r="G1918" s="69" t="s">
        <v>32</v>
      </c>
      <c r="H1918" s="69" t="s">
        <v>9</v>
      </c>
      <c r="I1918" s="69" t="s">
        <v>1466</v>
      </c>
      <c r="J1918" s="69" t="s">
        <v>479</v>
      </c>
      <c r="K1918" s="69" t="s">
        <v>1467</v>
      </c>
      <c r="M1918" s="69" t="s">
        <v>6</v>
      </c>
    </row>
    <row r="1919" spans="2:13">
      <c r="B1919" s="69">
        <v>1917</v>
      </c>
      <c r="C1919" s="69">
        <v>177</v>
      </c>
      <c r="D1919" s="69">
        <v>20</v>
      </c>
      <c r="E1919" s="69">
        <v>10</v>
      </c>
      <c r="F1919" s="69">
        <v>0</v>
      </c>
      <c r="G1919" s="69" t="s">
        <v>32</v>
      </c>
      <c r="H1919" s="69" t="s">
        <v>9</v>
      </c>
      <c r="I1919" s="69" t="s">
        <v>1466</v>
      </c>
      <c r="J1919" s="69" t="s">
        <v>55</v>
      </c>
      <c r="K1919" s="69" t="s">
        <v>1468</v>
      </c>
      <c r="M1919" s="69" t="s">
        <v>6</v>
      </c>
    </row>
    <row r="1920" spans="2:13">
      <c r="B1920" s="69">
        <v>1918</v>
      </c>
      <c r="C1920" s="69">
        <v>177</v>
      </c>
      <c r="D1920" s="69">
        <v>20</v>
      </c>
      <c r="E1920" s="69">
        <v>11</v>
      </c>
      <c r="F1920" s="69">
        <v>0</v>
      </c>
      <c r="G1920" s="69" t="s">
        <v>32</v>
      </c>
      <c r="H1920" s="69" t="s">
        <v>9</v>
      </c>
      <c r="I1920" s="69" t="s">
        <v>1466</v>
      </c>
      <c r="J1920" s="69" t="s">
        <v>55</v>
      </c>
      <c r="K1920" s="69" t="s">
        <v>1469</v>
      </c>
      <c r="M1920" s="69" t="s">
        <v>6</v>
      </c>
    </row>
    <row r="1921" spans="2:13">
      <c r="B1921" s="69">
        <v>1919</v>
      </c>
      <c r="C1921" s="69">
        <v>177</v>
      </c>
      <c r="D1921" s="69">
        <v>20</v>
      </c>
      <c r="E1921" s="69">
        <v>12</v>
      </c>
      <c r="F1921" s="69">
        <v>0</v>
      </c>
      <c r="G1921" s="69" t="s">
        <v>32</v>
      </c>
      <c r="H1921" s="69" t="s">
        <v>9</v>
      </c>
      <c r="I1921" s="69" t="s">
        <v>1466</v>
      </c>
      <c r="J1921" s="69" t="s">
        <v>55</v>
      </c>
      <c r="K1921" s="69" t="s">
        <v>1470</v>
      </c>
      <c r="M1921" s="69" t="s">
        <v>6</v>
      </c>
    </row>
    <row r="1922" spans="2:13">
      <c r="B1922" s="69">
        <v>1920</v>
      </c>
      <c r="C1922" s="69">
        <v>177</v>
      </c>
      <c r="D1922" s="69">
        <v>20</v>
      </c>
      <c r="E1922" s="69">
        <v>13</v>
      </c>
      <c r="F1922" s="69">
        <v>0</v>
      </c>
      <c r="G1922" s="69" t="s">
        <v>32</v>
      </c>
      <c r="H1922" s="69" t="s">
        <v>9</v>
      </c>
      <c r="I1922" s="69" t="s">
        <v>1466</v>
      </c>
      <c r="J1922" s="69" t="s">
        <v>55</v>
      </c>
      <c r="K1922" s="69" t="s">
        <v>1471</v>
      </c>
      <c r="M1922" s="69" t="s">
        <v>6</v>
      </c>
    </row>
    <row r="1923" spans="2:13">
      <c r="B1923" s="69">
        <v>1921</v>
      </c>
      <c r="C1923" s="69">
        <v>177</v>
      </c>
      <c r="D1923" s="69">
        <v>20</v>
      </c>
      <c r="E1923" s="69">
        <v>14</v>
      </c>
      <c r="F1923" s="69">
        <v>0</v>
      </c>
      <c r="G1923" s="69" t="s">
        <v>32</v>
      </c>
      <c r="H1923" s="69" t="s">
        <v>9</v>
      </c>
      <c r="I1923" s="69" t="s">
        <v>1466</v>
      </c>
      <c r="J1923" s="69" t="s">
        <v>55</v>
      </c>
      <c r="K1923" s="69" t="s">
        <v>1472</v>
      </c>
      <c r="M1923" s="69" t="s">
        <v>6</v>
      </c>
    </row>
    <row r="1924" spans="2:13">
      <c r="B1924" s="69">
        <v>1922</v>
      </c>
      <c r="C1924" s="69">
        <v>177</v>
      </c>
      <c r="D1924" s="69">
        <v>20</v>
      </c>
      <c r="E1924" s="69">
        <v>15</v>
      </c>
      <c r="F1924" s="69">
        <v>0</v>
      </c>
      <c r="G1924" s="69" t="s">
        <v>32</v>
      </c>
      <c r="H1924" s="69" t="s">
        <v>9</v>
      </c>
      <c r="I1924" s="69" t="s">
        <v>1466</v>
      </c>
      <c r="J1924" s="69" t="s">
        <v>55</v>
      </c>
      <c r="K1924" s="69" t="s">
        <v>1473</v>
      </c>
      <c r="M1924" s="69" t="s">
        <v>6</v>
      </c>
    </row>
    <row r="1925" spans="2:13">
      <c r="B1925" s="69">
        <v>1923</v>
      </c>
      <c r="C1925" s="69">
        <v>177</v>
      </c>
      <c r="D1925" s="69">
        <v>20</v>
      </c>
      <c r="E1925" s="69">
        <v>16</v>
      </c>
      <c r="F1925" s="69">
        <v>0</v>
      </c>
      <c r="G1925" s="69" t="s">
        <v>32</v>
      </c>
      <c r="H1925" s="69" t="s">
        <v>9</v>
      </c>
      <c r="I1925" s="69" t="s">
        <v>1466</v>
      </c>
      <c r="J1925" s="69" t="s">
        <v>55</v>
      </c>
      <c r="K1925" s="69" t="s">
        <v>1474</v>
      </c>
      <c r="M1925" s="69" t="s">
        <v>6</v>
      </c>
    </row>
    <row r="1926" spans="2:13">
      <c r="B1926" s="69">
        <v>1924</v>
      </c>
      <c r="C1926" s="69">
        <v>177</v>
      </c>
      <c r="D1926" s="69">
        <v>20</v>
      </c>
      <c r="E1926" s="69">
        <v>17</v>
      </c>
      <c r="F1926" s="69">
        <v>0</v>
      </c>
      <c r="G1926" s="69" t="s">
        <v>32</v>
      </c>
      <c r="H1926" s="69" t="s">
        <v>9</v>
      </c>
      <c r="I1926" s="69" t="s">
        <v>1466</v>
      </c>
      <c r="J1926" s="69" t="s">
        <v>55</v>
      </c>
      <c r="K1926" s="69" t="s">
        <v>1475</v>
      </c>
      <c r="M1926" s="69" t="s">
        <v>6</v>
      </c>
    </row>
    <row r="1927" spans="2:13">
      <c r="B1927" s="69">
        <v>1925</v>
      </c>
      <c r="C1927" s="69">
        <v>177</v>
      </c>
      <c r="D1927" s="69">
        <v>20</v>
      </c>
      <c r="E1927" s="69">
        <v>18</v>
      </c>
      <c r="F1927" s="69">
        <v>0</v>
      </c>
      <c r="G1927" s="69" t="s">
        <v>32</v>
      </c>
      <c r="H1927" s="69" t="s">
        <v>9</v>
      </c>
      <c r="I1927" s="69" t="s">
        <v>1466</v>
      </c>
      <c r="J1927" s="69" t="s">
        <v>64</v>
      </c>
      <c r="K1927" s="69" t="s">
        <v>1461</v>
      </c>
      <c r="M1927" s="69" t="s">
        <v>6</v>
      </c>
    </row>
    <row r="1928" spans="2:13">
      <c r="B1928" s="69">
        <v>1926</v>
      </c>
      <c r="C1928" s="69">
        <v>177</v>
      </c>
      <c r="D1928" s="69">
        <v>20</v>
      </c>
      <c r="E1928" s="69">
        <v>19</v>
      </c>
      <c r="F1928" s="69">
        <v>0</v>
      </c>
      <c r="G1928" s="69" t="s">
        <v>32</v>
      </c>
      <c r="H1928" s="69" t="s">
        <v>9</v>
      </c>
      <c r="I1928" s="69" t="s">
        <v>1466</v>
      </c>
      <c r="J1928" s="69" t="s">
        <v>55</v>
      </c>
      <c r="K1928" s="69" t="s">
        <v>93</v>
      </c>
      <c r="M1928" s="69" t="s">
        <v>6</v>
      </c>
    </row>
    <row r="1929" spans="2:13">
      <c r="B1929" s="69">
        <v>1927</v>
      </c>
      <c r="C1929" s="69">
        <v>177</v>
      </c>
      <c r="D1929" s="69">
        <v>20</v>
      </c>
      <c r="E1929" s="69">
        <v>20</v>
      </c>
      <c r="F1929" s="69">
        <v>0</v>
      </c>
      <c r="G1929" s="69" t="s">
        <v>32</v>
      </c>
      <c r="H1929" s="69" t="s">
        <v>9</v>
      </c>
      <c r="I1929" s="69" t="s">
        <v>1466</v>
      </c>
      <c r="J1929" s="69" t="s">
        <v>64</v>
      </c>
      <c r="K1929" s="69" t="s">
        <v>94</v>
      </c>
      <c r="M1929" s="69" t="s">
        <v>6</v>
      </c>
    </row>
    <row r="1930" spans="2:13">
      <c r="B1930" s="69">
        <v>1928</v>
      </c>
      <c r="C1930" s="69">
        <v>178</v>
      </c>
      <c r="D1930" s="69">
        <v>10</v>
      </c>
      <c r="E1930" s="69">
        <v>0</v>
      </c>
      <c r="F1930" s="69">
        <v>0</v>
      </c>
      <c r="G1930" s="69" t="s">
        <v>32</v>
      </c>
      <c r="H1930" s="69" t="s">
        <v>9</v>
      </c>
      <c r="I1930" s="69" t="s">
        <v>1476</v>
      </c>
      <c r="J1930" s="69" t="s">
        <v>478</v>
      </c>
      <c r="K1930" s="69" t="s">
        <v>1476</v>
      </c>
      <c r="M1930" s="69" t="s">
        <v>6</v>
      </c>
    </row>
    <row r="1931" spans="2:13">
      <c r="B1931" s="69">
        <v>1929</v>
      </c>
      <c r="C1931" s="69">
        <v>178</v>
      </c>
      <c r="D1931" s="69">
        <v>10</v>
      </c>
      <c r="E1931" s="69">
        <v>1</v>
      </c>
      <c r="F1931" s="69">
        <v>0</v>
      </c>
      <c r="G1931" s="69" t="s">
        <v>32</v>
      </c>
      <c r="H1931" s="69" t="s">
        <v>9</v>
      </c>
      <c r="I1931" s="69" t="s">
        <v>1476</v>
      </c>
      <c r="J1931" s="69" t="s">
        <v>479</v>
      </c>
      <c r="K1931" s="69" t="s">
        <v>1397</v>
      </c>
      <c r="M1931" s="69" t="s">
        <v>6</v>
      </c>
    </row>
    <row r="1932" spans="2:13">
      <c r="B1932" s="69">
        <v>1930</v>
      </c>
      <c r="C1932" s="69">
        <v>178</v>
      </c>
      <c r="D1932" s="69">
        <v>10</v>
      </c>
      <c r="E1932" s="69">
        <v>2</v>
      </c>
      <c r="F1932" s="69">
        <v>0</v>
      </c>
      <c r="G1932" s="69" t="s">
        <v>32</v>
      </c>
      <c r="H1932" s="69" t="s">
        <v>9</v>
      </c>
      <c r="I1932" s="69" t="s">
        <v>1476</v>
      </c>
      <c r="J1932" s="69" t="s">
        <v>55</v>
      </c>
      <c r="K1932" s="69" t="s">
        <v>1477</v>
      </c>
      <c r="M1932" s="69" t="s">
        <v>6</v>
      </c>
    </row>
    <row r="1933" spans="2:13">
      <c r="B1933" s="69">
        <v>1931</v>
      </c>
      <c r="C1933" s="69">
        <v>178</v>
      </c>
      <c r="D1933" s="69">
        <v>10</v>
      </c>
      <c r="E1933" s="69">
        <v>3</v>
      </c>
      <c r="F1933" s="69">
        <v>0</v>
      </c>
      <c r="G1933" s="69" t="s">
        <v>32</v>
      </c>
      <c r="H1933" s="69" t="s">
        <v>9</v>
      </c>
      <c r="I1933" s="69" t="s">
        <v>1476</v>
      </c>
      <c r="J1933" s="69" t="s">
        <v>55</v>
      </c>
      <c r="K1933" s="69" t="s">
        <v>1478</v>
      </c>
      <c r="M1933" s="69" t="s">
        <v>6</v>
      </c>
    </row>
    <row r="1934" spans="2:13">
      <c r="B1934" s="69">
        <v>1932</v>
      </c>
      <c r="C1934" s="69">
        <v>178</v>
      </c>
      <c r="D1934" s="69">
        <v>10</v>
      </c>
      <c r="E1934" s="69">
        <v>4</v>
      </c>
      <c r="F1934" s="69">
        <v>0</v>
      </c>
      <c r="G1934" s="69" t="s">
        <v>32</v>
      </c>
      <c r="H1934" s="69" t="s">
        <v>9</v>
      </c>
      <c r="I1934" s="69" t="s">
        <v>1476</v>
      </c>
      <c r="J1934" s="69" t="s">
        <v>55</v>
      </c>
      <c r="K1934" s="69" t="s">
        <v>1479</v>
      </c>
      <c r="M1934" s="69" t="s">
        <v>6</v>
      </c>
    </row>
    <row r="1935" spans="2:13">
      <c r="B1935" s="69">
        <v>1933</v>
      </c>
      <c r="C1935" s="69">
        <v>178</v>
      </c>
      <c r="D1935" s="69">
        <v>10</v>
      </c>
      <c r="E1935" s="69">
        <v>5</v>
      </c>
      <c r="F1935" s="69">
        <v>0</v>
      </c>
      <c r="G1935" s="69" t="s">
        <v>32</v>
      </c>
      <c r="H1935" s="69" t="s">
        <v>9</v>
      </c>
      <c r="I1935" s="69" t="s">
        <v>1476</v>
      </c>
      <c r="J1935" s="69" t="s">
        <v>479</v>
      </c>
      <c r="K1935" s="69" t="s">
        <v>1402</v>
      </c>
      <c r="M1935" s="69" t="s">
        <v>6</v>
      </c>
    </row>
    <row r="1936" spans="2:13">
      <c r="B1936" s="69">
        <v>1934</v>
      </c>
      <c r="C1936" s="69">
        <v>178</v>
      </c>
      <c r="D1936" s="69">
        <v>10</v>
      </c>
      <c r="E1936" s="69">
        <v>6</v>
      </c>
      <c r="F1936" s="69">
        <v>0</v>
      </c>
      <c r="G1936" s="69" t="s">
        <v>32</v>
      </c>
      <c r="H1936" s="69" t="s">
        <v>9</v>
      </c>
      <c r="I1936" s="69" t="s">
        <v>1476</v>
      </c>
      <c r="J1936" s="69" t="s">
        <v>55</v>
      </c>
      <c r="K1936" s="69" t="s">
        <v>1480</v>
      </c>
      <c r="M1936" s="69" t="s">
        <v>6</v>
      </c>
    </row>
    <row r="1937" spans="2:13">
      <c r="B1937" s="69">
        <v>1935</v>
      </c>
      <c r="C1937" s="69">
        <v>178</v>
      </c>
      <c r="D1937" s="69">
        <v>10</v>
      </c>
      <c r="E1937" s="69">
        <v>7</v>
      </c>
      <c r="F1937" s="69">
        <v>0</v>
      </c>
      <c r="G1937" s="69" t="s">
        <v>32</v>
      </c>
      <c r="H1937" s="69" t="s">
        <v>9</v>
      </c>
      <c r="I1937" s="69" t="s">
        <v>1476</v>
      </c>
      <c r="J1937" s="69" t="s">
        <v>55</v>
      </c>
      <c r="K1937" s="69" t="s">
        <v>1481</v>
      </c>
      <c r="M1937" s="69" t="s">
        <v>6</v>
      </c>
    </row>
    <row r="1938" spans="2:13">
      <c r="B1938" s="69">
        <v>1936</v>
      </c>
      <c r="C1938" s="69">
        <v>178</v>
      </c>
      <c r="D1938" s="69">
        <v>10</v>
      </c>
      <c r="E1938" s="69">
        <v>8</v>
      </c>
      <c r="F1938" s="69">
        <v>0</v>
      </c>
      <c r="G1938" s="69" t="s">
        <v>32</v>
      </c>
      <c r="H1938" s="69" t="s">
        <v>9</v>
      </c>
      <c r="I1938" s="69" t="s">
        <v>1476</v>
      </c>
      <c r="J1938" s="69" t="s">
        <v>55</v>
      </c>
      <c r="K1938" s="69" t="s">
        <v>1482</v>
      </c>
      <c r="M1938" s="69" t="s">
        <v>6</v>
      </c>
    </row>
    <row r="1939" spans="2:13">
      <c r="B1939" s="69">
        <v>1937</v>
      </c>
      <c r="C1939" s="69">
        <v>178</v>
      </c>
      <c r="D1939" s="69">
        <v>10</v>
      </c>
      <c r="E1939" s="69">
        <v>9</v>
      </c>
      <c r="F1939" s="69">
        <v>0</v>
      </c>
      <c r="G1939" s="69" t="s">
        <v>32</v>
      </c>
      <c r="H1939" s="69" t="s">
        <v>9</v>
      </c>
      <c r="I1939" s="69" t="s">
        <v>1476</v>
      </c>
      <c r="J1939" s="69" t="s">
        <v>55</v>
      </c>
      <c r="K1939" s="69" t="s">
        <v>93</v>
      </c>
      <c r="M1939" s="69" t="s">
        <v>6</v>
      </c>
    </row>
    <row r="1940" spans="2:13">
      <c r="B1940" s="69">
        <v>1938</v>
      </c>
      <c r="C1940" s="69">
        <v>178</v>
      </c>
      <c r="D1940" s="69">
        <v>10</v>
      </c>
      <c r="E1940" s="69">
        <v>10</v>
      </c>
      <c r="F1940" s="69">
        <v>0</v>
      </c>
      <c r="G1940" s="69" t="s">
        <v>32</v>
      </c>
      <c r="H1940" s="69" t="s">
        <v>9</v>
      </c>
      <c r="I1940" s="69" t="s">
        <v>1476</v>
      </c>
      <c r="J1940" s="69" t="s">
        <v>64</v>
      </c>
      <c r="K1940" s="69" t="s">
        <v>94</v>
      </c>
      <c r="M1940" s="69" t="s">
        <v>6</v>
      </c>
    </row>
    <row r="1941" spans="2:13">
      <c r="B1941" s="69">
        <v>1939</v>
      </c>
      <c r="C1941" s="69">
        <v>179</v>
      </c>
      <c r="D1941" s="69">
        <v>11</v>
      </c>
      <c r="E1941" s="69">
        <v>0</v>
      </c>
      <c r="F1941" s="69">
        <v>0</v>
      </c>
      <c r="G1941" s="69" t="s">
        <v>32</v>
      </c>
      <c r="H1941" s="69" t="s">
        <v>9</v>
      </c>
      <c r="I1941" s="69" t="s">
        <v>1483</v>
      </c>
      <c r="J1941" s="69" t="s">
        <v>478</v>
      </c>
      <c r="K1941" s="69" t="s">
        <v>1483</v>
      </c>
      <c r="M1941" s="69" t="s">
        <v>6</v>
      </c>
    </row>
    <row r="1942" spans="2:13">
      <c r="B1942" s="69">
        <v>1940</v>
      </c>
      <c r="C1942" s="69">
        <v>179</v>
      </c>
      <c r="D1942" s="69">
        <v>11</v>
      </c>
      <c r="E1942" s="69">
        <v>1</v>
      </c>
      <c r="F1942" s="69">
        <v>0</v>
      </c>
      <c r="G1942" s="69" t="s">
        <v>32</v>
      </c>
      <c r="H1942" s="69" t="s">
        <v>9</v>
      </c>
      <c r="I1942" s="69" t="s">
        <v>1483</v>
      </c>
      <c r="J1942" s="69" t="s">
        <v>55</v>
      </c>
      <c r="K1942" s="69" t="s">
        <v>1484</v>
      </c>
      <c r="M1942" s="69" t="s">
        <v>6</v>
      </c>
    </row>
    <row r="1943" spans="2:13">
      <c r="B1943" s="69">
        <v>1941</v>
      </c>
      <c r="C1943" s="69">
        <v>179</v>
      </c>
      <c r="D1943" s="69">
        <v>11</v>
      </c>
      <c r="E1943" s="69">
        <v>2</v>
      </c>
      <c r="F1943" s="69">
        <v>0</v>
      </c>
      <c r="G1943" s="69" t="s">
        <v>32</v>
      </c>
      <c r="H1943" s="69" t="s">
        <v>9</v>
      </c>
      <c r="I1943" s="69" t="s">
        <v>1483</v>
      </c>
      <c r="J1943" s="69" t="s">
        <v>55</v>
      </c>
      <c r="K1943" s="69" t="s">
        <v>1485</v>
      </c>
      <c r="M1943" s="69" t="s">
        <v>6</v>
      </c>
    </row>
    <row r="1944" spans="2:13">
      <c r="B1944" s="69">
        <v>1942</v>
      </c>
      <c r="C1944" s="69">
        <v>179</v>
      </c>
      <c r="D1944" s="69">
        <v>11</v>
      </c>
      <c r="E1944" s="69">
        <v>3</v>
      </c>
      <c r="F1944" s="69">
        <v>0</v>
      </c>
      <c r="G1944" s="69" t="s">
        <v>32</v>
      </c>
      <c r="H1944" s="69" t="s">
        <v>9</v>
      </c>
      <c r="I1944" s="69" t="s">
        <v>1483</v>
      </c>
      <c r="J1944" s="69" t="s">
        <v>55</v>
      </c>
      <c r="K1944" s="69" t="s">
        <v>1486</v>
      </c>
      <c r="M1944" s="69" t="s">
        <v>6</v>
      </c>
    </row>
    <row r="1945" spans="2:13">
      <c r="B1945" s="69">
        <v>1943</v>
      </c>
      <c r="C1945" s="69">
        <v>179</v>
      </c>
      <c r="D1945" s="69">
        <v>11</v>
      </c>
      <c r="E1945" s="69">
        <v>4</v>
      </c>
      <c r="F1945" s="69">
        <v>0</v>
      </c>
      <c r="G1945" s="69" t="s">
        <v>32</v>
      </c>
      <c r="H1945" s="69" t="s">
        <v>9</v>
      </c>
      <c r="I1945" s="69" t="s">
        <v>1483</v>
      </c>
      <c r="J1945" s="69" t="s">
        <v>55</v>
      </c>
      <c r="K1945" s="69" t="s">
        <v>1487</v>
      </c>
      <c r="M1945" s="69" t="s">
        <v>6</v>
      </c>
    </row>
    <row r="1946" spans="2:13">
      <c r="B1946" s="69">
        <v>1944</v>
      </c>
      <c r="C1946" s="69">
        <v>179</v>
      </c>
      <c r="D1946" s="69">
        <v>11</v>
      </c>
      <c r="E1946" s="69">
        <v>5</v>
      </c>
      <c r="F1946" s="69">
        <v>0</v>
      </c>
      <c r="G1946" s="69" t="s">
        <v>32</v>
      </c>
      <c r="H1946" s="69" t="s">
        <v>9</v>
      </c>
      <c r="I1946" s="69" t="s">
        <v>1483</v>
      </c>
      <c r="J1946" s="69" t="s">
        <v>55</v>
      </c>
      <c r="K1946" s="69" t="s">
        <v>1488</v>
      </c>
      <c r="M1946" s="69" t="s">
        <v>6</v>
      </c>
    </row>
    <row r="1947" spans="2:13">
      <c r="B1947" s="69">
        <v>1945</v>
      </c>
      <c r="C1947" s="69">
        <v>179</v>
      </c>
      <c r="D1947" s="69">
        <v>11</v>
      </c>
      <c r="E1947" s="69">
        <v>6</v>
      </c>
      <c r="F1947" s="69">
        <v>0</v>
      </c>
      <c r="G1947" s="69" t="s">
        <v>32</v>
      </c>
      <c r="H1947" s="69" t="s">
        <v>9</v>
      </c>
      <c r="I1947" s="69" t="s">
        <v>1483</v>
      </c>
      <c r="J1947" s="69" t="s">
        <v>55</v>
      </c>
      <c r="K1947" s="69" t="s">
        <v>1489</v>
      </c>
      <c r="M1947" s="69" t="s">
        <v>6</v>
      </c>
    </row>
    <row r="1948" spans="2:13">
      <c r="B1948" s="69">
        <v>1946</v>
      </c>
      <c r="C1948" s="69">
        <v>179</v>
      </c>
      <c r="D1948" s="69">
        <v>11</v>
      </c>
      <c r="E1948" s="69">
        <v>7</v>
      </c>
      <c r="F1948" s="69">
        <v>0</v>
      </c>
      <c r="G1948" s="69" t="s">
        <v>32</v>
      </c>
      <c r="H1948" s="69" t="s">
        <v>9</v>
      </c>
      <c r="I1948" s="69" t="s">
        <v>1483</v>
      </c>
      <c r="J1948" s="69" t="s">
        <v>55</v>
      </c>
      <c r="K1948" s="69" t="s">
        <v>1490</v>
      </c>
      <c r="M1948" s="69" t="s">
        <v>6</v>
      </c>
    </row>
    <row r="1949" spans="2:13">
      <c r="B1949" s="69">
        <v>1947</v>
      </c>
      <c r="C1949" s="69">
        <v>179</v>
      </c>
      <c r="D1949" s="69">
        <v>11</v>
      </c>
      <c r="E1949" s="69">
        <v>8</v>
      </c>
      <c r="F1949" s="69">
        <v>0</v>
      </c>
      <c r="G1949" s="69" t="s">
        <v>32</v>
      </c>
      <c r="H1949" s="69" t="s">
        <v>9</v>
      </c>
      <c r="I1949" s="69" t="s">
        <v>1483</v>
      </c>
      <c r="J1949" s="69" t="s">
        <v>55</v>
      </c>
      <c r="K1949" s="69" t="s">
        <v>1491</v>
      </c>
      <c r="M1949" s="69" t="s">
        <v>6</v>
      </c>
    </row>
    <row r="1950" spans="2:13">
      <c r="B1950" s="69">
        <v>1948</v>
      </c>
      <c r="C1950" s="69">
        <v>179</v>
      </c>
      <c r="D1950" s="69">
        <v>11</v>
      </c>
      <c r="E1950" s="69">
        <v>9</v>
      </c>
      <c r="F1950" s="69">
        <v>0</v>
      </c>
      <c r="G1950" s="69" t="s">
        <v>32</v>
      </c>
      <c r="H1950" s="69" t="s">
        <v>9</v>
      </c>
      <c r="I1950" s="69" t="s">
        <v>1483</v>
      </c>
      <c r="J1950" s="69" t="s">
        <v>55</v>
      </c>
      <c r="K1950" s="69" t="s">
        <v>1492</v>
      </c>
      <c r="M1950" s="69" t="s">
        <v>6</v>
      </c>
    </row>
    <row r="1951" spans="2:13">
      <c r="B1951" s="69">
        <v>1949</v>
      </c>
      <c r="C1951" s="69">
        <v>179</v>
      </c>
      <c r="D1951" s="69">
        <v>11</v>
      </c>
      <c r="E1951" s="69">
        <v>10</v>
      </c>
      <c r="F1951" s="69">
        <v>0</v>
      </c>
      <c r="G1951" s="69" t="s">
        <v>32</v>
      </c>
      <c r="H1951" s="69" t="s">
        <v>9</v>
      </c>
      <c r="I1951" s="69" t="s">
        <v>1483</v>
      </c>
      <c r="J1951" s="69" t="s">
        <v>55</v>
      </c>
      <c r="K1951" s="69" t="s">
        <v>93</v>
      </c>
      <c r="M1951" s="69" t="s">
        <v>6</v>
      </c>
    </row>
    <row r="1952" spans="2:13">
      <c r="B1952" s="69">
        <v>1950</v>
      </c>
      <c r="C1952" s="69">
        <v>179</v>
      </c>
      <c r="D1952" s="69">
        <v>11</v>
      </c>
      <c r="E1952" s="69">
        <v>11</v>
      </c>
      <c r="F1952" s="69">
        <v>0</v>
      </c>
      <c r="G1952" s="69" t="s">
        <v>32</v>
      </c>
      <c r="H1952" s="69" t="s">
        <v>9</v>
      </c>
      <c r="I1952" s="69" t="s">
        <v>1483</v>
      </c>
      <c r="J1952" s="69" t="s">
        <v>64</v>
      </c>
      <c r="K1952" s="69" t="s">
        <v>94</v>
      </c>
      <c r="M1952" s="69" t="s">
        <v>6</v>
      </c>
    </row>
    <row r="1953" spans="2:13">
      <c r="B1953" s="69">
        <v>1951</v>
      </c>
      <c r="C1953" s="69">
        <v>180</v>
      </c>
      <c r="D1953" s="69">
        <v>37</v>
      </c>
      <c r="E1953" s="69">
        <v>0</v>
      </c>
      <c r="F1953" s="69">
        <v>0</v>
      </c>
      <c r="G1953" s="69" t="s">
        <v>32</v>
      </c>
      <c r="H1953" s="69" t="s">
        <v>9</v>
      </c>
      <c r="I1953" s="69" t="s">
        <v>1493</v>
      </c>
      <c r="J1953" s="69" t="s">
        <v>478</v>
      </c>
      <c r="K1953" s="69" t="s">
        <v>1493</v>
      </c>
      <c r="M1953" s="69" t="s">
        <v>6</v>
      </c>
    </row>
    <row r="1954" spans="2:13">
      <c r="B1954" s="69">
        <v>1952</v>
      </c>
      <c r="C1954" s="69">
        <v>180</v>
      </c>
      <c r="D1954" s="69">
        <v>37</v>
      </c>
      <c r="E1954" s="69">
        <v>1</v>
      </c>
      <c r="F1954" s="69">
        <v>0</v>
      </c>
      <c r="G1954" s="69" t="s">
        <v>32</v>
      </c>
      <c r="H1954" s="69" t="s">
        <v>9</v>
      </c>
      <c r="I1954" s="69" t="s">
        <v>1493</v>
      </c>
      <c r="J1954" s="69" t="s">
        <v>479</v>
      </c>
      <c r="K1954" s="69" t="s">
        <v>1397</v>
      </c>
      <c r="M1954" s="69" t="s">
        <v>6</v>
      </c>
    </row>
    <row r="1955" spans="2:13">
      <c r="B1955" s="69">
        <v>1953</v>
      </c>
      <c r="C1955" s="69">
        <v>180</v>
      </c>
      <c r="D1955" s="69">
        <v>37</v>
      </c>
      <c r="E1955" s="69">
        <v>2</v>
      </c>
      <c r="F1955" s="69">
        <v>0</v>
      </c>
      <c r="G1955" s="69" t="s">
        <v>32</v>
      </c>
      <c r="H1955" s="69" t="s">
        <v>9</v>
      </c>
      <c r="I1955" s="69" t="s">
        <v>1493</v>
      </c>
      <c r="J1955" s="69" t="s">
        <v>55</v>
      </c>
      <c r="K1955" s="69" t="s">
        <v>1494</v>
      </c>
      <c r="M1955" s="69" t="s">
        <v>6</v>
      </c>
    </row>
    <row r="1956" spans="2:13">
      <c r="B1956" s="69">
        <v>1954</v>
      </c>
      <c r="C1956" s="69">
        <v>180</v>
      </c>
      <c r="D1956" s="69">
        <v>37</v>
      </c>
      <c r="E1956" s="69">
        <v>3</v>
      </c>
      <c r="F1956" s="69">
        <v>0</v>
      </c>
      <c r="G1956" s="69" t="s">
        <v>32</v>
      </c>
      <c r="H1956" s="69" t="s">
        <v>9</v>
      </c>
      <c r="I1956" s="69" t="s">
        <v>1493</v>
      </c>
      <c r="J1956" s="69" t="s">
        <v>55</v>
      </c>
      <c r="K1956" s="69" t="s">
        <v>1495</v>
      </c>
      <c r="M1956" s="69" t="s">
        <v>6</v>
      </c>
    </row>
    <row r="1957" spans="2:13">
      <c r="B1957" s="69">
        <v>1955</v>
      </c>
      <c r="C1957" s="69">
        <v>180</v>
      </c>
      <c r="D1957" s="69">
        <v>37</v>
      </c>
      <c r="E1957" s="69">
        <v>4</v>
      </c>
      <c r="F1957" s="69">
        <v>0</v>
      </c>
      <c r="G1957" s="69" t="s">
        <v>32</v>
      </c>
      <c r="H1957" s="69" t="s">
        <v>9</v>
      </c>
      <c r="I1957" s="69" t="s">
        <v>1493</v>
      </c>
      <c r="J1957" s="69" t="s">
        <v>55</v>
      </c>
      <c r="K1957" s="69" t="s">
        <v>1496</v>
      </c>
      <c r="M1957" s="69" t="s">
        <v>6</v>
      </c>
    </row>
    <row r="1958" spans="2:13">
      <c r="B1958" s="69">
        <v>1956</v>
      </c>
      <c r="C1958" s="69">
        <v>180</v>
      </c>
      <c r="D1958" s="69">
        <v>37</v>
      </c>
      <c r="E1958" s="69">
        <v>5</v>
      </c>
      <c r="F1958" s="69">
        <v>0</v>
      </c>
      <c r="G1958" s="69" t="s">
        <v>32</v>
      </c>
      <c r="H1958" s="69" t="s">
        <v>9</v>
      </c>
      <c r="I1958" s="69" t="s">
        <v>1493</v>
      </c>
      <c r="J1958" s="69" t="s">
        <v>55</v>
      </c>
      <c r="K1958" s="69" t="s">
        <v>1497</v>
      </c>
      <c r="M1958" s="69" t="s">
        <v>6</v>
      </c>
    </row>
    <row r="1959" spans="2:13">
      <c r="B1959" s="69">
        <v>1957</v>
      </c>
      <c r="C1959" s="69">
        <v>180</v>
      </c>
      <c r="D1959" s="69">
        <v>37</v>
      </c>
      <c r="E1959" s="69">
        <v>6</v>
      </c>
      <c r="F1959" s="69">
        <v>0</v>
      </c>
      <c r="G1959" s="69" t="s">
        <v>32</v>
      </c>
      <c r="H1959" s="69" t="s">
        <v>9</v>
      </c>
      <c r="I1959" s="69" t="s">
        <v>1493</v>
      </c>
      <c r="J1959" s="69" t="s">
        <v>479</v>
      </c>
      <c r="K1959" s="69" t="s">
        <v>1402</v>
      </c>
      <c r="M1959" s="69" t="s">
        <v>6</v>
      </c>
    </row>
    <row r="1960" spans="2:13">
      <c r="B1960" s="69">
        <v>1958</v>
      </c>
      <c r="C1960" s="69">
        <v>180</v>
      </c>
      <c r="D1960" s="69">
        <v>37</v>
      </c>
      <c r="E1960" s="69">
        <v>7</v>
      </c>
      <c r="F1960" s="69">
        <v>0</v>
      </c>
      <c r="G1960" s="69" t="s">
        <v>32</v>
      </c>
      <c r="H1960" s="69" t="s">
        <v>9</v>
      </c>
      <c r="I1960" s="69" t="s">
        <v>1493</v>
      </c>
      <c r="J1960" s="69" t="s">
        <v>55</v>
      </c>
      <c r="K1960" s="69" t="s">
        <v>1324</v>
      </c>
      <c r="M1960" s="69" t="s">
        <v>6</v>
      </c>
    </row>
    <row r="1961" spans="2:13">
      <c r="B1961" s="69">
        <v>1959</v>
      </c>
      <c r="C1961" s="69">
        <v>180</v>
      </c>
      <c r="D1961" s="69">
        <v>37</v>
      </c>
      <c r="E1961" s="69">
        <v>8</v>
      </c>
      <c r="F1961" s="69">
        <v>0</v>
      </c>
      <c r="G1961" s="69" t="s">
        <v>32</v>
      </c>
      <c r="H1961" s="69" t="s">
        <v>9</v>
      </c>
      <c r="I1961" s="69" t="s">
        <v>1493</v>
      </c>
      <c r="J1961" s="69" t="s">
        <v>55</v>
      </c>
      <c r="K1961" s="69" t="s">
        <v>1498</v>
      </c>
      <c r="M1961" s="69" t="s">
        <v>6</v>
      </c>
    </row>
    <row r="1962" spans="2:13">
      <c r="B1962" s="69">
        <v>1960</v>
      </c>
      <c r="C1962" s="69">
        <v>180</v>
      </c>
      <c r="D1962" s="69">
        <v>37</v>
      </c>
      <c r="E1962" s="69">
        <v>9</v>
      </c>
      <c r="F1962" s="69">
        <v>0</v>
      </c>
      <c r="G1962" s="69" t="s">
        <v>32</v>
      </c>
      <c r="H1962" s="69" t="s">
        <v>9</v>
      </c>
      <c r="I1962" s="69" t="s">
        <v>1493</v>
      </c>
      <c r="J1962" s="69" t="s">
        <v>55</v>
      </c>
      <c r="K1962" s="69" t="s">
        <v>1499</v>
      </c>
      <c r="M1962" s="69" t="s">
        <v>6</v>
      </c>
    </row>
    <row r="1963" spans="2:13">
      <c r="B1963" s="69">
        <v>1961</v>
      </c>
      <c r="C1963" s="69">
        <v>180</v>
      </c>
      <c r="D1963" s="69">
        <v>37</v>
      </c>
      <c r="E1963" s="69">
        <v>10</v>
      </c>
      <c r="F1963" s="69">
        <v>0</v>
      </c>
      <c r="G1963" s="69" t="s">
        <v>32</v>
      </c>
      <c r="H1963" s="69" t="s">
        <v>9</v>
      </c>
      <c r="I1963" s="69" t="s">
        <v>1493</v>
      </c>
      <c r="J1963" s="69" t="s">
        <v>55</v>
      </c>
      <c r="K1963" s="69" t="s">
        <v>1500</v>
      </c>
      <c r="M1963" s="69" t="s">
        <v>6</v>
      </c>
    </row>
    <row r="1964" spans="2:13">
      <c r="B1964" s="69">
        <v>1962</v>
      </c>
      <c r="C1964" s="69">
        <v>180</v>
      </c>
      <c r="D1964" s="69">
        <v>37</v>
      </c>
      <c r="E1964" s="69">
        <v>11</v>
      </c>
      <c r="F1964" s="69">
        <v>0</v>
      </c>
      <c r="G1964" s="69" t="s">
        <v>32</v>
      </c>
      <c r="H1964" s="69" t="s">
        <v>9</v>
      </c>
      <c r="I1964" s="69" t="s">
        <v>1493</v>
      </c>
      <c r="J1964" s="69" t="s">
        <v>55</v>
      </c>
      <c r="K1964" s="69" t="s">
        <v>1501</v>
      </c>
      <c r="M1964" s="69" t="s">
        <v>6</v>
      </c>
    </row>
    <row r="1965" spans="2:13">
      <c r="B1965" s="69">
        <v>1963</v>
      </c>
      <c r="C1965" s="69">
        <v>180</v>
      </c>
      <c r="D1965" s="69">
        <v>37</v>
      </c>
      <c r="E1965" s="69">
        <v>12</v>
      </c>
      <c r="F1965" s="69">
        <v>0</v>
      </c>
      <c r="G1965" s="69" t="s">
        <v>32</v>
      </c>
      <c r="H1965" s="69" t="s">
        <v>9</v>
      </c>
      <c r="I1965" s="69" t="s">
        <v>1493</v>
      </c>
      <c r="J1965" s="69" t="s">
        <v>55</v>
      </c>
      <c r="K1965" s="69" t="s">
        <v>1502</v>
      </c>
      <c r="M1965" s="69" t="s">
        <v>6</v>
      </c>
    </row>
    <row r="1966" spans="2:13">
      <c r="B1966" s="69">
        <v>1964</v>
      </c>
      <c r="C1966" s="69">
        <v>180</v>
      </c>
      <c r="D1966" s="69">
        <v>37</v>
      </c>
      <c r="E1966" s="69">
        <v>13</v>
      </c>
      <c r="F1966" s="69">
        <v>0</v>
      </c>
      <c r="G1966" s="69" t="s">
        <v>32</v>
      </c>
      <c r="H1966" s="69" t="s">
        <v>9</v>
      </c>
      <c r="I1966" s="69" t="s">
        <v>1493</v>
      </c>
      <c r="J1966" s="69" t="s">
        <v>55</v>
      </c>
      <c r="K1966" s="69" t="s">
        <v>1503</v>
      </c>
      <c r="M1966" s="69" t="s">
        <v>6</v>
      </c>
    </row>
    <row r="1967" spans="2:13">
      <c r="B1967" s="69">
        <v>1965</v>
      </c>
      <c r="C1967" s="69">
        <v>180</v>
      </c>
      <c r="D1967" s="69">
        <v>37</v>
      </c>
      <c r="E1967" s="69">
        <v>14</v>
      </c>
      <c r="F1967" s="69">
        <v>0</v>
      </c>
      <c r="G1967" s="69" t="s">
        <v>32</v>
      </c>
      <c r="H1967" s="69" t="s">
        <v>9</v>
      </c>
      <c r="I1967" s="69" t="s">
        <v>1493</v>
      </c>
      <c r="J1967" s="69" t="s">
        <v>55</v>
      </c>
      <c r="K1967" s="69" t="s">
        <v>1504</v>
      </c>
      <c r="M1967" s="69" t="s">
        <v>6</v>
      </c>
    </row>
    <row r="1968" spans="2:13">
      <c r="B1968" s="69">
        <v>1966</v>
      </c>
      <c r="C1968" s="69">
        <v>180</v>
      </c>
      <c r="D1968" s="69">
        <v>37</v>
      </c>
      <c r="E1968" s="69">
        <v>15</v>
      </c>
      <c r="F1968" s="69">
        <v>0</v>
      </c>
      <c r="G1968" s="69" t="s">
        <v>32</v>
      </c>
      <c r="H1968" s="69" t="s">
        <v>9</v>
      </c>
      <c r="I1968" s="69" t="s">
        <v>1493</v>
      </c>
      <c r="J1968" s="69" t="s">
        <v>55</v>
      </c>
      <c r="K1968" s="69" t="s">
        <v>1505</v>
      </c>
      <c r="M1968" s="69" t="s">
        <v>6</v>
      </c>
    </row>
    <row r="1969" spans="2:13">
      <c r="B1969" s="69">
        <v>1967</v>
      </c>
      <c r="C1969" s="69">
        <v>180</v>
      </c>
      <c r="D1969" s="69">
        <v>37</v>
      </c>
      <c r="E1969" s="69">
        <v>16</v>
      </c>
      <c r="F1969" s="69">
        <v>0</v>
      </c>
      <c r="G1969" s="69" t="s">
        <v>32</v>
      </c>
      <c r="H1969" s="69" t="s">
        <v>9</v>
      </c>
      <c r="I1969" s="69" t="s">
        <v>1493</v>
      </c>
      <c r="J1969" s="69" t="s">
        <v>55</v>
      </c>
      <c r="K1969" s="69" t="s">
        <v>1506</v>
      </c>
      <c r="M1969" s="69" t="s">
        <v>6</v>
      </c>
    </row>
    <row r="1970" spans="2:13">
      <c r="B1970" s="69">
        <v>1968</v>
      </c>
      <c r="C1970" s="69">
        <v>180</v>
      </c>
      <c r="D1970" s="69">
        <v>37</v>
      </c>
      <c r="E1970" s="69">
        <v>17</v>
      </c>
      <c r="F1970" s="69">
        <v>0</v>
      </c>
      <c r="G1970" s="69" t="s">
        <v>32</v>
      </c>
      <c r="H1970" s="69" t="s">
        <v>9</v>
      </c>
      <c r="I1970" s="69" t="s">
        <v>1493</v>
      </c>
      <c r="J1970" s="69" t="s">
        <v>55</v>
      </c>
      <c r="K1970" s="69" t="s">
        <v>1507</v>
      </c>
      <c r="M1970" s="69" t="s">
        <v>6</v>
      </c>
    </row>
    <row r="1971" spans="2:13">
      <c r="B1971" s="69">
        <v>1969</v>
      </c>
      <c r="C1971" s="69">
        <v>180</v>
      </c>
      <c r="D1971" s="69">
        <v>37</v>
      </c>
      <c r="E1971" s="69">
        <v>18</v>
      </c>
      <c r="F1971" s="69">
        <v>0</v>
      </c>
      <c r="G1971" s="69" t="s">
        <v>32</v>
      </c>
      <c r="H1971" s="69" t="s">
        <v>9</v>
      </c>
      <c r="I1971" s="69" t="s">
        <v>1493</v>
      </c>
      <c r="J1971" s="69" t="s">
        <v>55</v>
      </c>
      <c r="K1971" s="69" t="s">
        <v>1508</v>
      </c>
      <c r="M1971" s="69" t="s">
        <v>6</v>
      </c>
    </row>
    <row r="1972" spans="2:13">
      <c r="B1972" s="69">
        <v>1970</v>
      </c>
      <c r="C1972" s="69">
        <v>180</v>
      </c>
      <c r="D1972" s="69">
        <v>37</v>
      </c>
      <c r="E1972" s="69">
        <v>19</v>
      </c>
      <c r="F1972" s="69">
        <v>0</v>
      </c>
      <c r="G1972" s="69" t="s">
        <v>32</v>
      </c>
      <c r="H1972" s="69" t="s">
        <v>9</v>
      </c>
      <c r="I1972" s="69" t="s">
        <v>1493</v>
      </c>
      <c r="J1972" s="69" t="s">
        <v>55</v>
      </c>
      <c r="K1972" s="69" t="s">
        <v>1509</v>
      </c>
      <c r="M1972" s="69" t="s">
        <v>6</v>
      </c>
    </row>
    <row r="1973" spans="2:13">
      <c r="B1973" s="69">
        <v>1971</v>
      </c>
      <c r="C1973" s="69">
        <v>180</v>
      </c>
      <c r="D1973" s="69">
        <v>37</v>
      </c>
      <c r="E1973" s="69">
        <v>20</v>
      </c>
      <c r="F1973" s="69">
        <v>0</v>
      </c>
      <c r="G1973" s="69" t="s">
        <v>32</v>
      </c>
      <c r="H1973" s="69" t="s">
        <v>9</v>
      </c>
      <c r="I1973" s="69" t="s">
        <v>1493</v>
      </c>
      <c r="J1973" s="69" t="s">
        <v>55</v>
      </c>
      <c r="K1973" s="69" t="s">
        <v>1510</v>
      </c>
      <c r="M1973" s="69" t="s">
        <v>6</v>
      </c>
    </row>
    <row r="1974" spans="2:13">
      <c r="B1974" s="69">
        <v>1972</v>
      </c>
      <c r="C1974" s="69">
        <v>180</v>
      </c>
      <c r="D1974" s="69">
        <v>37</v>
      </c>
      <c r="E1974" s="69">
        <v>21</v>
      </c>
      <c r="F1974" s="69">
        <v>0</v>
      </c>
      <c r="G1974" s="69" t="s">
        <v>32</v>
      </c>
      <c r="H1974" s="69" t="s">
        <v>9</v>
      </c>
      <c r="I1974" s="69" t="s">
        <v>1493</v>
      </c>
      <c r="J1974" s="69" t="s">
        <v>55</v>
      </c>
      <c r="K1974" s="69" t="s">
        <v>1511</v>
      </c>
      <c r="M1974" s="69" t="s">
        <v>6</v>
      </c>
    </row>
    <row r="1975" spans="2:13">
      <c r="B1975" s="69">
        <v>1973</v>
      </c>
      <c r="C1975" s="69">
        <v>180</v>
      </c>
      <c r="D1975" s="69">
        <v>37</v>
      </c>
      <c r="E1975" s="69">
        <v>22</v>
      </c>
      <c r="F1975" s="69">
        <v>0</v>
      </c>
      <c r="G1975" s="69" t="s">
        <v>32</v>
      </c>
      <c r="H1975" s="69" t="s">
        <v>9</v>
      </c>
      <c r="I1975" s="69" t="s">
        <v>1493</v>
      </c>
      <c r="J1975" s="69" t="s">
        <v>55</v>
      </c>
      <c r="K1975" s="69" t="s">
        <v>1512</v>
      </c>
      <c r="M1975" s="69" t="s">
        <v>6</v>
      </c>
    </row>
    <row r="1976" spans="2:13">
      <c r="B1976" s="69">
        <v>1974</v>
      </c>
      <c r="C1976" s="69">
        <v>180</v>
      </c>
      <c r="D1976" s="69">
        <v>37</v>
      </c>
      <c r="E1976" s="69">
        <v>23</v>
      </c>
      <c r="F1976" s="69">
        <v>0</v>
      </c>
      <c r="G1976" s="69" t="s">
        <v>32</v>
      </c>
      <c r="H1976" s="69" t="s">
        <v>9</v>
      </c>
      <c r="I1976" s="69" t="s">
        <v>1493</v>
      </c>
      <c r="J1976" s="69" t="s">
        <v>55</v>
      </c>
      <c r="K1976" s="69" t="s">
        <v>1513</v>
      </c>
      <c r="M1976" s="69" t="s">
        <v>6</v>
      </c>
    </row>
    <row r="1977" spans="2:13">
      <c r="B1977" s="69">
        <v>1975</v>
      </c>
      <c r="C1977" s="69">
        <v>180</v>
      </c>
      <c r="D1977" s="69">
        <v>37</v>
      </c>
      <c r="E1977" s="69">
        <v>24</v>
      </c>
      <c r="F1977" s="69">
        <v>0</v>
      </c>
      <c r="G1977" s="69" t="s">
        <v>32</v>
      </c>
      <c r="H1977" s="69" t="s">
        <v>9</v>
      </c>
      <c r="I1977" s="69" t="s">
        <v>1493</v>
      </c>
      <c r="J1977" s="69" t="s">
        <v>479</v>
      </c>
      <c r="K1977" s="69" t="s">
        <v>1408</v>
      </c>
      <c r="M1977" s="69" t="s">
        <v>6</v>
      </c>
    </row>
    <row r="1978" spans="2:13">
      <c r="B1978" s="69">
        <v>1976</v>
      </c>
      <c r="C1978" s="69">
        <v>180</v>
      </c>
      <c r="D1978" s="69">
        <v>37</v>
      </c>
      <c r="E1978" s="69">
        <v>25</v>
      </c>
      <c r="F1978" s="69">
        <v>0</v>
      </c>
      <c r="G1978" s="69" t="s">
        <v>32</v>
      </c>
      <c r="H1978" s="69" t="s">
        <v>9</v>
      </c>
      <c r="I1978" s="69" t="s">
        <v>1493</v>
      </c>
      <c r="J1978" s="69" t="s">
        <v>55</v>
      </c>
      <c r="K1978" s="69" t="s">
        <v>1514</v>
      </c>
      <c r="M1978" s="69" t="s">
        <v>6</v>
      </c>
    </row>
    <row r="1979" spans="2:13">
      <c r="B1979" s="69">
        <v>1977</v>
      </c>
      <c r="C1979" s="69">
        <v>180</v>
      </c>
      <c r="D1979" s="69">
        <v>37</v>
      </c>
      <c r="E1979" s="69">
        <v>26</v>
      </c>
      <c r="F1979" s="69">
        <v>0</v>
      </c>
      <c r="G1979" s="69" t="s">
        <v>32</v>
      </c>
      <c r="H1979" s="69" t="s">
        <v>9</v>
      </c>
      <c r="I1979" s="69" t="s">
        <v>1493</v>
      </c>
      <c r="J1979" s="69" t="s">
        <v>55</v>
      </c>
      <c r="K1979" s="69" t="s">
        <v>1515</v>
      </c>
      <c r="M1979" s="69" t="s">
        <v>6</v>
      </c>
    </row>
    <row r="1980" spans="2:13">
      <c r="B1980" s="69">
        <v>1978</v>
      </c>
      <c r="C1980" s="69">
        <v>180</v>
      </c>
      <c r="D1980" s="69">
        <v>37</v>
      </c>
      <c r="E1980" s="69">
        <v>27</v>
      </c>
      <c r="F1980" s="69">
        <v>0</v>
      </c>
      <c r="G1980" s="69" t="s">
        <v>32</v>
      </c>
      <c r="H1980" s="69" t="s">
        <v>9</v>
      </c>
      <c r="I1980" s="69" t="s">
        <v>1493</v>
      </c>
      <c r="J1980" s="69" t="s">
        <v>55</v>
      </c>
      <c r="K1980" s="69" t="s">
        <v>1516</v>
      </c>
      <c r="M1980" s="69" t="s">
        <v>6</v>
      </c>
    </row>
    <row r="1981" spans="2:13">
      <c r="B1981" s="69">
        <v>1979</v>
      </c>
      <c r="C1981" s="69">
        <v>180</v>
      </c>
      <c r="D1981" s="69">
        <v>37</v>
      </c>
      <c r="E1981" s="69">
        <v>28</v>
      </c>
      <c r="F1981" s="69">
        <v>0</v>
      </c>
      <c r="G1981" s="69" t="s">
        <v>32</v>
      </c>
      <c r="H1981" s="69" t="s">
        <v>9</v>
      </c>
      <c r="I1981" s="69" t="s">
        <v>1493</v>
      </c>
      <c r="J1981" s="69" t="s">
        <v>55</v>
      </c>
      <c r="K1981" s="69" t="s">
        <v>1517</v>
      </c>
      <c r="M1981" s="69" t="s">
        <v>6</v>
      </c>
    </row>
    <row r="1982" spans="2:13">
      <c r="B1982" s="69">
        <v>1980</v>
      </c>
      <c r="C1982" s="69">
        <v>180</v>
      </c>
      <c r="D1982" s="69">
        <v>37</v>
      </c>
      <c r="E1982" s="69">
        <v>29</v>
      </c>
      <c r="F1982" s="69">
        <v>0</v>
      </c>
      <c r="G1982" s="69" t="s">
        <v>32</v>
      </c>
      <c r="H1982" s="69" t="s">
        <v>9</v>
      </c>
      <c r="I1982" s="69" t="s">
        <v>1493</v>
      </c>
      <c r="J1982" s="69" t="s">
        <v>55</v>
      </c>
      <c r="K1982" s="69" t="s">
        <v>1518</v>
      </c>
      <c r="M1982" s="69" t="s">
        <v>6</v>
      </c>
    </row>
    <row r="1983" spans="2:13">
      <c r="B1983" s="69">
        <v>1981</v>
      </c>
      <c r="C1983" s="69">
        <v>180</v>
      </c>
      <c r="D1983" s="69">
        <v>37</v>
      </c>
      <c r="E1983" s="69">
        <v>30</v>
      </c>
      <c r="F1983" s="69">
        <v>0</v>
      </c>
      <c r="G1983" s="69" t="s">
        <v>32</v>
      </c>
      <c r="H1983" s="69" t="s">
        <v>9</v>
      </c>
      <c r="I1983" s="69" t="s">
        <v>1493</v>
      </c>
      <c r="J1983" s="69" t="s">
        <v>55</v>
      </c>
      <c r="K1983" s="69" t="s">
        <v>1519</v>
      </c>
      <c r="M1983" s="69" t="s">
        <v>6</v>
      </c>
    </row>
    <row r="1984" spans="2:13">
      <c r="B1984" s="69">
        <v>1982</v>
      </c>
      <c r="C1984" s="69">
        <v>180</v>
      </c>
      <c r="D1984" s="69">
        <v>37</v>
      </c>
      <c r="E1984" s="69">
        <v>31</v>
      </c>
      <c r="F1984" s="69">
        <v>0</v>
      </c>
      <c r="G1984" s="69" t="s">
        <v>32</v>
      </c>
      <c r="H1984" s="69" t="s">
        <v>9</v>
      </c>
      <c r="I1984" s="69" t="s">
        <v>1493</v>
      </c>
      <c r="J1984" s="69" t="s">
        <v>55</v>
      </c>
      <c r="K1984" s="69" t="s">
        <v>1520</v>
      </c>
      <c r="M1984" s="69" t="s">
        <v>6</v>
      </c>
    </row>
    <row r="1985" spans="2:13">
      <c r="B1985" s="69">
        <v>1983</v>
      </c>
      <c r="C1985" s="69">
        <v>180</v>
      </c>
      <c r="D1985" s="69">
        <v>37</v>
      </c>
      <c r="E1985" s="69">
        <v>32</v>
      </c>
      <c r="F1985" s="69">
        <v>0</v>
      </c>
      <c r="G1985" s="69" t="s">
        <v>32</v>
      </c>
      <c r="H1985" s="69" t="s">
        <v>9</v>
      </c>
      <c r="I1985" s="69" t="s">
        <v>1493</v>
      </c>
      <c r="J1985" s="69" t="s">
        <v>479</v>
      </c>
      <c r="K1985" s="69" t="s">
        <v>1416</v>
      </c>
      <c r="M1985" s="69" t="s">
        <v>6</v>
      </c>
    </row>
    <row r="1986" spans="2:13">
      <c r="B1986" s="69">
        <v>1984</v>
      </c>
      <c r="C1986" s="69">
        <v>180</v>
      </c>
      <c r="D1986" s="69">
        <v>37</v>
      </c>
      <c r="E1986" s="69">
        <v>33</v>
      </c>
      <c r="F1986" s="69">
        <v>0</v>
      </c>
      <c r="G1986" s="69" t="s">
        <v>32</v>
      </c>
      <c r="H1986" s="69" t="s">
        <v>9</v>
      </c>
      <c r="I1986" s="69" t="s">
        <v>1493</v>
      </c>
      <c r="J1986" s="69" t="s">
        <v>55</v>
      </c>
      <c r="K1986" s="69" t="s">
        <v>1521</v>
      </c>
      <c r="M1986" s="69" t="s">
        <v>6</v>
      </c>
    </row>
    <row r="1987" spans="2:13">
      <c r="B1987" s="69">
        <v>1985</v>
      </c>
      <c r="C1987" s="69">
        <v>180</v>
      </c>
      <c r="D1987" s="69">
        <v>37</v>
      </c>
      <c r="E1987" s="69">
        <v>34</v>
      </c>
      <c r="F1987" s="69">
        <v>0</v>
      </c>
      <c r="G1987" s="69" t="s">
        <v>32</v>
      </c>
      <c r="H1987" s="69" t="s">
        <v>9</v>
      </c>
      <c r="I1987" s="69" t="s">
        <v>1493</v>
      </c>
      <c r="J1987" s="69" t="s">
        <v>55</v>
      </c>
      <c r="K1987" s="69" t="s">
        <v>1522</v>
      </c>
      <c r="M1987" s="69" t="s">
        <v>6</v>
      </c>
    </row>
    <row r="1988" spans="2:13">
      <c r="B1988" s="69">
        <v>1986</v>
      </c>
      <c r="C1988" s="69">
        <v>180</v>
      </c>
      <c r="D1988" s="69">
        <v>37</v>
      </c>
      <c r="E1988" s="69">
        <v>35</v>
      </c>
      <c r="F1988" s="69">
        <v>0</v>
      </c>
      <c r="G1988" s="69" t="s">
        <v>32</v>
      </c>
      <c r="H1988" s="69" t="s">
        <v>9</v>
      </c>
      <c r="I1988" s="69" t="s">
        <v>1493</v>
      </c>
      <c r="J1988" s="69" t="s">
        <v>55</v>
      </c>
      <c r="K1988" s="69" t="s">
        <v>1523</v>
      </c>
      <c r="M1988" s="69" t="s">
        <v>6</v>
      </c>
    </row>
    <row r="1989" spans="2:13">
      <c r="B1989" s="69">
        <v>1987</v>
      </c>
      <c r="C1989" s="69">
        <v>180</v>
      </c>
      <c r="D1989" s="69">
        <v>37</v>
      </c>
      <c r="E1989" s="69">
        <v>36</v>
      </c>
      <c r="F1989" s="69">
        <v>0</v>
      </c>
      <c r="G1989" s="69" t="s">
        <v>32</v>
      </c>
      <c r="H1989" s="69" t="s">
        <v>9</v>
      </c>
      <c r="I1989" s="69" t="s">
        <v>1493</v>
      </c>
      <c r="J1989" s="69" t="s">
        <v>55</v>
      </c>
      <c r="K1989" s="69" t="s">
        <v>93</v>
      </c>
      <c r="M1989" s="69" t="s">
        <v>6</v>
      </c>
    </row>
    <row r="1990" spans="2:13">
      <c r="B1990" s="69">
        <v>1988</v>
      </c>
      <c r="C1990" s="69">
        <v>180</v>
      </c>
      <c r="D1990" s="69">
        <v>37</v>
      </c>
      <c r="E1990" s="69">
        <v>37</v>
      </c>
      <c r="F1990" s="69">
        <v>0</v>
      </c>
      <c r="G1990" s="69" t="s">
        <v>32</v>
      </c>
      <c r="H1990" s="69" t="s">
        <v>9</v>
      </c>
      <c r="I1990" s="69" t="s">
        <v>1493</v>
      </c>
      <c r="J1990" s="69" t="s">
        <v>64</v>
      </c>
      <c r="K1990" s="69" t="s">
        <v>94</v>
      </c>
      <c r="M1990" s="69" t="s">
        <v>6</v>
      </c>
    </row>
    <row r="1991" spans="2:13">
      <c r="B1991" s="69">
        <v>1989</v>
      </c>
      <c r="C1991" s="69">
        <v>181</v>
      </c>
      <c r="D1991" s="69">
        <v>17</v>
      </c>
      <c r="E1991" s="69">
        <v>0</v>
      </c>
      <c r="F1991" s="69">
        <v>0</v>
      </c>
      <c r="G1991" s="69" t="s">
        <v>32</v>
      </c>
      <c r="H1991" s="69" t="s">
        <v>9</v>
      </c>
      <c r="I1991" s="69" t="s">
        <v>1524</v>
      </c>
      <c r="J1991" s="69" t="s">
        <v>478</v>
      </c>
      <c r="K1991" s="69" t="s">
        <v>1524</v>
      </c>
      <c r="M1991" s="69" t="s">
        <v>6</v>
      </c>
    </row>
    <row r="1992" spans="2:13">
      <c r="B1992" s="69">
        <v>1990</v>
      </c>
      <c r="C1992" s="69">
        <v>181</v>
      </c>
      <c r="D1992" s="69">
        <v>17</v>
      </c>
      <c r="E1992" s="69">
        <v>1</v>
      </c>
      <c r="F1992" s="69">
        <v>0</v>
      </c>
      <c r="G1992" s="69" t="s">
        <v>32</v>
      </c>
      <c r="H1992" s="69" t="s">
        <v>9</v>
      </c>
      <c r="I1992" s="69" t="s">
        <v>1524</v>
      </c>
      <c r="J1992" s="69" t="s">
        <v>479</v>
      </c>
      <c r="K1992" s="69" t="s">
        <v>1397</v>
      </c>
      <c r="M1992" s="69" t="s">
        <v>6</v>
      </c>
    </row>
    <row r="1993" spans="2:13">
      <c r="B1993" s="69">
        <v>1991</v>
      </c>
      <c r="C1993" s="69">
        <v>181</v>
      </c>
      <c r="D1993" s="69">
        <v>17</v>
      </c>
      <c r="E1993" s="69">
        <v>2</v>
      </c>
      <c r="F1993" s="69">
        <v>0</v>
      </c>
      <c r="G1993" s="69" t="s">
        <v>32</v>
      </c>
      <c r="H1993" s="69" t="s">
        <v>9</v>
      </c>
      <c r="I1993" s="69" t="s">
        <v>1524</v>
      </c>
      <c r="J1993" s="69" t="s">
        <v>55</v>
      </c>
      <c r="K1993" s="69" t="s">
        <v>1477</v>
      </c>
      <c r="M1993" s="69" t="s">
        <v>6</v>
      </c>
    </row>
    <row r="1994" spans="2:13">
      <c r="B1994" s="69">
        <v>1992</v>
      </c>
      <c r="C1994" s="69">
        <v>181</v>
      </c>
      <c r="D1994" s="69">
        <v>17</v>
      </c>
      <c r="E1994" s="69">
        <v>3</v>
      </c>
      <c r="F1994" s="69">
        <v>0</v>
      </c>
      <c r="G1994" s="69" t="s">
        <v>32</v>
      </c>
      <c r="H1994" s="69" t="s">
        <v>9</v>
      </c>
      <c r="I1994" s="69" t="s">
        <v>1524</v>
      </c>
      <c r="J1994" s="69" t="s">
        <v>55</v>
      </c>
      <c r="K1994" s="69" t="s">
        <v>1478</v>
      </c>
      <c r="M1994" s="69" t="s">
        <v>6</v>
      </c>
    </row>
    <row r="1995" spans="2:13">
      <c r="B1995" s="69">
        <v>1993</v>
      </c>
      <c r="C1995" s="69">
        <v>181</v>
      </c>
      <c r="D1995" s="69">
        <v>17</v>
      </c>
      <c r="E1995" s="69">
        <v>4</v>
      </c>
      <c r="F1995" s="69">
        <v>0</v>
      </c>
      <c r="G1995" s="69" t="s">
        <v>32</v>
      </c>
      <c r="H1995" s="69" t="s">
        <v>9</v>
      </c>
      <c r="I1995" s="69" t="s">
        <v>1524</v>
      </c>
      <c r="J1995" s="69" t="s">
        <v>55</v>
      </c>
      <c r="K1995" s="69" t="s">
        <v>1479</v>
      </c>
      <c r="M1995" s="69" t="s">
        <v>6</v>
      </c>
    </row>
    <row r="1996" spans="2:13">
      <c r="B1996" s="69">
        <v>1994</v>
      </c>
      <c r="C1996" s="69">
        <v>181</v>
      </c>
      <c r="D1996" s="69">
        <v>17</v>
      </c>
      <c r="E1996" s="69">
        <v>5</v>
      </c>
      <c r="F1996" s="69">
        <v>0</v>
      </c>
      <c r="G1996" s="69" t="s">
        <v>32</v>
      </c>
      <c r="H1996" s="69" t="s">
        <v>9</v>
      </c>
      <c r="I1996" s="69" t="s">
        <v>1524</v>
      </c>
      <c r="J1996" s="69" t="s">
        <v>479</v>
      </c>
      <c r="K1996" s="69" t="s">
        <v>1402</v>
      </c>
      <c r="M1996" s="69" t="s">
        <v>6</v>
      </c>
    </row>
    <row r="1997" spans="2:13">
      <c r="B1997" s="69">
        <v>1995</v>
      </c>
      <c r="C1997" s="69">
        <v>181</v>
      </c>
      <c r="D1997" s="69">
        <v>17</v>
      </c>
      <c r="E1997" s="69">
        <v>6</v>
      </c>
      <c r="F1997" s="69">
        <v>0</v>
      </c>
      <c r="G1997" s="69" t="s">
        <v>32</v>
      </c>
      <c r="H1997" s="69" t="s">
        <v>9</v>
      </c>
      <c r="I1997" s="69" t="s">
        <v>1524</v>
      </c>
      <c r="J1997" s="69" t="s">
        <v>55</v>
      </c>
      <c r="K1997" s="69" t="s">
        <v>1525</v>
      </c>
      <c r="M1997" s="69" t="s">
        <v>6</v>
      </c>
    </row>
    <row r="1998" spans="2:13">
      <c r="B1998" s="69">
        <v>1996</v>
      </c>
      <c r="C1998" s="69">
        <v>181</v>
      </c>
      <c r="D1998" s="69">
        <v>17</v>
      </c>
      <c r="E1998" s="69">
        <v>7</v>
      </c>
      <c r="F1998" s="69">
        <v>0</v>
      </c>
      <c r="G1998" s="69" t="s">
        <v>32</v>
      </c>
      <c r="H1998" s="69" t="s">
        <v>9</v>
      </c>
      <c r="I1998" s="69" t="s">
        <v>1524</v>
      </c>
      <c r="J1998" s="69" t="s">
        <v>55</v>
      </c>
      <c r="K1998" s="69" t="s">
        <v>1526</v>
      </c>
      <c r="M1998" s="69" t="s">
        <v>6</v>
      </c>
    </row>
    <row r="1999" spans="2:13">
      <c r="B1999" s="69">
        <v>1997</v>
      </c>
      <c r="C1999" s="69">
        <v>181</v>
      </c>
      <c r="D1999" s="69">
        <v>17</v>
      </c>
      <c r="E1999" s="69">
        <v>8</v>
      </c>
      <c r="F1999" s="69">
        <v>0</v>
      </c>
      <c r="G1999" s="69" t="s">
        <v>32</v>
      </c>
      <c r="H1999" s="69" t="s">
        <v>9</v>
      </c>
      <c r="I1999" s="69" t="s">
        <v>1524</v>
      </c>
      <c r="J1999" s="69" t="s">
        <v>55</v>
      </c>
      <c r="K1999" s="69" t="s">
        <v>1513</v>
      </c>
      <c r="M1999" s="69" t="s">
        <v>6</v>
      </c>
    </row>
    <row r="2000" spans="2:13">
      <c r="B2000" s="69">
        <v>1998</v>
      </c>
      <c r="C2000" s="69">
        <v>181</v>
      </c>
      <c r="D2000" s="69">
        <v>17</v>
      </c>
      <c r="E2000" s="69">
        <v>9</v>
      </c>
      <c r="F2000" s="69">
        <v>0</v>
      </c>
      <c r="G2000" s="69" t="s">
        <v>32</v>
      </c>
      <c r="H2000" s="69" t="s">
        <v>9</v>
      </c>
      <c r="I2000" s="69" t="s">
        <v>1524</v>
      </c>
      <c r="J2000" s="69" t="s">
        <v>479</v>
      </c>
      <c r="K2000" s="69" t="s">
        <v>1408</v>
      </c>
      <c r="M2000" s="69" t="s">
        <v>6</v>
      </c>
    </row>
    <row r="2001" spans="2:13">
      <c r="B2001" s="69">
        <v>1999</v>
      </c>
      <c r="C2001" s="69">
        <v>181</v>
      </c>
      <c r="D2001" s="69">
        <v>17</v>
      </c>
      <c r="E2001" s="69">
        <v>10</v>
      </c>
      <c r="F2001" s="69">
        <v>0</v>
      </c>
      <c r="G2001" s="69" t="s">
        <v>32</v>
      </c>
      <c r="H2001" s="69" t="s">
        <v>9</v>
      </c>
      <c r="I2001" s="69" t="s">
        <v>1524</v>
      </c>
      <c r="J2001" s="69" t="s">
        <v>55</v>
      </c>
      <c r="K2001" s="69" t="s">
        <v>1527</v>
      </c>
      <c r="M2001" s="69" t="s">
        <v>6</v>
      </c>
    </row>
    <row r="2002" spans="2:13">
      <c r="B2002" s="69">
        <v>2000</v>
      </c>
      <c r="C2002" s="69">
        <v>181</v>
      </c>
      <c r="D2002" s="69">
        <v>17</v>
      </c>
      <c r="E2002" s="69">
        <v>11</v>
      </c>
      <c r="F2002" s="69">
        <v>0</v>
      </c>
      <c r="G2002" s="69" t="s">
        <v>32</v>
      </c>
      <c r="H2002" s="69" t="s">
        <v>9</v>
      </c>
      <c r="I2002" s="69" t="s">
        <v>1524</v>
      </c>
      <c r="J2002" s="69" t="s">
        <v>55</v>
      </c>
      <c r="K2002" s="69" t="s">
        <v>1520</v>
      </c>
      <c r="M2002" s="69" t="s">
        <v>6</v>
      </c>
    </row>
    <row r="2003" spans="2:13">
      <c r="B2003" s="69">
        <v>2001</v>
      </c>
      <c r="C2003" s="69">
        <v>181</v>
      </c>
      <c r="D2003" s="69">
        <v>17</v>
      </c>
      <c r="E2003" s="69">
        <v>12</v>
      </c>
      <c r="F2003" s="69">
        <v>0</v>
      </c>
      <c r="G2003" s="69" t="s">
        <v>32</v>
      </c>
      <c r="H2003" s="69" t="s">
        <v>9</v>
      </c>
      <c r="I2003" s="69" t="s">
        <v>1524</v>
      </c>
      <c r="J2003" s="69" t="s">
        <v>479</v>
      </c>
      <c r="K2003" s="69" t="s">
        <v>1416</v>
      </c>
      <c r="M2003" s="69" t="s">
        <v>6</v>
      </c>
    </row>
    <row r="2004" spans="2:13">
      <c r="B2004" s="69">
        <v>2002</v>
      </c>
      <c r="C2004" s="69">
        <v>181</v>
      </c>
      <c r="D2004" s="69">
        <v>17</v>
      </c>
      <c r="E2004" s="69">
        <v>13</v>
      </c>
      <c r="F2004" s="69">
        <v>0</v>
      </c>
      <c r="G2004" s="69" t="s">
        <v>32</v>
      </c>
      <c r="H2004" s="69" t="s">
        <v>9</v>
      </c>
      <c r="I2004" s="69" t="s">
        <v>1524</v>
      </c>
      <c r="J2004" s="69" t="s">
        <v>55</v>
      </c>
      <c r="K2004" s="69" t="s">
        <v>1528</v>
      </c>
      <c r="M2004" s="69" t="s">
        <v>6</v>
      </c>
    </row>
    <row r="2005" spans="2:13">
      <c r="B2005" s="69">
        <v>2003</v>
      </c>
      <c r="C2005" s="69">
        <v>181</v>
      </c>
      <c r="D2005" s="69">
        <v>17</v>
      </c>
      <c r="E2005" s="69">
        <v>14</v>
      </c>
      <c r="F2005" s="69">
        <v>0</v>
      </c>
      <c r="G2005" s="69" t="s">
        <v>32</v>
      </c>
      <c r="H2005" s="69" t="s">
        <v>9</v>
      </c>
      <c r="I2005" s="69" t="s">
        <v>1524</v>
      </c>
      <c r="J2005" s="69" t="s">
        <v>55</v>
      </c>
      <c r="K2005" s="69" t="s">
        <v>1529</v>
      </c>
      <c r="M2005" s="69" t="s">
        <v>6</v>
      </c>
    </row>
    <row r="2006" spans="2:13">
      <c r="B2006" s="69">
        <v>2004</v>
      </c>
      <c r="C2006" s="69">
        <v>181</v>
      </c>
      <c r="D2006" s="69">
        <v>17</v>
      </c>
      <c r="E2006" s="69">
        <v>15</v>
      </c>
      <c r="F2006" s="69">
        <v>0</v>
      </c>
      <c r="G2006" s="69" t="s">
        <v>32</v>
      </c>
      <c r="H2006" s="69" t="s">
        <v>9</v>
      </c>
      <c r="I2006" s="69" t="s">
        <v>1524</v>
      </c>
      <c r="J2006" s="69" t="s">
        <v>55</v>
      </c>
      <c r="K2006" s="69" t="s">
        <v>1523</v>
      </c>
      <c r="M2006" s="69" t="s">
        <v>6</v>
      </c>
    </row>
    <row r="2007" spans="2:13">
      <c r="B2007" s="69">
        <v>2005</v>
      </c>
      <c r="C2007" s="69">
        <v>181</v>
      </c>
      <c r="D2007" s="69">
        <v>17</v>
      </c>
      <c r="E2007" s="69">
        <v>16</v>
      </c>
      <c r="F2007" s="69">
        <v>0</v>
      </c>
      <c r="G2007" s="69" t="s">
        <v>32</v>
      </c>
      <c r="H2007" s="69" t="s">
        <v>9</v>
      </c>
      <c r="I2007" s="69" t="s">
        <v>1524</v>
      </c>
      <c r="J2007" s="69" t="s">
        <v>55</v>
      </c>
      <c r="K2007" s="69" t="s">
        <v>93</v>
      </c>
      <c r="M2007" s="69" t="s">
        <v>6</v>
      </c>
    </row>
    <row r="2008" spans="2:13">
      <c r="B2008" s="69">
        <v>2006</v>
      </c>
      <c r="C2008" s="69">
        <v>181</v>
      </c>
      <c r="D2008" s="69">
        <v>17</v>
      </c>
      <c r="E2008" s="69">
        <v>17</v>
      </c>
      <c r="F2008" s="69">
        <v>0</v>
      </c>
      <c r="G2008" s="69" t="s">
        <v>32</v>
      </c>
      <c r="H2008" s="69" t="s">
        <v>9</v>
      </c>
      <c r="I2008" s="69" t="s">
        <v>1524</v>
      </c>
      <c r="J2008" s="69" t="s">
        <v>64</v>
      </c>
      <c r="K2008" s="69" t="s">
        <v>94</v>
      </c>
      <c r="M2008" s="69" t="s">
        <v>6</v>
      </c>
    </row>
    <row r="2009" spans="2:13">
      <c r="B2009" s="69">
        <v>2007</v>
      </c>
      <c r="C2009" s="69">
        <v>182</v>
      </c>
      <c r="D2009" s="69">
        <v>24</v>
      </c>
      <c r="E2009" s="69">
        <v>0</v>
      </c>
      <c r="F2009" s="69">
        <v>0</v>
      </c>
      <c r="G2009" s="69" t="s">
        <v>32</v>
      </c>
      <c r="H2009" s="69" t="s">
        <v>9</v>
      </c>
      <c r="I2009" s="69" t="s">
        <v>1530</v>
      </c>
      <c r="J2009" s="69" t="s">
        <v>478</v>
      </c>
      <c r="K2009" s="69" t="s">
        <v>1530</v>
      </c>
      <c r="M2009" s="69" t="s">
        <v>6</v>
      </c>
    </row>
    <row r="2010" spans="2:13">
      <c r="B2010" s="69">
        <v>2008</v>
      </c>
      <c r="C2010" s="69">
        <v>182</v>
      </c>
      <c r="D2010" s="69">
        <v>24</v>
      </c>
      <c r="E2010" s="69">
        <v>1</v>
      </c>
      <c r="F2010" s="69">
        <v>0</v>
      </c>
      <c r="G2010" s="69" t="s">
        <v>32</v>
      </c>
      <c r="H2010" s="69" t="s">
        <v>9</v>
      </c>
      <c r="I2010" s="69" t="s">
        <v>1530</v>
      </c>
      <c r="J2010" s="69" t="s">
        <v>479</v>
      </c>
      <c r="K2010" s="69" t="s">
        <v>1397</v>
      </c>
      <c r="M2010" s="69" t="s">
        <v>6</v>
      </c>
    </row>
    <row r="2011" spans="2:13">
      <c r="B2011" s="69">
        <v>2009</v>
      </c>
      <c r="C2011" s="69">
        <v>182</v>
      </c>
      <c r="D2011" s="69">
        <v>24</v>
      </c>
      <c r="E2011" s="69">
        <v>2</v>
      </c>
      <c r="F2011" s="69">
        <v>0</v>
      </c>
      <c r="G2011" s="69" t="s">
        <v>32</v>
      </c>
      <c r="H2011" s="69" t="s">
        <v>9</v>
      </c>
      <c r="I2011" s="69" t="s">
        <v>1530</v>
      </c>
      <c r="J2011" s="69" t="s">
        <v>55</v>
      </c>
      <c r="K2011" s="69" t="s">
        <v>1477</v>
      </c>
      <c r="M2011" s="69" t="s">
        <v>6</v>
      </c>
    </row>
    <row r="2012" spans="2:13">
      <c r="B2012" s="69">
        <v>2010</v>
      </c>
      <c r="C2012" s="69">
        <v>182</v>
      </c>
      <c r="D2012" s="69">
        <v>24</v>
      </c>
      <c r="E2012" s="69">
        <v>3</v>
      </c>
      <c r="F2012" s="69">
        <v>0</v>
      </c>
      <c r="G2012" s="69" t="s">
        <v>32</v>
      </c>
      <c r="H2012" s="69" t="s">
        <v>9</v>
      </c>
      <c r="I2012" s="69" t="s">
        <v>1530</v>
      </c>
      <c r="J2012" s="69" t="s">
        <v>55</v>
      </c>
      <c r="K2012" s="69" t="s">
        <v>1531</v>
      </c>
      <c r="M2012" s="69" t="s">
        <v>6</v>
      </c>
    </row>
    <row r="2013" spans="2:13">
      <c r="B2013" s="69">
        <v>2011</v>
      </c>
      <c r="C2013" s="69">
        <v>182</v>
      </c>
      <c r="D2013" s="69">
        <v>24</v>
      </c>
      <c r="E2013" s="69">
        <v>4</v>
      </c>
      <c r="F2013" s="69">
        <v>0</v>
      </c>
      <c r="G2013" s="69" t="s">
        <v>32</v>
      </c>
      <c r="H2013" s="69" t="s">
        <v>9</v>
      </c>
      <c r="I2013" s="69" t="s">
        <v>1530</v>
      </c>
      <c r="J2013" s="69" t="s">
        <v>55</v>
      </c>
      <c r="K2013" s="69" t="s">
        <v>1479</v>
      </c>
      <c r="M2013" s="69" t="s">
        <v>6</v>
      </c>
    </row>
    <row r="2014" spans="2:13">
      <c r="B2014" s="69">
        <v>2012</v>
      </c>
      <c r="C2014" s="69">
        <v>182</v>
      </c>
      <c r="D2014" s="69">
        <v>24</v>
      </c>
      <c r="E2014" s="69">
        <v>5</v>
      </c>
      <c r="F2014" s="69">
        <v>0</v>
      </c>
      <c r="G2014" s="69" t="s">
        <v>32</v>
      </c>
      <c r="H2014" s="69" t="s">
        <v>9</v>
      </c>
      <c r="I2014" s="69" t="s">
        <v>1530</v>
      </c>
      <c r="J2014" s="69" t="s">
        <v>479</v>
      </c>
      <c r="K2014" s="69" t="s">
        <v>1402</v>
      </c>
      <c r="M2014" s="69" t="s">
        <v>6</v>
      </c>
    </row>
    <row r="2015" spans="2:13">
      <c r="B2015" s="69">
        <v>2013</v>
      </c>
      <c r="C2015" s="69">
        <v>182</v>
      </c>
      <c r="D2015" s="69">
        <v>24</v>
      </c>
      <c r="E2015" s="69">
        <v>6</v>
      </c>
      <c r="F2015" s="69">
        <v>0</v>
      </c>
      <c r="G2015" s="69" t="s">
        <v>32</v>
      </c>
      <c r="H2015" s="69" t="s">
        <v>9</v>
      </c>
      <c r="I2015" s="69" t="s">
        <v>1530</v>
      </c>
      <c r="J2015" s="69" t="s">
        <v>55</v>
      </c>
      <c r="K2015" s="69" t="s">
        <v>1525</v>
      </c>
      <c r="M2015" s="69" t="s">
        <v>6</v>
      </c>
    </row>
    <row r="2016" spans="2:13">
      <c r="B2016" s="69">
        <v>2014</v>
      </c>
      <c r="C2016" s="69">
        <v>182</v>
      </c>
      <c r="D2016" s="69">
        <v>24</v>
      </c>
      <c r="E2016" s="69">
        <v>7</v>
      </c>
      <c r="F2016" s="69">
        <v>0</v>
      </c>
      <c r="G2016" s="69" t="s">
        <v>32</v>
      </c>
      <c r="H2016" s="69" t="s">
        <v>9</v>
      </c>
      <c r="I2016" s="69" t="s">
        <v>1530</v>
      </c>
      <c r="J2016" s="69" t="s">
        <v>55</v>
      </c>
      <c r="K2016" s="69" t="s">
        <v>1526</v>
      </c>
      <c r="M2016" s="69" t="s">
        <v>6</v>
      </c>
    </row>
    <row r="2017" spans="2:13">
      <c r="B2017" s="69">
        <v>2015</v>
      </c>
      <c r="C2017" s="69">
        <v>182</v>
      </c>
      <c r="D2017" s="69">
        <v>24</v>
      </c>
      <c r="E2017" s="69">
        <v>8</v>
      </c>
      <c r="F2017" s="69">
        <v>0</v>
      </c>
      <c r="G2017" s="69" t="s">
        <v>32</v>
      </c>
      <c r="H2017" s="69" t="s">
        <v>9</v>
      </c>
      <c r="I2017" s="69" t="s">
        <v>1530</v>
      </c>
      <c r="J2017" s="69" t="s">
        <v>55</v>
      </c>
      <c r="K2017" s="69" t="s">
        <v>1500</v>
      </c>
      <c r="M2017" s="69" t="s">
        <v>6</v>
      </c>
    </row>
    <row r="2018" spans="2:13">
      <c r="B2018" s="69">
        <v>2016</v>
      </c>
      <c r="C2018" s="69">
        <v>182</v>
      </c>
      <c r="D2018" s="69">
        <v>24</v>
      </c>
      <c r="E2018" s="69">
        <v>9</v>
      </c>
      <c r="F2018" s="69">
        <v>0</v>
      </c>
      <c r="G2018" s="69" t="s">
        <v>32</v>
      </c>
      <c r="H2018" s="69" t="s">
        <v>9</v>
      </c>
      <c r="I2018" s="69" t="s">
        <v>1530</v>
      </c>
      <c r="J2018" s="69" t="s">
        <v>55</v>
      </c>
      <c r="K2018" s="69" t="s">
        <v>1501</v>
      </c>
      <c r="M2018" s="69" t="s">
        <v>6</v>
      </c>
    </row>
    <row r="2019" spans="2:13">
      <c r="B2019" s="69">
        <v>2017</v>
      </c>
      <c r="C2019" s="69">
        <v>182</v>
      </c>
      <c r="D2019" s="69">
        <v>24</v>
      </c>
      <c r="E2019" s="69">
        <v>10</v>
      </c>
      <c r="F2019" s="69">
        <v>0</v>
      </c>
      <c r="G2019" s="69" t="s">
        <v>32</v>
      </c>
      <c r="H2019" s="69" t="s">
        <v>9</v>
      </c>
      <c r="I2019" s="69" t="s">
        <v>1530</v>
      </c>
      <c r="J2019" s="69" t="s">
        <v>55</v>
      </c>
      <c r="K2019" s="69" t="s">
        <v>1532</v>
      </c>
      <c r="M2019" s="69" t="s">
        <v>6</v>
      </c>
    </row>
    <row r="2020" spans="2:13">
      <c r="B2020" s="69">
        <v>2018</v>
      </c>
      <c r="C2020" s="69">
        <v>182</v>
      </c>
      <c r="D2020" s="69">
        <v>24</v>
      </c>
      <c r="E2020" s="69">
        <v>11</v>
      </c>
      <c r="F2020" s="69">
        <v>0</v>
      </c>
      <c r="G2020" s="69" t="s">
        <v>32</v>
      </c>
      <c r="H2020" s="69" t="s">
        <v>9</v>
      </c>
      <c r="I2020" s="69" t="s">
        <v>1530</v>
      </c>
      <c r="J2020" s="69" t="s">
        <v>55</v>
      </c>
      <c r="K2020" s="69" t="s">
        <v>1502</v>
      </c>
      <c r="M2020" s="69" t="s">
        <v>6</v>
      </c>
    </row>
    <row r="2021" spans="2:13">
      <c r="B2021" s="69">
        <v>2019</v>
      </c>
      <c r="C2021" s="69">
        <v>182</v>
      </c>
      <c r="D2021" s="69">
        <v>24</v>
      </c>
      <c r="E2021" s="69">
        <v>12</v>
      </c>
      <c r="F2021" s="69">
        <v>0</v>
      </c>
      <c r="G2021" s="69" t="s">
        <v>32</v>
      </c>
      <c r="H2021" s="69" t="s">
        <v>9</v>
      </c>
      <c r="I2021" s="69" t="s">
        <v>1530</v>
      </c>
      <c r="J2021" s="69" t="s">
        <v>55</v>
      </c>
      <c r="K2021" s="69" t="s">
        <v>1503</v>
      </c>
      <c r="M2021" s="69" t="s">
        <v>6</v>
      </c>
    </row>
    <row r="2022" spans="2:13">
      <c r="B2022" s="69">
        <v>2020</v>
      </c>
      <c r="C2022" s="69">
        <v>182</v>
      </c>
      <c r="D2022" s="69">
        <v>24</v>
      </c>
      <c r="E2022" s="69">
        <v>13</v>
      </c>
      <c r="F2022" s="69">
        <v>0</v>
      </c>
      <c r="G2022" s="69" t="s">
        <v>32</v>
      </c>
      <c r="H2022" s="69" t="s">
        <v>9</v>
      </c>
      <c r="I2022" s="69" t="s">
        <v>1530</v>
      </c>
      <c r="J2022" s="69" t="s">
        <v>55</v>
      </c>
      <c r="K2022" s="69" t="s">
        <v>1504</v>
      </c>
      <c r="M2022" s="69" t="s">
        <v>6</v>
      </c>
    </row>
    <row r="2023" spans="2:13">
      <c r="B2023" s="69">
        <v>2021</v>
      </c>
      <c r="C2023" s="69">
        <v>182</v>
      </c>
      <c r="D2023" s="69">
        <v>24</v>
      </c>
      <c r="E2023" s="69">
        <v>14</v>
      </c>
      <c r="F2023" s="69">
        <v>0</v>
      </c>
      <c r="G2023" s="69" t="s">
        <v>32</v>
      </c>
      <c r="H2023" s="69" t="s">
        <v>9</v>
      </c>
      <c r="I2023" s="69" t="s">
        <v>1530</v>
      </c>
      <c r="J2023" s="69" t="s">
        <v>55</v>
      </c>
      <c r="K2023" s="69" t="s">
        <v>1505</v>
      </c>
      <c r="M2023" s="69" t="s">
        <v>6</v>
      </c>
    </row>
    <row r="2024" spans="2:13">
      <c r="B2024" s="69">
        <v>2022</v>
      </c>
      <c r="C2024" s="69">
        <v>182</v>
      </c>
      <c r="D2024" s="69">
        <v>24</v>
      </c>
      <c r="E2024" s="69">
        <v>15</v>
      </c>
      <c r="F2024" s="69">
        <v>0</v>
      </c>
      <c r="G2024" s="69" t="s">
        <v>32</v>
      </c>
      <c r="H2024" s="69" t="s">
        <v>9</v>
      </c>
      <c r="I2024" s="69" t="s">
        <v>1530</v>
      </c>
      <c r="J2024" s="69" t="s">
        <v>55</v>
      </c>
      <c r="K2024" s="69" t="s">
        <v>1506</v>
      </c>
      <c r="M2024" s="69" t="s">
        <v>6</v>
      </c>
    </row>
    <row r="2025" spans="2:13">
      <c r="B2025" s="69">
        <v>2023</v>
      </c>
      <c r="C2025" s="69">
        <v>182</v>
      </c>
      <c r="D2025" s="69">
        <v>24</v>
      </c>
      <c r="E2025" s="69">
        <v>16</v>
      </c>
      <c r="F2025" s="69">
        <v>0</v>
      </c>
      <c r="G2025" s="69" t="s">
        <v>32</v>
      </c>
      <c r="H2025" s="69" t="s">
        <v>9</v>
      </c>
      <c r="I2025" s="69" t="s">
        <v>1530</v>
      </c>
      <c r="J2025" s="69" t="s">
        <v>55</v>
      </c>
      <c r="K2025" s="69" t="s">
        <v>1533</v>
      </c>
      <c r="M2025" s="69" t="s">
        <v>6</v>
      </c>
    </row>
    <row r="2026" spans="2:13">
      <c r="B2026" s="69">
        <v>2024</v>
      </c>
      <c r="C2026" s="69">
        <v>182</v>
      </c>
      <c r="D2026" s="69">
        <v>24</v>
      </c>
      <c r="E2026" s="69">
        <v>17</v>
      </c>
      <c r="F2026" s="69">
        <v>0</v>
      </c>
      <c r="G2026" s="69" t="s">
        <v>32</v>
      </c>
      <c r="H2026" s="69" t="s">
        <v>9</v>
      </c>
      <c r="I2026" s="69" t="s">
        <v>1530</v>
      </c>
      <c r="J2026" s="69" t="s">
        <v>55</v>
      </c>
      <c r="K2026" s="69" t="s">
        <v>1513</v>
      </c>
      <c r="M2026" s="69" t="s">
        <v>6</v>
      </c>
    </row>
    <row r="2027" spans="2:13">
      <c r="B2027" s="69">
        <v>2025</v>
      </c>
      <c r="C2027" s="69">
        <v>182</v>
      </c>
      <c r="D2027" s="69">
        <v>24</v>
      </c>
      <c r="E2027" s="69">
        <v>18</v>
      </c>
      <c r="F2027" s="69">
        <v>0</v>
      </c>
      <c r="G2027" s="69" t="s">
        <v>32</v>
      </c>
      <c r="H2027" s="69" t="s">
        <v>9</v>
      </c>
      <c r="I2027" s="69" t="s">
        <v>1530</v>
      </c>
      <c r="J2027" s="69" t="s">
        <v>479</v>
      </c>
      <c r="K2027" s="69" t="s">
        <v>1408</v>
      </c>
      <c r="M2027" s="69" t="s">
        <v>6</v>
      </c>
    </row>
    <row r="2028" spans="2:13">
      <c r="B2028" s="69">
        <v>2026</v>
      </c>
      <c r="C2028" s="69">
        <v>182</v>
      </c>
      <c r="D2028" s="69">
        <v>24</v>
      </c>
      <c r="E2028" s="69">
        <v>19</v>
      </c>
      <c r="F2028" s="69">
        <v>0</v>
      </c>
      <c r="G2028" s="69" t="s">
        <v>32</v>
      </c>
      <c r="H2028" s="69" t="s">
        <v>9</v>
      </c>
      <c r="I2028" s="69" t="s">
        <v>1530</v>
      </c>
      <c r="J2028" s="69" t="s">
        <v>55</v>
      </c>
      <c r="K2028" s="69" t="s">
        <v>1527</v>
      </c>
      <c r="M2028" s="69" t="s">
        <v>6</v>
      </c>
    </row>
    <row r="2029" spans="2:13">
      <c r="B2029" s="69">
        <v>2027</v>
      </c>
      <c r="C2029" s="69">
        <v>182</v>
      </c>
      <c r="D2029" s="69">
        <v>24</v>
      </c>
      <c r="E2029" s="69">
        <v>20</v>
      </c>
      <c r="F2029" s="69">
        <v>0</v>
      </c>
      <c r="G2029" s="69" t="s">
        <v>32</v>
      </c>
      <c r="H2029" s="69" t="s">
        <v>9</v>
      </c>
      <c r="I2029" s="69" t="s">
        <v>1530</v>
      </c>
      <c r="J2029" s="69" t="s">
        <v>55</v>
      </c>
      <c r="K2029" s="69" t="s">
        <v>1520</v>
      </c>
      <c r="M2029" s="69" t="s">
        <v>6</v>
      </c>
    </row>
    <row r="2030" spans="2:13">
      <c r="B2030" s="69">
        <v>2028</v>
      </c>
      <c r="C2030" s="69">
        <v>182</v>
      </c>
      <c r="D2030" s="69">
        <v>24</v>
      </c>
      <c r="E2030" s="69">
        <v>21</v>
      </c>
      <c r="F2030" s="69">
        <v>0</v>
      </c>
      <c r="G2030" s="69" t="s">
        <v>32</v>
      </c>
      <c r="H2030" s="69" t="s">
        <v>9</v>
      </c>
      <c r="I2030" s="69" t="s">
        <v>1530</v>
      </c>
      <c r="J2030" s="69" t="s">
        <v>479</v>
      </c>
      <c r="K2030" s="69" t="s">
        <v>1416</v>
      </c>
      <c r="M2030" s="69" t="s">
        <v>6</v>
      </c>
    </row>
    <row r="2031" spans="2:13">
      <c r="B2031" s="69">
        <v>2029</v>
      </c>
      <c r="C2031" s="69">
        <v>182</v>
      </c>
      <c r="D2031" s="69">
        <v>24</v>
      </c>
      <c r="E2031" s="69">
        <v>22</v>
      </c>
      <c r="F2031" s="69">
        <v>0</v>
      </c>
      <c r="G2031" s="69" t="s">
        <v>32</v>
      </c>
      <c r="H2031" s="69" t="s">
        <v>9</v>
      </c>
      <c r="I2031" s="69" t="s">
        <v>1530</v>
      </c>
      <c r="J2031" s="69" t="s">
        <v>55</v>
      </c>
      <c r="K2031" s="69" t="s">
        <v>1523</v>
      </c>
      <c r="M2031" s="69" t="s">
        <v>6</v>
      </c>
    </row>
    <row r="2032" spans="2:13">
      <c r="B2032" s="69">
        <v>2030</v>
      </c>
      <c r="C2032" s="69">
        <v>182</v>
      </c>
      <c r="D2032" s="69">
        <v>24</v>
      </c>
      <c r="E2032" s="69">
        <v>23</v>
      </c>
      <c r="F2032" s="69">
        <v>0</v>
      </c>
      <c r="G2032" s="69" t="s">
        <v>32</v>
      </c>
      <c r="H2032" s="69" t="s">
        <v>9</v>
      </c>
      <c r="I2032" s="69" t="s">
        <v>1530</v>
      </c>
      <c r="J2032" s="69" t="s">
        <v>55</v>
      </c>
      <c r="K2032" s="69" t="s">
        <v>93</v>
      </c>
      <c r="M2032" s="69" t="s">
        <v>6</v>
      </c>
    </row>
    <row r="2033" spans="2:13">
      <c r="B2033" s="69">
        <v>2031</v>
      </c>
      <c r="C2033" s="69">
        <v>182</v>
      </c>
      <c r="D2033" s="69">
        <v>24</v>
      </c>
      <c r="E2033" s="69">
        <v>24</v>
      </c>
      <c r="F2033" s="69">
        <v>0</v>
      </c>
      <c r="G2033" s="69" t="s">
        <v>32</v>
      </c>
      <c r="H2033" s="69" t="s">
        <v>9</v>
      </c>
      <c r="I2033" s="69" t="s">
        <v>1530</v>
      </c>
      <c r="J2033" s="69" t="s">
        <v>64</v>
      </c>
      <c r="K2033" s="69" t="s">
        <v>94</v>
      </c>
      <c r="M2033" s="69" t="s">
        <v>6</v>
      </c>
    </row>
    <row r="2034" spans="2:13">
      <c r="B2034" s="69">
        <v>2032</v>
      </c>
      <c r="C2034" s="69">
        <v>183</v>
      </c>
      <c r="D2034" s="69">
        <v>41</v>
      </c>
      <c r="E2034" s="69">
        <v>0</v>
      </c>
      <c r="F2034" s="69">
        <v>0</v>
      </c>
      <c r="G2034" s="69" t="s">
        <v>18</v>
      </c>
      <c r="H2034" s="69" t="s">
        <v>917</v>
      </c>
      <c r="I2034" s="69" t="s">
        <v>1534</v>
      </c>
      <c r="J2034" s="69" t="s">
        <v>47</v>
      </c>
      <c r="K2034" s="69" t="s">
        <v>1534</v>
      </c>
      <c r="M2034" s="69" t="s">
        <v>470</v>
      </c>
    </row>
    <row r="2035" spans="2:13">
      <c r="B2035" s="69">
        <v>2033</v>
      </c>
      <c r="C2035" s="69">
        <v>183</v>
      </c>
      <c r="D2035" s="69">
        <v>41</v>
      </c>
      <c r="E2035" s="69">
        <v>1</v>
      </c>
      <c r="F2035" s="69">
        <v>0</v>
      </c>
      <c r="G2035" s="69" t="s">
        <v>18</v>
      </c>
      <c r="H2035" s="69" t="s">
        <v>917</v>
      </c>
      <c r="I2035" s="69" t="s">
        <v>1534</v>
      </c>
      <c r="J2035" s="69" t="s">
        <v>479</v>
      </c>
      <c r="K2035" s="69" t="s">
        <v>1535</v>
      </c>
      <c r="M2035" s="69" t="s">
        <v>470</v>
      </c>
    </row>
    <row r="2036" spans="2:13">
      <c r="B2036" s="69">
        <v>2034</v>
      </c>
      <c r="C2036" s="69">
        <v>183</v>
      </c>
      <c r="D2036" s="69">
        <v>41</v>
      </c>
      <c r="E2036" s="69">
        <v>2</v>
      </c>
      <c r="F2036" s="69">
        <v>0</v>
      </c>
      <c r="G2036" s="69" t="s">
        <v>18</v>
      </c>
      <c r="H2036" s="69" t="s">
        <v>917</v>
      </c>
      <c r="I2036" s="69" t="s">
        <v>1534</v>
      </c>
      <c r="J2036" s="69" t="s">
        <v>55</v>
      </c>
      <c r="K2036" s="69" t="s">
        <v>1536</v>
      </c>
      <c r="M2036" s="69" t="s">
        <v>470</v>
      </c>
    </row>
    <row r="2037" spans="2:13">
      <c r="B2037" s="69">
        <v>2035</v>
      </c>
      <c r="C2037" s="69">
        <v>183</v>
      </c>
      <c r="D2037" s="69">
        <v>41</v>
      </c>
      <c r="E2037" s="69">
        <v>3</v>
      </c>
      <c r="F2037" s="69">
        <v>0</v>
      </c>
      <c r="G2037" s="69" t="s">
        <v>18</v>
      </c>
      <c r="H2037" s="69" t="s">
        <v>917</v>
      </c>
      <c r="I2037" s="69" t="s">
        <v>1534</v>
      </c>
      <c r="J2037" s="69" t="s">
        <v>55</v>
      </c>
      <c r="K2037" s="69" t="s">
        <v>1537</v>
      </c>
      <c r="M2037" s="69" t="s">
        <v>470</v>
      </c>
    </row>
    <row r="2038" spans="2:13">
      <c r="B2038" s="69">
        <v>2036</v>
      </c>
      <c r="C2038" s="69">
        <v>183</v>
      </c>
      <c r="D2038" s="69">
        <v>41</v>
      </c>
      <c r="E2038" s="69">
        <v>4</v>
      </c>
      <c r="F2038" s="69">
        <v>0</v>
      </c>
      <c r="G2038" s="69" t="s">
        <v>18</v>
      </c>
      <c r="H2038" s="69" t="s">
        <v>917</v>
      </c>
      <c r="I2038" s="69" t="s">
        <v>1534</v>
      </c>
      <c r="J2038" s="69" t="s">
        <v>55</v>
      </c>
      <c r="K2038" s="69" t="s">
        <v>1538</v>
      </c>
      <c r="M2038" s="69" t="s">
        <v>470</v>
      </c>
    </row>
    <row r="2039" spans="2:13">
      <c r="B2039" s="69">
        <v>2037</v>
      </c>
      <c r="C2039" s="69">
        <v>183</v>
      </c>
      <c r="D2039" s="69">
        <v>41</v>
      </c>
      <c r="E2039" s="69">
        <v>5</v>
      </c>
      <c r="F2039" s="69">
        <v>0</v>
      </c>
      <c r="G2039" s="69" t="s">
        <v>18</v>
      </c>
      <c r="H2039" s="69" t="s">
        <v>917</v>
      </c>
      <c r="I2039" s="69" t="s">
        <v>1534</v>
      </c>
      <c r="J2039" s="69" t="s">
        <v>479</v>
      </c>
      <c r="K2039" s="69" t="s">
        <v>1539</v>
      </c>
      <c r="M2039" s="69" t="s">
        <v>470</v>
      </c>
    </row>
    <row r="2040" spans="2:13">
      <c r="B2040" s="69">
        <v>2038</v>
      </c>
      <c r="C2040" s="69">
        <v>183</v>
      </c>
      <c r="D2040" s="69">
        <v>41</v>
      </c>
      <c r="E2040" s="69">
        <v>6</v>
      </c>
      <c r="F2040" s="69">
        <v>0</v>
      </c>
      <c r="G2040" s="69" t="s">
        <v>18</v>
      </c>
      <c r="H2040" s="69" t="s">
        <v>917</v>
      </c>
      <c r="I2040" s="69" t="s">
        <v>1534</v>
      </c>
      <c r="J2040" s="69" t="s">
        <v>722</v>
      </c>
      <c r="K2040" s="69" t="s">
        <v>1539</v>
      </c>
      <c r="M2040" s="69" t="s">
        <v>470</v>
      </c>
    </row>
    <row r="2041" spans="2:13">
      <c r="B2041" s="69">
        <v>2039</v>
      </c>
      <c r="C2041" s="69">
        <v>183</v>
      </c>
      <c r="D2041" s="69">
        <v>41</v>
      </c>
      <c r="E2041" s="69">
        <v>7</v>
      </c>
      <c r="F2041" s="69">
        <v>0</v>
      </c>
      <c r="G2041" s="69" t="s">
        <v>18</v>
      </c>
      <c r="H2041" s="69" t="s">
        <v>917</v>
      </c>
      <c r="I2041" s="69" t="s">
        <v>1534</v>
      </c>
      <c r="J2041" s="69" t="s">
        <v>64</v>
      </c>
      <c r="K2041" s="69" t="s">
        <v>1540</v>
      </c>
      <c r="M2041" s="69" t="s">
        <v>470</v>
      </c>
    </row>
    <row r="2042" spans="2:13">
      <c r="B2042" s="69">
        <v>2040</v>
      </c>
      <c r="C2042" s="69">
        <v>183</v>
      </c>
      <c r="D2042" s="69">
        <v>41</v>
      </c>
      <c r="E2042" s="69">
        <v>8</v>
      </c>
      <c r="F2042" s="69">
        <v>0</v>
      </c>
      <c r="G2042" s="69" t="s">
        <v>18</v>
      </c>
      <c r="H2042" s="69" t="s">
        <v>917</v>
      </c>
      <c r="I2042" s="69" t="s">
        <v>1534</v>
      </c>
      <c r="J2042" s="69" t="s">
        <v>55</v>
      </c>
      <c r="K2042" s="69" t="s">
        <v>1541</v>
      </c>
      <c r="M2042" s="69" t="s">
        <v>470</v>
      </c>
    </row>
    <row r="2043" spans="2:13">
      <c r="B2043" s="69">
        <v>2041</v>
      </c>
      <c r="C2043" s="69">
        <v>183</v>
      </c>
      <c r="D2043" s="69">
        <v>41</v>
      </c>
      <c r="E2043" s="69">
        <v>9</v>
      </c>
      <c r="F2043" s="69">
        <v>0</v>
      </c>
      <c r="G2043" s="69" t="s">
        <v>18</v>
      </c>
      <c r="H2043" s="69" t="s">
        <v>917</v>
      </c>
      <c r="I2043" s="69" t="s">
        <v>1534</v>
      </c>
      <c r="J2043" s="69" t="s">
        <v>55</v>
      </c>
      <c r="K2043" s="69" t="s">
        <v>1542</v>
      </c>
      <c r="M2043" s="69" t="s">
        <v>470</v>
      </c>
    </row>
    <row r="2044" spans="2:13">
      <c r="B2044" s="69">
        <v>2042</v>
      </c>
      <c r="C2044" s="69">
        <v>183</v>
      </c>
      <c r="D2044" s="69">
        <v>41</v>
      </c>
      <c r="E2044" s="69">
        <v>10</v>
      </c>
      <c r="F2044" s="69">
        <v>0</v>
      </c>
      <c r="G2044" s="69" t="s">
        <v>18</v>
      </c>
      <c r="H2044" s="69" t="s">
        <v>917</v>
      </c>
      <c r="I2044" s="69" t="s">
        <v>1534</v>
      </c>
      <c r="J2044" s="69" t="s">
        <v>55</v>
      </c>
      <c r="K2044" s="69" t="s">
        <v>1543</v>
      </c>
      <c r="M2044" s="69" t="s">
        <v>470</v>
      </c>
    </row>
    <row r="2045" spans="2:13">
      <c r="B2045" s="69">
        <v>2043</v>
      </c>
      <c r="C2045" s="69">
        <v>183</v>
      </c>
      <c r="D2045" s="69">
        <v>41</v>
      </c>
      <c r="E2045" s="69">
        <v>11</v>
      </c>
      <c r="F2045" s="69">
        <v>0</v>
      </c>
      <c r="G2045" s="69" t="s">
        <v>18</v>
      </c>
      <c r="H2045" s="69" t="s">
        <v>917</v>
      </c>
      <c r="I2045" s="69" t="s">
        <v>1534</v>
      </c>
      <c r="J2045" s="69" t="s">
        <v>55</v>
      </c>
      <c r="K2045" s="69" t="s">
        <v>1544</v>
      </c>
      <c r="M2045" s="69" t="s">
        <v>470</v>
      </c>
    </row>
    <row r="2046" spans="2:13">
      <c r="B2046" s="69">
        <v>2044</v>
      </c>
      <c r="C2046" s="69">
        <v>183</v>
      </c>
      <c r="D2046" s="69">
        <v>41</v>
      </c>
      <c r="E2046" s="69">
        <v>12</v>
      </c>
      <c r="F2046" s="69">
        <v>0</v>
      </c>
      <c r="G2046" s="69" t="s">
        <v>18</v>
      </c>
      <c r="H2046" s="69" t="s">
        <v>917</v>
      </c>
      <c r="I2046" s="69" t="s">
        <v>1534</v>
      </c>
      <c r="J2046" s="69" t="s">
        <v>55</v>
      </c>
      <c r="K2046" s="69" t="s">
        <v>1545</v>
      </c>
      <c r="M2046" s="69" t="s">
        <v>470</v>
      </c>
    </row>
    <row r="2047" spans="2:13">
      <c r="B2047" s="69">
        <v>2045</v>
      </c>
      <c r="C2047" s="69">
        <v>183</v>
      </c>
      <c r="D2047" s="69">
        <v>41</v>
      </c>
      <c r="E2047" s="69">
        <v>13</v>
      </c>
      <c r="F2047" s="69">
        <v>0</v>
      </c>
      <c r="G2047" s="69" t="s">
        <v>18</v>
      </c>
      <c r="H2047" s="69" t="s">
        <v>917</v>
      </c>
      <c r="I2047" s="69" t="s">
        <v>1534</v>
      </c>
      <c r="J2047" s="69" t="s">
        <v>64</v>
      </c>
      <c r="K2047" s="69" t="s">
        <v>1546</v>
      </c>
      <c r="M2047" s="69" t="s">
        <v>470</v>
      </c>
    </row>
    <row r="2048" spans="2:13">
      <c r="B2048" s="69">
        <v>2046</v>
      </c>
      <c r="C2048" s="69">
        <v>183</v>
      </c>
      <c r="D2048" s="69">
        <v>41</v>
      </c>
      <c r="E2048" s="69">
        <v>14</v>
      </c>
      <c r="F2048" s="69">
        <v>0</v>
      </c>
      <c r="G2048" s="69" t="s">
        <v>18</v>
      </c>
      <c r="H2048" s="69" t="s">
        <v>917</v>
      </c>
      <c r="I2048" s="69" t="s">
        <v>1534</v>
      </c>
      <c r="J2048" s="69" t="s">
        <v>479</v>
      </c>
      <c r="K2048" s="69" t="s">
        <v>1547</v>
      </c>
      <c r="M2048" s="69" t="s">
        <v>470</v>
      </c>
    </row>
    <row r="2049" spans="2:13">
      <c r="B2049" s="69">
        <v>2047</v>
      </c>
      <c r="C2049" s="69">
        <v>183</v>
      </c>
      <c r="D2049" s="69">
        <v>41</v>
      </c>
      <c r="E2049" s="69">
        <v>15</v>
      </c>
      <c r="F2049" s="69">
        <v>0</v>
      </c>
      <c r="G2049" s="69" t="s">
        <v>18</v>
      </c>
      <c r="H2049" s="69" t="s">
        <v>917</v>
      </c>
      <c r="I2049" s="69" t="s">
        <v>1534</v>
      </c>
      <c r="J2049" s="69" t="s">
        <v>55</v>
      </c>
      <c r="K2049" s="69" t="s">
        <v>1548</v>
      </c>
      <c r="M2049" s="69" t="s">
        <v>470</v>
      </c>
    </row>
    <row r="2050" spans="2:13">
      <c r="B2050" s="69">
        <v>2048</v>
      </c>
      <c r="C2050" s="69">
        <v>183</v>
      </c>
      <c r="D2050" s="69">
        <v>41</v>
      </c>
      <c r="E2050" s="69">
        <v>16</v>
      </c>
      <c r="F2050" s="69">
        <v>0</v>
      </c>
      <c r="G2050" s="69" t="s">
        <v>18</v>
      </c>
      <c r="H2050" s="69" t="s">
        <v>917</v>
      </c>
      <c r="I2050" s="69" t="s">
        <v>1534</v>
      </c>
      <c r="J2050" s="69" t="s">
        <v>55</v>
      </c>
      <c r="K2050" s="69" t="s">
        <v>1549</v>
      </c>
      <c r="M2050" s="69" t="s">
        <v>470</v>
      </c>
    </row>
    <row r="2051" spans="2:13">
      <c r="B2051" s="69">
        <v>2049</v>
      </c>
      <c r="C2051" s="69">
        <v>183</v>
      </c>
      <c r="D2051" s="69">
        <v>41</v>
      </c>
      <c r="E2051" s="69">
        <v>17</v>
      </c>
      <c r="F2051" s="69">
        <v>0</v>
      </c>
      <c r="G2051" s="69" t="s">
        <v>18</v>
      </c>
      <c r="H2051" s="69" t="s">
        <v>917</v>
      </c>
      <c r="I2051" s="69" t="s">
        <v>1534</v>
      </c>
      <c r="J2051" s="69" t="s">
        <v>479</v>
      </c>
      <c r="K2051" s="69" t="s">
        <v>1550</v>
      </c>
      <c r="M2051" s="69" t="s">
        <v>470</v>
      </c>
    </row>
    <row r="2052" spans="2:13">
      <c r="B2052" s="69">
        <v>2050</v>
      </c>
      <c r="C2052" s="69">
        <v>183</v>
      </c>
      <c r="D2052" s="69">
        <v>41</v>
      </c>
      <c r="E2052" s="69">
        <v>18</v>
      </c>
      <c r="F2052" s="69">
        <v>0</v>
      </c>
      <c r="G2052" s="69" t="s">
        <v>18</v>
      </c>
      <c r="H2052" s="69" t="s">
        <v>917</v>
      </c>
      <c r="I2052" s="69" t="s">
        <v>1534</v>
      </c>
      <c r="J2052" s="69" t="s">
        <v>55</v>
      </c>
      <c r="K2052" s="69" t="s">
        <v>1551</v>
      </c>
      <c r="M2052" s="69" t="s">
        <v>470</v>
      </c>
    </row>
    <row r="2053" spans="2:13">
      <c r="B2053" s="69">
        <v>2051</v>
      </c>
      <c r="C2053" s="69">
        <v>183</v>
      </c>
      <c r="D2053" s="69">
        <v>41</v>
      </c>
      <c r="E2053" s="69">
        <v>19</v>
      </c>
      <c r="F2053" s="69">
        <v>0</v>
      </c>
      <c r="G2053" s="69" t="s">
        <v>18</v>
      </c>
      <c r="H2053" s="69" t="s">
        <v>917</v>
      </c>
      <c r="I2053" s="69" t="s">
        <v>1534</v>
      </c>
      <c r="J2053" s="69" t="s">
        <v>55</v>
      </c>
      <c r="K2053" s="69" t="s">
        <v>1552</v>
      </c>
      <c r="M2053" s="69" t="s">
        <v>470</v>
      </c>
    </row>
    <row r="2054" spans="2:13">
      <c r="B2054" s="69">
        <v>2052</v>
      </c>
      <c r="C2054" s="69">
        <v>183</v>
      </c>
      <c r="D2054" s="69">
        <v>41</v>
      </c>
      <c r="E2054" s="69">
        <v>20</v>
      </c>
      <c r="F2054" s="69">
        <v>0</v>
      </c>
      <c r="G2054" s="69" t="s">
        <v>18</v>
      </c>
      <c r="H2054" s="69" t="s">
        <v>917</v>
      </c>
      <c r="I2054" s="69" t="s">
        <v>1534</v>
      </c>
      <c r="J2054" s="69" t="s">
        <v>64</v>
      </c>
      <c r="K2054" s="69" t="s">
        <v>1553</v>
      </c>
      <c r="M2054" s="69" t="s">
        <v>470</v>
      </c>
    </row>
    <row r="2055" spans="2:13">
      <c r="B2055" s="69">
        <v>2053</v>
      </c>
      <c r="C2055" s="69">
        <v>183</v>
      </c>
      <c r="D2055" s="69">
        <v>41</v>
      </c>
      <c r="E2055" s="69">
        <v>21</v>
      </c>
      <c r="F2055" s="69">
        <v>0</v>
      </c>
      <c r="G2055" s="69" t="s">
        <v>18</v>
      </c>
      <c r="H2055" s="69" t="s">
        <v>917</v>
      </c>
      <c r="I2055" s="69" t="s">
        <v>1534</v>
      </c>
      <c r="J2055" s="69" t="s">
        <v>55</v>
      </c>
      <c r="K2055" s="69" t="s">
        <v>1554</v>
      </c>
      <c r="M2055" s="69" t="s">
        <v>470</v>
      </c>
    </row>
    <row r="2056" spans="2:13">
      <c r="B2056" s="69">
        <v>2054</v>
      </c>
      <c r="C2056" s="69">
        <v>183</v>
      </c>
      <c r="D2056" s="69">
        <v>41</v>
      </c>
      <c r="E2056" s="69">
        <v>22</v>
      </c>
      <c r="F2056" s="69">
        <v>0</v>
      </c>
      <c r="G2056" s="69" t="s">
        <v>18</v>
      </c>
      <c r="H2056" s="69" t="s">
        <v>917</v>
      </c>
      <c r="I2056" s="69" t="s">
        <v>1534</v>
      </c>
      <c r="J2056" s="69" t="s">
        <v>64</v>
      </c>
      <c r="K2056" s="69" t="s">
        <v>1555</v>
      </c>
      <c r="M2056" s="69" t="s">
        <v>470</v>
      </c>
    </row>
    <row r="2057" spans="2:13">
      <c r="B2057" s="69">
        <v>2055</v>
      </c>
      <c r="C2057" s="69">
        <v>183</v>
      </c>
      <c r="D2057" s="69">
        <v>41</v>
      </c>
      <c r="E2057" s="69">
        <v>23</v>
      </c>
      <c r="F2057" s="69">
        <v>0</v>
      </c>
      <c r="G2057" s="69" t="s">
        <v>18</v>
      </c>
      <c r="H2057" s="69" t="s">
        <v>917</v>
      </c>
      <c r="I2057" s="69" t="s">
        <v>1534</v>
      </c>
      <c r="J2057" s="69" t="s">
        <v>55</v>
      </c>
      <c r="K2057" s="69" t="s">
        <v>1556</v>
      </c>
      <c r="M2057" s="69" t="s">
        <v>470</v>
      </c>
    </row>
    <row r="2058" spans="2:13">
      <c r="B2058" s="69">
        <v>2056</v>
      </c>
      <c r="C2058" s="69">
        <v>183</v>
      </c>
      <c r="D2058" s="69">
        <v>41</v>
      </c>
      <c r="E2058" s="69">
        <v>24</v>
      </c>
      <c r="F2058" s="69">
        <v>0</v>
      </c>
      <c r="G2058" s="69" t="s">
        <v>18</v>
      </c>
      <c r="H2058" s="69" t="s">
        <v>917</v>
      </c>
      <c r="I2058" s="69" t="s">
        <v>1534</v>
      </c>
      <c r="J2058" s="69" t="s">
        <v>55</v>
      </c>
      <c r="K2058" s="69" t="s">
        <v>1557</v>
      </c>
      <c r="M2058" s="69" t="s">
        <v>470</v>
      </c>
    </row>
    <row r="2059" spans="2:13">
      <c r="B2059" s="69">
        <v>2057</v>
      </c>
      <c r="C2059" s="69">
        <v>183</v>
      </c>
      <c r="D2059" s="69">
        <v>41</v>
      </c>
      <c r="E2059" s="69">
        <v>25</v>
      </c>
      <c r="F2059" s="69">
        <v>0</v>
      </c>
      <c r="G2059" s="69" t="s">
        <v>18</v>
      </c>
      <c r="H2059" s="69" t="s">
        <v>917</v>
      </c>
      <c r="I2059" s="69" t="s">
        <v>1534</v>
      </c>
      <c r="J2059" s="69" t="s">
        <v>55</v>
      </c>
      <c r="K2059" s="69" t="s">
        <v>1558</v>
      </c>
      <c r="M2059" s="69" t="s">
        <v>470</v>
      </c>
    </row>
    <row r="2060" spans="2:13">
      <c r="B2060" s="69">
        <v>2058</v>
      </c>
      <c r="C2060" s="69">
        <v>183</v>
      </c>
      <c r="D2060" s="69">
        <v>41</v>
      </c>
      <c r="E2060" s="69">
        <v>26</v>
      </c>
      <c r="F2060" s="69">
        <v>0</v>
      </c>
      <c r="G2060" s="69" t="s">
        <v>18</v>
      </c>
      <c r="H2060" s="69" t="s">
        <v>917</v>
      </c>
      <c r="I2060" s="69" t="s">
        <v>1534</v>
      </c>
      <c r="J2060" s="69" t="s">
        <v>55</v>
      </c>
      <c r="K2060" s="69" t="s">
        <v>1559</v>
      </c>
      <c r="M2060" s="69" t="s">
        <v>470</v>
      </c>
    </row>
    <row r="2061" spans="2:13">
      <c r="B2061" s="69">
        <v>2059</v>
      </c>
      <c r="C2061" s="69">
        <v>183</v>
      </c>
      <c r="D2061" s="69">
        <v>41</v>
      </c>
      <c r="E2061" s="69">
        <v>27</v>
      </c>
      <c r="F2061" s="69">
        <v>0</v>
      </c>
      <c r="G2061" s="69" t="s">
        <v>18</v>
      </c>
      <c r="H2061" s="69" t="s">
        <v>917</v>
      </c>
      <c r="I2061" s="69" t="s">
        <v>1534</v>
      </c>
      <c r="J2061" s="69" t="s">
        <v>55</v>
      </c>
      <c r="K2061" s="69" t="s">
        <v>1560</v>
      </c>
      <c r="M2061" s="69" t="s">
        <v>470</v>
      </c>
    </row>
    <row r="2062" spans="2:13">
      <c r="B2062" s="69">
        <v>2060</v>
      </c>
      <c r="C2062" s="69">
        <v>183</v>
      </c>
      <c r="D2062" s="69">
        <v>41</v>
      </c>
      <c r="E2062" s="69">
        <v>28</v>
      </c>
      <c r="F2062" s="69">
        <v>0</v>
      </c>
      <c r="G2062" s="69" t="s">
        <v>18</v>
      </c>
      <c r="H2062" s="69" t="s">
        <v>917</v>
      </c>
      <c r="I2062" s="69" t="s">
        <v>1534</v>
      </c>
      <c r="J2062" s="69" t="s">
        <v>479</v>
      </c>
      <c r="K2062" s="69" t="s">
        <v>1561</v>
      </c>
      <c r="M2062" s="69" t="s">
        <v>470</v>
      </c>
    </row>
    <row r="2063" spans="2:13">
      <c r="B2063" s="69">
        <v>2061</v>
      </c>
      <c r="C2063" s="69">
        <v>183</v>
      </c>
      <c r="D2063" s="69">
        <v>41</v>
      </c>
      <c r="E2063" s="69">
        <v>29</v>
      </c>
      <c r="F2063" s="69">
        <v>0</v>
      </c>
      <c r="G2063" s="69" t="s">
        <v>18</v>
      </c>
      <c r="H2063" s="69" t="s">
        <v>917</v>
      </c>
      <c r="I2063" s="69" t="s">
        <v>1534</v>
      </c>
      <c r="J2063" s="69" t="s">
        <v>55</v>
      </c>
      <c r="K2063" s="69" t="s">
        <v>1562</v>
      </c>
      <c r="M2063" s="69" t="s">
        <v>470</v>
      </c>
    </row>
    <row r="2064" spans="2:13">
      <c r="B2064" s="69">
        <v>2062</v>
      </c>
      <c r="C2064" s="69">
        <v>183</v>
      </c>
      <c r="D2064" s="69">
        <v>41</v>
      </c>
      <c r="E2064" s="69">
        <v>30</v>
      </c>
      <c r="F2064" s="69">
        <v>0</v>
      </c>
      <c r="G2064" s="69" t="s">
        <v>18</v>
      </c>
      <c r="H2064" s="69" t="s">
        <v>917</v>
      </c>
      <c r="I2064" s="69" t="s">
        <v>1534</v>
      </c>
      <c r="J2064" s="69" t="s">
        <v>64</v>
      </c>
      <c r="K2064" s="69" t="s">
        <v>1563</v>
      </c>
      <c r="M2064" s="69" t="s">
        <v>470</v>
      </c>
    </row>
    <row r="2065" spans="2:13">
      <c r="B2065" s="69">
        <v>2063</v>
      </c>
      <c r="C2065" s="69">
        <v>183</v>
      </c>
      <c r="D2065" s="69">
        <v>41</v>
      </c>
      <c r="E2065" s="69">
        <v>31</v>
      </c>
      <c r="F2065" s="69">
        <v>0</v>
      </c>
      <c r="G2065" s="69" t="s">
        <v>18</v>
      </c>
      <c r="H2065" s="69" t="s">
        <v>917</v>
      </c>
      <c r="I2065" s="69" t="s">
        <v>1534</v>
      </c>
      <c r="J2065" s="69" t="s">
        <v>55</v>
      </c>
      <c r="K2065" s="69" t="s">
        <v>1564</v>
      </c>
      <c r="M2065" s="69" t="s">
        <v>470</v>
      </c>
    </row>
    <row r="2066" spans="2:13">
      <c r="B2066" s="69">
        <v>2064</v>
      </c>
      <c r="C2066" s="69">
        <v>183</v>
      </c>
      <c r="D2066" s="69">
        <v>41</v>
      </c>
      <c r="E2066" s="69">
        <v>32</v>
      </c>
      <c r="F2066" s="69">
        <v>0</v>
      </c>
      <c r="G2066" s="69" t="s">
        <v>18</v>
      </c>
      <c r="H2066" s="69" t="s">
        <v>917</v>
      </c>
      <c r="I2066" s="69" t="s">
        <v>1534</v>
      </c>
      <c r="J2066" s="69" t="s">
        <v>55</v>
      </c>
      <c r="K2066" s="69" t="s">
        <v>1565</v>
      </c>
      <c r="M2066" s="69" t="s">
        <v>470</v>
      </c>
    </row>
    <row r="2067" spans="2:13">
      <c r="B2067" s="69">
        <v>2065</v>
      </c>
      <c r="C2067" s="69">
        <v>183</v>
      </c>
      <c r="D2067" s="69">
        <v>41</v>
      </c>
      <c r="E2067" s="69">
        <v>33</v>
      </c>
      <c r="F2067" s="69">
        <v>0</v>
      </c>
      <c r="G2067" s="69" t="s">
        <v>18</v>
      </c>
      <c r="H2067" s="69" t="s">
        <v>917</v>
      </c>
      <c r="I2067" s="69" t="s">
        <v>1534</v>
      </c>
      <c r="J2067" s="69" t="s">
        <v>55</v>
      </c>
      <c r="K2067" s="69" t="s">
        <v>1566</v>
      </c>
      <c r="M2067" s="69" t="s">
        <v>470</v>
      </c>
    </row>
    <row r="2068" spans="2:13">
      <c r="B2068" s="69">
        <v>2066</v>
      </c>
      <c r="C2068" s="69">
        <v>183</v>
      </c>
      <c r="D2068" s="69">
        <v>41</v>
      </c>
      <c r="E2068" s="69">
        <v>34</v>
      </c>
      <c r="F2068" s="69">
        <v>0</v>
      </c>
      <c r="G2068" s="69" t="s">
        <v>18</v>
      </c>
      <c r="H2068" s="69" t="s">
        <v>917</v>
      </c>
      <c r="I2068" s="69" t="s">
        <v>1534</v>
      </c>
      <c r="J2068" s="69" t="s">
        <v>55</v>
      </c>
      <c r="K2068" s="69" t="s">
        <v>1567</v>
      </c>
      <c r="M2068" s="69" t="s">
        <v>470</v>
      </c>
    </row>
    <row r="2069" spans="2:13">
      <c r="B2069" s="69">
        <v>2067</v>
      </c>
      <c r="C2069" s="69">
        <v>183</v>
      </c>
      <c r="D2069" s="69">
        <v>41</v>
      </c>
      <c r="E2069" s="69">
        <v>35</v>
      </c>
      <c r="F2069" s="69">
        <v>0</v>
      </c>
      <c r="G2069" s="69" t="s">
        <v>18</v>
      </c>
      <c r="H2069" s="69" t="s">
        <v>917</v>
      </c>
      <c r="I2069" s="69" t="s">
        <v>1534</v>
      </c>
      <c r="J2069" s="69" t="s">
        <v>479</v>
      </c>
      <c r="K2069" s="69" t="s">
        <v>1568</v>
      </c>
      <c r="M2069" s="69" t="s">
        <v>470</v>
      </c>
    </row>
    <row r="2070" spans="2:13">
      <c r="B2070" s="69">
        <v>2068</v>
      </c>
      <c r="C2070" s="69">
        <v>183</v>
      </c>
      <c r="D2070" s="69">
        <v>41</v>
      </c>
      <c r="E2070" s="69">
        <v>36</v>
      </c>
      <c r="F2070" s="69">
        <v>0</v>
      </c>
      <c r="G2070" s="69" t="s">
        <v>18</v>
      </c>
      <c r="H2070" s="69" t="s">
        <v>917</v>
      </c>
      <c r="I2070" s="69" t="s">
        <v>1534</v>
      </c>
      <c r="J2070" s="69" t="s">
        <v>55</v>
      </c>
      <c r="K2070" s="69" t="s">
        <v>1569</v>
      </c>
      <c r="M2070" s="69" t="s">
        <v>470</v>
      </c>
    </row>
    <row r="2071" spans="2:13">
      <c r="B2071" s="69">
        <v>2069</v>
      </c>
      <c r="C2071" s="69">
        <v>183</v>
      </c>
      <c r="D2071" s="69">
        <v>41</v>
      </c>
      <c r="E2071" s="69">
        <v>37</v>
      </c>
      <c r="F2071" s="69">
        <v>0</v>
      </c>
      <c r="G2071" s="69" t="s">
        <v>18</v>
      </c>
      <c r="H2071" s="69" t="s">
        <v>917</v>
      </c>
      <c r="I2071" s="69" t="s">
        <v>1534</v>
      </c>
      <c r="J2071" s="69" t="s">
        <v>64</v>
      </c>
      <c r="K2071" s="69" t="s">
        <v>1563</v>
      </c>
      <c r="M2071" s="69" t="s">
        <v>470</v>
      </c>
    </row>
    <row r="2072" spans="2:13">
      <c r="B2072" s="69">
        <v>2070</v>
      </c>
      <c r="C2072" s="69">
        <v>183</v>
      </c>
      <c r="D2072" s="69">
        <v>41</v>
      </c>
      <c r="E2072" s="69">
        <v>38</v>
      </c>
      <c r="F2072" s="69">
        <v>0</v>
      </c>
      <c r="G2072" s="69" t="s">
        <v>18</v>
      </c>
      <c r="H2072" s="69" t="s">
        <v>917</v>
      </c>
      <c r="I2072" s="69" t="s">
        <v>1534</v>
      </c>
      <c r="J2072" s="69" t="s">
        <v>55</v>
      </c>
      <c r="K2072" s="69" t="s">
        <v>1570</v>
      </c>
      <c r="M2072" s="69" t="s">
        <v>470</v>
      </c>
    </row>
    <row r="2073" spans="2:13">
      <c r="B2073" s="69">
        <v>2071</v>
      </c>
      <c r="C2073" s="69">
        <v>183</v>
      </c>
      <c r="D2073" s="69">
        <v>41</v>
      </c>
      <c r="E2073" s="69">
        <v>39</v>
      </c>
      <c r="F2073" s="69">
        <v>0</v>
      </c>
      <c r="G2073" s="69" t="s">
        <v>18</v>
      </c>
      <c r="H2073" s="69" t="s">
        <v>917</v>
      </c>
      <c r="I2073" s="69" t="s">
        <v>1534</v>
      </c>
      <c r="J2073" s="69" t="s">
        <v>55</v>
      </c>
      <c r="K2073" s="69" t="s">
        <v>1571</v>
      </c>
      <c r="M2073" s="69" t="s">
        <v>470</v>
      </c>
    </row>
    <row r="2074" spans="2:13">
      <c r="B2074" s="69">
        <v>2072</v>
      </c>
      <c r="C2074" s="69">
        <v>183</v>
      </c>
      <c r="D2074" s="69">
        <v>41</v>
      </c>
      <c r="E2074" s="69">
        <v>40</v>
      </c>
      <c r="F2074" s="69">
        <v>0</v>
      </c>
      <c r="G2074" s="69" t="s">
        <v>18</v>
      </c>
      <c r="H2074" s="69" t="s">
        <v>917</v>
      </c>
      <c r="I2074" s="69" t="s">
        <v>1534</v>
      </c>
      <c r="J2074" s="69" t="s">
        <v>479</v>
      </c>
      <c r="K2074" s="69" t="s">
        <v>1572</v>
      </c>
      <c r="M2074" s="69" t="s">
        <v>470</v>
      </c>
    </row>
    <row r="2075" spans="2:13">
      <c r="B2075" s="69">
        <v>2073</v>
      </c>
      <c r="C2075" s="69">
        <v>183</v>
      </c>
      <c r="D2075" s="69">
        <v>41</v>
      </c>
      <c r="E2075" s="69">
        <v>41</v>
      </c>
      <c r="F2075" s="69">
        <v>0</v>
      </c>
      <c r="G2075" s="69" t="s">
        <v>18</v>
      </c>
      <c r="H2075" s="69" t="s">
        <v>917</v>
      </c>
      <c r="I2075" s="69" t="s">
        <v>1534</v>
      </c>
      <c r="J2075" s="69" t="s">
        <v>55</v>
      </c>
      <c r="K2075" s="69" t="s">
        <v>1573</v>
      </c>
      <c r="M2075" s="69" t="s">
        <v>470</v>
      </c>
    </row>
    <row r="2076" spans="2:13">
      <c r="B2076" s="69">
        <v>2074</v>
      </c>
      <c r="C2076" s="69">
        <v>184</v>
      </c>
      <c r="D2076" s="69">
        <v>4</v>
      </c>
      <c r="E2076" s="69">
        <v>0</v>
      </c>
      <c r="F2076" s="69">
        <v>0</v>
      </c>
      <c r="G2076" s="69" t="s">
        <v>18</v>
      </c>
      <c r="H2076" s="69" t="s">
        <v>52</v>
      </c>
      <c r="I2076" s="69" t="s">
        <v>1574</v>
      </c>
      <c r="J2076" s="69" t="s">
        <v>54</v>
      </c>
      <c r="K2076" s="69" t="s">
        <v>1574</v>
      </c>
      <c r="M2076" s="69" t="s">
        <v>6</v>
      </c>
    </row>
    <row r="2077" spans="2:13">
      <c r="B2077" s="69">
        <v>2075</v>
      </c>
      <c r="C2077" s="69">
        <v>184</v>
      </c>
      <c r="D2077" s="69">
        <v>4</v>
      </c>
      <c r="E2077" s="69">
        <v>1</v>
      </c>
      <c r="F2077" s="69">
        <v>0</v>
      </c>
      <c r="G2077" s="69" t="s">
        <v>18</v>
      </c>
      <c r="H2077" s="69" t="s">
        <v>52</v>
      </c>
      <c r="I2077" s="69" t="s">
        <v>1574</v>
      </c>
      <c r="J2077" s="69" t="s">
        <v>55</v>
      </c>
      <c r="K2077" s="69" t="s">
        <v>62</v>
      </c>
      <c r="M2077" s="69" t="s">
        <v>6</v>
      </c>
    </row>
    <row r="2078" spans="2:13">
      <c r="B2078" s="69">
        <v>2076</v>
      </c>
      <c r="C2078" s="69">
        <v>184</v>
      </c>
      <c r="D2078" s="69">
        <v>4</v>
      </c>
      <c r="E2078" s="69">
        <v>2</v>
      </c>
      <c r="F2078" s="69">
        <v>0</v>
      </c>
      <c r="G2078" s="69" t="s">
        <v>18</v>
      </c>
      <c r="H2078" s="69" t="s">
        <v>52</v>
      </c>
      <c r="I2078" s="69" t="s">
        <v>1574</v>
      </c>
      <c r="J2078" s="69" t="s">
        <v>55</v>
      </c>
      <c r="K2078" s="69" t="s">
        <v>63</v>
      </c>
      <c r="M2078" s="69" t="s">
        <v>6</v>
      </c>
    </row>
    <row r="2079" spans="2:13">
      <c r="B2079" s="69">
        <v>2077</v>
      </c>
      <c r="C2079" s="69">
        <v>184</v>
      </c>
      <c r="D2079" s="69">
        <v>4</v>
      </c>
      <c r="E2079" s="69">
        <v>3</v>
      </c>
      <c r="F2079" s="69">
        <v>0</v>
      </c>
      <c r="G2079" s="69" t="s">
        <v>18</v>
      </c>
      <c r="H2079" s="69" t="s">
        <v>52</v>
      </c>
      <c r="I2079" s="69" t="s">
        <v>1574</v>
      </c>
      <c r="J2079" s="69" t="s">
        <v>64</v>
      </c>
      <c r="K2079" s="69" t="s">
        <v>65</v>
      </c>
      <c r="M2079" s="69" t="s">
        <v>6</v>
      </c>
    </row>
    <row r="2080" spans="2:13">
      <c r="B2080" s="69">
        <v>2078</v>
      </c>
      <c r="C2080" s="69">
        <v>184</v>
      </c>
      <c r="D2080" s="69">
        <v>4</v>
      </c>
      <c r="E2080" s="69">
        <v>4</v>
      </c>
      <c r="F2080" s="69">
        <v>0</v>
      </c>
      <c r="G2080" s="69" t="s">
        <v>18</v>
      </c>
      <c r="H2080" s="69" t="s">
        <v>52</v>
      </c>
      <c r="I2080" s="69" t="s">
        <v>1574</v>
      </c>
      <c r="J2080" s="69" t="s">
        <v>55</v>
      </c>
      <c r="K2080" s="69" t="s">
        <v>1575</v>
      </c>
      <c r="M2080" s="69" t="s">
        <v>6</v>
      </c>
    </row>
    <row r="2081" spans="2:13">
      <c r="B2081" s="69">
        <v>2079</v>
      </c>
      <c r="C2081" s="69">
        <v>185</v>
      </c>
      <c r="D2081" s="69">
        <v>11</v>
      </c>
      <c r="E2081" s="69">
        <v>0</v>
      </c>
      <c r="F2081" s="69">
        <v>0</v>
      </c>
      <c r="G2081" s="69" t="s">
        <v>18</v>
      </c>
      <c r="H2081" s="69" t="s">
        <v>52</v>
      </c>
      <c r="I2081" s="69" t="s">
        <v>1576</v>
      </c>
      <c r="J2081" s="69" t="s">
        <v>54</v>
      </c>
      <c r="K2081" s="69" t="s">
        <v>1576</v>
      </c>
      <c r="M2081" s="69" t="s">
        <v>6</v>
      </c>
    </row>
    <row r="2082" spans="2:13">
      <c r="B2082" s="69">
        <v>2080</v>
      </c>
      <c r="C2082" s="69">
        <v>185</v>
      </c>
      <c r="D2082" s="69">
        <v>11</v>
      </c>
      <c r="E2082" s="69">
        <v>1</v>
      </c>
      <c r="F2082" s="69">
        <v>0</v>
      </c>
      <c r="G2082" s="69" t="s">
        <v>18</v>
      </c>
      <c r="H2082" s="69" t="s">
        <v>52</v>
      </c>
      <c r="I2082" s="69" t="s">
        <v>1576</v>
      </c>
      <c r="J2082" s="69" t="s">
        <v>55</v>
      </c>
      <c r="K2082" s="69" t="s">
        <v>62</v>
      </c>
      <c r="M2082" s="69" t="s">
        <v>6</v>
      </c>
    </row>
    <row r="2083" spans="2:13">
      <c r="B2083" s="69">
        <v>2081</v>
      </c>
      <c r="C2083" s="69">
        <v>185</v>
      </c>
      <c r="D2083" s="69">
        <v>11</v>
      </c>
      <c r="E2083" s="69">
        <v>2</v>
      </c>
      <c r="F2083" s="69">
        <v>0</v>
      </c>
      <c r="G2083" s="69" t="s">
        <v>18</v>
      </c>
      <c r="H2083" s="69" t="s">
        <v>52</v>
      </c>
      <c r="I2083" s="69" t="s">
        <v>1576</v>
      </c>
      <c r="J2083" s="69" t="s">
        <v>55</v>
      </c>
      <c r="K2083" s="69" t="s">
        <v>1577</v>
      </c>
      <c r="M2083" s="69" t="s">
        <v>6</v>
      </c>
    </row>
    <row r="2084" spans="2:13">
      <c r="B2084" s="69">
        <v>2082</v>
      </c>
      <c r="C2084" s="69">
        <v>185</v>
      </c>
      <c r="D2084" s="69">
        <v>11</v>
      </c>
      <c r="E2084" s="69">
        <v>3</v>
      </c>
      <c r="F2084" s="69">
        <v>0</v>
      </c>
      <c r="G2084" s="69" t="s">
        <v>18</v>
      </c>
      <c r="H2084" s="69" t="s">
        <v>52</v>
      </c>
      <c r="I2084" s="69" t="s">
        <v>1576</v>
      </c>
      <c r="J2084" s="69" t="s">
        <v>55</v>
      </c>
      <c r="K2084" s="69" t="s">
        <v>1578</v>
      </c>
      <c r="M2084" s="69" t="s">
        <v>6</v>
      </c>
    </row>
    <row r="2085" spans="2:13">
      <c r="B2085" s="69">
        <v>2083</v>
      </c>
      <c r="C2085" s="69">
        <v>185</v>
      </c>
      <c r="D2085" s="69">
        <v>11</v>
      </c>
      <c r="E2085" s="69">
        <v>4</v>
      </c>
      <c r="F2085" s="69">
        <v>0</v>
      </c>
      <c r="G2085" s="69" t="s">
        <v>18</v>
      </c>
      <c r="H2085" s="69" t="s">
        <v>52</v>
      </c>
      <c r="I2085" s="69" t="s">
        <v>1576</v>
      </c>
      <c r="J2085" s="69" t="s">
        <v>55</v>
      </c>
      <c r="K2085" s="69" t="s">
        <v>1579</v>
      </c>
      <c r="M2085" s="69" t="s">
        <v>6</v>
      </c>
    </row>
    <row r="2086" spans="2:13">
      <c r="B2086" s="69">
        <v>2084</v>
      </c>
      <c r="C2086" s="69">
        <v>185</v>
      </c>
      <c r="D2086" s="69">
        <v>11</v>
      </c>
      <c r="E2086" s="69">
        <v>5</v>
      </c>
      <c r="F2086" s="69">
        <v>0</v>
      </c>
      <c r="G2086" s="69" t="s">
        <v>18</v>
      </c>
      <c r="H2086" s="69" t="s">
        <v>52</v>
      </c>
      <c r="I2086" s="69" t="s">
        <v>1576</v>
      </c>
      <c r="J2086" s="69" t="s">
        <v>55</v>
      </c>
      <c r="K2086" s="69" t="s">
        <v>1580</v>
      </c>
      <c r="M2086" s="69" t="s">
        <v>6</v>
      </c>
    </row>
    <row r="2087" spans="2:13">
      <c r="B2087" s="69">
        <v>2085</v>
      </c>
      <c r="C2087" s="69">
        <v>185</v>
      </c>
      <c r="D2087" s="69">
        <v>11</v>
      </c>
      <c r="E2087" s="69">
        <v>6</v>
      </c>
      <c r="F2087" s="69">
        <v>0</v>
      </c>
      <c r="G2087" s="69" t="s">
        <v>18</v>
      </c>
      <c r="H2087" s="69" t="s">
        <v>52</v>
      </c>
      <c r="I2087" s="69" t="s">
        <v>1576</v>
      </c>
      <c r="J2087" s="69" t="s">
        <v>55</v>
      </c>
      <c r="K2087" s="69" t="s">
        <v>1581</v>
      </c>
      <c r="M2087" s="69" t="s">
        <v>6</v>
      </c>
    </row>
    <row r="2088" spans="2:13">
      <c r="B2088" s="69">
        <v>2086</v>
      </c>
      <c r="C2088" s="69">
        <v>185</v>
      </c>
      <c r="D2088" s="69">
        <v>11</v>
      </c>
      <c r="E2088" s="69">
        <v>7</v>
      </c>
      <c r="F2088" s="69">
        <v>0</v>
      </c>
      <c r="G2088" s="69" t="s">
        <v>18</v>
      </c>
      <c r="H2088" s="69" t="s">
        <v>52</v>
      </c>
      <c r="I2088" s="69" t="s">
        <v>1576</v>
      </c>
      <c r="J2088" s="69" t="s">
        <v>55</v>
      </c>
      <c r="K2088" s="69" t="s">
        <v>1582</v>
      </c>
      <c r="M2088" s="69" t="s">
        <v>6</v>
      </c>
    </row>
    <row r="2089" spans="2:13">
      <c r="B2089" s="69">
        <v>2087</v>
      </c>
      <c r="C2089" s="69">
        <v>185</v>
      </c>
      <c r="D2089" s="69">
        <v>11</v>
      </c>
      <c r="E2089" s="69">
        <v>8</v>
      </c>
      <c r="F2089" s="69">
        <v>0</v>
      </c>
      <c r="G2089" s="69" t="s">
        <v>18</v>
      </c>
      <c r="H2089" s="69" t="s">
        <v>52</v>
      </c>
      <c r="I2089" s="69" t="s">
        <v>1576</v>
      </c>
      <c r="J2089" s="69" t="s">
        <v>55</v>
      </c>
      <c r="K2089" s="69" t="s">
        <v>1583</v>
      </c>
      <c r="M2089" s="69" t="s">
        <v>6</v>
      </c>
    </row>
    <row r="2090" spans="2:13">
      <c r="B2090" s="69">
        <v>2088</v>
      </c>
      <c r="C2090" s="69">
        <v>185</v>
      </c>
      <c r="D2090" s="69">
        <v>11</v>
      </c>
      <c r="E2090" s="69">
        <v>9</v>
      </c>
      <c r="F2090" s="69">
        <v>0</v>
      </c>
      <c r="G2090" s="69" t="s">
        <v>18</v>
      </c>
      <c r="H2090" s="69" t="s">
        <v>52</v>
      </c>
      <c r="I2090" s="69" t="s">
        <v>1576</v>
      </c>
      <c r="J2090" s="69" t="s">
        <v>55</v>
      </c>
      <c r="K2090" s="69" t="s">
        <v>63</v>
      </c>
      <c r="M2090" s="69" t="s">
        <v>6</v>
      </c>
    </row>
    <row r="2091" spans="2:13">
      <c r="B2091" s="69">
        <v>2089</v>
      </c>
      <c r="C2091" s="69">
        <v>185</v>
      </c>
      <c r="D2091" s="69">
        <v>11</v>
      </c>
      <c r="E2091" s="69">
        <v>10</v>
      </c>
      <c r="F2091" s="69">
        <v>0</v>
      </c>
      <c r="G2091" s="69" t="s">
        <v>18</v>
      </c>
      <c r="H2091" s="69" t="s">
        <v>52</v>
      </c>
      <c r="I2091" s="69" t="s">
        <v>1576</v>
      </c>
      <c r="J2091" s="69" t="s">
        <v>64</v>
      </c>
      <c r="K2091" s="69" t="s">
        <v>65</v>
      </c>
      <c r="M2091" s="69" t="s">
        <v>6</v>
      </c>
    </row>
    <row r="2092" spans="2:13">
      <c r="B2092" s="69">
        <v>2090</v>
      </c>
      <c r="C2092" s="69">
        <v>185</v>
      </c>
      <c r="D2092" s="69">
        <v>11</v>
      </c>
      <c r="E2092" s="69">
        <v>11</v>
      </c>
      <c r="F2092" s="69">
        <v>0</v>
      </c>
      <c r="G2092" s="69" t="s">
        <v>18</v>
      </c>
      <c r="H2092" s="69" t="s">
        <v>52</v>
      </c>
      <c r="I2092" s="69" t="s">
        <v>1576</v>
      </c>
      <c r="J2092" s="69" t="s">
        <v>55</v>
      </c>
      <c r="K2092" s="69" t="s">
        <v>1584</v>
      </c>
      <c r="M2092" s="69" t="s">
        <v>6</v>
      </c>
    </row>
    <row r="2093" spans="2:13">
      <c r="B2093" s="69">
        <v>2091</v>
      </c>
      <c r="C2093" s="69">
        <v>186</v>
      </c>
      <c r="D2093" s="69">
        <v>27</v>
      </c>
      <c r="E2093" s="69">
        <v>0</v>
      </c>
      <c r="F2093" s="69">
        <v>0</v>
      </c>
      <c r="G2093" s="69" t="s">
        <v>18</v>
      </c>
      <c r="H2093" s="69" t="s">
        <v>52</v>
      </c>
      <c r="I2093" s="69" t="s">
        <v>1585</v>
      </c>
      <c r="J2093" s="69" t="s">
        <v>478</v>
      </c>
      <c r="K2093" s="69" t="s">
        <v>1585</v>
      </c>
      <c r="M2093" s="69" t="s">
        <v>470</v>
      </c>
    </row>
    <row r="2094" spans="2:13">
      <c r="B2094" s="69">
        <v>2092</v>
      </c>
      <c r="C2094" s="69">
        <v>186</v>
      </c>
      <c r="D2094" s="69">
        <v>27</v>
      </c>
      <c r="E2094" s="69">
        <v>1</v>
      </c>
      <c r="F2094" s="69">
        <v>0</v>
      </c>
      <c r="G2094" s="69" t="s">
        <v>18</v>
      </c>
      <c r="H2094" s="69" t="s">
        <v>52</v>
      </c>
      <c r="I2094" s="69" t="s">
        <v>1585</v>
      </c>
      <c r="J2094" s="69" t="s">
        <v>479</v>
      </c>
      <c r="K2094" s="69" t="s">
        <v>1586</v>
      </c>
      <c r="M2094" s="69" t="s">
        <v>470</v>
      </c>
    </row>
    <row r="2095" spans="2:13">
      <c r="B2095" s="69">
        <v>2093</v>
      </c>
      <c r="C2095" s="69">
        <v>186</v>
      </c>
      <c r="D2095" s="69">
        <v>27</v>
      </c>
      <c r="E2095" s="69">
        <v>2</v>
      </c>
      <c r="F2095" s="69">
        <v>0</v>
      </c>
      <c r="G2095" s="69" t="s">
        <v>18</v>
      </c>
      <c r="H2095" s="69" t="s">
        <v>52</v>
      </c>
      <c r="I2095" s="69" t="s">
        <v>1585</v>
      </c>
      <c r="J2095" s="69" t="s">
        <v>722</v>
      </c>
      <c r="K2095" s="69" t="s">
        <v>1586</v>
      </c>
      <c r="M2095" s="69" t="s">
        <v>470</v>
      </c>
    </row>
    <row r="2096" spans="2:13">
      <c r="B2096" s="69">
        <v>2094</v>
      </c>
      <c r="C2096" s="69">
        <v>186</v>
      </c>
      <c r="D2096" s="69">
        <v>27</v>
      </c>
      <c r="E2096" s="69">
        <v>3</v>
      </c>
      <c r="F2096" s="69">
        <v>0</v>
      </c>
      <c r="G2096" s="69" t="s">
        <v>18</v>
      </c>
      <c r="H2096" s="69" t="s">
        <v>52</v>
      </c>
      <c r="I2096" s="69" t="s">
        <v>1585</v>
      </c>
      <c r="J2096" s="69" t="s">
        <v>214</v>
      </c>
      <c r="K2096" s="69" t="s">
        <v>1587</v>
      </c>
      <c r="M2096" s="69" t="s">
        <v>470</v>
      </c>
    </row>
    <row r="2097" spans="2:13">
      <c r="B2097" s="69">
        <v>2095</v>
      </c>
      <c r="C2097" s="69">
        <v>186</v>
      </c>
      <c r="D2097" s="69">
        <v>27</v>
      </c>
      <c r="E2097" s="69">
        <v>4</v>
      </c>
      <c r="F2097" s="69">
        <v>0</v>
      </c>
      <c r="G2097" s="69" t="s">
        <v>18</v>
      </c>
      <c r="H2097" s="69" t="s">
        <v>52</v>
      </c>
      <c r="I2097" s="69" t="s">
        <v>1585</v>
      </c>
      <c r="J2097" s="69" t="s">
        <v>99</v>
      </c>
      <c r="K2097" s="69" t="s">
        <v>1588</v>
      </c>
      <c r="M2097" s="69" t="s">
        <v>470</v>
      </c>
    </row>
    <row r="2098" spans="2:13">
      <c r="B2098" s="69">
        <v>2096</v>
      </c>
      <c r="C2098" s="69">
        <v>186</v>
      </c>
      <c r="D2098" s="69">
        <v>27</v>
      </c>
      <c r="E2098" s="69">
        <v>5</v>
      </c>
      <c r="F2098" s="69">
        <v>0</v>
      </c>
      <c r="G2098" s="69" t="s">
        <v>18</v>
      </c>
      <c r="H2098" s="69" t="s">
        <v>52</v>
      </c>
      <c r="I2098" s="69" t="s">
        <v>1585</v>
      </c>
      <c r="J2098" s="69" t="s">
        <v>99</v>
      </c>
      <c r="K2098" s="69" t="s">
        <v>1589</v>
      </c>
      <c r="M2098" s="69" t="s">
        <v>470</v>
      </c>
    </row>
    <row r="2099" spans="2:13">
      <c r="B2099" s="69">
        <v>2097</v>
      </c>
      <c r="C2099" s="69">
        <v>186</v>
      </c>
      <c r="D2099" s="69">
        <v>27</v>
      </c>
      <c r="E2099" s="69">
        <v>6</v>
      </c>
      <c r="F2099" s="69">
        <v>0</v>
      </c>
      <c r="G2099" s="69" t="s">
        <v>18</v>
      </c>
      <c r="H2099" s="69" t="s">
        <v>52</v>
      </c>
      <c r="I2099" s="69" t="s">
        <v>1585</v>
      </c>
      <c r="J2099" s="69" t="s">
        <v>55</v>
      </c>
      <c r="K2099" s="69" t="s">
        <v>1590</v>
      </c>
      <c r="M2099" s="69" t="s">
        <v>470</v>
      </c>
    </row>
    <row r="2100" spans="2:13">
      <c r="B2100" s="69">
        <v>2098</v>
      </c>
      <c r="C2100" s="69">
        <v>186</v>
      </c>
      <c r="D2100" s="69">
        <v>27</v>
      </c>
      <c r="E2100" s="69">
        <v>7</v>
      </c>
      <c r="F2100" s="69">
        <v>0</v>
      </c>
      <c r="G2100" s="69" t="s">
        <v>18</v>
      </c>
      <c r="H2100" s="69" t="s">
        <v>52</v>
      </c>
      <c r="I2100" s="69" t="s">
        <v>1585</v>
      </c>
      <c r="J2100" s="69" t="s">
        <v>55</v>
      </c>
      <c r="K2100" s="69" t="s">
        <v>1591</v>
      </c>
      <c r="M2100" s="69" t="s">
        <v>470</v>
      </c>
    </row>
    <row r="2101" spans="2:13">
      <c r="B2101" s="69">
        <v>2099</v>
      </c>
      <c r="C2101" s="69">
        <v>186</v>
      </c>
      <c r="D2101" s="69">
        <v>27</v>
      </c>
      <c r="E2101" s="69">
        <v>8</v>
      </c>
      <c r="F2101" s="69">
        <v>0</v>
      </c>
      <c r="G2101" s="69" t="s">
        <v>18</v>
      </c>
      <c r="H2101" s="69" t="s">
        <v>52</v>
      </c>
      <c r="I2101" s="69" t="s">
        <v>1585</v>
      </c>
      <c r="J2101" s="69" t="s">
        <v>55</v>
      </c>
      <c r="K2101" s="69" t="s">
        <v>1592</v>
      </c>
      <c r="M2101" s="69" t="s">
        <v>470</v>
      </c>
    </row>
    <row r="2102" spans="2:13">
      <c r="B2102" s="69">
        <v>2100</v>
      </c>
      <c r="C2102" s="69">
        <v>186</v>
      </c>
      <c r="D2102" s="69">
        <v>27</v>
      </c>
      <c r="E2102" s="69">
        <v>9</v>
      </c>
      <c r="F2102" s="69">
        <v>0</v>
      </c>
      <c r="G2102" s="69" t="s">
        <v>18</v>
      </c>
      <c r="H2102" s="69" t="s">
        <v>52</v>
      </c>
      <c r="I2102" s="69" t="s">
        <v>1585</v>
      </c>
      <c r="J2102" s="69" t="s">
        <v>55</v>
      </c>
      <c r="K2102" s="69" t="s">
        <v>1593</v>
      </c>
      <c r="M2102" s="69" t="s">
        <v>470</v>
      </c>
    </row>
    <row r="2103" spans="2:13">
      <c r="B2103" s="69">
        <v>2101</v>
      </c>
      <c r="C2103" s="69">
        <v>186</v>
      </c>
      <c r="D2103" s="69">
        <v>27</v>
      </c>
      <c r="E2103" s="69">
        <v>10</v>
      </c>
      <c r="F2103" s="69">
        <v>0</v>
      </c>
      <c r="G2103" s="69" t="s">
        <v>18</v>
      </c>
      <c r="H2103" s="69" t="s">
        <v>52</v>
      </c>
      <c r="I2103" s="69" t="s">
        <v>1585</v>
      </c>
      <c r="J2103" s="69" t="s">
        <v>55</v>
      </c>
      <c r="K2103" s="69" t="s">
        <v>1594</v>
      </c>
      <c r="M2103" s="69" t="s">
        <v>470</v>
      </c>
    </row>
    <row r="2104" spans="2:13">
      <c r="B2104" s="69">
        <v>2102</v>
      </c>
      <c r="C2104" s="69">
        <v>186</v>
      </c>
      <c r="D2104" s="69">
        <v>27</v>
      </c>
      <c r="E2104" s="69">
        <v>11</v>
      </c>
      <c r="F2104" s="69">
        <v>0</v>
      </c>
      <c r="G2104" s="69" t="s">
        <v>18</v>
      </c>
      <c r="H2104" s="69" t="s">
        <v>52</v>
      </c>
      <c r="I2104" s="69" t="s">
        <v>1585</v>
      </c>
      <c r="J2104" s="69" t="s">
        <v>55</v>
      </c>
      <c r="K2104" s="69" t="s">
        <v>1595</v>
      </c>
      <c r="M2104" s="69" t="s">
        <v>470</v>
      </c>
    </row>
    <row r="2105" spans="2:13">
      <c r="B2105" s="69">
        <v>2103</v>
      </c>
      <c r="C2105" s="69">
        <v>186</v>
      </c>
      <c r="D2105" s="69">
        <v>27</v>
      </c>
      <c r="E2105" s="69">
        <v>12</v>
      </c>
      <c r="F2105" s="69">
        <v>0</v>
      </c>
      <c r="G2105" s="69" t="s">
        <v>18</v>
      </c>
      <c r="H2105" s="69" t="s">
        <v>52</v>
      </c>
      <c r="I2105" s="69" t="s">
        <v>1585</v>
      </c>
      <c r="J2105" s="69" t="s">
        <v>479</v>
      </c>
      <c r="K2105" s="69" t="s">
        <v>1596</v>
      </c>
      <c r="M2105" s="69" t="s">
        <v>470</v>
      </c>
    </row>
    <row r="2106" spans="2:13">
      <c r="B2106" s="69">
        <v>2104</v>
      </c>
      <c r="C2106" s="69">
        <v>186</v>
      </c>
      <c r="D2106" s="69">
        <v>27</v>
      </c>
      <c r="E2106" s="69">
        <v>13</v>
      </c>
      <c r="F2106" s="69">
        <v>0</v>
      </c>
      <c r="G2106" s="69" t="s">
        <v>18</v>
      </c>
      <c r="H2106" s="69" t="s">
        <v>52</v>
      </c>
      <c r="I2106" s="69" t="s">
        <v>1585</v>
      </c>
      <c r="J2106" s="69" t="s">
        <v>55</v>
      </c>
      <c r="K2106" s="69" t="s">
        <v>1597</v>
      </c>
      <c r="M2106" s="69" t="s">
        <v>470</v>
      </c>
    </row>
    <row r="2107" spans="2:13">
      <c r="B2107" s="69">
        <v>2105</v>
      </c>
      <c r="C2107" s="69">
        <v>186</v>
      </c>
      <c r="D2107" s="69">
        <v>27</v>
      </c>
      <c r="E2107" s="69">
        <v>14</v>
      </c>
      <c r="F2107" s="69">
        <v>0</v>
      </c>
      <c r="G2107" s="69" t="s">
        <v>18</v>
      </c>
      <c r="H2107" s="69" t="s">
        <v>52</v>
      </c>
      <c r="I2107" s="69" t="s">
        <v>1585</v>
      </c>
      <c r="J2107" s="69" t="s">
        <v>55</v>
      </c>
      <c r="K2107" s="69" t="s">
        <v>1598</v>
      </c>
      <c r="M2107" s="69" t="s">
        <v>470</v>
      </c>
    </row>
    <row r="2108" spans="2:13">
      <c r="B2108" s="69">
        <v>2106</v>
      </c>
      <c r="C2108" s="69">
        <v>186</v>
      </c>
      <c r="D2108" s="69">
        <v>27</v>
      </c>
      <c r="E2108" s="69">
        <v>15</v>
      </c>
      <c r="F2108" s="69">
        <v>0</v>
      </c>
      <c r="G2108" s="69" t="s">
        <v>18</v>
      </c>
      <c r="H2108" s="69" t="s">
        <v>52</v>
      </c>
      <c r="I2108" s="69" t="s">
        <v>1585</v>
      </c>
      <c r="J2108" s="69" t="s">
        <v>55</v>
      </c>
      <c r="K2108" s="69" t="s">
        <v>1599</v>
      </c>
      <c r="M2108" s="69" t="s">
        <v>470</v>
      </c>
    </row>
    <row r="2109" spans="2:13">
      <c r="B2109" s="69">
        <v>2107</v>
      </c>
      <c r="C2109" s="69">
        <v>186</v>
      </c>
      <c r="D2109" s="69">
        <v>27</v>
      </c>
      <c r="E2109" s="69">
        <v>16</v>
      </c>
      <c r="F2109" s="69">
        <v>0</v>
      </c>
      <c r="G2109" s="69" t="s">
        <v>18</v>
      </c>
      <c r="H2109" s="69" t="s">
        <v>52</v>
      </c>
      <c r="I2109" s="69" t="s">
        <v>1585</v>
      </c>
      <c r="J2109" s="69" t="s">
        <v>55</v>
      </c>
      <c r="K2109" s="69" t="s">
        <v>1600</v>
      </c>
      <c r="M2109" s="69" t="s">
        <v>470</v>
      </c>
    </row>
    <row r="2110" spans="2:13">
      <c r="B2110" s="69">
        <v>2108</v>
      </c>
      <c r="C2110" s="69">
        <v>186</v>
      </c>
      <c r="D2110" s="69">
        <v>27</v>
      </c>
      <c r="E2110" s="69">
        <v>17</v>
      </c>
      <c r="F2110" s="69">
        <v>0</v>
      </c>
      <c r="G2110" s="69" t="s">
        <v>18</v>
      </c>
      <c r="H2110" s="69" t="s">
        <v>52</v>
      </c>
      <c r="I2110" s="69" t="s">
        <v>1585</v>
      </c>
      <c r="J2110" s="69" t="s">
        <v>55</v>
      </c>
      <c r="K2110" s="69" t="s">
        <v>1601</v>
      </c>
      <c r="M2110" s="69" t="s">
        <v>470</v>
      </c>
    </row>
    <row r="2111" spans="2:13">
      <c r="B2111" s="69">
        <v>2109</v>
      </c>
      <c r="C2111" s="69">
        <v>186</v>
      </c>
      <c r="D2111" s="69">
        <v>27</v>
      </c>
      <c r="E2111" s="69">
        <v>18</v>
      </c>
      <c r="F2111" s="69">
        <v>0</v>
      </c>
      <c r="G2111" s="69" t="s">
        <v>18</v>
      </c>
      <c r="H2111" s="69" t="s">
        <v>52</v>
      </c>
      <c r="I2111" s="69" t="s">
        <v>1585</v>
      </c>
      <c r="J2111" s="69" t="s">
        <v>55</v>
      </c>
      <c r="K2111" s="69" t="s">
        <v>1602</v>
      </c>
      <c r="M2111" s="69" t="s">
        <v>470</v>
      </c>
    </row>
    <row r="2112" spans="2:13">
      <c r="B2112" s="69">
        <v>2110</v>
      </c>
      <c r="C2112" s="69">
        <v>186</v>
      </c>
      <c r="D2112" s="69">
        <v>27</v>
      </c>
      <c r="E2112" s="69">
        <v>19</v>
      </c>
      <c r="F2112" s="69">
        <v>0</v>
      </c>
      <c r="G2112" s="69" t="s">
        <v>18</v>
      </c>
      <c r="H2112" s="69" t="s">
        <v>52</v>
      </c>
      <c r="I2112" s="69" t="s">
        <v>1585</v>
      </c>
      <c r="J2112" s="69" t="s">
        <v>55</v>
      </c>
      <c r="K2112" s="69" t="s">
        <v>1603</v>
      </c>
      <c r="M2112" s="69" t="s">
        <v>470</v>
      </c>
    </row>
    <row r="2113" spans="2:13">
      <c r="B2113" s="69">
        <v>2111</v>
      </c>
      <c r="C2113" s="69">
        <v>186</v>
      </c>
      <c r="D2113" s="69">
        <v>27</v>
      </c>
      <c r="E2113" s="69">
        <v>20</v>
      </c>
      <c r="F2113" s="69">
        <v>0</v>
      </c>
      <c r="G2113" s="69" t="s">
        <v>18</v>
      </c>
      <c r="H2113" s="69" t="s">
        <v>52</v>
      </c>
      <c r="I2113" s="69" t="s">
        <v>1585</v>
      </c>
      <c r="J2113" s="69" t="s">
        <v>55</v>
      </c>
      <c r="K2113" s="69" t="s">
        <v>1604</v>
      </c>
      <c r="M2113" s="69" t="s">
        <v>470</v>
      </c>
    </row>
    <row r="2114" spans="2:13">
      <c r="B2114" s="69">
        <v>2112</v>
      </c>
      <c r="C2114" s="69">
        <v>186</v>
      </c>
      <c r="D2114" s="69">
        <v>27</v>
      </c>
      <c r="E2114" s="69">
        <v>21</v>
      </c>
      <c r="F2114" s="69">
        <v>0</v>
      </c>
      <c r="G2114" s="69" t="s">
        <v>18</v>
      </c>
      <c r="H2114" s="69" t="s">
        <v>52</v>
      </c>
      <c r="I2114" s="69" t="s">
        <v>1585</v>
      </c>
      <c r="J2114" s="69" t="s">
        <v>479</v>
      </c>
      <c r="K2114" s="69" t="s">
        <v>1605</v>
      </c>
      <c r="M2114" s="69" t="s">
        <v>470</v>
      </c>
    </row>
    <row r="2115" spans="2:13">
      <c r="B2115" s="69">
        <v>2113</v>
      </c>
      <c r="C2115" s="69">
        <v>186</v>
      </c>
      <c r="D2115" s="69">
        <v>27</v>
      </c>
      <c r="E2115" s="69">
        <v>22</v>
      </c>
      <c r="F2115" s="69">
        <v>0</v>
      </c>
      <c r="G2115" s="69" t="s">
        <v>18</v>
      </c>
      <c r="H2115" s="69" t="s">
        <v>52</v>
      </c>
      <c r="I2115" s="69" t="s">
        <v>1585</v>
      </c>
      <c r="J2115" s="69" t="s">
        <v>722</v>
      </c>
      <c r="K2115" s="69" t="s">
        <v>1605</v>
      </c>
      <c r="M2115" s="69" t="s">
        <v>470</v>
      </c>
    </row>
    <row r="2116" spans="2:13">
      <c r="B2116" s="69">
        <v>2114</v>
      </c>
      <c r="C2116" s="69">
        <v>186</v>
      </c>
      <c r="D2116" s="69">
        <v>27</v>
      </c>
      <c r="E2116" s="69">
        <v>23</v>
      </c>
      <c r="F2116" s="69">
        <v>0</v>
      </c>
      <c r="G2116" s="69" t="s">
        <v>18</v>
      </c>
      <c r="H2116" s="69" t="s">
        <v>52</v>
      </c>
      <c r="I2116" s="69" t="s">
        <v>1585</v>
      </c>
      <c r="J2116" s="69" t="s">
        <v>214</v>
      </c>
      <c r="K2116" s="69" t="s">
        <v>1606</v>
      </c>
      <c r="M2116" s="69" t="s">
        <v>470</v>
      </c>
    </row>
    <row r="2117" spans="2:13">
      <c r="B2117" s="69">
        <v>2115</v>
      </c>
      <c r="C2117" s="69">
        <v>186</v>
      </c>
      <c r="D2117" s="69">
        <v>27</v>
      </c>
      <c r="E2117" s="69">
        <v>24</v>
      </c>
      <c r="F2117" s="69">
        <v>0</v>
      </c>
      <c r="G2117" s="69" t="s">
        <v>18</v>
      </c>
      <c r="H2117" s="69" t="s">
        <v>52</v>
      </c>
      <c r="I2117" s="69" t="s">
        <v>1585</v>
      </c>
      <c r="J2117" s="69" t="s">
        <v>55</v>
      </c>
      <c r="K2117" s="69" t="s">
        <v>1607</v>
      </c>
      <c r="M2117" s="69" t="s">
        <v>470</v>
      </c>
    </row>
    <row r="2118" spans="2:13">
      <c r="B2118" s="69">
        <v>2116</v>
      </c>
      <c r="C2118" s="69">
        <v>186</v>
      </c>
      <c r="D2118" s="69">
        <v>27</v>
      </c>
      <c r="E2118" s="69">
        <v>25</v>
      </c>
      <c r="F2118" s="69">
        <v>0</v>
      </c>
      <c r="G2118" s="69" t="s">
        <v>18</v>
      </c>
      <c r="H2118" s="69" t="s">
        <v>52</v>
      </c>
      <c r="I2118" s="69" t="s">
        <v>1585</v>
      </c>
      <c r="J2118" s="69" t="s">
        <v>55</v>
      </c>
      <c r="K2118" s="69" t="s">
        <v>1608</v>
      </c>
      <c r="M2118" s="69" t="s">
        <v>470</v>
      </c>
    </row>
    <row r="2119" spans="2:13">
      <c r="B2119" s="69">
        <v>2117</v>
      </c>
      <c r="C2119" s="69">
        <v>186</v>
      </c>
      <c r="D2119" s="69">
        <v>27</v>
      </c>
      <c r="E2119" s="69">
        <v>26</v>
      </c>
      <c r="F2119" s="69">
        <v>0</v>
      </c>
      <c r="G2119" s="69" t="s">
        <v>18</v>
      </c>
      <c r="H2119" s="69" t="s">
        <v>52</v>
      </c>
      <c r="I2119" s="69" t="s">
        <v>1585</v>
      </c>
      <c r="J2119" s="69" t="s">
        <v>55</v>
      </c>
      <c r="K2119" s="69" t="s">
        <v>1609</v>
      </c>
      <c r="M2119" s="69" t="s">
        <v>470</v>
      </c>
    </row>
    <row r="2120" spans="2:13">
      <c r="B2120" s="69">
        <v>2118</v>
      </c>
      <c r="C2120" s="69">
        <v>186</v>
      </c>
      <c r="D2120" s="69">
        <v>27</v>
      </c>
      <c r="E2120" s="69">
        <v>27</v>
      </c>
      <c r="F2120" s="69">
        <v>0</v>
      </c>
      <c r="G2120" s="69" t="s">
        <v>18</v>
      </c>
      <c r="H2120" s="69" t="s">
        <v>52</v>
      </c>
      <c r="I2120" s="69" t="s">
        <v>1585</v>
      </c>
      <c r="J2120" s="69" t="s">
        <v>64</v>
      </c>
      <c r="K2120" s="69" t="s">
        <v>1610</v>
      </c>
      <c r="M2120" s="69" t="s">
        <v>470</v>
      </c>
    </row>
    <row r="2121" spans="2:13">
      <c r="B2121" s="69">
        <v>2119</v>
      </c>
      <c r="C2121" s="69">
        <v>187</v>
      </c>
      <c r="D2121" s="69">
        <v>19</v>
      </c>
      <c r="E2121" s="69">
        <v>0</v>
      </c>
      <c r="F2121" s="69">
        <v>0</v>
      </c>
      <c r="G2121" s="69" t="s">
        <v>18</v>
      </c>
      <c r="H2121" s="69" t="s">
        <v>52</v>
      </c>
      <c r="I2121" s="69" t="s">
        <v>1611</v>
      </c>
      <c r="J2121" s="69" t="s">
        <v>478</v>
      </c>
      <c r="K2121" s="69" t="s">
        <v>1611</v>
      </c>
      <c r="M2121" s="69" t="s">
        <v>470</v>
      </c>
    </row>
    <row r="2122" spans="2:13">
      <c r="B2122" s="69">
        <v>2120</v>
      </c>
      <c r="C2122" s="69">
        <v>187</v>
      </c>
      <c r="D2122" s="69">
        <v>19</v>
      </c>
      <c r="E2122" s="69">
        <v>1</v>
      </c>
      <c r="F2122" s="69">
        <v>0</v>
      </c>
      <c r="G2122" s="69" t="s">
        <v>18</v>
      </c>
      <c r="H2122" s="69" t="s">
        <v>52</v>
      </c>
      <c r="I2122" s="69" t="s">
        <v>1611</v>
      </c>
      <c r="J2122" s="69" t="s">
        <v>479</v>
      </c>
      <c r="K2122" s="69" t="s">
        <v>1612</v>
      </c>
      <c r="M2122" s="69" t="s">
        <v>470</v>
      </c>
    </row>
    <row r="2123" spans="2:13">
      <c r="B2123" s="69">
        <v>2121</v>
      </c>
      <c r="C2123" s="69">
        <v>187</v>
      </c>
      <c r="D2123" s="69">
        <v>19</v>
      </c>
      <c r="E2123" s="69">
        <v>2</v>
      </c>
      <c r="F2123" s="69">
        <v>0</v>
      </c>
      <c r="G2123" s="69" t="s">
        <v>18</v>
      </c>
      <c r="H2123" s="69" t="s">
        <v>52</v>
      </c>
      <c r="I2123" s="69" t="s">
        <v>1611</v>
      </c>
      <c r="J2123" s="69" t="s">
        <v>722</v>
      </c>
      <c r="K2123" s="69" t="s">
        <v>1612</v>
      </c>
      <c r="M2123" s="69" t="s">
        <v>470</v>
      </c>
    </row>
    <row r="2124" spans="2:13">
      <c r="B2124" s="69">
        <v>2122</v>
      </c>
      <c r="C2124" s="69">
        <v>187</v>
      </c>
      <c r="D2124" s="69">
        <v>19</v>
      </c>
      <c r="E2124" s="69">
        <v>3</v>
      </c>
      <c r="F2124" s="69">
        <v>0</v>
      </c>
      <c r="G2124" s="69" t="s">
        <v>18</v>
      </c>
      <c r="H2124" s="69" t="s">
        <v>52</v>
      </c>
      <c r="I2124" s="69" t="s">
        <v>1611</v>
      </c>
      <c r="J2124" s="69" t="s">
        <v>214</v>
      </c>
      <c r="K2124" s="69" t="s">
        <v>1613</v>
      </c>
      <c r="M2124" s="69" t="s">
        <v>470</v>
      </c>
    </row>
    <row r="2125" spans="2:13">
      <c r="B2125" s="69">
        <v>2123</v>
      </c>
      <c r="C2125" s="69">
        <v>187</v>
      </c>
      <c r="D2125" s="69">
        <v>19</v>
      </c>
      <c r="E2125" s="69">
        <v>4</v>
      </c>
      <c r="F2125" s="69">
        <v>0</v>
      </c>
      <c r="G2125" s="69" t="s">
        <v>18</v>
      </c>
      <c r="H2125" s="69" t="s">
        <v>52</v>
      </c>
      <c r="I2125" s="69" t="s">
        <v>1611</v>
      </c>
      <c r="J2125" s="69" t="s">
        <v>214</v>
      </c>
      <c r="K2125" s="69" t="s">
        <v>1614</v>
      </c>
      <c r="M2125" s="69" t="s">
        <v>470</v>
      </c>
    </row>
    <row r="2126" spans="2:13">
      <c r="B2126" s="69">
        <v>2124</v>
      </c>
      <c r="C2126" s="69">
        <v>187</v>
      </c>
      <c r="D2126" s="69">
        <v>19</v>
      </c>
      <c r="E2126" s="69">
        <v>5</v>
      </c>
      <c r="F2126" s="69">
        <v>0</v>
      </c>
      <c r="G2126" s="69" t="s">
        <v>18</v>
      </c>
      <c r="H2126" s="69" t="s">
        <v>52</v>
      </c>
      <c r="I2126" s="69" t="s">
        <v>1611</v>
      </c>
      <c r="J2126" s="69" t="s">
        <v>437</v>
      </c>
      <c r="K2126" s="69" t="s">
        <v>1615</v>
      </c>
      <c r="L2126" s="69" t="s">
        <v>1616</v>
      </c>
      <c r="M2126" s="69" t="s">
        <v>470</v>
      </c>
    </row>
    <row r="2127" spans="2:13">
      <c r="B2127" s="69">
        <v>2125</v>
      </c>
      <c r="C2127" s="69">
        <v>187</v>
      </c>
      <c r="D2127" s="69">
        <v>19</v>
      </c>
      <c r="E2127" s="69">
        <v>6</v>
      </c>
      <c r="F2127" s="69">
        <v>0</v>
      </c>
      <c r="G2127" s="69" t="s">
        <v>18</v>
      </c>
      <c r="H2127" s="69" t="s">
        <v>52</v>
      </c>
      <c r="I2127" s="69" t="s">
        <v>1611</v>
      </c>
      <c r="J2127" s="69" t="s">
        <v>479</v>
      </c>
      <c r="K2127" s="69" t="s">
        <v>1617</v>
      </c>
      <c r="M2127" s="69" t="s">
        <v>470</v>
      </c>
    </row>
    <row r="2128" spans="2:13">
      <c r="B2128" s="69">
        <v>2126</v>
      </c>
      <c r="C2128" s="69">
        <v>187</v>
      </c>
      <c r="D2128" s="69">
        <v>19</v>
      </c>
      <c r="E2128" s="69">
        <v>7</v>
      </c>
      <c r="F2128" s="69">
        <v>0</v>
      </c>
      <c r="G2128" s="69" t="s">
        <v>18</v>
      </c>
      <c r="H2128" s="69" t="s">
        <v>52</v>
      </c>
      <c r="I2128" s="69" t="s">
        <v>1611</v>
      </c>
      <c r="J2128" s="69" t="s">
        <v>722</v>
      </c>
      <c r="K2128" s="69" t="s">
        <v>1617</v>
      </c>
      <c r="M2128" s="69" t="s">
        <v>470</v>
      </c>
    </row>
    <row r="2129" spans="2:13">
      <c r="B2129" s="69">
        <v>2127</v>
      </c>
      <c r="C2129" s="69">
        <v>187</v>
      </c>
      <c r="D2129" s="69">
        <v>19</v>
      </c>
      <c r="E2129" s="69">
        <v>8</v>
      </c>
      <c r="F2129" s="69">
        <v>0</v>
      </c>
      <c r="G2129" s="69" t="s">
        <v>18</v>
      </c>
      <c r="H2129" s="69" t="s">
        <v>52</v>
      </c>
      <c r="I2129" s="69" t="s">
        <v>1611</v>
      </c>
      <c r="J2129" s="69" t="s">
        <v>214</v>
      </c>
      <c r="K2129" s="69" t="s">
        <v>1618</v>
      </c>
      <c r="M2129" s="69" t="s">
        <v>470</v>
      </c>
    </row>
    <row r="2130" spans="2:13">
      <c r="B2130" s="69">
        <v>2128</v>
      </c>
      <c r="C2130" s="69">
        <v>187</v>
      </c>
      <c r="D2130" s="69">
        <v>19</v>
      </c>
      <c r="E2130" s="69">
        <v>9</v>
      </c>
      <c r="F2130" s="69">
        <v>0</v>
      </c>
      <c r="G2130" s="69" t="s">
        <v>18</v>
      </c>
      <c r="H2130" s="69" t="s">
        <v>52</v>
      </c>
      <c r="I2130" s="69" t="s">
        <v>1611</v>
      </c>
      <c r="J2130" s="69" t="s">
        <v>214</v>
      </c>
      <c r="K2130" s="69" t="s">
        <v>1619</v>
      </c>
      <c r="M2130" s="69" t="s">
        <v>470</v>
      </c>
    </row>
    <row r="2131" spans="2:13">
      <c r="B2131" s="69">
        <v>2129</v>
      </c>
      <c r="C2131" s="69">
        <v>187</v>
      </c>
      <c r="D2131" s="69">
        <v>19</v>
      </c>
      <c r="E2131" s="69">
        <v>10</v>
      </c>
      <c r="F2131" s="69">
        <v>0</v>
      </c>
      <c r="G2131" s="69" t="s">
        <v>18</v>
      </c>
      <c r="H2131" s="69" t="s">
        <v>52</v>
      </c>
      <c r="I2131" s="69" t="s">
        <v>1611</v>
      </c>
      <c r="J2131" s="69" t="s">
        <v>214</v>
      </c>
      <c r="K2131" s="69" t="s">
        <v>1620</v>
      </c>
      <c r="M2131" s="69" t="s">
        <v>470</v>
      </c>
    </row>
    <row r="2132" spans="2:13">
      <c r="B2132" s="69">
        <v>2130</v>
      </c>
      <c r="C2132" s="69">
        <v>187</v>
      </c>
      <c r="D2132" s="69">
        <v>19</v>
      </c>
      <c r="E2132" s="69">
        <v>11</v>
      </c>
      <c r="F2132" s="69">
        <v>0</v>
      </c>
      <c r="G2132" s="69" t="s">
        <v>18</v>
      </c>
      <c r="H2132" s="69" t="s">
        <v>52</v>
      </c>
      <c r="I2132" s="69" t="s">
        <v>1611</v>
      </c>
      <c r="J2132" s="69" t="s">
        <v>55</v>
      </c>
      <c r="K2132" s="69" t="s">
        <v>1621</v>
      </c>
      <c r="M2132" s="69" t="s">
        <v>470</v>
      </c>
    </row>
    <row r="2133" spans="2:13">
      <c r="B2133" s="69">
        <v>2131</v>
      </c>
      <c r="C2133" s="69">
        <v>187</v>
      </c>
      <c r="D2133" s="69">
        <v>19</v>
      </c>
      <c r="E2133" s="69">
        <v>12</v>
      </c>
      <c r="F2133" s="69">
        <v>0</v>
      </c>
      <c r="G2133" s="69" t="s">
        <v>18</v>
      </c>
      <c r="H2133" s="69" t="s">
        <v>52</v>
      </c>
      <c r="I2133" s="69" t="s">
        <v>1611</v>
      </c>
      <c r="J2133" s="69" t="s">
        <v>479</v>
      </c>
      <c r="K2133" s="69" t="s">
        <v>1622</v>
      </c>
      <c r="M2133" s="69" t="s">
        <v>470</v>
      </c>
    </row>
    <row r="2134" spans="2:13">
      <c r="B2134" s="69">
        <v>2132</v>
      </c>
      <c r="C2134" s="69">
        <v>187</v>
      </c>
      <c r="D2134" s="69">
        <v>19</v>
      </c>
      <c r="E2134" s="69">
        <v>13</v>
      </c>
      <c r="F2134" s="69">
        <v>0</v>
      </c>
      <c r="G2134" s="69" t="s">
        <v>18</v>
      </c>
      <c r="H2134" s="69" t="s">
        <v>52</v>
      </c>
      <c r="I2134" s="69" t="s">
        <v>1611</v>
      </c>
      <c r="J2134" s="69" t="s">
        <v>55</v>
      </c>
      <c r="K2134" s="69" t="s">
        <v>1623</v>
      </c>
      <c r="M2134" s="69" t="s">
        <v>470</v>
      </c>
    </row>
    <row r="2135" spans="2:13">
      <c r="B2135" s="69">
        <v>2133</v>
      </c>
      <c r="C2135" s="69">
        <v>187</v>
      </c>
      <c r="D2135" s="69">
        <v>19</v>
      </c>
      <c r="E2135" s="69">
        <v>14</v>
      </c>
      <c r="F2135" s="69">
        <v>0</v>
      </c>
      <c r="G2135" s="69" t="s">
        <v>18</v>
      </c>
      <c r="H2135" s="69" t="s">
        <v>52</v>
      </c>
      <c r="I2135" s="69" t="s">
        <v>1611</v>
      </c>
      <c r="J2135" s="69" t="s">
        <v>55</v>
      </c>
      <c r="K2135" s="69" t="s">
        <v>1624</v>
      </c>
      <c r="M2135" s="69" t="s">
        <v>470</v>
      </c>
    </row>
    <row r="2136" spans="2:13">
      <c r="B2136" s="69">
        <v>2134</v>
      </c>
      <c r="C2136" s="69">
        <v>187</v>
      </c>
      <c r="D2136" s="69">
        <v>19</v>
      </c>
      <c r="E2136" s="69">
        <v>15</v>
      </c>
      <c r="F2136" s="69">
        <v>0</v>
      </c>
      <c r="G2136" s="69" t="s">
        <v>18</v>
      </c>
      <c r="H2136" s="69" t="s">
        <v>52</v>
      </c>
      <c r="I2136" s="69" t="s">
        <v>1611</v>
      </c>
      <c r="J2136" s="69" t="s">
        <v>55</v>
      </c>
      <c r="K2136" s="69" t="s">
        <v>1625</v>
      </c>
      <c r="M2136" s="69" t="s">
        <v>470</v>
      </c>
    </row>
    <row r="2137" spans="2:13">
      <c r="B2137" s="69">
        <v>2135</v>
      </c>
      <c r="C2137" s="69">
        <v>187</v>
      </c>
      <c r="D2137" s="69">
        <v>19</v>
      </c>
      <c r="E2137" s="69">
        <v>16</v>
      </c>
      <c r="F2137" s="69">
        <v>0</v>
      </c>
      <c r="G2137" s="69" t="s">
        <v>18</v>
      </c>
      <c r="H2137" s="69" t="s">
        <v>52</v>
      </c>
      <c r="I2137" s="69" t="s">
        <v>1611</v>
      </c>
      <c r="J2137" s="69" t="s">
        <v>55</v>
      </c>
      <c r="K2137" s="69" t="s">
        <v>1626</v>
      </c>
      <c r="M2137" s="69" t="s">
        <v>470</v>
      </c>
    </row>
    <row r="2138" spans="2:13">
      <c r="B2138" s="69">
        <v>2136</v>
      </c>
      <c r="C2138" s="69">
        <v>187</v>
      </c>
      <c r="D2138" s="69">
        <v>19</v>
      </c>
      <c r="E2138" s="69">
        <v>17</v>
      </c>
      <c r="F2138" s="69">
        <v>0</v>
      </c>
      <c r="G2138" s="69" t="s">
        <v>18</v>
      </c>
      <c r="H2138" s="69" t="s">
        <v>52</v>
      </c>
      <c r="I2138" s="69" t="s">
        <v>1611</v>
      </c>
      <c r="J2138" s="69" t="s">
        <v>55</v>
      </c>
      <c r="K2138" s="69" t="s">
        <v>1627</v>
      </c>
      <c r="M2138" s="69" t="s">
        <v>470</v>
      </c>
    </row>
    <row r="2139" spans="2:13">
      <c r="B2139" s="69">
        <v>2137</v>
      </c>
      <c r="C2139" s="69">
        <v>187</v>
      </c>
      <c r="D2139" s="69">
        <v>19</v>
      </c>
      <c r="E2139" s="69">
        <v>18</v>
      </c>
      <c r="F2139" s="69">
        <v>0</v>
      </c>
      <c r="G2139" s="69" t="s">
        <v>18</v>
      </c>
      <c r="H2139" s="69" t="s">
        <v>52</v>
      </c>
      <c r="I2139" s="69" t="s">
        <v>1611</v>
      </c>
      <c r="J2139" s="69" t="s">
        <v>55</v>
      </c>
      <c r="K2139" s="69" t="s">
        <v>1628</v>
      </c>
      <c r="M2139" s="69" t="s">
        <v>470</v>
      </c>
    </row>
    <row r="2140" spans="2:13">
      <c r="B2140" s="69">
        <v>2138</v>
      </c>
      <c r="C2140" s="69">
        <v>187</v>
      </c>
      <c r="D2140" s="69">
        <v>19</v>
      </c>
      <c r="E2140" s="69">
        <v>19</v>
      </c>
      <c r="F2140" s="69">
        <v>0</v>
      </c>
      <c r="G2140" s="69" t="s">
        <v>18</v>
      </c>
      <c r="H2140" s="69" t="s">
        <v>52</v>
      </c>
      <c r="I2140" s="69" t="s">
        <v>1611</v>
      </c>
      <c r="J2140" s="69" t="s">
        <v>64</v>
      </c>
      <c r="K2140" s="69" t="s">
        <v>1610</v>
      </c>
      <c r="M2140" s="69" t="s">
        <v>470</v>
      </c>
    </row>
    <row r="2141" spans="2:13">
      <c r="B2141" s="69">
        <v>2139</v>
      </c>
      <c r="C2141" s="69">
        <v>188</v>
      </c>
      <c r="D2141" s="69">
        <v>8</v>
      </c>
      <c r="E2141" s="69">
        <v>0</v>
      </c>
      <c r="F2141" s="69">
        <v>0</v>
      </c>
      <c r="G2141" s="69" t="s">
        <v>18</v>
      </c>
      <c r="H2141" s="69" t="s">
        <v>52</v>
      </c>
      <c r="I2141" s="69" t="s">
        <v>1629</v>
      </c>
      <c r="J2141" s="69" t="s">
        <v>54</v>
      </c>
      <c r="K2141" s="69" t="s">
        <v>1629</v>
      </c>
      <c r="M2141" s="69" t="s">
        <v>31</v>
      </c>
    </row>
    <row r="2142" spans="2:13">
      <c r="B2142" s="69">
        <v>2140</v>
      </c>
      <c r="C2142" s="69">
        <v>188</v>
      </c>
      <c r="D2142" s="69">
        <v>8</v>
      </c>
      <c r="E2142" s="69">
        <v>1</v>
      </c>
      <c r="F2142" s="69">
        <v>0</v>
      </c>
      <c r="G2142" s="69" t="s">
        <v>18</v>
      </c>
      <c r="H2142" s="69" t="s">
        <v>52</v>
      </c>
      <c r="I2142" s="69" t="s">
        <v>1629</v>
      </c>
      <c r="J2142" s="69" t="s">
        <v>55</v>
      </c>
      <c r="K2142" s="69" t="s">
        <v>62</v>
      </c>
      <c r="M2142" s="69" t="s">
        <v>31</v>
      </c>
    </row>
    <row r="2143" spans="2:13">
      <c r="B2143" s="69">
        <v>2141</v>
      </c>
      <c r="C2143" s="69">
        <v>188</v>
      </c>
      <c r="D2143" s="69">
        <v>8</v>
      </c>
      <c r="E2143" s="69">
        <v>2</v>
      </c>
      <c r="F2143" s="69">
        <v>0</v>
      </c>
      <c r="G2143" s="69" t="s">
        <v>18</v>
      </c>
      <c r="H2143" s="69" t="s">
        <v>52</v>
      </c>
      <c r="I2143" s="69" t="s">
        <v>1629</v>
      </c>
      <c r="J2143" s="69" t="s">
        <v>55</v>
      </c>
      <c r="K2143" s="69" t="s">
        <v>1581</v>
      </c>
      <c r="M2143" s="69" t="s">
        <v>31</v>
      </c>
    </row>
    <row r="2144" spans="2:13">
      <c r="B2144" s="69">
        <v>2142</v>
      </c>
      <c r="C2144" s="69">
        <v>188</v>
      </c>
      <c r="D2144" s="69">
        <v>8</v>
      </c>
      <c r="E2144" s="69">
        <v>3</v>
      </c>
      <c r="F2144" s="69">
        <v>0</v>
      </c>
      <c r="G2144" s="69" t="s">
        <v>18</v>
      </c>
      <c r="H2144" s="69" t="s">
        <v>52</v>
      </c>
      <c r="I2144" s="69" t="s">
        <v>1629</v>
      </c>
      <c r="J2144" s="69" t="s">
        <v>55</v>
      </c>
      <c r="K2144" s="69" t="s">
        <v>1582</v>
      </c>
      <c r="M2144" s="69" t="s">
        <v>31</v>
      </c>
    </row>
    <row r="2145" spans="2:13">
      <c r="B2145" s="69">
        <v>2143</v>
      </c>
      <c r="C2145" s="69">
        <v>188</v>
      </c>
      <c r="D2145" s="69">
        <v>8</v>
      </c>
      <c r="E2145" s="69">
        <v>4</v>
      </c>
      <c r="F2145" s="69">
        <v>0</v>
      </c>
      <c r="G2145" s="69" t="s">
        <v>18</v>
      </c>
      <c r="H2145" s="69" t="s">
        <v>52</v>
      </c>
      <c r="I2145" s="69" t="s">
        <v>1629</v>
      </c>
      <c r="J2145" s="69" t="s">
        <v>55</v>
      </c>
      <c r="K2145" s="69" t="s">
        <v>63</v>
      </c>
      <c r="M2145" s="69" t="s">
        <v>31</v>
      </c>
    </row>
    <row r="2146" spans="2:13">
      <c r="B2146" s="69">
        <v>2144</v>
      </c>
      <c r="C2146" s="69">
        <v>188</v>
      </c>
      <c r="D2146" s="69">
        <v>8</v>
      </c>
      <c r="E2146" s="69">
        <v>5</v>
      </c>
      <c r="F2146" s="69">
        <v>0</v>
      </c>
      <c r="G2146" s="69" t="s">
        <v>18</v>
      </c>
      <c r="H2146" s="69" t="s">
        <v>52</v>
      </c>
      <c r="I2146" s="69" t="s">
        <v>1629</v>
      </c>
      <c r="J2146" s="69" t="s">
        <v>64</v>
      </c>
      <c r="K2146" s="69" t="s">
        <v>65</v>
      </c>
      <c r="M2146" s="69" t="s">
        <v>31</v>
      </c>
    </row>
    <row r="2147" spans="2:13">
      <c r="B2147" s="69">
        <v>2145</v>
      </c>
      <c r="C2147" s="69">
        <v>188</v>
      </c>
      <c r="D2147" s="69">
        <v>8</v>
      </c>
      <c r="E2147" s="69">
        <v>6</v>
      </c>
      <c r="F2147" s="69">
        <v>0</v>
      </c>
      <c r="G2147" s="69" t="s">
        <v>18</v>
      </c>
      <c r="H2147" s="69" t="s">
        <v>52</v>
      </c>
      <c r="I2147" s="69" t="s">
        <v>1629</v>
      </c>
      <c r="J2147" s="69" t="s">
        <v>55</v>
      </c>
      <c r="K2147" s="69" t="s">
        <v>1630</v>
      </c>
      <c r="M2147" s="69" t="s">
        <v>31</v>
      </c>
    </row>
    <row r="2148" spans="2:13">
      <c r="B2148" s="69">
        <v>2146</v>
      </c>
      <c r="C2148" s="69">
        <v>188</v>
      </c>
      <c r="D2148" s="69">
        <v>8</v>
      </c>
      <c r="E2148" s="69">
        <v>7</v>
      </c>
      <c r="F2148" s="69">
        <v>0</v>
      </c>
      <c r="G2148" s="69" t="s">
        <v>18</v>
      </c>
      <c r="H2148" s="69" t="s">
        <v>52</v>
      </c>
      <c r="I2148" s="69" t="s">
        <v>1629</v>
      </c>
      <c r="J2148" s="69" t="s">
        <v>55</v>
      </c>
      <c r="K2148" s="69" t="s">
        <v>1609</v>
      </c>
      <c r="M2148" s="69" t="s">
        <v>31</v>
      </c>
    </row>
    <row r="2149" spans="2:13">
      <c r="B2149" s="69">
        <v>2147</v>
      </c>
      <c r="C2149" s="69">
        <v>188</v>
      </c>
      <c r="D2149" s="69">
        <v>8</v>
      </c>
      <c r="E2149" s="69">
        <v>8</v>
      </c>
      <c r="F2149" s="69">
        <v>0</v>
      </c>
      <c r="G2149" s="69" t="s">
        <v>18</v>
      </c>
      <c r="H2149" s="69" t="s">
        <v>52</v>
      </c>
      <c r="I2149" s="69" t="s">
        <v>1629</v>
      </c>
      <c r="J2149" s="69" t="s">
        <v>64</v>
      </c>
      <c r="K2149" s="69" t="s">
        <v>1610</v>
      </c>
      <c r="M2149" s="69" t="s">
        <v>31</v>
      </c>
    </row>
    <row r="2150" spans="2:13">
      <c r="B2150" s="69">
        <v>2148</v>
      </c>
      <c r="C2150" s="69">
        <v>189</v>
      </c>
      <c r="D2150" s="69">
        <v>6</v>
      </c>
      <c r="E2150" s="69">
        <v>0</v>
      </c>
      <c r="F2150" s="69">
        <v>0</v>
      </c>
      <c r="G2150" s="69" t="s">
        <v>18</v>
      </c>
      <c r="H2150" s="69" t="s">
        <v>52</v>
      </c>
      <c r="I2150" s="69" t="s">
        <v>1631</v>
      </c>
      <c r="J2150" s="69" t="s">
        <v>54</v>
      </c>
      <c r="K2150" s="69" t="s">
        <v>1631</v>
      </c>
      <c r="M2150" s="69" t="s">
        <v>6</v>
      </c>
    </row>
    <row r="2151" spans="2:13">
      <c r="B2151" s="69">
        <v>2149</v>
      </c>
      <c r="C2151" s="69">
        <v>189</v>
      </c>
      <c r="D2151" s="69">
        <v>6</v>
      </c>
      <c r="E2151" s="69">
        <v>1</v>
      </c>
      <c r="F2151" s="69">
        <v>0</v>
      </c>
      <c r="G2151" s="69" t="s">
        <v>18</v>
      </c>
      <c r="H2151" s="69" t="s">
        <v>52</v>
      </c>
      <c r="I2151" s="69" t="s">
        <v>1631</v>
      </c>
      <c r="J2151" s="69" t="s">
        <v>55</v>
      </c>
      <c r="K2151" s="69" t="s">
        <v>62</v>
      </c>
      <c r="M2151" s="69" t="s">
        <v>6</v>
      </c>
    </row>
    <row r="2152" spans="2:13">
      <c r="B2152" s="69">
        <v>2150</v>
      </c>
      <c r="C2152" s="69">
        <v>189</v>
      </c>
      <c r="D2152" s="69">
        <v>6</v>
      </c>
      <c r="E2152" s="69">
        <v>2</v>
      </c>
      <c r="F2152" s="69">
        <v>0</v>
      </c>
      <c r="G2152" s="69" t="s">
        <v>18</v>
      </c>
      <c r="H2152" s="69" t="s">
        <v>52</v>
      </c>
      <c r="I2152" s="69" t="s">
        <v>1631</v>
      </c>
      <c r="J2152" s="69" t="s">
        <v>55</v>
      </c>
      <c r="K2152" s="69" t="s">
        <v>1581</v>
      </c>
      <c r="M2152" s="69" t="s">
        <v>6</v>
      </c>
    </row>
    <row r="2153" spans="2:13">
      <c r="B2153" s="69">
        <v>2151</v>
      </c>
      <c r="C2153" s="69">
        <v>189</v>
      </c>
      <c r="D2153" s="69">
        <v>6</v>
      </c>
      <c r="E2153" s="69">
        <v>3</v>
      </c>
      <c r="F2153" s="69">
        <v>0</v>
      </c>
      <c r="G2153" s="69" t="s">
        <v>18</v>
      </c>
      <c r="H2153" s="69" t="s">
        <v>52</v>
      </c>
      <c r="I2153" s="69" t="s">
        <v>1631</v>
      </c>
      <c r="J2153" s="69" t="s">
        <v>55</v>
      </c>
      <c r="K2153" s="69" t="s">
        <v>1582</v>
      </c>
      <c r="M2153" s="69" t="s">
        <v>6</v>
      </c>
    </row>
    <row r="2154" spans="2:13">
      <c r="B2154" s="69">
        <v>2152</v>
      </c>
      <c r="C2154" s="69">
        <v>189</v>
      </c>
      <c r="D2154" s="69">
        <v>6</v>
      </c>
      <c r="E2154" s="69">
        <v>4</v>
      </c>
      <c r="F2154" s="69">
        <v>0</v>
      </c>
      <c r="G2154" s="69" t="s">
        <v>18</v>
      </c>
      <c r="H2154" s="69" t="s">
        <v>52</v>
      </c>
      <c r="I2154" s="69" t="s">
        <v>1631</v>
      </c>
      <c r="J2154" s="69" t="s">
        <v>55</v>
      </c>
      <c r="K2154" s="69" t="s">
        <v>63</v>
      </c>
      <c r="M2154" s="69" t="s">
        <v>6</v>
      </c>
    </row>
    <row r="2155" spans="2:13">
      <c r="B2155" s="69">
        <v>2153</v>
      </c>
      <c r="C2155" s="69">
        <v>189</v>
      </c>
      <c r="D2155" s="69">
        <v>6</v>
      </c>
      <c r="E2155" s="69">
        <v>5</v>
      </c>
      <c r="F2155" s="69">
        <v>0</v>
      </c>
      <c r="G2155" s="69" t="s">
        <v>18</v>
      </c>
      <c r="H2155" s="69" t="s">
        <v>52</v>
      </c>
      <c r="I2155" s="69" t="s">
        <v>1631</v>
      </c>
      <c r="J2155" s="69" t="s">
        <v>64</v>
      </c>
      <c r="K2155" s="69" t="s">
        <v>65</v>
      </c>
      <c r="M2155" s="69" t="s">
        <v>6</v>
      </c>
    </row>
    <row r="2156" spans="2:13">
      <c r="B2156" s="69">
        <v>2154</v>
      </c>
      <c r="C2156" s="69">
        <v>189</v>
      </c>
      <c r="D2156" s="69">
        <v>6</v>
      </c>
      <c r="E2156" s="69">
        <v>6</v>
      </c>
      <c r="F2156" s="69">
        <v>0</v>
      </c>
      <c r="G2156" s="69" t="s">
        <v>18</v>
      </c>
      <c r="H2156" s="69" t="s">
        <v>52</v>
      </c>
      <c r="I2156" s="69" t="s">
        <v>1631</v>
      </c>
      <c r="J2156" s="69" t="s">
        <v>55</v>
      </c>
      <c r="K2156" s="69" t="s">
        <v>1632</v>
      </c>
      <c r="M2156" s="69" t="s">
        <v>6</v>
      </c>
    </row>
    <row r="2157" spans="2:13">
      <c r="B2157" s="69">
        <v>2155</v>
      </c>
      <c r="C2157" s="69">
        <v>190</v>
      </c>
      <c r="D2157" s="69">
        <v>4</v>
      </c>
      <c r="E2157" s="69">
        <v>0</v>
      </c>
      <c r="F2157" s="69">
        <v>0</v>
      </c>
      <c r="G2157" s="69" t="s">
        <v>18</v>
      </c>
      <c r="H2157" s="69" t="s">
        <v>52</v>
      </c>
      <c r="I2157" s="69" t="s">
        <v>1633</v>
      </c>
      <c r="J2157" s="69" t="s">
        <v>54</v>
      </c>
      <c r="K2157" s="69" t="s">
        <v>1633</v>
      </c>
      <c r="M2157" s="69" t="s">
        <v>6</v>
      </c>
    </row>
    <row r="2158" spans="2:13">
      <c r="B2158" s="69">
        <v>2156</v>
      </c>
      <c r="C2158" s="69">
        <v>190</v>
      </c>
      <c r="D2158" s="69">
        <v>4</v>
      </c>
      <c r="E2158" s="69">
        <v>1</v>
      </c>
      <c r="F2158" s="69">
        <v>0</v>
      </c>
      <c r="G2158" s="69" t="s">
        <v>18</v>
      </c>
      <c r="H2158" s="69" t="s">
        <v>52</v>
      </c>
      <c r="I2158" s="69" t="s">
        <v>1633</v>
      </c>
      <c r="J2158" s="69" t="s">
        <v>55</v>
      </c>
      <c r="K2158" s="69" t="s">
        <v>62</v>
      </c>
      <c r="M2158" s="69" t="s">
        <v>6</v>
      </c>
    </row>
    <row r="2159" spans="2:13">
      <c r="B2159" s="69">
        <v>2157</v>
      </c>
      <c r="C2159" s="69">
        <v>190</v>
      </c>
      <c r="D2159" s="69">
        <v>4</v>
      </c>
      <c r="E2159" s="69">
        <v>2</v>
      </c>
      <c r="F2159" s="69">
        <v>0</v>
      </c>
      <c r="G2159" s="69" t="s">
        <v>18</v>
      </c>
      <c r="H2159" s="69" t="s">
        <v>52</v>
      </c>
      <c r="I2159" s="69" t="s">
        <v>1633</v>
      </c>
      <c r="J2159" s="69" t="s">
        <v>55</v>
      </c>
      <c r="K2159" s="69" t="s">
        <v>63</v>
      </c>
      <c r="M2159" s="69" t="s">
        <v>6</v>
      </c>
    </row>
    <row r="2160" spans="2:13">
      <c r="B2160" s="69">
        <v>2158</v>
      </c>
      <c r="C2160" s="69">
        <v>190</v>
      </c>
      <c r="D2160" s="69">
        <v>4</v>
      </c>
      <c r="E2160" s="69">
        <v>3</v>
      </c>
      <c r="F2160" s="69">
        <v>0</v>
      </c>
      <c r="G2160" s="69" t="s">
        <v>18</v>
      </c>
      <c r="H2160" s="69" t="s">
        <v>52</v>
      </c>
      <c r="I2160" s="69" t="s">
        <v>1633</v>
      </c>
      <c r="J2160" s="69" t="s">
        <v>64</v>
      </c>
      <c r="K2160" s="69" t="s">
        <v>65</v>
      </c>
      <c r="M2160" s="69" t="s">
        <v>6</v>
      </c>
    </row>
    <row r="2161" spans="2:13">
      <c r="B2161" s="69">
        <v>2159</v>
      </c>
      <c r="C2161" s="69">
        <v>190</v>
      </c>
      <c r="D2161" s="69">
        <v>4</v>
      </c>
      <c r="E2161" s="69">
        <v>4</v>
      </c>
      <c r="F2161" s="69">
        <v>0</v>
      </c>
      <c r="G2161" s="69" t="s">
        <v>18</v>
      </c>
      <c r="H2161" s="69" t="s">
        <v>52</v>
      </c>
      <c r="I2161" s="69" t="s">
        <v>1633</v>
      </c>
      <c r="J2161" s="69" t="s">
        <v>55</v>
      </c>
      <c r="K2161" s="69" t="s">
        <v>1634</v>
      </c>
      <c r="M2161" s="69" t="s">
        <v>6</v>
      </c>
    </row>
    <row r="2162" spans="2:13">
      <c r="B2162" s="69">
        <v>2160</v>
      </c>
      <c r="C2162" s="69">
        <v>191</v>
      </c>
      <c r="D2162" s="69">
        <v>5</v>
      </c>
      <c r="E2162" s="69">
        <v>0</v>
      </c>
      <c r="F2162" s="69">
        <v>0</v>
      </c>
      <c r="G2162" s="69" t="s">
        <v>18</v>
      </c>
      <c r="H2162" s="69" t="s">
        <v>52</v>
      </c>
      <c r="I2162" s="69" t="s">
        <v>1635</v>
      </c>
      <c r="J2162" s="69" t="s">
        <v>54</v>
      </c>
      <c r="K2162" s="69" t="s">
        <v>1635</v>
      </c>
      <c r="M2162" s="69" t="s">
        <v>6</v>
      </c>
    </row>
    <row r="2163" spans="2:13">
      <c r="B2163" s="69">
        <v>2161</v>
      </c>
      <c r="C2163" s="69">
        <v>191</v>
      </c>
      <c r="D2163" s="69">
        <v>5</v>
      </c>
      <c r="E2163" s="69">
        <v>1</v>
      </c>
      <c r="F2163" s="69">
        <v>0</v>
      </c>
      <c r="G2163" s="69" t="s">
        <v>18</v>
      </c>
      <c r="H2163" s="69" t="s">
        <v>52</v>
      </c>
      <c r="I2163" s="69" t="s">
        <v>1635</v>
      </c>
      <c r="J2163" s="69" t="s">
        <v>55</v>
      </c>
      <c r="K2163" s="69" t="s">
        <v>62</v>
      </c>
      <c r="M2163" s="69" t="s">
        <v>6</v>
      </c>
    </row>
    <row r="2164" spans="2:13">
      <c r="B2164" s="69">
        <v>2162</v>
      </c>
      <c r="C2164" s="69">
        <v>191</v>
      </c>
      <c r="D2164" s="69">
        <v>5</v>
      </c>
      <c r="E2164" s="69">
        <v>2</v>
      </c>
      <c r="F2164" s="69">
        <v>0</v>
      </c>
      <c r="G2164" s="69" t="s">
        <v>18</v>
      </c>
      <c r="H2164" s="69" t="s">
        <v>52</v>
      </c>
      <c r="I2164" s="69" t="s">
        <v>1635</v>
      </c>
      <c r="J2164" s="69" t="s">
        <v>55</v>
      </c>
      <c r="K2164" s="69" t="s">
        <v>63</v>
      </c>
      <c r="M2164" s="69" t="s">
        <v>6</v>
      </c>
    </row>
    <row r="2165" spans="2:13">
      <c r="B2165" s="69">
        <v>2163</v>
      </c>
      <c r="C2165" s="69">
        <v>191</v>
      </c>
      <c r="D2165" s="69">
        <v>5</v>
      </c>
      <c r="E2165" s="69">
        <v>3</v>
      </c>
      <c r="F2165" s="69">
        <v>0</v>
      </c>
      <c r="G2165" s="69" t="s">
        <v>18</v>
      </c>
      <c r="H2165" s="69" t="s">
        <v>52</v>
      </c>
      <c r="I2165" s="69" t="s">
        <v>1635</v>
      </c>
      <c r="J2165" s="69" t="s">
        <v>55</v>
      </c>
      <c r="K2165" s="69" t="s">
        <v>1636</v>
      </c>
      <c r="M2165" s="69" t="s">
        <v>6</v>
      </c>
    </row>
    <row r="2166" spans="2:13">
      <c r="B2166" s="69">
        <v>2164</v>
      </c>
      <c r="C2166" s="69">
        <v>191</v>
      </c>
      <c r="D2166" s="69">
        <v>5</v>
      </c>
      <c r="E2166" s="69">
        <v>4</v>
      </c>
      <c r="F2166" s="69">
        <v>0</v>
      </c>
      <c r="G2166" s="69" t="s">
        <v>18</v>
      </c>
      <c r="H2166" s="69" t="s">
        <v>52</v>
      </c>
      <c r="I2166" s="69" t="s">
        <v>1635</v>
      </c>
      <c r="J2166" s="69" t="s">
        <v>64</v>
      </c>
      <c r="K2166" s="69" t="s">
        <v>65</v>
      </c>
      <c r="M2166" s="69" t="s">
        <v>6</v>
      </c>
    </row>
    <row r="2167" spans="2:13">
      <c r="B2167" s="69">
        <v>2165</v>
      </c>
      <c r="C2167" s="69">
        <v>191</v>
      </c>
      <c r="D2167" s="69">
        <v>5</v>
      </c>
      <c r="E2167" s="69">
        <v>5</v>
      </c>
      <c r="F2167" s="69">
        <v>0</v>
      </c>
      <c r="G2167" s="69" t="s">
        <v>18</v>
      </c>
      <c r="H2167" s="69" t="s">
        <v>52</v>
      </c>
      <c r="I2167" s="69" t="s">
        <v>1635</v>
      </c>
      <c r="J2167" s="69" t="s">
        <v>55</v>
      </c>
      <c r="K2167" s="69" t="s">
        <v>1637</v>
      </c>
      <c r="M2167" s="69" t="s">
        <v>6</v>
      </c>
    </row>
    <row r="2168" spans="2:13">
      <c r="B2168" s="69">
        <v>2166</v>
      </c>
      <c r="C2168" s="69">
        <v>192</v>
      </c>
      <c r="D2168" s="69">
        <v>4</v>
      </c>
      <c r="E2168" s="69">
        <v>0</v>
      </c>
      <c r="F2168" s="69">
        <v>0</v>
      </c>
      <c r="G2168" s="69" t="s">
        <v>18</v>
      </c>
      <c r="H2168" s="69" t="s">
        <v>52</v>
      </c>
      <c r="I2168" s="69" t="s">
        <v>1638</v>
      </c>
      <c r="J2168" s="69" t="s">
        <v>54</v>
      </c>
      <c r="K2168" s="69" t="s">
        <v>1638</v>
      </c>
      <c r="M2168" s="69" t="s">
        <v>6</v>
      </c>
    </row>
    <row r="2169" spans="2:13">
      <c r="B2169" s="69">
        <v>2167</v>
      </c>
      <c r="C2169" s="69">
        <v>192</v>
      </c>
      <c r="D2169" s="69">
        <v>4</v>
      </c>
      <c r="E2169" s="69">
        <v>1</v>
      </c>
      <c r="F2169" s="69">
        <v>0</v>
      </c>
      <c r="G2169" s="69" t="s">
        <v>18</v>
      </c>
      <c r="H2169" s="69" t="s">
        <v>52</v>
      </c>
      <c r="I2169" s="69" t="s">
        <v>1638</v>
      </c>
      <c r="J2169" s="69" t="s">
        <v>55</v>
      </c>
      <c r="K2169" s="69" t="s">
        <v>62</v>
      </c>
      <c r="M2169" s="69" t="s">
        <v>6</v>
      </c>
    </row>
    <row r="2170" spans="2:13">
      <c r="B2170" s="69">
        <v>2168</v>
      </c>
      <c r="C2170" s="69">
        <v>192</v>
      </c>
      <c r="D2170" s="69">
        <v>4</v>
      </c>
      <c r="E2170" s="69">
        <v>2</v>
      </c>
      <c r="F2170" s="69">
        <v>0</v>
      </c>
      <c r="G2170" s="69" t="s">
        <v>18</v>
      </c>
      <c r="H2170" s="69" t="s">
        <v>52</v>
      </c>
      <c r="I2170" s="69" t="s">
        <v>1638</v>
      </c>
      <c r="J2170" s="69" t="s">
        <v>55</v>
      </c>
      <c r="K2170" s="69" t="s">
        <v>63</v>
      </c>
      <c r="M2170" s="69" t="s">
        <v>6</v>
      </c>
    </row>
    <row r="2171" spans="2:13">
      <c r="B2171" s="69">
        <v>2169</v>
      </c>
      <c r="C2171" s="69">
        <v>192</v>
      </c>
      <c r="D2171" s="69">
        <v>4</v>
      </c>
      <c r="E2171" s="69">
        <v>3</v>
      </c>
      <c r="F2171" s="69">
        <v>0</v>
      </c>
      <c r="G2171" s="69" t="s">
        <v>18</v>
      </c>
      <c r="H2171" s="69" t="s">
        <v>52</v>
      </c>
      <c r="I2171" s="69" t="s">
        <v>1638</v>
      </c>
      <c r="J2171" s="69" t="s">
        <v>64</v>
      </c>
      <c r="K2171" s="69" t="s">
        <v>65</v>
      </c>
      <c r="M2171" s="69" t="s">
        <v>6</v>
      </c>
    </row>
    <row r="2172" spans="2:13">
      <c r="B2172" s="69">
        <v>2170</v>
      </c>
      <c r="C2172" s="69">
        <v>192</v>
      </c>
      <c r="D2172" s="69">
        <v>4</v>
      </c>
      <c r="E2172" s="69">
        <v>4</v>
      </c>
      <c r="F2172" s="69">
        <v>0</v>
      </c>
      <c r="G2172" s="69" t="s">
        <v>18</v>
      </c>
      <c r="H2172" s="69" t="s">
        <v>52</v>
      </c>
      <c r="I2172" s="69" t="s">
        <v>1638</v>
      </c>
      <c r="J2172" s="69" t="s">
        <v>55</v>
      </c>
      <c r="K2172" s="69" t="s">
        <v>1639</v>
      </c>
      <c r="M2172" s="69" t="s">
        <v>6</v>
      </c>
    </row>
    <row r="2173" spans="2:13">
      <c r="B2173" s="69">
        <v>2171</v>
      </c>
      <c r="C2173" s="69">
        <v>193</v>
      </c>
      <c r="D2173" s="69">
        <v>4</v>
      </c>
      <c r="E2173" s="69">
        <v>0</v>
      </c>
      <c r="F2173" s="69">
        <v>0</v>
      </c>
      <c r="G2173" s="69" t="s">
        <v>18</v>
      </c>
      <c r="H2173" s="69" t="s">
        <v>52</v>
      </c>
      <c r="I2173" s="69" t="s">
        <v>1640</v>
      </c>
      <c r="J2173" s="69" t="s">
        <v>54</v>
      </c>
      <c r="K2173" s="69" t="s">
        <v>1640</v>
      </c>
      <c r="M2173" s="69" t="s">
        <v>6</v>
      </c>
    </row>
    <row r="2174" spans="2:13">
      <c r="B2174" s="69">
        <v>2172</v>
      </c>
      <c r="C2174" s="69">
        <v>193</v>
      </c>
      <c r="D2174" s="69">
        <v>4</v>
      </c>
      <c r="E2174" s="69">
        <v>1</v>
      </c>
      <c r="F2174" s="69">
        <v>0</v>
      </c>
      <c r="G2174" s="69" t="s">
        <v>18</v>
      </c>
      <c r="H2174" s="69" t="s">
        <v>52</v>
      </c>
      <c r="I2174" s="69" t="s">
        <v>1640</v>
      </c>
      <c r="J2174" s="69" t="s">
        <v>55</v>
      </c>
      <c r="K2174" s="69" t="s">
        <v>62</v>
      </c>
      <c r="M2174" s="69" t="s">
        <v>6</v>
      </c>
    </row>
    <row r="2175" spans="2:13">
      <c r="B2175" s="69">
        <v>2173</v>
      </c>
      <c r="C2175" s="69">
        <v>193</v>
      </c>
      <c r="D2175" s="69">
        <v>4</v>
      </c>
      <c r="E2175" s="69">
        <v>2</v>
      </c>
      <c r="F2175" s="69">
        <v>0</v>
      </c>
      <c r="G2175" s="69" t="s">
        <v>18</v>
      </c>
      <c r="H2175" s="69" t="s">
        <v>52</v>
      </c>
      <c r="I2175" s="69" t="s">
        <v>1640</v>
      </c>
      <c r="J2175" s="69" t="s">
        <v>55</v>
      </c>
      <c r="K2175" s="69" t="s">
        <v>63</v>
      </c>
      <c r="M2175" s="69" t="s">
        <v>6</v>
      </c>
    </row>
    <row r="2176" spans="2:13">
      <c r="B2176" s="69">
        <v>2174</v>
      </c>
      <c r="C2176" s="69">
        <v>193</v>
      </c>
      <c r="D2176" s="69">
        <v>4</v>
      </c>
      <c r="E2176" s="69">
        <v>3</v>
      </c>
      <c r="F2176" s="69">
        <v>0</v>
      </c>
      <c r="G2176" s="69" t="s">
        <v>18</v>
      </c>
      <c r="H2176" s="69" t="s">
        <v>52</v>
      </c>
      <c r="I2176" s="69" t="s">
        <v>1640</v>
      </c>
      <c r="J2176" s="69" t="s">
        <v>64</v>
      </c>
      <c r="K2176" s="69" t="s">
        <v>65</v>
      </c>
      <c r="M2176" s="69" t="s">
        <v>6</v>
      </c>
    </row>
    <row r="2177" spans="2:13">
      <c r="B2177" s="69">
        <v>2175</v>
      </c>
      <c r="C2177" s="69">
        <v>193</v>
      </c>
      <c r="D2177" s="69">
        <v>4</v>
      </c>
      <c r="E2177" s="69">
        <v>4</v>
      </c>
      <c r="F2177" s="69">
        <v>0</v>
      </c>
      <c r="G2177" s="69" t="s">
        <v>18</v>
      </c>
      <c r="H2177" s="69" t="s">
        <v>52</v>
      </c>
      <c r="I2177" s="69" t="s">
        <v>1640</v>
      </c>
      <c r="J2177" s="69" t="s">
        <v>55</v>
      </c>
      <c r="K2177" s="69" t="s">
        <v>660</v>
      </c>
      <c r="M2177" s="69" t="s">
        <v>6</v>
      </c>
    </row>
    <row r="2178" spans="2:13">
      <c r="B2178" s="69">
        <v>2176</v>
      </c>
      <c r="C2178" s="69">
        <v>194</v>
      </c>
      <c r="D2178" s="69">
        <v>4</v>
      </c>
      <c r="E2178" s="69">
        <v>0</v>
      </c>
      <c r="F2178" s="69">
        <v>0</v>
      </c>
      <c r="G2178" s="69" t="s">
        <v>18</v>
      </c>
      <c r="H2178" s="69" t="s">
        <v>52</v>
      </c>
      <c r="I2178" s="69" t="s">
        <v>1641</v>
      </c>
      <c r="J2178" s="69" t="s">
        <v>54</v>
      </c>
      <c r="K2178" s="69" t="s">
        <v>1641</v>
      </c>
      <c r="M2178" s="69" t="s">
        <v>6</v>
      </c>
    </row>
    <row r="2179" spans="2:13">
      <c r="B2179" s="69">
        <v>2177</v>
      </c>
      <c r="C2179" s="69">
        <v>194</v>
      </c>
      <c r="D2179" s="69">
        <v>4</v>
      </c>
      <c r="E2179" s="69">
        <v>1</v>
      </c>
      <c r="F2179" s="69">
        <v>0</v>
      </c>
      <c r="G2179" s="69" t="s">
        <v>18</v>
      </c>
      <c r="H2179" s="69" t="s">
        <v>52</v>
      </c>
      <c r="I2179" s="69" t="s">
        <v>1641</v>
      </c>
      <c r="J2179" s="69" t="s">
        <v>55</v>
      </c>
      <c r="K2179" s="69" t="s">
        <v>62</v>
      </c>
      <c r="M2179" s="69" t="s">
        <v>6</v>
      </c>
    </row>
    <row r="2180" spans="2:13">
      <c r="B2180" s="69">
        <v>2178</v>
      </c>
      <c r="C2180" s="69">
        <v>194</v>
      </c>
      <c r="D2180" s="69">
        <v>4</v>
      </c>
      <c r="E2180" s="69">
        <v>2</v>
      </c>
      <c r="F2180" s="69">
        <v>0</v>
      </c>
      <c r="G2180" s="69" t="s">
        <v>18</v>
      </c>
      <c r="H2180" s="69" t="s">
        <v>52</v>
      </c>
      <c r="I2180" s="69" t="s">
        <v>1641</v>
      </c>
      <c r="J2180" s="69" t="s">
        <v>55</v>
      </c>
      <c r="K2180" s="69" t="s">
        <v>63</v>
      </c>
      <c r="M2180" s="69" t="s">
        <v>6</v>
      </c>
    </row>
    <row r="2181" spans="2:13">
      <c r="B2181" s="69">
        <v>2179</v>
      </c>
      <c r="C2181" s="69">
        <v>194</v>
      </c>
      <c r="D2181" s="69">
        <v>4</v>
      </c>
      <c r="E2181" s="69">
        <v>3</v>
      </c>
      <c r="F2181" s="69">
        <v>0</v>
      </c>
      <c r="G2181" s="69" t="s">
        <v>18</v>
      </c>
      <c r="H2181" s="69" t="s">
        <v>52</v>
      </c>
      <c r="I2181" s="69" t="s">
        <v>1641</v>
      </c>
      <c r="J2181" s="69" t="s">
        <v>64</v>
      </c>
      <c r="K2181" s="69" t="s">
        <v>65</v>
      </c>
      <c r="M2181" s="69" t="s">
        <v>6</v>
      </c>
    </row>
    <row r="2182" spans="2:13">
      <c r="B2182" s="69">
        <v>2180</v>
      </c>
      <c r="C2182" s="69">
        <v>194</v>
      </c>
      <c r="D2182" s="69">
        <v>4</v>
      </c>
      <c r="E2182" s="69">
        <v>4</v>
      </c>
      <c r="F2182" s="69">
        <v>0</v>
      </c>
      <c r="G2182" s="69" t="s">
        <v>18</v>
      </c>
      <c r="H2182" s="69" t="s">
        <v>52</v>
      </c>
      <c r="I2182" s="69" t="s">
        <v>1641</v>
      </c>
      <c r="J2182" s="69" t="s">
        <v>55</v>
      </c>
      <c r="K2182" s="69" t="s">
        <v>1642</v>
      </c>
      <c r="M2182" s="69" t="s">
        <v>6</v>
      </c>
    </row>
    <row r="2183" spans="2:13">
      <c r="B2183" s="69">
        <v>2181</v>
      </c>
      <c r="C2183" s="69">
        <v>195</v>
      </c>
      <c r="D2183" s="69">
        <v>4</v>
      </c>
      <c r="E2183" s="69">
        <v>0</v>
      </c>
      <c r="F2183" s="69">
        <v>0</v>
      </c>
      <c r="G2183" s="69" t="s">
        <v>18</v>
      </c>
      <c r="H2183" s="69" t="s">
        <v>52</v>
      </c>
      <c r="I2183" s="69" t="s">
        <v>1643</v>
      </c>
      <c r="J2183" s="69" t="s">
        <v>54</v>
      </c>
      <c r="K2183" s="69" t="s">
        <v>1643</v>
      </c>
      <c r="M2183" s="69" t="s">
        <v>6</v>
      </c>
    </row>
    <row r="2184" spans="2:13">
      <c r="B2184" s="69">
        <v>2182</v>
      </c>
      <c r="C2184" s="69">
        <v>195</v>
      </c>
      <c r="D2184" s="69">
        <v>4</v>
      </c>
      <c r="E2184" s="69">
        <v>1</v>
      </c>
      <c r="F2184" s="69">
        <v>0</v>
      </c>
      <c r="G2184" s="69" t="s">
        <v>18</v>
      </c>
      <c r="H2184" s="69" t="s">
        <v>52</v>
      </c>
      <c r="I2184" s="69" t="s">
        <v>1643</v>
      </c>
      <c r="J2184" s="69" t="s">
        <v>55</v>
      </c>
      <c r="K2184" s="69" t="s">
        <v>62</v>
      </c>
      <c r="M2184" s="69" t="s">
        <v>6</v>
      </c>
    </row>
    <row r="2185" spans="2:13">
      <c r="B2185" s="69">
        <v>2183</v>
      </c>
      <c r="C2185" s="69">
        <v>195</v>
      </c>
      <c r="D2185" s="69">
        <v>4</v>
      </c>
      <c r="E2185" s="69">
        <v>2</v>
      </c>
      <c r="F2185" s="69">
        <v>0</v>
      </c>
      <c r="G2185" s="69" t="s">
        <v>18</v>
      </c>
      <c r="H2185" s="69" t="s">
        <v>52</v>
      </c>
      <c r="I2185" s="69" t="s">
        <v>1643</v>
      </c>
      <c r="J2185" s="69" t="s">
        <v>55</v>
      </c>
      <c r="K2185" s="69" t="s">
        <v>63</v>
      </c>
      <c r="M2185" s="69" t="s">
        <v>6</v>
      </c>
    </row>
    <row r="2186" spans="2:13">
      <c r="B2186" s="69">
        <v>2184</v>
      </c>
      <c r="C2186" s="69">
        <v>195</v>
      </c>
      <c r="D2186" s="69">
        <v>4</v>
      </c>
      <c r="E2186" s="69">
        <v>3</v>
      </c>
      <c r="F2186" s="69">
        <v>0</v>
      </c>
      <c r="G2186" s="69" t="s">
        <v>18</v>
      </c>
      <c r="H2186" s="69" t="s">
        <v>52</v>
      </c>
      <c r="I2186" s="69" t="s">
        <v>1643</v>
      </c>
      <c r="J2186" s="69" t="s">
        <v>64</v>
      </c>
      <c r="K2186" s="69" t="s">
        <v>65</v>
      </c>
      <c r="M2186" s="69" t="s">
        <v>6</v>
      </c>
    </row>
    <row r="2187" spans="2:13">
      <c r="B2187" s="69">
        <v>2185</v>
      </c>
      <c r="C2187" s="69">
        <v>195</v>
      </c>
      <c r="D2187" s="69">
        <v>4</v>
      </c>
      <c r="E2187" s="69">
        <v>4</v>
      </c>
      <c r="F2187" s="69">
        <v>0</v>
      </c>
      <c r="G2187" s="69" t="s">
        <v>18</v>
      </c>
      <c r="H2187" s="69" t="s">
        <v>52</v>
      </c>
      <c r="I2187" s="69" t="s">
        <v>1643</v>
      </c>
      <c r="J2187" s="69" t="s">
        <v>55</v>
      </c>
      <c r="K2187" s="69" t="s">
        <v>1644</v>
      </c>
      <c r="M2187" s="69" t="s">
        <v>6</v>
      </c>
    </row>
    <row r="2188" spans="2:13">
      <c r="B2188" s="69">
        <v>2186</v>
      </c>
      <c r="C2188" s="69">
        <v>196</v>
      </c>
      <c r="D2188" s="69">
        <v>4</v>
      </c>
      <c r="E2188" s="69">
        <v>0</v>
      </c>
      <c r="F2188" s="69">
        <v>0</v>
      </c>
      <c r="G2188" s="69" t="s">
        <v>18</v>
      </c>
      <c r="H2188" s="69" t="s">
        <v>52</v>
      </c>
      <c r="I2188" s="69" t="s">
        <v>1645</v>
      </c>
      <c r="J2188" s="69" t="s">
        <v>54</v>
      </c>
      <c r="K2188" s="69" t="s">
        <v>1645</v>
      </c>
      <c r="M2188" s="69" t="s">
        <v>6</v>
      </c>
    </row>
    <row r="2189" spans="2:13">
      <c r="B2189" s="69">
        <v>2187</v>
      </c>
      <c r="C2189" s="69">
        <v>196</v>
      </c>
      <c r="D2189" s="69">
        <v>4</v>
      </c>
      <c r="E2189" s="69">
        <v>1</v>
      </c>
      <c r="F2189" s="69">
        <v>0</v>
      </c>
      <c r="G2189" s="69" t="s">
        <v>18</v>
      </c>
      <c r="H2189" s="69" t="s">
        <v>52</v>
      </c>
      <c r="I2189" s="69" t="s">
        <v>1645</v>
      </c>
      <c r="J2189" s="69" t="s">
        <v>55</v>
      </c>
      <c r="K2189" s="69" t="s">
        <v>62</v>
      </c>
      <c r="M2189" s="69" t="s">
        <v>6</v>
      </c>
    </row>
    <row r="2190" spans="2:13">
      <c r="B2190" s="69">
        <v>2188</v>
      </c>
      <c r="C2190" s="69">
        <v>196</v>
      </c>
      <c r="D2190" s="69">
        <v>4</v>
      </c>
      <c r="E2190" s="69">
        <v>2</v>
      </c>
      <c r="F2190" s="69">
        <v>0</v>
      </c>
      <c r="G2190" s="69" t="s">
        <v>18</v>
      </c>
      <c r="H2190" s="69" t="s">
        <v>52</v>
      </c>
      <c r="I2190" s="69" t="s">
        <v>1645</v>
      </c>
      <c r="J2190" s="69" t="s">
        <v>55</v>
      </c>
      <c r="K2190" s="69" t="s">
        <v>63</v>
      </c>
      <c r="M2190" s="69" t="s">
        <v>6</v>
      </c>
    </row>
    <row r="2191" spans="2:13">
      <c r="B2191" s="69">
        <v>2189</v>
      </c>
      <c r="C2191" s="69">
        <v>196</v>
      </c>
      <c r="D2191" s="69">
        <v>4</v>
      </c>
      <c r="E2191" s="69">
        <v>3</v>
      </c>
      <c r="F2191" s="69">
        <v>0</v>
      </c>
      <c r="G2191" s="69" t="s">
        <v>18</v>
      </c>
      <c r="H2191" s="69" t="s">
        <v>52</v>
      </c>
      <c r="I2191" s="69" t="s">
        <v>1645</v>
      </c>
      <c r="J2191" s="69" t="s">
        <v>64</v>
      </c>
      <c r="K2191" s="69" t="s">
        <v>65</v>
      </c>
      <c r="M2191" s="69" t="s">
        <v>6</v>
      </c>
    </row>
    <row r="2192" spans="2:13">
      <c r="B2192" s="69">
        <v>2190</v>
      </c>
      <c r="C2192" s="69">
        <v>196</v>
      </c>
      <c r="D2192" s="69">
        <v>4</v>
      </c>
      <c r="E2192" s="69">
        <v>4</v>
      </c>
      <c r="F2192" s="69">
        <v>0</v>
      </c>
      <c r="G2192" s="69" t="s">
        <v>18</v>
      </c>
      <c r="H2192" s="69" t="s">
        <v>52</v>
      </c>
      <c r="I2192" s="69" t="s">
        <v>1645</v>
      </c>
      <c r="J2192" s="69" t="s">
        <v>55</v>
      </c>
      <c r="K2192" s="69" t="s">
        <v>1646</v>
      </c>
      <c r="M2192" s="69" t="s">
        <v>6</v>
      </c>
    </row>
    <row r="2193" spans="2:13">
      <c r="B2193" s="69">
        <v>2191</v>
      </c>
      <c r="C2193" s="69">
        <v>197</v>
      </c>
      <c r="D2193" s="69">
        <v>4</v>
      </c>
      <c r="E2193" s="69">
        <v>0</v>
      </c>
      <c r="F2193" s="69">
        <v>0</v>
      </c>
      <c r="G2193" s="69" t="s">
        <v>18</v>
      </c>
      <c r="H2193" s="69" t="s">
        <v>52</v>
      </c>
      <c r="I2193" s="69" t="s">
        <v>1647</v>
      </c>
      <c r="J2193" s="69" t="s">
        <v>54</v>
      </c>
      <c r="K2193" s="69" t="s">
        <v>1647</v>
      </c>
      <c r="M2193" s="69" t="s">
        <v>6</v>
      </c>
    </row>
    <row r="2194" spans="2:13">
      <c r="B2194" s="69">
        <v>2192</v>
      </c>
      <c r="C2194" s="69">
        <v>197</v>
      </c>
      <c r="D2194" s="69">
        <v>4</v>
      </c>
      <c r="E2194" s="69">
        <v>1</v>
      </c>
      <c r="F2194" s="69">
        <v>0</v>
      </c>
      <c r="G2194" s="69" t="s">
        <v>18</v>
      </c>
      <c r="H2194" s="69" t="s">
        <v>52</v>
      </c>
      <c r="I2194" s="69" t="s">
        <v>1647</v>
      </c>
      <c r="J2194" s="69" t="s">
        <v>55</v>
      </c>
      <c r="K2194" s="69" t="s">
        <v>62</v>
      </c>
      <c r="M2194" s="69" t="s">
        <v>6</v>
      </c>
    </row>
    <row r="2195" spans="2:13">
      <c r="B2195" s="69">
        <v>2193</v>
      </c>
      <c r="C2195" s="69">
        <v>197</v>
      </c>
      <c r="D2195" s="69">
        <v>4</v>
      </c>
      <c r="E2195" s="69">
        <v>2</v>
      </c>
      <c r="F2195" s="69">
        <v>0</v>
      </c>
      <c r="G2195" s="69" t="s">
        <v>18</v>
      </c>
      <c r="H2195" s="69" t="s">
        <v>52</v>
      </c>
      <c r="I2195" s="69" t="s">
        <v>1647</v>
      </c>
      <c r="J2195" s="69" t="s">
        <v>55</v>
      </c>
      <c r="K2195" s="69" t="s">
        <v>63</v>
      </c>
      <c r="M2195" s="69" t="s">
        <v>6</v>
      </c>
    </row>
    <row r="2196" spans="2:13">
      <c r="B2196" s="69">
        <v>2194</v>
      </c>
      <c r="C2196" s="69">
        <v>197</v>
      </c>
      <c r="D2196" s="69">
        <v>4</v>
      </c>
      <c r="E2196" s="69">
        <v>3</v>
      </c>
      <c r="F2196" s="69">
        <v>0</v>
      </c>
      <c r="G2196" s="69" t="s">
        <v>18</v>
      </c>
      <c r="H2196" s="69" t="s">
        <v>52</v>
      </c>
      <c r="I2196" s="69" t="s">
        <v>1647</v>
      </c>
      <c r="J2196" s="69" t="s">
        <v>64</v>
      </c>
      <c r="K2196" s="69" t="s">
        <v>65</v>
      </c>
      <c r="M2196" s="69" t="s">
        <v>6</v>
      </c>
    </row>
    <row r="2197" spans="2:13">
      <c r="B2197" s="69">
        <v>2195</v>
      </c>
      <c r="C2197" s="69">
        <v>197</v>
      </c>
      <c r="D2197" s="69">
        <v>4</v>
      </c>
      <c r="E2197" s="69">
        <v>4</v>
      </c>
      <c r="F2197" s="69">
        <v>0</v>
      </c>
      <c r="G2197" s="69" t="s">
        <v>18</v>
      </c>
      <c r="H2197" s="69" t="s">
        <v>52</v>
      </c>
      <c r="I2197" s="69" t="s">
        <v>1647</v>
      </c>
      <c r="J2197" s="69" t="s">
        <v>55</v>
      </c>
      <c r="K2197" s="69" t="s">
        <v>1648</v>
      </c>
      <c r="M2197" s="69" t="s">
        <v>6</v>
      </c>
    </row>
    <row r="2198" spans="2:13">
      <c r="B2198" s="69">
        <v>2196</v>
      </c>
      <c r="C2198" s="69">
        <v>198</v>
      </c>
      <c r="D2198" s="69">
        <v>4</v>
      </c>
      <c r="E2198" s="69">
        <v>0</v>
      </c>
      <c r="F2198" s="69">
        <v>0</v>
      </c>
      <c r="G2198" s="69" t="s">
        <v>18</v>
      </c>
      <c r="H2198" s="69" t="s">
        <v>52</v>
      </c>
      <c r="I2198" s="69" t="s">
        <v>1649</v>
      </c>
      <c r="J2198" s="69" t="s">
        <v>54</v>
      </c>
      <c r="K2198" s="69" t="s">
        <v>1649</v>
      </c>
      <c r="M2198" s="69" t="s">
        <v>6</v>
      </c>
    </row>
    <row r="2199" spans="2:13">
      <c r="B2199" s="69">
        <v>2197</v>
      </c>
      <c r="C2199" s="69">
        <v>198</v>
      </c>
      <c r="D2199" s="69">
        <v>4</v>
      </c>
      <c r="E2199" s="69">
        <v>1</v>
      </c>
      <c r="F2199" s="69">
        <v>0</v>
      </c>
      <c r="G2199" s="69" t="s">
        <v>18</v>
      </c>
      <c r="H2199" s="69" t="s">
        <v>52</v>
      </c>
      <c r="I2199" s="69" t="s">
        <v>1649</v>
      </c>
      <c r="J2199" s="69" t="s">
        <v>55</v>
      </c>
      <c r="K2199" s="69" t="s">
        <v>62</v>
      </c>
      <c r="M2199" s="69" t="s">
        <v>6</v>
      </c>
    </row>
    <row r="2200" spans="2:13">
      <c r="B2200" s="69">
        <v>2198</v>
      </c>
      <c r="C2200" s="69">
        <v>198</v>
      </c>
      <c r="D2200" s="69">
        <v>4</v>
      </c>
      <c r="E2200" s="69">
        <v>2</v>
      </c>
      <c r="F2200" s="69">
        <v>0</v>
      </c>
      <c r="G2200" s="69" t="s">
        <v>18</v>
      </c>
      <c r="H2200" s="69" t="s">
        <v>52</v>
      </c>
      <c r="I2200" s="69" t="s">
        <v>1649</v>
      </c>
      <c r="J2200" s="69" t="s">
        <v>55</v>
      </c>
      <c r="K2200" s="69" t="s">
        <v>63</v>
      </c>
      <c r="M2200" s="69" t="s">
        <v>6</v>
      </c>
    </row>
    <row r="2201" spans="2:13">
      <c r="B2201" s="69">
        <v>2199</v>
      </c>
      <c r="C2201" s="69">
        <v>198</v>
      </c>
      <c r="D2201" s="69">
        <v>4</v>
      </c>
      <c r="E2201" s="69">
        <v>3</v>
      </c>
      <c r="F2201" s="69">
        <v>0</v>
      </c>
      <c r="G2201" s="69" t="s">
        <v>18</v>
      </c>
      <c r="H2201" s="69" t="s">
        <v>52</v>
      </c>
      <c r="I2201" s="69" t="s">
        <v>1649</v>
      </c>
      <c r="J2201" s="69" t="s">
        <v>64</v>
      </c>
      <c r="K2201" s="69" t="s">
        <v>65</v>
      </c>
      <c r="M2201" s="69" t="s">
        <v>6</v>
      </c>
    </row>
    <row r="2202" spans="2:13">
      <c r="B2202" s="69">
        <v>2200</v>
      </c>
      <c r="C2202" s="69">
        <v>198</v>
      </c>
      <c r="D2202" s="69">
        <v>4</v>
      </c>
      <c r="E2202" s="69">
        <v>4</v>
      </c>
      <c r="F2202" s="69">
        <v>0</v>
      </c>
      <c r="G2202" s="69" t="s">
        <v>18</v>
      </c>
      <c r="H2202" s="69" t="s">
        <v>52</v>
      </c>
      <c r="I2202" s="69" t="s">
        <v>1649</v>
      </c>
      <c r="J2202" s="69" t="s">
        <v>55</v>
      </c>
      <c r="K2202" s="69" t="s">
        <v>1650</v>
      </c>
      <c r="M2202" s="69" t="s">
        <v>6</v>
      </c>
    </row>
    <row r="2203" spans="2:13">
      <c r="B2203" s="69">
        <v>2201</v>
      </c>
      <c r="C2203" s="69">
        <v>199</v>
      </c>
      <c r="D2203" s="69">
        <v>26</v>
      </c>
      <c r="E2203" s="69">
        <v>0</v>
      </c>
      <c r="F2203" s="69">
        <v>0</v>
      </c>
      <c r="G2203" s="69" t="s">
        <v>18</v>
      </c>
      <c r="H2203" s="69" t="s">
        <v>52</v>
      </c>
      <c r="I2203" s="69" t="s">
        <v>1651</v>
      </c>
      <c r="J2203" s="69" t="s">
        <v>478</v>
      </c>
      <c r="K2203" s="69" t="s">
        <v>1651</v>
      </c>
      <c r="M2203" s="69" t="s">
        <v>6</v>
      </c>
    </row>
    <row r="2204" spans="2:13">
      <c r="B2204" s="69">
        <v>2202</v>
      </c>
      <c r="C2204" s="69">
        <v>199</v>
      </c>
      <c r="D2204" s="69">
        <v>26</v>
      </c>
      <c r="E2204" s="69">
        <v>1</v>
      </c>
      <c r="F2204" s="69">
        <v>0</v>
      </c>
      <c r="G2204" s="69" t="s">
        <v>18</v>
      </c>
      <c r="H2204" s="69" t="s">
        <v>52</v>
      </c>
      <c r="I2204" s="69" t="s">
        <v>1651</v>
      </c>
      <c r="J2204" s="69" t="s">
        <v>479</v>
      </c>
      <c r="K2204" s="69" t="s">
        <v>1652</v>
      </c>
      <c r="M2204" s="69" t="s">
        <v>6</v>
      </c>
    </row>
    <row r="2205" spans="2:13">
      <c r="B2205" s="69">
        <v>2203</v>
      </c>
      <c r="C2205" s="69">
        <v>199</v>
      </c>
      <c r="D2205" s="69">
        <v>26</v>
      </c>
      <c r="E2205" s="69">
        <v>2</v>
      </c>
      <c r="F2205" s="69">
        <v>0</v>
      </c>
      <c r="G2205" s="69" t="s">
        <v>18</v>
      </c>
      <c r="H2205" s="69" t="s">
        <v>52</v>
      </c>
      <c r="I2205" s="69" t="s">
        <v>1651</v>
      </c>
      <c r="J2205" s="69" t="s">
        <v>55</v>
      </c>
      <c r="K2205" s="69" t="s">
        <v>1653</v>
      </c>
      <c r="M2205" s="69" t="s">
        <v>6</v>
      </c>
    </row>
    <row r="2206" spans="2:13">
      <c r="B2206" s="69">
        <v>2204</v>
      </c>
      <c r="C2206" s="69">
        <v>199</v>
      </c>
      <c r="D2206" s="69">
        <v>26</v>
      </c>
      <c r="E2206" s="69">
        <v>3</v>
      </c>
      <c r="F2206" s="69">
        <v>0</v>
      </c>
      <c r="G2206" s="69" t="s">
        <v>18</v>
      </c>
      <c r="H2206" s="69" t="s">
        <v>52</v>
      </c>
      <c r="I2206" s="69" t="s">
        <v>1651</v>
      </c>
      <c r="J2206" s="69" t="s">
        <v>55</v>
      </c>
      <c r="K2206" s="69" t="s">
        <v>1654</v>
      </c>
      <c r="M2206" s="69" t="s">
        <v>6</v>
      </c>
    </row>
    <row r="2207" spans="2:13">
      <c r="B2207" s="69">
        <v>2205</v>
      </c>
      <c r="C2207" s="69">
        <v>199</v>
      </c>
      <c r="D2207" s="69">
        <v>26</v>
      </c>
      <c r="E2207" s="69">
        <v>4</v>
      </c>
      <c r="F2207" s="69">
        <v>0</v>
      </c>
      <c r="G2207" s="69" t="s">
        <v>18</v>
      </c>
      <c r="H2207" s="69" t="s">
        <v>52</v>
      </c>
      <c r="I2207" s="69" t="s">
        <v>1651</v>
      </c>
      <c r="J2207" s="69" t="s">
        <v>55</v>
      </c>
      <c r="K2207" s="69" t="s">
        <v>1655</v>
      </c>
      <c r="M2207" s="69" t="s">
        <v>6</v>
      </c>
    </row>
    <row r="2208" spans="2:13">
      <c r="B2208" s="69">
        <v>2206</v>
      </c>
      <c r="C2208" s="69">
        <v>199</v>
      </c>
      <c r="D2208" s="69">
        <v>26</v>
      </c>
      <c r="E2208" s="69">
        <v>5</v>
      </c>
      <c r="F2208" s="69">
        <v>0</v>
      </c>
      <c r="G2208" s="69" t="s">
        <v>18</v>
      </c>
      <c r="H2208" s="69" t="s">
        <v>52</v>
      </c>
      <c r="I2208" s="69" t="s">
        <v>1651</v>
      </c>
      <c r="J2208" s="69" t="s">
        <v>55</v>
      </c>
      <c r="K2208" s="69" t="s">
        <v>1656</v>
      </c>
      <c r="M2208" s="69" t="s">
        <v>6</v>
      </c>
    </row>
    <row r="2209" spans="2:13">
      <c r="B2209" s="69">
        <v>2207</v>
      </c>
      <c r="C2209" s="69">
        <v>199</v>
      </c>
      <c r="D2209" s="69">
        <v>26</v>
      </c>
      <c r="E2209" s="69">
        <v>6</v>
      </c>
      <c r="F2209" s="69">
        <v>0</v>
      </c>
      <c r="G2209" s="69" t="s">
        <v>18</v>
      </c>
      <c r="H2209" s="69" t="s">
        <v>52</v>
      </c>
      <c r="I2209" s="69" t="s">
        <v>1651</v>
      </c>
      <c r="J2209" s="69" t="s">
        <v>55</v>
      </c>
      <c r="K2209" s="69" t="s">
        <v>1657</v>
      </c>
      <c r="M2209" s="69" t="s">
        <v>6</v>
      </c>
    </row>
    <row r="2210" spans="2:13">
      <c r="B2210" s="69">
        <v>2208</v>
      </c>
      <c r="C2210" s="69">
        <v>199</v>
      </c>
      <c r="D2210" s="69">
        <v>26</v>
      </c>
      <c r="E2210" s="69">
        <v>7</v>
      </c>
      <c r="F2210" s="69">
        <v>0</v>
      </c>
      <c r="G2210" s="69" t="s">
        <v>18</v>
      </c>
      <c r="H2210" s="69" t="s">
        <v>52</v>
      </c>
      <c r="I2210" s="69" t="s">
        <v>1651</v>
      </c>
      <c r="J2210" s="69" t="s">
        <v>214</v>
      </c>
      <c r="K2210" s="69" t="s">
        <v>1658</v>
      </c>
      <c r="M2210" s="69" t="s">
        <v>6</v>
      </c>
    </row>
    <row r="2211" spans="2:13">
      <c r="B2211" s="69">
        <v>2209</v>
      </c>
      <c r="C2211" s="69">
        <v>199</v>
      </c>
      <c r="D2211" s="69">
        <v>26</v>
      </c>
      <c r="E2211" s="69">
        <v>8</v>
      </c>
      <c r="F2211" s="69">
        <v>0</v>
      </c>
      <c r="G2211" s="69" t="s">
        <v>18</v>
      </c>
      <c r="H2211" s="69" t="s">
        <v>52</v>
      </c>
      <c r="I2211" s="69" t="s">
        <v>1651</v>
      </c>
      <c r="J2211" s="69" t="s">
        <v>55</v>
      </c>
      <c r="K2211" s="69" t="s">
        <v>1659</v>
      </c>
      <c r="M2211" s="69" t="s">
        <v>6</v>
      </c>
    </row>
    <row r="2212" spans="2:13">
      <c r="B2212" s="69">
        <v>2210</v>
      </c>
      <c r="C2212" s="69">
        <v>199</v>
      </c>
      <c r="D2212" s="69">
        <v>26</v>
      </c>
      <c r="E2212" s="69">
        <v>9</v>
      </c>
      <c r="F2212" s="69">
        <v>0</v>
      </c>
      <c r="G2212" s="69" t="s">
        <v>18</v>
      </c>
      <c r="H2212" s="69" t="s">
        <v>52</v>
      </c>
      <c r="I2212" s="69" t="s">
        <v>1651</v>
      </c>
      <c r="J2212" s="69" t="s">
        <v>55</v>
      </c>
      <c r="K2212" s="69" t="s">
        <v>1660</v>
      </c>
      <c r="M2212" s="69" t="s">
        <v>6</v>
      </c>
    </row>
    <row r="2213" spans="2:13">
      <c r="B2213" s="69">
        <v>2211</v>
      </c>
      <c r="C2213" s="69">
        <v>199</v>
      </c>
      <c r="D2213" s="69">
        <v>26</v>
      </c>
      <c r="E2213" s="69">
        <v>10</v>
      </c>
      <c r="F2213" s="69">
        <v>0</v>
      </c>
      <c r="G2213" s="69" t="s">
        <v>18</v>
      </c>
      <c r="H2213" s="69" t="s">
        <v>52</v>
      </c>
      <c r="I2213" s="69" t="s">
        <v>1651</v>
      </c>
      <c r="J2213" s="69" t="s">
        <v>214</v>
      </c>
      <c r="K2213" s="69" t="s">
        <v>1661</v>
      </c>
      <c r="M2213" s="69" t="s">
        <v>6</v>
      </c>
    </row>
    <row r="2214" spans="2:13">
      <c r="B2214" s="69">
        <v>2212</v>
      </c>
      <c r="C2214" s="69">
        <v>199</v>
      </c>
      <c r="D2214" s="69">
        <v>26</v>
      </c>
      <c r="E2214" s="69">
        <v>11</v>
      </c>
      <c r="F2214" s="69">
        <v>0</v>
      </c>
      <c r="G2214" s="69" t="s">
        <v>18</v>
      </c>
      <c r="H2214" s="69" t="s">
        <v>52</v>
      </c>
      <c r="I2214" s="69" t="s">
        <v>1651</v>
      </c>
      <c r="J2214" s="69" t="s">
        <v>55</v>
      </c>
      <c r="K2214" s="69" t="s">
        <v>1662</v>
      </c>
      <c r="M2214" s="69" t="s">
        <v>6</v>
      </c>
    </row>
    <row r="2215" spans="2:13">
      <c r="B2215" s="69">
        <v>2213</v>
      </c>
      <c r="C2215" s="69">
        <v>199</v>
      </c>
      <c r="D2215" s="69">
        <v>26</v>
      </c>
      <c r="E2215" s="69">
        <v>12</v>
      </c>
      <c r="F2215" s="69">
        <v>0</v>
      </c>
      <c r="G2215" s="69" t="s">
        <v>18</v>
      </c>
      <c r="H2215" s="69" t="s">
        <v>52</v>
      </c>
      <c r="I2215" s="69" t="s">
        <v>1651</v>
      </c>
      <c r="J2215" s="69" t="s">
        <v>55</v>
      </c>
      <c r="K2215" s="69" t="s">
        <v>1663</v>
      </c>
      <c r="M2215" s="69" t="s">
        <v>6</v>
      </c>
    </row>
    <row r="2216" spans="2:13">
      <c r="B2216" s="69">
        <v>2214</v>
      </c>
      <c r="C2216" s="69">
        <v>199</v>
      </c>
      <c r="D2216" s="69">
        <v>26</v>
      </c>
      <c r="E2216" s="69">
        <v>13</v>
      </c>
      <c r="F2216" s="69">
        <v>0</v>
      </c>
      <c r="G2216" s="69" t="s">
        <v>18</v>
      </c>
      <c r="H2216" s="69" t="s">
        <v>52</v>
      </c>
      <c r="I2216" s="69" t="s">
        <v>1651</v>
      </c>
      <c r="J2216" s="69" t="s">
        <v>479</v>
      </c>
      <c r="K2216" s="69" t="s">
        <v>1664</v>
      </c>
      <c r="M2216" s="69" t="s">
        <v>6</v>
      </c>
    </row>
    <row r="2217" spans="2:13">
      <c r="B2217" s="69">
        <v>2215</v>
      </c>
      <c r="C2217" s="69">
        <v>199</v>
      </c>
      <c r="D2217" s="69">
        <v>26</v>
      </c>
      <c r="E2217" s="69">
        <v>14</v>
      </c>
      <c r="F2217" s="69">
        <v>0</v>
      </c>
      <c r="G2217" s="69" t="s">
        <v>18</v>
      </c>
      <c r="H2217" s="69" t="s">
        <v>52</v>
      </c>
      <c r="I2217" s="69" t="s">
        <v>1651</v>
      </c>
      <c r="J2217" s="69" t="s">
        <v>55</v>
      </c>
      <c r="K2217" s="69" t="s">
        <v>1665</v>
      </c>
      <c r="M2217" s="69" t="s">
        <v>6</v>
      </c>
    </row>
    <row r="2218" spans="2:13">
      <c r="B2218" s="69">
        <v>2216</v>
      </c>
      <c r="C2218" s="69">
        <v>199</v>
      </c>
      <c r="D2218" s="69">
        <v>26</v>
      </c>
      <c r="E2218" s="69">
        <v>15</v>
      </c>
      <c r="F2218" s="69">
        <v>0</v>
      </c>
      <c r="G2218" s="69" t="s">
        <v>18</v>
      </c>
      <c r="H2218" s="69" t="s">
        <v>52</v>
      </c>
      <c r="I2218" s="69" t="s">
        <v>1651</v>
      </c>
      <c r="J2218" s="69" t="s">
        <v>55</v>
      </c>
      <c r="K2218" s="69" t="s">
        <v>1666</v>
      </c>
      <c r="M2218" s="69" t="s">
        <v>6</v>
      </c>
    </row>
    <row r="2219" spans="2:13">
      <c r="B2219" s="69">
        <v>2217</v>
      </c>
      <c r="C2219" s="69">
        <v>199</v>
      </c>
      <c r="D2219" s="69">
        <v>26</v>
      </c>
      <c r="E2219" s="69">
        <v>16</v>
      </c>
      <c r="F2219" s="69">
        <v>0</v>
      </c>
      <c r="G2219" s="69" t="s">
        <v>18</v>
      </c>
      <c r="H2219" s="69" t="s">
        <v>52</v>
      </c>
      <c r="I2219" s="69" t="s">
        <v>1651</v>
      </c>
      <c r="J2219" s="69" t="s">
        <v>55</v>
      </c>
      <c r="K2219" s="69" t="s">
        <v>1667</v>
      </c>
      <c r="M2219" s="69" t="s">
        <v>6</v>
      </c>
    </row>
    <row r="2220" spans="2:13">
      <c r="B2220" s="69">
        <v>2218</v>
      </c>
      <c r="C2220" s="69">
        <v>199</v>
      </c>
      <c r="D2220" s="69">
        <v>26</v>
      </c>
      <c r="E2220" s="69">
        <v>17</v>
      </c>
      <c r="F2220" s="69">
        <v>0</v>
      </c>
      <c r="G2220" s="69" t="s">
        <v>18</v>
      </c>
      <c r="H2220" s="69" t="s">
        <v>52</v>
      </c>
      <c r="I2220" s="69" t="s">
        <v>1651</v>
      </c>
      <c r="J2220" s="69" t="s">
        <v>479</v>
      </c>
      <c r="K2220" s="69" t="s">
        <v>1668</v>
      </c>
      <c r="M2220" s="69" t="s">
        <v>6</v>
      </c>
    </row>
    <row r="2221" spans="2:13">
      <c r="B2221" s="69">
        <v>2219</v>
      </c>
      <c r="C2221" s="69">
        <v>199</v>
      </c>
      <c r="D2221" s="69">
        <v>26</v>
      </c>
      <c r="E2221" s="69">
        <v>18</v>
      </c>
      <c r="F2221" s="69">
        <v>0</v>
      </c>
      <c r="G2221" s="69" t="s">
        <v>18</v>
      </c>
      <c r="H2221" s="69" t="s">
        <v>52</v>
      </c>
      <c r="I2221" s="69" t="s">
        <v>1651</v>
      </c>
      <c r="J2221" s="69" t="s">
        <v>55</v>
      </c>
      <c r="K2221" s="69" t="s">
        <v>1669</v>
      </c>
      <c r="M2221" s="69" t="s">
        <v>6</v>
      </c>
    </row>
    <row r="2222" spans="2:13">
      <c r="B2222" s="69">
        <v>2220</v>
      </c>
      <c r="C2222" s="69">
        <v>199</v>
      </c>
      <c r="D2222" s="69">
        <v>26</v>
      </c>
      <c r="E2222" s="69">
        <v>19</v>
      </c>
      <c r="F2222" s="69">
        <v>0</v>
      </c>
      <c r="G2222" s="69" t="s">
        <v>18</v>
      </c>
      <c r="H2222" s="69" t="s">
        <v>52</v>
      </c>
      <c r="I2222" s="69" t="s">
        <v>1651</v>
      </c>
      <c r="J2222" s="69" t="s">
        <v>55</v>
      </c>
      <c r="K2222" s="69" t="s">
        <v>1670</v>
      </c>
      <c r="M2222" s="69" t="s">
        <v>6</v>
      </c>
    </row>
    <row r="2223" spans="2:13">
      <c r="B2223" s="69">
        <v>2221</v>
      </c>
      <c r="C2223" s="69">
        <v>199</v>
      </c>
      <c r="D2223" s="69">
        <v>26</v>
      </c>
      <c r="E2223" s="69">
        <v>20</v>
      </c>
      <c r="F2223" s="69">
        <v>0</v>
      </c>
      <c r="G2223" s="69" t="s">
        <v>18</v>
      </c>
      <c r="H2223" s="69" t="s">
        <v>52</v>
      </c>
      <c r="I2223" s="69" t="s">
        <v>1651</v>
      </c>
      <c r="J2223" s="69" t="s">
        <v>55</v>
      </c>
      <c r="K2223" s="69" t="s">
        <v>1671</v>
      </c>
      <c r="M2223" s="69" t="s">
        <v>6</v>
      </c>
    </row>
    <row r="2224" spans="2:13">
      <c r="B2224" s="69">
        <v>2222</v>
      </c>
      <c r="C2224" s="69">
        <v>199</v>
      </c>
      <c r="D2224" s="69">
        <v>26</v>
      </c>
      <c r="E2224" s="69">
        <v>21</v>
      </c>
      <c r="F2224" s="69">
        <v>0</v>
      </c>
      <c r="G2224" s="69" t="s">
        <v>18</v>
      </c>
      <c r="H2224" s="69" t="s">
        <v>52</v>
      </c>
      <c r="I2224" s="69" t="s">
        <v>1651</v>
      </c>
      <c r="J2224" s="69" t="s">
        <v>55</v>
      </c>
      <c r="K2224" s="69" t="s">
        <v>1672</v>
      </c>
      <c r="M2224" s="69" t="s">
        <v>6</v>
      </c>
    </row>
    <row r="2225" spans="2:13">
      <c r="B2225" s="69">
        <v>2223</v>
      </c>
      <c r="C2225" s="69">
        <v>199</v>
      </c>
      <c r="D2225" s="69">
        <v>26</v>
      </c>
      <c r="E2225" s="69">
        <v>22</v>
      </c>
      <c r="F2225" s="69">
        <v>0</v>
      </c>
      <c r="G2225" s="69" t="s">
        <v>18</v>
      </c>
      <c r="H2225" s="69" t="s">
        <v>52</v>
      </c>
      <c r="I2225" s="69" t="s">
        <v>1651</v>
      </c>
      <c r="J2225" s="69" t="s">
        <v>479</v>
      </c>
      <c r="K2225" s="69" t="s">
        <v>1673</v>
      </c>
      <c r="M2225" s="69" t="s">
        <v>6</v>
      </c>
    </row>
    <row r="2226" spans="2:13">
      <c r="B2226" s="69">
        <v>2224</v>
      </c>
      <c r="C2226" s="69">
        <v>199</v>
      </c>
      <c r="D2226" s="69">
        <v>26</v>
      </c>
      <c r="E2226" s="69">
        <v>23</v>
      </c>
      <c r="F2226" s="69">
        <v>0</v>
      </c>
      <c r="G2226" s="69" t="s">
        <v>18</v>
      </c>
      <c r="H2226" s="69" t="s">
        <v>52</v>
      </c>
      <c r="I2226" s="69" t="s">
        <v>1651</v>
      </c>
      <c r="J2226" s="69" t="s">
        <v>55</v>
      </c>
      <c r="K2226" s="69" t="s">
        <v>1674</v>
      </c>
      <c r="M2226" s="69" t="s">
        <v>6</v>
      </c>
    </row>
    <row r="2227" spans="2:13">
      <c r="B2227" s="69">
        <v>2225</v>
      </c>
      <c r="C2227" s="69">
        <v>199</v>
      </c>
      <c r="D2227" s="69">
        <v>26</v>
      </c>
      <c r="E2227" s="69">
        <v>24</v>
      </c>
      <c r="F2227" s="69">
        <v>0</v>
      </c>
      <c r="G2227" s="69" t="s">
        <v>18</v>
      </c>
      <c r="H2227" s="69" t="s">
        <v>52</v>
      </c>
      <c r="I2227" s="69" t="s">
        <v>1651</v>
      </c>
      <c r="J2227" s="69" t="s">
        <v>55</v>
      </c>
      <c r="K2227" s="69" t="s">
        <v>1675</v>
      </c>
      <c r="M2227" s="69" t="s">
        <v>6</v>
      </c>
    </row>
    <row r="2228" spans="2:13">
      <c r="B2228" s="69">
        <v>2226</v>
      </c>
      <c r="C2228" s="69">
        <v>199</v>
      </c>
      <c r="D2228" s="69">
        <v>26</v>
      </c>
      <c r="E2228" s="69">
        <v>25</v>
      </c>
      <c r="F2228" s="69">
        <v>0</v>
      </c>
      <c r="G2228" s="69" t="s">
        <v>18</v>
      </c>
      <c r="H2228" s="69" t="s">
        <v>52</v>
      </c>
      <c r="I2228" s="69" t="s">
        <v>1651</v>
      </c>
      <c r="J2228" s="69" t="s">
        <v>55</v>
      </c>
      <c r="K2228" s="69" t="s">
        <v>1676</v>
      </c>
      <c r="M2228" s="69" t="s">
        <v>6</v>
      </c>
    </row>
    <row r="2229" spans="2:13">
      <c r="B2229" s="69">
        <v>2227</v>
      </c>
      <c r="C2229" s="69">
        <v>199</v>
      </c>
      <c r="D2229" s="69">
        <v>26</v>
      </c>
      <c r="E2229" s="69">
        <v>26</v>
      </c>
      <c r="F2229" s="69">
        <v>0</v>
      </c>
      <c r="G2229" s="69" t="s">
        <v>18</v>
      </c>
      <c r="H2229" s="69" t="s">
        <v>52</v>
      </c>
      <c r="I2229" s="69" t="s">
        <v>1651</v>
      </c>
      <c r="J2229" s="69" t="s">
        <v>55</v>
      </c>
      <c r="K2229" s="69" t="s">
        <v>1677</v>
      </c>
      <c r="M2229" s="69" t="s">
        <v>6</v>
      </c>
    </row>
    <row r="2230" spans="2:13">
      <c r="B2230" s="69">
        <v>2228</v>
      </c>
      <c r="C2230" s="69">
        <v>200</v>
      </c>
      <c r="D2230" s="69">
        <v>4</v>
      </c>
      <c r="E2230" s="69">
        <v>0</v>
      </c>
      <c r="F2230" s="69">
        <v>0</v>
      </c>
      <c r="G2230" s="69" t="s">
        <v>18</v>
      </c>
      <c r="H2230" s="69" t="s">
        <v>52</v>
      </c>
      <c r="I2230" s="69" t="s">
        <v>1678</v>
      </c>
      <c r="J2230" s="69" t="s">
        <v>54</v>
      </c>
      <c r="K2230" s="69" t="s">
        <v>1678</v>
      </c>
      <c r="M2230" s="69" t="s">
        <v>6</v>
      </c>
    </row>
    <row r="2231" spans="2:13">
      <c r="B2231" s="69">
        <v>2229</v>
      </c>
      <c r="C2231" s="69">
        <v>200</v>
      </c>
      <c r="D2231" s="69">
        <v>4</v>
      </c>
      <c r="E2231" s="69">
        <v>1</v>
      </c>
      <c r="F2231" s="69">
        <v>0</v>
      </c>
      <c r="G2231" s="69" t="s">
        <v>18</v>
      </c>
      <c r="H2231" s="69" t="s">
        <v>52</v>
      </c>
      <c r="I2231" s="69" t="s">
        <v>1678</v>
      </c>
      <c r="J2231" s="69" t="s">
        <v>55</v>
      </c>
      <c r="K2231" s="69" t="s">
        <v>62</v>
      </c>
      <c r="M2231" s="69" t="s">
        <v>6</v>
      </c>
    </row>
    <row r="2232" spans="2:13">
      <c r="B2232" s="69">
        <v>2230</v>
      </c>
      <c r="C2232" s="69">
        <v>200</v>
      </c>
      <c r="D2232" s="69">
        <v>4</v>
      </c>
      <c r="E2232" s="69">
        <v>2</v>
      </c>
      <c r="F2232" s="69">
        <v>0</v>
      </c>
      <c r="G2232" s="69" t="s">
        <v>18</v>
      </c>
      <c r="H2232" s="69" t="s">
        <v>52</v>
      </c>
      <c r="I2232" s="69" t="s">
        <v>1678</v>
      </c>
      <c r="J2232" s="69" t="s">
        <v>55</v>
      </c>
      <c r="K2232" s="69" t="s">
        <v>63</v>
      </c>
      <c r="M2232" s="69" t="s">
        <v>6</v>
      </c>
    </row>
    <row r="2233" spans="2:13">
      <c r="B2233" s="69">
        <v>2231</v>
      </c>
      <c r="C2233" s="69">
        <v>200</v>
      </c>
      <c r="D2233" s="69">
        <v>4</v>
      </c>
      <c r="E2233" s="69">
        <v>3</v>
      </c>
      <c r="F2233" s="69">
        <v>0</v>
      </c>
      <c r="G2233" s="69" t="s">
        <v>18</v>
      </c>
      <c r="H2233" s="69" t="s">
        <v>52</v>
      </c>
      <c r="I2233" s="69" t="s">
        <v>1678</v>
      </c>
      <c r="J2233" s="69" t="s">
        <v>64</v>
      </c>
      <c r="K2233" s="69" t="s">
        <v>65</v>
      </c>
      <c r="M2233" s="69" t="s">
        <v>6</v>
      </c>
    </row>
    <row r="2234" spans="2:13">
      <c r="B2234" s="69">
        <v>2232</v>
      </c>
      <c r="C2234" s="69">
        <v>200</v>
      </c>
      <c r="D2234" s="69">
        <v>4</v>
      </c>
      <c r="E2234" s="69">
        <v>4</v>
      </c>
      <c r="F2234" s="69">
        <v>0</v>
      </c>
      <c r="G2234" s="69" t="s">
        <v>18</v>
      </c>
      <c r="H2234" s="69" t="s">
        <v>52</v>
      </c>
      <c r="I2234" s="69" t="s">
        <v>1678</v>
      </c>
      <c r="J2234" s="69" t="s">
        <v>55</v>
      </c>
      <c r="K2234" s="69" t="s">
        <v>1679</v>
      </c>
      <c r="M2234" s="69" t="s">
        <v>6</v>
      </c>
    </row>
    <row r="2235" spans="2:13">
      <c r="B2235" s="69">
        <v>2233</v>
      </c>
      <c r="C2235" s="69">
        <v>201</v>
      </c>
      <c r="D2235" s="69">
        <v>4</v>
      </c>
      <c r="E2235" s="69">
        <v>0</v>
      </c>
      <c r="F2235" s="69">
        <v>0</v>
      </c>
      <c r="G2235" s="69" t="s">
        <v>18</v>
      </c>
      <c r="H2235" s="69" t="s">
        <v>52</v>
      </c>
      <c r="I2235" s="69" t="s">
        <v>1680</v>
      </c>
      <c r="J2235" s="69" t="s">
        <v>54</v>
      </c>
      <c r="K2235" s="69" t="s">
        <v>1680</v>
      </c>
      <c r="M2235" s="69" t="s">
        <v>6</v>
      </c>
    </row>
    <row r="2236" spans="2:13">
      <c r="B2236" s="69">
        <v>2234</v>
      </c>
      <c r="C2236" s="69">
        <v>201</v>
      </c>
      <c r="D2236" s="69">
        <v>4</v>
      </c>
      <c r="E2236" s="69">
        <v>1</v>
      </c>
      <c r="F2236" s="69">
        <v>0</v>
      </c>
      <c r="G2236" s="69" t="s">
        <v>18</v>
      </c>
      <c r="H2236" s="69" t="s">
        <v>52</v>
      </c>
      <c r="I2236" s="69" t="s">
        <v>1680</v>
      </c>
      <c r="J2236" s="69" t="s">
        <v>55</v>
      </c>
      <c r="K2236" s="69" t="s">
        <v>62</v>
      </c>
      <c r="M2236" s="69" t="s">
        <v>6</v>
      </c>
    </row>
    <row r="2237" spans="2:13">
      <c r="B2237" s="69">
        <v>2235</v>
      </c>
      <c r="C2237" s="69">
        <v>201</v>
      </c>
      <c r="D2237" s="69">
        <v>4</v>
      </c>
      <c r="E2237" s="69">
        <v>2</v>
      </c>
      <c r="F2237" s="69">
        <v>0</v>
      </c>
      <c r="G2237" s="69" t="s">
        <v>18</v>
      </c>
      <c r="H2237" s="69" t="s">
        <v>52</v>
      </c>
      <c r="I2237" s="69" t="s">
        <v>1680</v>
      </c>
      <c r="J2237" s="69" t="s">
        <v>55</v>
      </c>
      <c r="K2237" s="69" t="s">
        <v>63</v>
      </c>
      <c r="M2237" s="69" t="s">
        <v>6</v>
      </c>
    </row>
    <row r="2238" spans="2:13">
      <c r="B2238" s="69">
        <v>2236</v>
      </c>
      <c r="C2238" s="69">
        <v>201</v>
      </c>
      <c r="D2238" s="69">
        <v>4</v>
      </c>
      <c r="E2238" s="69">
        <v>3</v>
      </c>
      <c r="F2238" s="69">
        <v>0</v>
      </c>
      <c r="G2238" s="69" t="s">
        <v>18</v>
      </c>
      <c r="H2238" s="69" t="s">
        <v>52</v>
      </c>
      <c r="I2238" s="69" t="s">
        <v>1680</v>
      </c>
      <c r="J2238" s="69" t="s">
        <v>64</v>
      </c>
      <c r="K2238" s="69" t="s">
        <v>65</v>
      </c>
      <c r="M2238" s="69" t="s">
        <v>6</v>
      </c>
    </row>
    <row r="2239" spans="2:13">
      <c r="B2239" s="69">
        <v>2237</v>
      </c>
      <c r="C2239" s="69">
        <v>201</v>
      </c>
      <c r="D2239" s="69">
        <v>4</v>
      </c>
      <c r="E2239" s="69">
        <v>4</v>
      </c>
      <c r="F2239" s="69">
        <v>0</v>
      </c>
      <c r="G2239" s="69" t="s">
        <v>18</v>
      </c>
      <c r="H2239" s="69" t="s">
        <v>52</v>
      </c>
      <c r="I2239" s="69" t="s">
        <v>1680</v>
      </c>
      <c r="J2239" s="69" t="s">
        <v>55</v>
      </c>
      <c r="K2239" s="69" t="s">
        <v>1681</v>
      </c>
      <c r="M2239" s="69" t="s">
        <v>6</v>
      </c>
    </row>
    <row r="2240" spans="2:13">
      <c r="B2240" s="69">
        <v>2238</v>
      </c>
      <c r="C2240" s="69">
        <v>202</v>
      </c>
      <c r="D2240" s="69">
        <v>4</v>
      </c>
      <c r="E2240" s="69">
        <v>0</v>
      </c>
      <c r="F2240" s="69">
        <v>0</v>
      </c>
      <c r="G2240" s="69" t="s">
        <v>18</v>
      </c>
      <c r="H2240" s="69" t="s">
        <v>52</v>
      </c>
      <c r="I2240" s="69" t="s">
        <v>1682</v>
      </c>
      <c r="J2240" s="69" t="s">
        <v>54</v>
      </c>
      <c r="K2240" s="69" t="s">
        <v>1682</v>
      </c>
      <c r="M2240" s="69" t="s">
        <v>6</v>
      </c>
    </row>
    <row r="2241" spans="2:13">
      <c r="B2241" s="69">
        <v>2239</v>
      </c>
      <c r="C2241" s="69">
        <v>202</v>
      </c>
      <c r="D2241" s="69">
        <v>4</v>
      </c>
      <c r="E2241" s="69">
        <v>1</v>
      </c>
      <c r="F2241" s="69">
        <v>0</v>
      </c>
      <c r="G2241" s="69" t="s">
        <v>18</v>
      </c>
      <c r="H2241" s="69" t="s">
        <v>52</v>
      </c>
      <c r="I2241" s="69" t="s">
        <v>1682</v>
      </c>
      <c r="J2241" s="69" t="s">
        <v>55</v>
      </c>
      <c r="K2241" s="69" t="s">
        <v>62</v>
      </c>
      <c r="M2241" s="69" t="s">
        <v>6</v>
      </c>
    </row>
    <row r="2242" spans="2:13">
      <c r="B2242" s="69">
        <v>2240</v>
      </c>
      <c r="C2242" s="69">
        <v>202</v>
      </c>
      <c r="D2242" s="69">
        <v>4</v>
      </c>
      <c r="E2242" s="69">
        <v>2</v>
      </c>
      <c r="F2242" s="69">
        <v>0</v>
      </c>
      <c r="G2242" s="69" t="s">
        <v>18</v>
      </c>
      <c r="H2242" s="69" t="s">
        <v>52</v>
      </c>
      <c r="I2242" s="69" t="s">
        <v>1682</v>
      </c>
      <c r="J2242" s="69" t="s">
        <v>55</v>
      </c>
      <c r="K2242" s="69" t="s">
        <v>63</v>
      </c>
      <c r="M2242" s="69" t="s">
        <v>6</v>
      </c>
    </row>
    <row r="2243" spans="2:13">
      <c r="B2243" s="69">
        <v>2241</v>
      </c>
      <c r="C2243" s="69">
        <v>202</v>
      </c>
      <c r="D2243" s="69">
        <v>4</v>
      </c>
      <c r="E2243" s="69">
        <v>3</v>
      </c>
      <c r="F2243" s="69">
        <v>0</v>
      </c>
      <c r="G2243" s="69" t="s">
        <v>18</v>
      </c>
      <c r="H2243" s="69" t="s">
        <v>52</v>
      </c>
      <c r="I2243" s="69" t="s">
        <v>1682</v>
      </c>
      <c r="J2243" s="69" t="s">
        <v>64</v>
      </c>
      <c r="K2243" s="69" t="s">
        <v>65</v>
      </c>
      <c r="M2243" s="69" t="s">
        <v>6</v>
      </c>
    </row>
    <row r="2244" spans="2:13">
      <c r="B2244" s="69">
        <v>2242</v>
      </c>
      <c r="C2244" s="69">
        <v>202</v>
      </c>
      <c r="D2244" s="69">
        <v>4</v>
      </c>
      <c r="E2244" s="69">
        <v>4</v>
      </c>
      <c r="F2244" s="69">
        <v>0</v>
      </c>
      <c r="G2244" s="69" t="s">
        <v>18</v>
      </c>
      <c r="H2244" s="69" t="s">
        <v>52</v>
      </c>
      <c r="I2244" s="69" t="s">
        <v>1682</v>
      </c>
      <c r="J2244" s="69" t="s">
        <v>55</v>
      </c>
      <c r="K2244" s="69" t="s">
        <v>1683</v>
      </c>
      <c r="M2244" s="69" t="s">
        <v>6</v>
      </c>
    </row>
    <row r="2245" spans="2:13">
      <c r="B2245" s="69">
        <v>2243</v>
      </c>
      <c r="C2245" s="69">
        <v>203</v>
      </c>
      <c r="D2245" s="69">
        <v>12</v>
      </c>
      <c r="E2245" s="69">
        <v>0</v>
      </c>
      <c r="F2245" s="69">
        <v>0</v>
      </c>
      <c r="G2245" s="69" t="s">
        <v>18</v>
      </c>
      <c r="H2245" s="69" t="s">
        <v>52</v>
      </c>
      <c r="I2245" s="69" t="s">
        <v>1684</v>
      </c>
      <c r="J2245" s="69" t="s">
        <v>54</v>
      </c>
      <c r="K2245" s="69" t="s">
        <v>1684</v>
      </c>
      <c r="M2245" s="69" t="s">
        <v>6</v>
      </c>
    </row>
    <row r="2246" spans="2:13">
      <c r="B2246" s="69">
        <v>2244</v>
      </c>
      <c r="C2246" s="69">
        <v>203</v>
      </c>
      <c r="D2246" s="69">
        <v>12</v>
      </c>
      <c r="E2246" s="69">
        <v>1</v>
      </c>
      <c r="F2246" s="69">
        <v>0</v>
      </c>
      <c r="G2246" s="69" t="s">
        <v>18</v>
      </c>
      <c r="H2246" s="69" t="s">
        <v>52</v>
      </c>
      <c r="I2246" s="69" t="s">
        <v>1684</v>
      </c>
      <c r="J2246" s="69" t="s">
        <v>55</v>
      </c>
      <c r="K2246" s="69" t="s">
        <v>1685</v>
      </c>
      <c r="M2246" s="69" t="s">
        <v>6</v>
      </c>
    </row>
    <row r="2247" spans="2:13">
      <c r="B2247" s="69">
        <v>2245</v>
      </c>
      <c r="C2247" s="69">
        <v>203</v>
      </c>
      <c r="D2247" s="69">
        <v>12</v>
      </c>
      <c r="E2247" s="69">
        <v>2</v>
      </c>
      <c r="F2247" s="69">
        <v>0</v>
      </c>
      <c r="G2247" s="69" t="s">
        <v>18</v>
      </c>
      <c r="H2247" s="69" t="s">
        <v>52</v>
      </c>
      <c r="I2247" s="69" t="s">
        <v>1684</v>
      </c>
      <c r="J2247" s="69" t="s">
        <v>99</v>
      </c>
      <c r="K2247" s="69" t="s">
        <v>1686</v>
      </c>
      <c r="M2247" s="69" t="s">
        <v>6</v>
      </c>
    </row>
    <row r="2248" spans="2:13">
      <c r="B2248" s="69">
        <v>2246</v>
      </c>
      <c r="C2248" s="69">
        <v>203</v>
      </c>
      <c r="D2248" s="69">
        <v>12</v>
      </c>
      <c r="E2248" s="69">
        <v>3</v>
      </c>
      <c r="F2248" s="69">
        <v>0</v>
      </c>
      <c r="G2248" s="69" t="s">
        <v>18</v>
      </c>
      <c r="H2248" s="69" t="s">
        <v>52</v>
      </c>
      <c r="I2248" s="69" t="s">
        <v>1684</v>
      </c>
      <c r="J2248" s="69" t="s">
        <v>99</v>
      </c>
      <c r="K2248" s="69" t="s">
        <v>1687</v>
      </c>
      <c r="M2248" s="69" t="s">
        <v>6</v>
      </c>
    </row>
    <row r="2249" spans="2:13">
      <c r="B2249" s="69">
        <v>2247</v>
      </c>
      <c r="C2249" s="69">
        <v>203</v>
      </c>
      <c r="D2249" s="69">
        <v>12</v>
      </c>
      <c r="E2249" s="69">
        <v>4</v>
      </c>
      <c r="F2249" s="69">
        <v>0</v>
      </c>
      <c r="G2249" s="69" t="s">
        <v>18</v>
      </c>
      <c r="H2249" s="69" t="s">
        <v>52</v>
      </c>
      <c r="I2249" s="69" t="s">
        <v>1684</v>
      </c>
      <c r="J2249" s="69" t="s">
        <v>99</v>
      </c>
      <c r="K2249" s="69" t="s">
        <v>1688</v>
      </c>
      <c r="M2249" s="69" t="s">
        <v>6</v>
      </c>
    </row>
    <row r="2250" spans="2:13">
      <c r="B2250" s="69">
        <v>2248</v>
      </c>
      <c r="C2250" s="69">
        <v>203</v>
      </c>
      <c r="D2250" s="69">
        <v>12</v>
      </c>
      <c r="E2250" s="69">
        <v>5</v>
      </c>
      <c r="F2250" s="69">
        <v>0</v>
      </c>
      <c r="G2250" s="69" t="s">
        <v>18</v>
      </c>
      <c r="H2250" s="69" t="s">
        <v>52</v>
      </c>
      <c r="I2250" s="69" t="s">
        <v>1684</v>
      </c>
      <c r="J2250" s="69" t="s">
        <v>99</v>
      </c>
      <c r="K2250" s="69" t="s">
        <v>1689</v>
      </c>
      <c r="M2250" s="69" t="s">
        <v>6</v>
      </c>
    </row>
    <row r="2251" spans="2:13">
      <c r="B2251" s="69">
        <v>2249</v>
      </c>
      <c r="C2251" s="69">
        <v>203</v>
      </c>
      <c r="D2251" s="69">
        <v>12</v>
      </c>
      <c r="E2251" s="69">
        <v>6</v>
      </c>
      <c r="F2251" s="69">
        <v>0</v>
      </c>
      <c r="G2251" s="69" t="s">
        <v>18</v>
      </c>
      <c r="H2251" s="69" t="s">
        <v>52</v>
      </c>
      <c r="I2251" s="69" t="s">
        <v>1684</v>
      </c>
      <c r="J2251" s="69" t="s">
        <v>55</v>
      </c>
      <c r="K2251" s="69" t="s">
        <v>1690</v>
      </c>
      <c r="M2251" s="69" t="s">
        <v>6</v>
      </c>
    </row>
    <row r="2252" spans="2:13">
      <c r="B2252" s="69">
        <v>2250</v>
      </c>
      <c r="C2252" s="69">
        <v>203</v>
      </c>
      <c r="D2252" s="69">
        <v>12</v>
      </c>
      <c r="E2252" s="69">
        <v>7</v>
      </c>
      <c r="F2252" s="69">
        <v>0</v>
      </c>
      <c r="G2252" s="69" t="s">
        <v>18</v>
      </c>
      <c r="H2252" s="69" t="s">
        <v>52</v>
      </c>
      <c r="I2252" s="69" t="s">
        <v>1684</v>
      </c>
      <c r="J2252" s="69" t="s">
        <v>55</v>
      </c>
      <c r="K2252" s="69" t="s">
        <v>1691</v>
      </c>
      <c r="M2252" s="69" t="s">
        <v>6</v>
      </c>
    </row>
    <row r="2253" spans="2:13">
      <c r="B2253" s="69">
        <v>2251</v>
      </c>
      <c r="C2253" s="69">
        <v>203</v>
      </c>
      <c r="D2253" s="69">
        <v>12</v>
      </c>
      <c r="E2253" s="69">
        <v>8</v>
      </c>
      <c r="F2253" s="69">
        <v>0</v>
      </c>
      <c r="G2253" s="69" t="s">
        <v>18</v>
      </c>
      <c r="H2253" s="69" t="s">
        <v>52</v>
      </c>
      <c r="I2253" s="69" t="s">
        <v>1684</v>
      </c>
      <c r="J2253" s="69" t="s">
        <v>99</v>
      </c>
      <c r="K2253" s="69" t="s">
        <v>1692</v>
      </c>
      <c r="M2253" s="69" t="s">
        <v>6</v>
      </c>
    </row>
    <row r="2254" spans="2:13">
      <c r="B2254" s="69">
        <v>2252</v>
      </c>
      <c r="C2254" s="69">
        <v>203</v>
      </c>
      <c r="D2254" s="69">
        <v>12</v>
      </c>
      <c r="E2254" s="69">
        <v>9</v>
      </c>
      <c r="F2254" s="69">
        <v>0</v>
      </c>
      <c r="G2254" s="69" t="s">
        <v>18</v>
      </c>
      <c r="H2254" s="69" t="s">
        <v>52</v>
      </c>
      <c r="I2254" s="69" t="s">
        <v>1684</v>
      </c>
      <c r="J2254" s="69" t="s">
        <v>55</v>
      </c>
      <c r="K2254" s="69" t="s">
        <v>1690</v>
      </c>
      <c r="M2254" s="69" t="s">
        <v>6</v>
      </c>
    </row>
    <row r="2255" spans="2:13">
      <c r="B2255" s="69">
        <v>2253</v>
      </c>
      <c r="C2255" s="69">
        <v>203</v>
      </c>
      <c r="D2255" s="69">
        <v>12</v>
      </c>
      <c r="E2255" s="69">
        <v>10</v>
      </c>
      <c r="F2255" s="69">
        <v>0</v>
      </c>
      <c r="G2255" s="69" t="s">
        <v>18</v>
      </c>
      <c r="H2255" s="69" t="s">
        <v>52</v>
      </c>
      <c r="I2255" s="69" t="s">
        <v>1684</v>
      </c>
      <c r="J2255" s="69" t="s">
        <v>55</v>
      </c>
      <c r="K2255" s="69" t="s">
        <v>63</v>
      </c>
      <c r="M2255" s="69" t="s">
        <v>6</v>
      </c>
    </row>
    <row r="2256" spans="2:13">
      <c r="B2256" s="69">
        <v>2254</v>
      </c>
      <c r="C2256" s="69">
        <v>203</v>
      </c>
      <c r="D2256" s="69">
        <v>12</v>
      </c>
      <c r="E2256" s="69">
        <v>11</v>
      </c>
      <c r="F2256" s="69">
        <v>0</v>
      </c>
      <c r="G2256" s="69" t="s">
        <v>18</v>
      </c>
      <c r="H2256" s="69" t="s">
        <v>52</v>
      </c>
      <c r="I2256" s="69" t="s">
        <v>1684</v>
      </c>
      <c r="J2256" s="69" t="s">
        <v>64</v>
      </c>
      <c r="K2256" s="69" t="s">
        <v>65</v>
      </c>
      <c r="M2256" s="69" t="s">
        <v>6</v>
      </c>
    </row>
    <row r="2257" spans="2:13">
      <c r="B2257" s="69">
        <v>2255</v>
      </c>
      <c r="C2257" s="69">
        <v>203</v>
      </c>
      <c r="D2257" s="69">
        <v>12</v>
      </c>
      <c r="E2257" s="69">
        <v>12</v>
      </c>
      <c r="F2257" s="69">
        <v>0</v>
      </c>
      <c r="G2257" s="69" t="s">
        <v>18</v>
      </c>
      <c r="H2257" s="69" t="s">
        <v>52</v>
      </c>
      <c r="I2257" s="69" t="s">
        <v>1684</v>
      </c>
      <c r="J2257" s="69" t="s">
        <v>55</v>
      </c>
      <c r="K2257" s="69" t="s">
        <v>1679</v>
      </c>
      <c r="M2257" s="69" t="s">
        <v>6</v>
      </c>
    </row>
    <row r="2258" spans="2:13">
      <c r="B2258" s="69">
        <v>2256</v>
      </c>
      <c r="C2258" s="69">
        <v>204</v>
      </c>
      <c r="D2258" s="69">
        <v>4</v>
      </c>
      <c r="E2258" s="69">
        <v>0</v>
      </c>
      <c r="F2258" s="69">
        <v>0</v>
      </c>
      <c r="G2258" s="69" t="s">
        <v>18</v>
      </c>
      <c r="H2258" s="69" t="s">
        <v>52</v>
      </c>
      <c r="I2258" s="69" t="s">
        <v>1693</v>
      </c>
      <c r="J2258" s="69" t="s">
        <v>54</v>
      </c>
      <c r="K2258" s="69" t="s">
        <v>1693</v>
      </c>
      <c r="M2258" s="69" t="s">
        <v>6</v>
      </c>
    </row>
    <row r="2259" spans="2:13">
      <c r="B2259" s="69">
        <v>2257</v>
      </c>
      <c r="C2259" s="69">
        <v>204</v>
      </c>
      <c r="D2259" s="69">
        <v>4</v>
      </c>
      <c r="E2259" s="69">
        <v>1</v>
      </c>
      <c r="F2259" s="69">
        <v>0</v>
      </c>
      <c r="G2259" s="69" t="s">
        <v>18</v>
      </c>
      <c r="H2259" s="69" t="s">
        <v>52</v>
      </c>
      <c r="I2259" s="69" t="s">
        <v>1693</v>
      </c>
      <c r="J2259" s="69" t="s">
        <v>55</v>
      </c>
      <c r="K2259" s="69" t="s">
        <v>62</v>
      </c>
      <c r="M2259" s="69" t="s">
        <v>6</v>
      </c>
    </row>
    <row r="2260" spans="2:13">
      <c r="B2260" s="69">
        <v>2258</v>
      </c>
      <c r="C2260" s="69">
        <v>204</v>
      </c>
      <c r="D2260" s="69">
        <v>4</v>
      </c>
      <c r="E2260" s="69">
        <v>2</v>
      </c>
      <c r="F2260" s="69">
        <v>0</v>
      </c>
      <c r="G2260" s="69" t="s">
        <v>18</v>
      </c>
      <c r="H2260" s="69" t="s">
        <v>52</v>
      </c>
      <c r="I2260" s="69" t="s">
        <v>1693</v>
      </c>
      <c r="J2260" s="69" t="s">
        <v>55</v>
      </c>
      <c r="K2260" s="69" t="s">
        <v>63</v>
      </c>
      <c r="M2260" s="69" t="s">
        <v>6</v>
      </c>
    </row>
    <row r="2261" spans="2:13">
      <c r="B2261" s="69">
        <v>2259</v>
      </c>
      <c r="C2261" s="69">
        <v>204</v>
      </c>
      <c r="D2261" s="69">
        <v>4</v>
      </c>
      <c r="E2261" s="69">
        <v>3</v>
      </c>
      <c r="F2261" s="69">
        <v>0</v>
      </c>
      <c r="G2261" s="69" t="s">
        <v>18</v>
      </c>
      <c r="H2261" s="69" t="s">
        <v>52</v>
      </c>
      <c r="I2261" s="69" t="s">
        <v>1693</v>
      </c>
      <c r="J2261" s="69" t="s">
        <v>64</v>
      </c>
      <c r="K2261" s="69" t="s">
        <v>65</v>
      </c>
      <c r="M2261" s="69" t="s">
        <v>6</v>
      </c>
    </row>
    <row r="2262" spans="2:13">
      <c r="B2262" s="69">
        <v>2260</v>
      </c>
      <c r="C2262" s="69">
        <v>204</v>
      </c>
      <c r="D2262" s="69">
        <v>4</v>
      </c>
      <c r="E2262" s="69">
        <v>4</v>
      </c>
      <c r="F2262" s="69">
        <v>0</v>
      </c>
      <c r="G2262" s="69" t="s">
        <v>18</v>
      </c>
      <c r="H2262" s="69" t="s">
        <v>52</v>
      </c>
      <c r="I2262" s="69" t="s">
        <v>1693</v>
      </c>
      <c r="J2262" s="69" t="s">
        <v>55</v>
      </c>
      <c r="K2262" s="69" t="s">
        <v>1246</v>
      </c>
      <c r="M2262" s="69" t="s">
        <v>6</v>
      </c>
    </row>
    <row r="2263" spans="2:13">
      <c r="B2263" s="69">
        <v>2261</v>
      </c>
      <c r="C2263" s="69">
        <v>205</v>
      </c>
      <c r="D2263" s="69">
        <v>8</v>
      </c>
      <c r="E2263" s="69">
        <v>0</v>
      </c>
      <c r="F2263" s="69">
        <v>0</v>
      </c>
      <c r="G2263" s="69" t="s">
        <v>18</v>
      </c>
      <c r="H2263" s="69" t="s">
        <v>9</v>
      </c>
      <c r="I2263" s="69" t="s">
        <v>1694</v>
      </c>
      <c r="J2263" s="69" t="s">
        <v>54</v>
      </c>
      <c r="K2263" s="69" t="s">
        <v>1694</v>
      </c>
      <c r="M2263" s="69" t="s">
        <v>6</v>
      </c>
    </row>
    <row r="2264" spans="2:13">
      <c r="B2264" s="69">
        <v>2262</v>
      </c>
      <c r="C2264" s="69">
        <v>205</v>
      </c>
      <c r="D2264" s="69">
        <v>8</v>
      </c>
      <c r="E2264" s="69">
        <v>1</v>
      </c>
      <c r="F2264" s="69">
        <v>0</v>
      </c>
      <c r="G2264" s="69" t="s">
        <v>18</v>
      </c>
      <c r="H2264" s="69" t="s">
        <v>9</v>
      </c>
      <c r="I2264" s="69" t="s">
        <v>1694</v>
      </c>
      <c r="J2264" s="69" t="s">
        <v>269</v>
      </c>
      <c r="K2264" s="69" t="s">
        <v>1695</v>
      </c>
      <c r="M2264" s="69" t="s">
        <v>6</v>
      </c>
    </row>
    <row r="2265" spans="2:13">
      <c r="B2265" s="69">
        <v>2263</v>
      </c>
      <c r="C2265" s="69">
        <v>205</v>
      </c>
      <c r="D2265" s="69">
        <v>8</v>
      </c>
      <c r="E2265" s="69">
        <v>2</v>
      </c>
      <c r="F2265" s="69">
        <v>0</v>
      </c>
      <c r="G2265" s="69" t="s">
        <v>18</v>
      </c>
      <c r="H2265" s="69" t="s">
        <v>9</v>
      </c>
      <c r="I2265" s="69" t="s">
        <v>1694</v>
      </c>
      <c r="J2265" s="69" t="s">
        <v>1696</v>
      </c>
      <c r="K2265" s="69" t="s">
        <v>1697</v>
      </c>
      <c r="M2265" s="69" t="s">
        <v>6</v>
      </c>
    </row>
    <row r="2266" spans="2:13">
      <c r="B2266" s="69">
        <v>2264</v>
      </c>
      <c r="C2266" s="69">
        <v>205</v>
      </c>
      <c r="D2266" s="69">
        <v>8</v>
      </c>
      <c r="E2266" s="69">
        <v>3</v>
      </c>
      <c r="F2266" s="69">
        <v>0</v>
      </c>
      <c r="G2266" s="69" t="s">
        <v>18</v>
      </c>
      <c r="H2266" s="69" t="s">
        <v>9</v>
      </c>
      <c r="I2266" s="69" t="s">
        <v>1694</v>
      </c>
      <c r="J2266" s="69" t="s">
        <v>269</v>
      </c>
      <c r="K2266" s="69" t="s">
        <v>1698</v>
      </c>
      <c r="M2266" s="69" t="s">
        <v>6</v>
      </c>
    </row>
    <row r="2267" spans="2:13">
      <c r="B2267" s="69">
        <v>2265</v>
      </c>
      <c r="C2267" s="69">
        <v>205</v>
      </c>
      <c r="D2267" s="69">
        <v>8</v>
      </c>
      <c r="E2267" s="69">
        <v>4</v>
      </c>
      <c r="F2267" s="69">
        <v>0</v>
      </c>
      <c r="G2267" s="69" t="s">
        <v>18</v>
      </c>
      <c r="H2267" s="69" t="s">
        <v>9</v>
      </c>
      <c r="I2267" s="69" t="s">
        <v>1694</v>
      </c>
      <c r="J2267" s="69" t="s">
        <v>269</v>
      </c>
      <c r="K2267" s="69" t="s">
        <v>1699</v>
      </c>
      <c r="M2267" s="69" t="s">
        <v>6</v>
      </c>
    </row>
    <row r="2268" spans="2:13">
      <c r="B2268" s="69">
        <v>2266</v>
      </c>
      <c r="C2268" s="69">
        <v>205</v>
      </c>
      <c r="D2268" s="69">
        <v>8</v>
      </c>
      <c r="E2268" s="69">
        <v>5</v>
      </c>
      <c r="F2268" s="69">
        <v>0</v>
      </c>
      <c r="G2268" s="69" t="s">
        <v>18</v>
      </c>
      <c r="H2268" s="69" t="s">
        <v>9</v>
      </c>
      <c r="I2268" s="69" t="s">
        <v>1694</v>
      </c>
      <c r="J2268" s="69" t="s">
        <v>269</v>
      </c>
      <c r="K2268" s="69" t="s">
        <v>1700</v>
      </c>
      <c r="M2268" s="69" t="s">
        <v>6</v>
      </c>
    </row>
    <row r="2269" spans="2:13">
      <c r="B2269" s="69">
        <v>2267</v>
      </c>
      <c r="C2269" s="69">
        <v>205</v>
      </c>
      <c r="D2269" s="69">
        <v>8</v>
      </c>
      <c r="E2269" s="69">
        <v>6</v>
      </c>
      <c r="F2269" s="69">
        <v>0</v>
      </c>
      <c r="G2269" s="69" t="s">
        <v>18</v>
      </c>
      <c r="H2269" s="69" t="s">
        <v>9</v>
      </c>
      <c r="I2269" s="69" t="s">
        <v>1694</v>
      </c>
      <c r="J2269" s="69" t="s">
        <v>269</v>
      </c>
      <c r="K2269" s="69" t="s">
        <v>1701</v>
      </c>
      <c r="M2269" s="69" t="s">
        <v>6</v>
      </c>
    </row>
    <row r="2270" spans="2:13">
      <c r="B2270" s="69">
        <v>2268</v>
      </c>
      <c r="C2270" s="69">
        <v>205</v>
      </c>
      <c r="D2270" s="69">
        <v>8</v>
      </c>
      <c r="E2270" s="69">
        <v>7</v>
      </c>
      <c r="F2270" s="69">
        <v>0</v>
      </c>
      <c r="G2270" s="69" t="s">
        <v>18</v>
      </c>
      <c r="H2270" s="69" t="s">
        <v>9</v>
      </c>
      <c r="I2270" s="69" t="s">
        <v>1694</v>
      </c>
      <c r="J2270" s="69" t="s">
        <v>55</v>
      </c>
      <c r="K2270" s="69" t="s">
        <v>93</v>
      </c>
      <c r="M2270" s="69" t="s">
        <v>6</v>
      </c>
    </row>
    <row r="2271" spans="2:13">
      <c r="B2271" s="69">
        <v>2269</v>
      </c>
      <c r="C2271" s="69">
        <v>205</v>
      </c>
      <c r="D2271" s="69">
        <v>8</v>
      </c>
      <c r="E2271" s="69">
        <v>8</v>
      </c>
      <c r="F2271" s="69">
        <v>0</v>
      </c>
      <c r="G2271" s="69" t="s">
        <v>18</v>
      </c>
      <c r="H2271" s="69" t="s">
        <v>9</v>
      </c>
      <c r="I2271" s="69" t="s">
        <v>1694</v>
      </c>
      <c r="J2271" s="69" t="s">
        <v>64</v>
      </c>
      <c r="K2271" s="69" t="s">
        <v>94</v>
      </c>
      <c r="M2271" s="69" t="s">
        <v>6</v>
      </c>
    </row>
    <row r="2272" spans="2:13">
      <c r="B2272" s="69">
        <v>2270</v>
      </c>
      <c r="C2272" s="69">
        <v>206</v>
      </c>
      <c r="D2272" s="69">
        <v>14</v>
      </c>
      <c r="E2272" s="69">
        <v>0</v>
      </c>
      <c r="F2272" s="69">
        <v>0</v>
      </c>
      <c r="G2272" s="69" t="s">
        <v>18</v>
      </c>
      <c r="H2272" s="69" t="s">
        <v>9</v>
      </c>
      <c r="I2272" s="69" t="s">
        <v>1702</v>
      </c>
      <c r="J2272" s="69" t="s">
        <v>54</v>
      </c>
      <c r="K2272" s="69" t="s">
        <v>1702</v>
      </c>
      <c r="M2272" s="69" t="s">
        <v>6</v>
      </c>
    </row>
    <row r="2273" spans="2:13">
      <c r="B2273" s="69">
        <v>2271</v>
      </c>
      <c r="C2273" s="69">
        <v>206</v>
      </c>
      <c r="D2273" s="69">
        <v>14</v>
      </c>
      <c r="E2273" s="69">
        <v>1</v>
      </c>
      <c r="F2273" s="69">
        <v>0</v>
      </c>
      <c r="G2273" s="69" t="s">
        <v>18</v>
      </c>
      <c r="H2273" s="69" t="s">
        <v>9</v>
      </c>
      <c r="I2273" s="69" t="s">
        <v>1702</v>
      </c>
      <c r="J2273" s="69" t="s">
        <v>55</v>
      </c>
      <c r="K2273" s="69" t="s">
        <v>1703</v>
      </c>
      <c r="M2273" s="69" t="s">
        <v>6</v>
      </c>
    </row>
    <row r="2274" spans="2:13">
      <c r="B2274" s="69">
        <v>2272</v>
      </c>
      <c r="C2274" s="69">
        <v>206</v>
      </c>
      <c r="D2274" s="69">
        <v>14</v>
      </c>
      <c r="E2274" s="69">
        <v>2</v>
      </c>
      <c r="F2274" s="69">
        <v>0</v>
      </c>
      <c r="G2274" s="69" t="s">
        <v>18</v>
      </c>
      <c r="H2274" s="69" t="s">
        <v>9</v>
      </c>
      <c r="I2274" s="69" t="s">
        <v>1702</v>
      </c>
      <c r="J2274" s="69" t="s">
        <v>55</v>
      </c>
      <c r="K2274" s="69" t="s">
        <v>1704</v>
      </c>
      <c r="M2274" s="69" t="s">
        <v>6</v>
      </c>
    </row>
    <row r="2275" spans="2:13">
      <c r="B2275" s="69">
        <v>2273</v>
      </c>
      <c r="C2275" s="69">
        <v>206</v>
      </c>
      <c r="D2275" s="69">
        <v>14</v>
      </c>
      <c r="E2275" s="69">
        <v>3</v>
      </c>
      <c r="F2275" s="69">
        <v>0</v>
      </c>
      <c r="G2275" s="69" t="s">
        <v>18</v>
      </c>
      <c r="H2275" s="69" t="s">
        <v>9</v>
      </c>
      <c r="I2275" s="69" t="s">
        <v>1702</v>
      </c>
      <c r="J2275" s="69" t="s">
        <v>55</v>
      </c>
      <c r="K2275" s="69" t="s">
        <v>1705</v>
      </c>
      <c r="M2275" s="69" t="s">
        <v>6</v>
      </c>
    </row>
    <row r="2276" spans="2:13">
      <c r="B2276" s="69">
        <v>2274</v>
      </c>
      <c r="C2276" s="69">
        <v>206</v>
      </c>
      <c r="D2276" s="69">
        <v>14</v>
      </c>
      <c r="E2276" s="69">
        <v>4</v>
      </c>
      <c r="F2276" s="69">
        <v>0</v>
      </c>
      <c r="G2276" s="69" t="s">
        <v>18</v>
      </c>
      <c r="H2276" s="69" t="s">
        <v>9</v>
      </c>
      <c r="I2276" s="69" t="s">
        <v>1702</v>
      </c>
      <c r="J2276" s="69" t="s">
        <v>55</v>
      </c>
      <c r="K2276" s="69" t="s">
        <v>1706</v>
      </c>
      <c r="M2276" s="69" t="s">
        <v>6</v>
      </c>
    </row>
    <row r="2277" spans="2:13">
      <c r="B2277" s="69">
        <v>2275</v>
      </c>
      <c r="C2277" s="69">
        <v>206</v>
      </c>
      <c r="D2277" s="69">
        <v>14</v>
      </c>
      <c r="E2277" s="69">
        <v>5</v>
      </c>
      <c r="F2277" s="69">
        <v>0</v>
      </c>
      <c r="G2277" s="69" t="s">
        <v>18</v>
      </c>
      <c r="H2277" s="69" t="s">
        <v>9</v>
      </c>
      <c r="I2277" s="69" t="s">
        <v>1702</v>
      </c>
      <c r="J2277" s="69" t="s">
        <v>55</v>
      </c>
      <c r="K2277" s="69" t="s">
        <v>1707</v>
      </c>
      <c r="M2277" s="69" t="s">
        <v>6</v>
      </c>
    </row>
    <row r="2278" spans="2:13">
      <c r="B2278" s="69">
        <v>2276</v>
      </c>
      <c r="C2278" s="69">
        <v>206</v>
      </c>
      <c r="D2278" s="69">
        <v>14</v>
      </c>
      <c r="E2278" s="69">
        <v>6</v>
      </c>
      <c r="F2278" s="69">
        <v>0</v>
      </c>
      <c r="G2278" s="69" t="s">
        <v>18</v>
      </c>
      <c r="H2278" s="69" t="s">
        <v>9</v>
      </c>
      <c r="I2278" s="69" t="s">
        <v>1702</v>
      </c>
      <c r="J2278" s="69" t="s">
        <v>55</v>
      </c>
      <c r="K2278" s="69" t="s">
        <v>1708</v>
      </c>
      <c r="M2278" s="69" t="s">
        <v>6</v>
      </c>
    </row>
    <row r="2279" spans="2:13">
      <c r="B2279" s="69">
        <v>2277</v>
      </c>
      <c r="C2279" s="69">
        <v>206</v>
      </c>
      <c r="D2279" s="69">
        <v>14</v>
      </c>
      <c r="E2279" s="69">
        <v>7</v>
      </c>
      <c r="F2279" s="69">
        <v>0</v>
      </c>
      <c r="G2279" s="69" t="s">
        <v>18</v>
      </c>
      <c r="H2279" s="69" t="s">
        <v>9</v>
      </c>
      <c r="I2279" s="69" t="s">
        <v>1702</v>
      </c>
      <c r="J2279" s="69" t="s">
        <v>55</v>
      </c>
      <c r="K2279" s="69" t="s">
        <v>1709</v>
      </c>
      <c r="M2279" s="69" t="s">
        <v>6</v>
      </c>
    </row>
    <row r="2280" spans="2:13">
      <c r="B2280" s="69">
        <v>2278</v>
      </c>
      <c r="C2280" s="69">
        <v>206</v>
      </c>
      <c r="D2280" s="69">
        <v>14</v>
      </c>
      <c r="E2280" s="69">
        <v>8</v>
      </c>
      <c r="F2280" s="69">
        <v>0</v>
      </c>
      <c r="G2280" s="69" t="s">
        <v>18</v>
      </c>
      <c r="H2280" s="69" t="s">
        <v>9</v>
      </c>
      <c r="I2280" s="69" t="s">
        <v>1702</v>
      </c>
      <c r="J2280" s="69" t="s">
        <v>55</v>
      </c>
      <c r="K2280" s="69" t="s">
        <v>1710</v>
      </c>
      <c r="M2280" s="69" t="s">
        <v>6</v>
      </c>
    </row>
    <row r="2281" spans="2:13">
      <c r="B2281" s="69">
        <v>2279</v>
      </c>
      <c r="C2281" s="69">
        <v>206</v>
      </c>
      <c r="D2281" s="69">
        <v>14</v>
      </c>
      <c r="E2281" s="69">
        <v>9</v>
      </c>
      <c r="F2281" s="69">
        <v>0</v>
      </c>
      <c r="G2281" s="69" t="s">
        <v>18</v>
      </c>
      <c r="H2281" s="69" t="s">
        <v>9</v>
      </c>
      <c r="I2281" s="69" t="s">
        <v>1702</v>
      </c>
      <c r="J2281" s="69" t="s">
        <v>55</v>
      </c>
      <c r="K2281" s="69" t="s">
        <v>1711</v>
      </c>
      <c r="M2281" s="69" t="s">
        <v>6</v>
      </c>
    </row>
    <row r="2282" spans="2:13">
      <c r="B2282" s="69">
        <v>2280</v>
      </c>
      <c r="C2282" s="69">
        <v>206</v>
      </c>
      <c r="D2282" s="69">
        <v>14</v>
      </c>
      <c r="E2282" s="69">
        <v>10</v>
      </c>
      <c r="F2282" s="69">
        <v>0</v>
      </c>
      <c r="G2282" s="69" t="s">
        <v>18</v>
      </c>
      <c r="H2282" s="69" t="s">
        <v>9</v>
      </c>
      <c r="I2282" s="69" t="s">
        <v>1702</v>
      </c>
      <c r="J2282" s="69" t="s">
        <v>55</v>
      </c>
      <c r="K2282" s="69" t="s">
        <v>1712</v>
      </c>
      <c r="M2282" s="69" t="s">
        <v>6</v>
      </c>
    </row>
    <row r="2283" spans="2:13">
      <c r="B2283" s="69">
        <v>2281</v>
      </c>
      <c r="C2283" s="69">
        <v>206</v>
      </c>
      <c r="D2283" s="69">
        <v>14</v>
      </c>
      <c r="E2283" s="69">
        <v>11</v>
      </c>
      <c r="F2283" s="69">
        <v>0</v>
      </c>
      <c r="G2283" s="69" t="s">
        <v>18</v>
      </c>
      <c r="H2283" s="69" t="s">
        <v>9</v>
      </c>
      <c r="I2283" s="69" t="s">
        <v>1702</v>
      </c>
      <c r="J2283" s="69" t="s">
        <v>55</v>
      </c>
      <c r="K2283" s="69" t="s">
        <v>1713</v>
      </c>
      <c r="M2283" s="69" t="s">
        <v>6</v>
      </c>
    </row>
    <row r="2284" spans="2:13">
      <c r="B2284" s="69">
        <v>2282</v>
      </c>
      <c r="C2284" s="69">
        <v>206</v>
      </c>
      <c r="D2284" s="69">
        <v>14</v>
      </c>
      <c r="E2284" s="69">
        <v>12</v>
      </c>
      <c r="F2284" s="69">
        <v>0</v>
      </c>
      <c r="G2284" s="69" t="s">
        <v>18</v>
      </c>
      <c r="H2284" s="69" t="s">
        <v>9</v>
      </c>
      <c r="I2284" s="69" t="s">
        <v>1702</v>
      </c>
      <c r="J2284" s="69" t="s">
        <v>55</v>
      </c>
      <c r="K2284" s="69" t="s">
        <v>1714</v>
      </c>
      <c r="M2284" s="69" t="s">
        <v>6</v>
      </c>
    </row>
    <row r="2285" spans="2:13">
      <c r="B2285" s="69">
        <v>2283</v>
      </c>
      <c r="C2285" s="69">
        <v>206</v>
      </c>
      <c r="D2285" s="69">
        <v>14</v>
      </c>
      <c r="E2285" s="69">
        <v>13</v>
      </c>
      <c r="F2285" s="69">
        <v>0</v>
      </c>
      <c r="G2285" s="69" t="s">
        <v>18</v>
      </c>
      <c r="H2285" s="69" t="s">
        <v>9</v>
      </c>
      <c r="I2285" s="69" t="s">
        <v>1702</v>
      </c>
      <c r="J2285" s="69" t="s">
        <v>55</v>
      </c>
      <c r="K2285" s="69" t="s">
        <v>93</v>
      </c>
      <c r="M2285" s="69" t="s">
        <v>6</v>
      </c>
    </row>
    <row r="2286" spans="2:13">
      <c r="B2286" s="69">
        <v>2284</v>
      </c>
      <c r="C2286" s="69">
        <v>206</v>
      </c>
      <c r="D2286" s="69">
        <v>14</v>
      </c>
      <c r="E2286" s="69">
        <v>14</v>
      </c>
      <c r="F2286" s="69">
        <v>0</v>
      </c>
      <c r="G2286" s="69" t="s">
        <v>18</v>
      </c>
      <c r="H2286" s="69" t="s">
        <v>9</v>
      </c>
      <c r="I2286" s="69" t="s">
        <v>1702</v>
      </c>
      <c r="J2286" s="69" t="s">
        <v>64</v>
      </c>
      <c r="K2286" s="69" t="s">
        <v>94</v>
      </c>
      <c r="M2286" s="69" t="s">
        <v>6</v>
      </c>
    </row>
    <row r="2287" spans="2:13">
      <c r="B2287" s="69">
        <v>2285</v>
      </c>
      <c r="C2287" s="69">
        <v>207</v>
      </c>
      <c r="D2287" s="69">
        <v>51</v>
      </c>
      <c r="E2287" s="69">
        <v>0</v>
      </c>
      <c r="F2287" s="69">
        <v>0</v>
      </c>
      <c r="G2287" s="69" t="s">
        <v>18</v>
      </c>
      <c r="H2287" s="69" t="s">
        <v>9</v>
      </c>
      <c r="I2287" s="69" t="s">
        <v>1715</v>
      </c>
      <c r="J2287" s="69" t="s">
        <v>478</v>
      </c>
      <c r="K2287" s="69" t="s">
        <v>1715</v>
      </c>
      <c r="M2287" s="69" t="s">
        <v>6</v>
      </c>
    </row>
    <row r="2288" spans="2:13">
      <c r="B2288" s="69">
        <v>2286</v>
      </c>
      <c r="C2288" s="69">
        <v>207</v>
      </c>
      <c r="D2288" s="69">
        <v>51</v>
      </c>
      <c r="E2288" s="69">
        <v>1</v>
      </c>
      <c r="F2288" s="69">
        <v>0</v>
      </c>
      <c r="G2288" s="69" t="s">
        <v>18</v>
      </c>
      <c r="H2288" s="69" t="s">
        <v>9</v>
      </c>
      <c r="I2288" s="69" t="s">
        <v>1715</v>
      </c>
      <c r="J2288" s="69" t="s">
        <v>479</v>
      </c>
      <c r="K2288" s="69" t="s">
        <v>1716</v>
      </c>
      <c r="M2288" s="69" t="s">
        <v>6</v>
      </c>
    </row>
    <row r="2289" spans="2:13">
      <c r="B2289" s="69">
        <v>2287</v>
      </c>
      <c r="C2289" s="69">
        <v>207</v>
      </c>
      <c r="D2289" s="69">
        <v>51</v>
      </c>
      <c r="E2289" s="69">
        <v>2</v>
      </c>
      <c r="F2289" s="69">
        <v>0</v>
      </c>
      <c r="G2289" s="69" t="s">
        <v>18</v>
      </c>
      <c r="H2289" s="69" t="s">
        <v>9</v>
      </c>
      <c r="I2289" s="69" t="s">
        <v>1715</v>
      </c>
      <c r="J2289" s="69" t="s">
        <v>55</v>
      </c>
      <c r="K2289" s="69" t="s">
        <v>1717</v>
      </c>
      <c r="M2289" s="69" t="s">
        <v>6</v>
      </c>
    </row>
    <row r="2290" spans="2:13">
      <c r="B2290" s="69">
        <v>2288</v>
      </c>
      <c r="C2290" s="69">
        <v>207</v>
      </c>
      <c r="D2290" s="69">
        <v>51</v>
      </c>
      <c r="E2290" s="69">
        <v>3</v>
      </c>
      <c r="F2290" s="69">
        <v>0</v>
      </c>
      <c r="G2290" s="69" t="s">
        <v>18</v>
      </c>
      <c r="H2290" s="69" t="s">
        <v>9</v>
      </c>
      <c r="I2290" s="69" t="s">
        <v>1715</v>
      </c>
      <c r="J2290" s="69" t="s">
        <v>214</v>
      </c>
      <c r="K2290" s="69" t="s">
        <v>1613</v>
      </c>
      <c r="M2290" s="69" t="s">
        <v>6</v>
      </c>
    </row>
    <row r="2291" spans="2:13">
      <c r="B2291" s="69">
        <v>2289</v>
      </c>
      <c r="C2291" s="69">
        <v>207</v>
      </c>
      <c r="D2291" s="69">
        <v>51</v>
      </c>
      <c r="E2291" s="69">
        <v>4</v>
      </c>
      <c r="F2291" s="69">
        <v>0</v>
      </c>
      <c r="G2291" s="69" t="s">
        <v>18</v>
      </c>
      <c r="H2291" s="69" t="s">
        <v>9</v>
      </c>
      <c r="I2291" s="69" t="s">
        <v>1715</v>
      </c>
      <c r="J2291" s="69" t="s">
        <v>214</v>
      </c>
      <c r="K2291" s="69" t="s">
        <v>1614</v>
      </c>
      <c r="M2291" s="69" t="s">
        <v>6</v>
      </c>
    </row>
    <row r="2292" spans="2:13">
      <c r="B2292" s="69">
        <v>2290</v>
      </c>
      <c r="C2292" s="69">
        <v>207</v>
      </c>
      <c r="D2292" s="69">
        <v>51</v>
      </c>
      <c r="E2292" s="69">
        <v>5</v>
      </c>
      <c r="F2292" s="69">
        <v>0</v>
      </c>
      <c r="G2292" s="69" t="s">
        <v>18</v>
      </c>
      <c r="H2292" s="69" t="s">
        <v>9</v>
      </c>
      <c r="I2292" s="69" t="s">
        <v>1715</v>
      </c>
      <c r="J2292" s="69" t="s">
        <v>55</v>
      </c>
      <c r="K2292" s="69" t="s">
        <v>1718</v>
      </c>
      <c r="M2292" s="69" t="s">
        <v>6</v>
      </c>
    </row>
    <row r="2293" spans="2:13">
      <c r="B2293" s="69">
        <v>2291</v>
      </c>
      <c r="C2293" s="69">
        <v>207</v>
      </c>
      <c r="D2293" s="69">
        <v>51</v>
      </c>
      <c r="E2293" s="69">
        <v>6</v>
      </c>
      <c r="F2293" s="69">
        <v>0</v>
      </c>
      <c r="G2293" s="69" t="s">
        <v>18</v>
      </c>
      <c r="H2293" s="69" t="s">
        <v>9</v>
      </c>
      <c r="I2293" s="69" t="s">
        <v>1715</v>
      </c>
      <c r="J2293" s="69" t="s">
        <v>479</v>
      </c>
      <c r="K2293" s="69" t="s">
        <v>1719</v>
      </c>
      <c r="M2293" s="69" t="s">
        <v>6</v>
      </c>
    </row>
    <row r="2294" spans="2:13">
      <c r="B2294" s="69">
        <v>2292</v>
      </c>
      <c r="C2294" s="69">
        <v>207</v>
      </c>
      <c r="D2294" s="69">
        <v>51</v>
      </c>
      <c r="E2294" s="69">
        <v>7</v>
      </c>
      <c r="F2294" s="69">
        <v>0</v>
      </c>
      <c r="G2294" s="69" t="s">
        <v>18</v>
      </c>
      <c r="H2294" s="69" t="s">
        <v>9</v>
      </c>
      <c r="I2294" s="69" t="s">
        <v>1715</v>
      </c>
      <c r="J2294" s="69" t="s">
        <v>55</v>
      </c>
      <c r="K2294" s="69" t="s">
        <v>1720</v>
      </c>
      <c r="M2294" s="69" t="s">
        <v>6</v>
      </c>
    </row>
    <row r="2295" spans="2:13">
      <c r="B2295" s="69">
        <v>2293</v>
      </c>
      <c r="C2295" s="69">
        <v>207</v>
      </c>
      <c r="D2295" s="69">
        <v>51</v>
      </c>
      <c r="E2295" s="69">
        <v>8</v>
      </c>
      <c r="F2295" s="69">
        <v>0</v>
      </c>
      <c r="G2295" s="69" t="s">
        <v>18</v>
      </c>
      <c r="H2295" s="69" t="s">
        <v>9</v>
      </c>
      <c r="I2295" s="69" t="s">
        <v>1715</v>
      </c>
      <c r="J2295" s="69" t="s">
        <v>55</v>
      </c>
      <c r="K2295" s="69" t="s">
        <v>474</v>
      </c>
      <c r="M2295" s="69" t="s">
        <v>6</v>
      </c>
    </row>
    <row r="2296" spans="2:13">
      <c r="B2296" s="69">
        <v>2294</v>
      </c>
      <c r="C2296" s="69">
        <v>207</v>
      </c>
      <c r="D2296" s="69">
        <v>51</v>
      </c>
      <c r="E2296" s="69">
        <v>9</v>
      </c>
      <c r="F2296" s="69">
        <v>0</v>
      </c>
      <c r="G2296" s="69" t="s">
        <v>18</v>
      </c>
      <c r="H2296" s="69" t="s">
        <v>9</v>
      </c>
      <c r="I2296" s="69" t="s">
        <v>1715</v>
      </c>
      <c r="J2296" s="69" t="s">
        <v>55</v>
      </c>
      <c r="K2296" s="69" t="s">
        <v>475</v>
      </c>
      <c r="M2296" s="69" t="s">
        <v>6</v>
      </c>
    </row>
    <row r="2297" spans="2:13">
      <c r="B2297" s="69">
        <v>2295</v>
      </c>
      <c r="C2297" s="69">
        <v>207</v>
      </c>
      <c r="D2297" s="69">
        <v>51</v>
      </c>
      <c r="E2297" s="69">
        <v>10</v>
      </c>
      <c r="F2297" s="69">
        <v>0</v>
      </c>
      <c r="G2297" s="69" t="s">
        <v>18</v>
      </c>
      <c r="H2297" s="69" t="s">
        <v>9</v>
      </c>
      <c r="I2297" s="69" t="s">
        <v>1715</v>
      </c>
      <c r="J2297" s="69" t="s">
        <v>55</v>
      </c>
      <c r="K2297" s="69" t="s">
        <v>476</v>
      </c>
      <c r="M2297" s="69" t="s">
        <v>6</v>
      </c>
    </row>
    <row r="2298" spans="2:13">
      <c r="B2298" s="69">
        <v>2296</v>
      </c>
      <c r="C2298" s="69">
        <v>207</v>
      </c>
      <c r="D2298" s="69">
        <v>51</v>
      </c>
      <c r="E2298" s="69">
        <v>11</v>
      </c>
      <c r="F2298" s="69">
        <v>0</v>
      </c>
      <c r="G2298" s="69" t="s">
        <v>18</v>
      </c>
      <c r="H2298" s="69" t="s">
        <v>9</v>
      </c>
      <c r="I2298" s="69" t="s">
        <v>1715</v>
      </c>
      <c r="J2298" s="69" t="s">
        <v>479</v>
      </c>
      <c r="K2298" s="69" t="s">
        <v>1721</v>
      </c>
      <c r="M2298" s="69" t="s">
        <v>6</v>
      </c>
    </row>
    <row r="2299" spans="2:13">
      <c r="B2299" s="69">
        <v>2297</v>
      </c>
      <c r="C2299" s="69">
        <v>207</v>
      </c>
      <c r="D2299" s="69">
        <v>51</v>
      </c>
      <c r="E2299" s="69">
        <v>12</v>
      </c>
      <c r="F2299" s="69">
        <v>0</v>
      </c>
      <c r="G2299" s="69" t="s">
        <v>18</v>
      </c>
      <c r="H2299" s="69" t="s">
        <v>9</v>
      </c>
      <c r="I2299" s="69" t="s">
        <v>1715</v>
      </c>
      <c r="J2299" s="69" t="s">
        <v>55</v>
      </c>
      <c r="K2299" s="69" t="s">
        <v>1722</v>
      </c>
      <c r="M2299" s="69" t="s">
        <v>6</v>
      </c>
    </row>
    <row r="2300" spans="2:13">
      <c r="B2300" s="69">
        <v>2298</v>
      </c>
      <c r="C2300" s="69">
        <v>207</v>
      </c>
      <c r="D2300" s="69">
        <v>51</v>
      </c>
      <c r="E2300" s="69">
        <v>13</v>
      </c>
      <c r="F2300" s="69">
        <v>0</v>
      </c>
      <c r="G2300" s="69" t="s">
        <v>18</v>
      </c>
      <c r="H2300" s="69" t="s">
        <v>9</v>
      </c>
      <c r="I2300" s="69" t="s">
        <v>1715</v>
      </c>
      <c r="J2300" s="69" t="s">
        <v>55</v>
      </c>
      <c r="K2300" s="69" t="s">
        <v>1723</v>
      </c>
      <c r="M2300" s="69" t="s">
        <v>6</v>
      </c>
    </row>
    <row r="2301" spans="2:13">
      <c r="B2301" s="69">
        <v>2299</v>
      </c>
      <c r="C2301" s="69">
        <v>207</v>
      </c>
      <c r="D2301" s="69">
        <v>51</v>
      </c>
      <c r="E2301" s="69">
        <v>14</v>
      </c>
      <c r="F2301" s="69">
        <v>0</v>
      </c>
      <c r="G2301" s="69" t="s">
        <v>18</v>
      </c>
      <c r="H2301" s="69" t="s">
        <v>9</v>
      </c>
      <c r="I2301" s="69" t="s">
        <v>1715</v>
      </c>
      <c r="J2301" s="69" t="s">
        <v>55</v>
      </c>
      <c r="K2301" s="69" t="s">
        <v>1724</v>
      </c>
      <c r="M2301" s="69" t="s">
        <v>6</v>
      </c>
    </row>
    <row r="2302" spans="2:13">
      <c r="B2302" s="69">
        <v>2300</v>
      </c>
      <c r="C2302" s="69">
        <v>207</v>
      </c>
      <c r="D2302" s="69">
        <v>51</v>
      </c>
      <c r="E2302" s="69">
        <v>15</v>
      </c>
      <c r="F2302" s="69">
        <v>0</v>
      </c>
      <c r="G2302" s="69" t="s">
        <v>18</v>
      </c>
      <c r="H2302" s="69" t="s">
        <v>9</v>
      </c>
      <c r="I2302" s="69" t="s">
        <v>1715</v>
      </c>
      <c r="J2302" s="69" t="s">
        <v>55</v>
      </c>
      <c r="K2302" s="69" t="s">
        <v>1725</v>
      </c>
      <c r="M2302" s="69" t="s">
        <v>6</v>
      </c>
    </row>
    <row r="2303" spans="2:13">
      <c r="B2303" s="69">
        <v>2301</v>
      </c>
      <c r="C2303" s="69">
        <v>207</v>
      </c>
      <c r="D2303" s="69">
        <v>51</v>
      </c>
      <c r="E2303" s="69">
        <v>16</v>
      </c>
      <c r="F2303" s="69">
        <v>0</v>
      </c>
      <c r="G2303" s="69" t="s">
        <v>18</v>
      </c>
      <c r="H2303" s="69" t="s">
        <v>9</v>
      </c>
      <c r="I2303" s="69" t="s">
        <v>1715</v>
      </c>
      <c r="J2303" s="69" t="s">
        <v>55</v>
      </c>
      <c r="K2303" s="69" t="s">
        <v>1726</v>
      </c>
      <c r="M2303" s="69" t="s">
        <v>6</v>
      </c>
    </row>
    <row r="2304" spans="2:13">
      <c r="B2304" s="69">
        <v>2302</v>
      </c>
      <c r="C2304" s="69">
        <v>207</v>
      </c>
      <c r="D2304" s="69">
        <v>51</v>
      </c>
      <c r="E2304" s="69">
        <v>17</v>
      </c>
      <c r="F2304" s="69">
        <v>0</v>
      </c>
      <c r="G2304" s="69" t="s">
        <v>18</v>
      </c>
      <c r="H2304" s="69" t="s">
        <v>9</v>
      </c>
      <c r="I2304" s="69" t="s">
        <v>1715</v>
      </c>
      <c r="J2304" s="69" t="s">
        <v>99</v>
      </c>
      <c r="K2304" s="69" t="s">
        <v>1727</v>
      </c>
      <c r="M2304" s="69" t="s">
        <v>6</v>
      </c>
    </row>
    <row r="2305" spans="2:13">
      <c r="B2305" s="69">
        <v>2303</v>
      </c>
      <c r="C2305" s="69">
        <v>207</v>
      </c>
      <c r="D2305" s="69">
        <v>51</v>
      </c>
      <c r="E2305" s="69">
        <v>18</v>
      </c>
      <c r="F2305" s="69">
        <v>0</v>
      </c>
      <c r="G2305" s="69" t="s">
        <v>18</v>
      </c>
      <c r="H2305" s="69" t="s">
        <v>9</v>
      </c>
      <c r="I2305" s="69" t="s">
        <v>1715</v>
      </c>
      <c r="J2305" s="69" t="s">
        <v>99</v>
      </c>
      <c r="K2305" s="69" t="s">
        <v>1728</v>
      </c>
      <c r="M2305" s="69" t="s">
        <v>6</v>
      </c>
    </row>
    <row r="2306" spans="2:13">
      <c r="B2306" s="69">
        <v>2304</v>
      </c>
      <c r="C2306" s="69">
        <v>207</v>
      </c>
      <c r="D2306" s="69">
        <v>51</v>
      </c>
      <c r="E2306" s="69">
        <v>19</v>
      </c>
      <c r="F2306" s="69">
        <v>0</v>
      </c>
      <c r="G2306" s="69" t="s">
        <v>18</v>
      </c>
      <c r="H2306" s="69" t="s">
        <v>9</v>
      </c>
      <c r="I2306" s="69" t="s">
        <v>1715</v>
      </c>
      <c r="J2306" s="69" t="s">
        <v>55</v>
      </c>
      <c r="K2306" s="69" t="s">
        <v>1729</v>
      </c>
      <c r="M2306" s="69" t="s">
        <v>6</v>
      </c>
    </row>
    <row r="2307" spans="2:13">
      <c r="B2307" s="69">
        <v>2305</v>
      </c>
      <c r="C2307" s="69">
        <v>207</v>
      </c>
      <c r="D2307" s="69">
        <v>51</v>
      </c>
      <c r="E2307" s="69">
        <v>20</v>
      </c>
      <c r="F2307" s="69">
        <v>0</v>
      </c>
      <c r="G2307" s="69" t="s">
        <v>18</v>
      </c>
      <c r="H2307" s="69" t="s">
        <v>9</v>
      </c>
      <c r="I2307" s="69" t="s">
        <v>1715</v>
      </c>
      <c r="J2307" s="69" t="s">
        <v>55</v>
      </c>
      <c r="K2307" s="69" t="s">
        <v>1730</v>
      </c>
      <c r="M2307" s="69" t="s">
        <v>6</v>
      </c>
    </row>
    <row r="2308" spans="2:13">
      <c r="B2308" s="69">
        <v>2306</v>
      </c>
      <c r="C2308" s="69">
        <v>207</v>
      </c>
      <c r="D2308" s="69">
        <v>51</v>
      </c>
      <c r="E2308" s="69">
        <v>21</v>
      </c>
      <c r="F2308" s="69">
        <v>0</v>
      </c>
      <c r="G2308" s="69" t="s">
        <v>18</v>
      </c>
      <c r="H2308" s="69" t="s">
        <v>9</v>
      </c>
      <c r="I2308" s="69" t="s">
        <v>1715</v>
      </c>
      <c r="J2308" s="69" t="s">
        <v>55</v>
      </c>
      <c r="K2308" s="69" t="s">
        <v>1731</v>
      </c>
      <c r="M2308" s="69" t="s">
        <v>6</v>
      </c>
    </row>
    <row r="2309" spans="2:13">
      <c r="B2309" s="69">
        <v>2307</v>
      </c>
      <c r="C2309" s="69">
        <v>207</v>
      </c>
      <c r="D2309" s="69">
        <v>51</v>
      </c>
      <c r="E2309" s="69">
        <v>22</v>
      </c>
      <c r="F2309" s="69">
        <v>0</v>
      </c>
      <c r="G2309" s="69" t="s">
        <v>18</v>
      </c>
      <c r="H2309" s="69" t="s">
        <v>9</v>
      </c>
      <c r="I2309" s="69" t="s">
        <v>1715</v>
      </c>
      <c r="J2309" s="69" t="s">
        <v>55</v>
      </c>
      <c r="K2309" s="69" t="s">
        <v>1732</v>
      </c>
      <c r="M2309" s="69" t="s">
        <v>6</v>
      </c>
    </row>
    <row r="2310" spans="2:13">
      <c r="B2310" s="69">
        <v>2308</v>
      </c>
      <c r="C2310" s="69">
        <v>207</v>
      </c>
      <c r="D2310" s="69">
        <v>51</v>
      </c>
      <c r="E2310" s="69">
        <v>23</v>
      </c>
      <c r="F2310" s="69">
        <v>0</v>
      </c>
      <c r="G2310" s="69" t="s">
        <v>18</v>
      </c>
      <c r="H2310" s="69" t="s">
        <v>9</v>
      </c>
      <c r="I2310" s="69" t="s">
        <v>1715</v>
      </c>
      <c r="J2310" s="69" t="s">
        <v>55</v>
      </c>
      <c r="K2310" s="69" t="s">
        <v>1583</v>
      </c>
      <c r="M2310" s="69" t="s">
        <v>6</v>
      </c>
    </row>
    <row r="2311" spans="2:13">
      <c r="B2311" s="69">
        <v>2309</v>
      </c>
      <c r="C2311" s="69">
        <v>207</v>
      </c>
      <c r="D2311" s="69">
        <v>51</v>
      </c>
      <c r="E2311" s="69">
        <v>24</v>
      </c>
      <c r="F2311" s="69">
        <v>0</v>
      </c>
      <c r="G2311" s="69" t="s">
        <v>18</v>
      </c>
      <c r="H2311" s="69" t="s">
        <v>9</v>
      </c>
      <c r="I2311" s="69" t="s">
        <v>1715</v>
      </c>
      <c r="J2311" s="69" t="s">
        <v>55</v>
      </c>
      <c r="K2311" s="69" t="s">
        <v>1733</v>
      </c>
      <c r="M2311" s="69" t="s">
        <v>6</v>
      </c>
    </row>
    <row r="2312" spans="2:13">
      <c r="B2312" s="69">
        <v>2310</v>
      </c>
      <c r="C2312" s="69">
        <v>207</v>
      </c>
      <c r="D2312" s="69">
        <v>51</v>
      </c>
      <c r="E2312" s="69">
        <v>25</v>
      </c>
      <c r="F2312" s="69">
        <v>0</v>
      </c>
      <c r="G2312" s="69" t="s">
        <v>18</v>
      </c>
      <c r="H2312" s="69" t="s">
        <v>9</v>
      </c>
      <c r="I2312" s="69" t="s">
        <v>1715</v>
      </c>
      <c r="J2312" s="69" t="s">
        <v>479</v>
      </c>
      <c r="K2312" s="69" t="s">
        <v>1734</v>
      </c>
      <c r="M2312" s="69" t="s">
        <v>6</v>
      </c>
    </row>
    <row r="2313" spans="2:13">
      <c r="B2313" s="69">
        <v>2311</v>
      </c>
      <c r="C2313" s="69">
        <v>207</v>
      </c>
      <c r="D2313" s="69">
        <v>51</v>
      </c>
      <c r="E2313" s="69">
        <v>26</v>
      </c>
      <c r="F2313" s="69">
        <v>0</v>
      </c>
      <c r="G2313" s="69" t="s">
        <v>18</v>
      </c>
      <c r="H2313" s="69" t="s">
        <v>9</v>
      </c>
      <c r="I2313" s="69" t="s">
        <v>1715</v>
      </c>
      <c r="J2313" s="69" t="s">
        <v>55</v>
      </c>
      <c r="K2313" s="69" t="s">
        <v>1735</v>
      </c>
      <c r="M2313" s="69" t="s">
        <v>6</v>
      </c>
    </row>
    <row r="2314" spans="2:13">
      <c r="B2314" s="69">
        <v>2312</v>
      </c>
      <c r="C2314" s="69">
        <v>207</v>
      </c>
      <c r="D2314" s="69">
        <v>51</v>
      </c>
      <c r="E2314" s="69">
        <v>27</v>
      </c>
      <c r="F2314" s="69">
        <v>0</v>
      </c>
      <c r="G2314" s="69" t="s">
        <v>18</v>
      </c>
      <c r="H2314" s="69" t="s">
        <v>9</v>
      </c>
      <c r="I2314" s="69" t="s">
        <v>1715</v>
      </c>
      <c r="J2314" s="69" t="s">
        <v>55</v>
      </c>
      <c r="K2314" s="69" t="s">
        <v>1736</v>
      </c>
      <c r="M2314" s="69" t="s">
        <v>6</v>
      </c>
    </row>
    <row r="2315" spans="2:13">
      <c r="B2315" s="69">
        <v>2313</v>
      </c>
      <c r="C2315" s="69">
        <v>207</v>
      </c>
      <c r="D2315" s="69">
        <v>51</v>
      </c>
      <c r="E2315" s="69">
        <v>28</v>
      </c>
      <c r="F2315" s="69">
        <v>0</v>
      </c>
      <c r="G2315" s="69" t="s">
        <v>18</v>
      </c>
      <c r="H2315" s="69" t="s">
        <v>9</v>
      </c>
      <c r="I2315" s="69" t="s">
        <v>1715</v>
      </c>
      <c r="J2315" s="69" t="s">
        <v>55</v>
      </c>
      <c r="K2315" s="69" t="s">
        <v>1737</v>
      </c>
      <c r="M2315" s="69" t="s">
        <v>6</v>
      </c>
    </row>
    <row r="2316" spans="2:13">
      <c r="B2316" s="69">
        <v>2314</v>
      </c>
      <c r="C2316" s="69">
        <v>207</v>
      </c>
      <c r="D2316" s="69">
        <v>51</v>
      </c>
      <c r="E2316" s="69">
        <v>29</v>
      </c>
      <c r="F2316" s="69">
        <v>0</v>
      </c>
      <c r="G2316" s="69" t="s">
        <v>18</v>
      </c>
      <c r="H2316" s="69" t="s">
        <v>9</v>
      </c>
      <c r="I2316" s="69" t="s">
        <v>1715</v>
      </c>
      <c r="J2316" s="69" t="s">
        <v>55</v>
      </c>
      <c r="K2316" s="69" t="s">
        <v>1738</v>
      </c>
      <c r="M2316" s="69" t="s">
        <v>6</v>
      </c>
    </row>
    <row r="2317" spans="2:13">
      <c r="B2317" s="69">
        <v>2315</v>
      </c>
      <c r="C2317" s="69">
        <v>207</v>
      </c>
      <c r="D2317" s="69">
        <v>51</v>
      </c>
      <c r="E2317" s="69">
        <v>30</v>
      </c>
      <c r="F2317" s="69">
        <v>0</v>
      </c>
      <c r="G2317" s="69" t="s">
        <v>18</v>
      </c>
      <c r="H2317" s="69" t="s">
        <v>9</v>
      </c>
      <c r="I2317" s="69" t="s">
        <v>1715</v>
      </c>
      <c r="J2317" s="69" t="s">
        <v>479</v>
      </c>
      <c r="K2317" s="69" t="s">
        <v>1739</v>
      </c>
      <c r="M2317" s="69" t="s">
        <v>6</v>
      </c>
    </row>
    <row r="2318" spans="2:13">
      <c r="B2318" s="69">
        <v>2316</v>
      </c>
      <c r="C2318" s="69">
        <v>207</v>
      </c>
      <c r="D2318" s="69">
        <v>51</v>
      </c>
      <c r="E2318" s="69">
        <v>31</v>
      </c>
      <c r="F2318" s="69">
        <v>0</v>
      </c>
      <c r="G2318" s="69" t="s">
        <v>18</v>
      </c>
      <c r="H2318" s="69" t="s">
        <v>9</v>
      </c>
      <c r="I2318" s="69" t="s">
        <v>1715</v>
      </c>
      <c r="J2318" s="69" t="s">
        <v>55</v>
      </c>
      <c r="K2318" s="69" t="s">
        <v>1740</v>
      </c>
      <c r="M2318" s="69" t="s">
        <v>6</v>
      </c>
    </row>
    <row r="2319" spans="2:13">
      <c r="B2319" s="69">
        <v>2317</v>
      </c>
      <c r="C2319" s="69">
        <v>207</v>
      </c>
      <c r="D2319" s="69">
        <v>51</v>
      </c>
      <c r="E2319" s="69">
        <v>32</v>
      </c>
      <c r="F2319" s="69">
        <v>0</v>
      </c>
      <c r="G2319" s="69" t="s">
        <v>18</v>
      </c>
      <c r="H2319" s="69" t="s">
        <v>9</v>
      </c>
      <c r="I2319" s="69" t="s">
        <v>1715</v>
      </c>
      <c r="J2319" s="69" t="s">
        <v>214</v>
      </c>
      <c r="K2319" s="69" t="s">
        <v>1741</v>
      </c>
      <c r="M2319" s="69" t="s">
        <v>6</v>
      </c>
    </row>
    <row r="2320" spans="2:13">
      <c r="B2320" s="69">
        <v>2318</v>
      </c>
      <c r="C2320" s="69">
        <v>207</v>
      </c>
      <c r="D2320" s="69">
        <v>51</v>
      </c>
      <c r="E2320" s="69">
        <v>33</v>
      </c>
      <c r="F2320" s="69">
        <v>0</v>
      </c>
      <c r="G2320" s="69" t="s">
        <v>18</v>
      </c>
      <c r="H2320" s="69" t="s">
        <v>9</v>
      </c>
      <c r="I2320" s="69" t="s">
        <v>1715</v>
      </c>
      <c r="J2320" s="69" t="s">
        <v>214</v>
      </c>
      <c r="K2320" s="69" t="s">
        <v>1618</v>
      </c>
      <c r="L2320" s="69" t="s">
        <v>1742</v>
      </c>
      <c r="M2320" s="69" t="s">
        <v>6</v>
      </c>
    </row>
    <row r="2321" spans="2:13">
      <c r="B2321" s="69">
        <v>2319</v>
      </c>
      <c r="C2321" s="69">
        <v>207</v>
      </c>
      <c r="D2321" s="69">
        <v>51</v>
      </c>
      <c r="E2321" s="69">
        <v>34</v>
      </c>
      <c r="F2321" s="69">
        <v>0</v>
      </c>
      <c r="G2321" s="69" t="s">
        <v>18</v>
      </c>
      <c r="H2321" s="69" t="s">
        <v>9</v>
      </c>
      <c r="I2321" s="69" t="s">
        <v>1715</v>
      </c>
      <c r="J2321" s="69" t="s">
        <v>214</v>
      </c>
      <c r="K2321" s="69" t="s">
        <v>1619</v>
      </c>
      <c r="L2321" s="69" t="s">
        <v>1742</v>
      </c>
      <c r="M2321" s="69" t="s">
        <v>6</v>
      </c>
    </row>
    <row r="2322" spans="2:13">
      <c r="B2322" s="69">
        <v>2320</v>
      </c>
      <c r="C2322" s="69">
        <v>207</v>
      </c>
      <c r="D2322" s="69">
        <v>51</v>
      </c>
      <c r="E2322" s="69">
        <v>35</v>
      </c>
      <c r="F2322" s="69">
        <v>0</v>
      </c>
      <c r="G2322" s="69" t="s">
        <v>18</v>
      </c>
      <c r="H2322" s="69" t="s">
        <v>9</v>
      </c>
      <c r="I2322" s="69" t="s">
        <v>1715</v>
      </c>
      <c r="J2322" s="69" t="s">
        <v>214</v>
      </c>
      <c r="K2322" s="69" t="s">
        <v>1620</v>
      </c>
      <c r="L2322" s="69" t="s">
        <v>1743</v>
      </c>
      <c r="M2322" s="69" t="s">
        <v>6</v>
      </c>
    </row>
    <row r="2323" spans="2:13">
      <c r="B2323" s="69">
        <v>2321</v>
      </c>
      <c r="C2323" s="69">
        <v>207</v>
      </c>
      <c r="D2323" s="69">
        <v>51</v>
      </c>
      <c r="E2323" s="69">
        <v>36</v>
      </c>
      <c r="F2323" s="69">
        <v>0</v>
      </c>
      <c r="G2323" s="69" t="s">
        <v>18</v>
      </c>
      <c r="H2323" s="69" t="s">
        <v>9</v>
      </c>
      <c r="I2323" s="69" t="s">
        <v>1715</v>
      </c>
      <c r="J2323" s="69" t="s">
        <v>437</v>
      </c>
      <c r="K2323" s="69" t="s">
        <v>1621</v>
      </c>
      <c r="L2323" s="69" t="s">
        <v>1272</v>
      </c>
      <c r="M2323" s="69" t="s">
        <v>6</v>
      </c>
    </row>
    <row r="2324" spans="2:13">
      <c r="B2324" s="69">
        <v>2322</v>
      </c>
      <c r="C2324" s="69">
        <v>207</v>
      </c>
      <c r="D2324" s="69">
        <v>51</v>
      </c>
      <c r="E2324" s="69">
        <v>37</v>
      </c>
      <c r="F2324" s="69">
        <v>0</v>
      </c>
      <c r="G2324" s="69" t="s">
        <v>18</v>
      </c>
      <c r="H2324" s="69" t="s">
        <v>9</v>
      </c>
      <c r="I2324" s="69" t="s">
        <v>1715</v>
      </c>
      <c r="J2324" s="69" t="s">
        <v>55</v>
      </c>
      <c r="K2324" s="69" t="s">
        <v>1581</v>
      </c>
      <c r="M2324" s="69" t="s">
        <v>6</v>
      </c>
    </row>
    <row r="2325" spans="2:13">
      <c r="B2325" s="69">
        <v>2323</v>
      </c>
      <c r="C2325" s="69">
        <v>207</v>
      </c>
      <c r="D2325" s="69">
        <v>51</v>
      </c>
      <c r="E2325" s="69">
        <v>38</v>
      </c>
      <c r="F2325" s="69">
        <v>0</v>
      </c>
      <c r="G2325" s="69" t="s">
        <v>18</v>
      </c>
      <c r="H2325" s="69" t="s">
        <v>9</v>
      </c>
      <c r="I2325" s="69" t="s">
        <v>1715</v>
      </c>
      <c r="J2325" s="69" t="s">
        <v>55</v>
      </c>
      <c r="K2325" s="69" t="s">
        <v>1582</v>
      </c>
      <c r="M2325" s="69" t="s">
        <v>6</v>
      </c>
    </row>
    <row r="2326" spans="2:13">
      <c r="B2326" s="69">
        <v>2324</v>
      </c>
      <c r="C2326" s="69">
        <v>207</v>
      </c>
      <c r="D2326" s="69">
        <v>51</v>
      </c>
      <c r="E2326" s="69">
        <v>39</v>
      </c>
      <c r="F2326" s="69">
        <v>0</v>
      </c>
      <c r="G2326" s="69" t="s">
        <v>18</v>
      </c>
      <c r="H2326" s="69" t="s">
        <v>9</v>
      </c>
      <c r="I2326" s="69" t="s">
        <v>1715</v>
      </c>
      <c r="J2326" s="69" t="s">
        <v>479</v>
      </c>
      <c r="K2326" s="69" t="s">
        <v>1744</v>
      </c>
      <c r="M2326" s="69" t="s">
        <v>6</v>
      </c>
    </row>
    <row r="2327" spans="2:13">
      <c r="B2327" s="69">
        <v>2325</v>
      </c>
      <c r="C2327" s="69">
        <v>207</v>
      </c>
      <c r="D2327" s="69">
        <v>51</v>
      </c>
      <c r="E2327" s="69">
        <v>40</v>
      </c>
      <c r="F2327" s="69">
        <v>0</v>
      </c>
      <c r="G2327" s="69" t="s">
        <v>18</v>
      </c>
      <c r="H2327" s="69" t="s">
        <v>9</v>
      </c>
      <c r="I2327" s="69" t="s">
        <v>1715</v>
      </c>
      <c r="J2327" s="69" t="s">
        <v>55</v>
      </c>
      <c r="K2327" s="69" t="s">
        <v>1745</v>
      </c>
      <c r="M2327" s="69" t="s">
        <v>6</v>
      </c>
    </row>
    <row r="2328" spans="2:13">
      <c r="B2328" s="69">
        <v>2326</v>
      </c>
      <c r="C2328" s="69">
        <v>207</v>
      </c>
      <c r="D2328" s="69">
        <v>51</v>
      </c>
      <c r="E2328" s="69">
        <v>41</v>
      </c>
      <c r="F2328" s="69">
        <v>0</v>
      </c>
      <c r="G2328" s="69" t="s">
        <v>18</v>
      </c>
      <c r="H2328" s="69" t="s">
        <v>9</v>
      </c>
      <c r="I2328" s="69" t="s">
        <v>1715</v>
      </c>
      <c r="J2328" s="69" t="s">
        <v>55</v>
      </c>
      <c r="K2328" s="69" t="s">
        <v>1746</v>
      </c>
      <c r="M2328" s="69" t="s">
        <v>6</v>
      </c>
    </row>
    <row r="2329" spans="2:13">
      <c r="B2329" s="69">
        <v>2327</v>
      </c>
      <c r="C2329" s="69">
        <v>207</v>
      </c>
      <c r="D2329" s="69">
        <v>51</v>
      </c>
      <c r="E2329" s="69">
        <v>42</v>
      </c>
      <c r="F2329" s="69">
        <v>0</v>
      </c>
      <c r="G2329" s="69" t="s">
        <v>18</v>
      </c>
      <c r="H2329" s="69" t="s">
        <v>9</v>
      </c>
      <c r="I2329" s="69" t="s">
        <v>1715</v>
      </c>
      <c r="J2329" s="69" t="s">
        <v>437</v>
      </c>
      <c r="K2329" s="69" t="s">
        <v>1747</v>
      </c>
      <c r="L2329" s="69" t="s">
        <v>1272</v>
      </c>
      <c r="M2329" s="69" t="s">
        <v>6</v>
      </c>
    </row>
    <row r="2330" spans="2:13">
      <c r="B2330" s="69">
        <v>2328</v>
      </c>
      <c r="C2330" s="69">
        <v>207</v>
      </c>
      <c r="D2330" s="69">
        <v>51</v>
      </c>
      <c r="E2330" s="69">
        <v>43</v>
      </c>
      <c r="F2330" s="69">
        <v>0</v>
      </c>
      <c r="G2330" s="69" t="s">
        <v>18</v>
      </c>
      <c r="H2330" s="69" t="s">
        <v>9</v>
      </c>
      <c r="I2330" s="69" t="s">
        <v>1715</v>
      </c>
      <c r="J2330" s="69" t="s">
        <v>55</v>
      </c>
      <c r="K2330" s="69" t="s">
        <v>1748</v>
      </c>
      <c r="M2330" s="69" t="s">
        <v>6</v>
      </c>
    </row>
    <row r="2331" spans="2:13">
      <c r="B2331" s="69">
        <v>2329</v>
      </c>
      <c r="C2331" s="69">
        <v>207</v>
      </c>
      <c r="D2331" s="69">
        <v>51</v>
      </c>
      <c r="E2331" s="69">
        <v>44</v>
      </c>
      <c r="F2331" s="69">
        <v>0</v>
      </c>
      <c r="G2331" s="69" t="s">
        <v>18</v>
      </c>
      <c r="H2331" s="69" t="s">
        <v>9</v>
      </c>
      <c r="I2331" s="69" t="s">
        <v>1715</v>
      </c>
      <c r="J2331" s="69" t="s">
        <v>55</v>
      </c>
      <c r="K2331" s="69" t="s">
        <v>1749</v>
      </c>
      <c r="M2331" s="69" t="s">
        <v>6</v>
      </c>
    </row>
    <row r="2332" spans="2:13">
      <c r="B2332" s="69">
        <v>2330</v>
      </c>
      <c r="C2332" s="69">
        <v>207</v>
      </c>
      <c r="D2332" s="69">
        <v>51</v>
      </c>
      <c r="E2332" s="69">
        <v>45</v>
      </c>
      <c r="F2332" s="69">
        <v>0</v>
      </c>
      <c r="G2332" s="69" t="s">
        <v>18</v>
      </c>
      <c r="H2332" s="69" t="s">
        <v>9</v>
      </c>
      <c r="I2332" s="69" t="s">
        <v>1715</v>
      </c>
      <c r="J2332" s="69" t="s">
        <v>55</v>
      </c>
      <c r="K2332" s="69" t="s">
        <v>1750</v>
      </c>
      <c r="M2332" s="69" t="s">
        <v>6</v>
      </c>
    </row>
    <row r="2333" spans="2:13">
      <c r="B2333" s="69">
        <v>2331</v>
      </c>
      <c r="C2333" s="69">
        <v>207</v>
      </c>
      <c r="D2333" s="69">
        <v>51</v>
      </c>
      <c r="E2333" s="69">
        <v>46</v>
      </c>
      <c r="F2333" s="69">
        <v>0</v>
      </c>
      <c r="G2333" s="69" t="s">
        <v>18</v>
      </c>
      <c r="H2333" s="69" t="s">
        <v>9</v>
      </c>
      <c r="I2333" s="69" t="s">
        <v>1715</v>
      </c>
      <c r="J2333" s="69" t="s">
        <v>479</v>
      </c>
      <c r="K2333" s="69" t="s">
        <v>1751</v>
      </c>
      <c r="M2333" s="69" t="s">
        <v>6</v>
      </c>
    </row>
    <row r="2334" spans="2:13">
      <c r="B2334" s="69">
        <v>2332</v>
      </c>
      <c r="C2334" s="69">
        <v>207</v>
      </c>
      <c r="D2334" s="69">
        <v>51</v>
      </c>
      <c r="E2334" s="69">
        <v>47</v>
      </c>
      <c r="F2334" s="69">
        <v>0</v>
      </c>
      <c r="G2334" s="69" t="s">
        <v>18</v>
      </c>
      <c r="H2334" s="69" t="s">
        <v>9</v>
      </c>
      <c r="I2334" s="69" t="s">
        <v>1715</v>
      </c>
      <c r="J2334" s="69" t="s">
        <v>55</v>
      </c>
      <c r="K2334" s="69" t="s">
        <v>1752</v>
      </c>
      <c r="M2334" s="69" t="s">
        <v>6</v>
      </c>
    </row>
    <row r="2335" spans="2:13">
      <c r="B2335" s="69">
        <v>2333</v>
      </c>
      <c r="C2335" s="69">
        <v>207</v>
      </c>
      <c r="D2335" s="69">
        <v>51</v>
      </c>
      <c r="E2335" s="69">
        <v>48</v>
      </c>
      <c r="F2335" s="69">
        <v>0</v>
      </c>
      <c r="G2335" s="69" t="s">
        <v>18</v>
      </c>
      <c r="H2335" s="69" t="s">
        <v>9</v>
      </c>
      <c r="I2335" s="69" t="s">
        <v>1715</v>
      </c>
      <c r="J2335" s="69" t="s">
        <v>64</v>
      </c>
      <c r="K2335" s="69" t="s">
        <v>1753</v>
      </c>
      <c r="M2335" s="69" t="s">
        <v>6</v>
      </c>
    </row>
    <row r="2336" spans="2:13">
      <c r="B2336" s="69">
        <v>2334</v>
      </c>
      <c r="C2336" s="69">
        <v>207</v>
      </c>
      <c r="D2336" s="69">
        <v>51</v>
      </c>
      <c r="E2336" s="69">
        <v>49</v>
      </c>
      <c r="F2336" s="69">
        <v>0</v>
      </c>
      <c r="G2336" s="69" t="s">
        <v>18</v>
      </c>
      <c r="H2336" s="69" t="s">
        <v>9</v>
      </c>
      <c r="I2336" s="69" t="s">
        <v>1715</v>
      </c>
      <c r="J2336" s="69" t="s">
        <v>55</v>
      </c>
      <c r="K2336" s="69" t="s">
        <v>1754</v>
      </c>
      <c r="M2336" s="69" t="s">
        <v>6</v>
      </c>
    </row>
    <row r="2337" spans="2:13">
      <c r="B2337" s="69">
        <v>2335</v>
      </c>
      <c r="C2337" s="69">
        <v>207</v>
      </c>
      <c r="D2337" s="69">
        <v>51</v>
      </c>
      <c r="E2337" s="69">
        <v>50</v>
      </c>
      <c r="F2337" s="69">
        <v>0</v>
      </c>
      <c r="G2337" s="69" t="s">
        <v>18</v>
      </c>
      <c r="H2337" s="69" t="s">
        <v>9</v>
      </c>
      <c r="I2337" s="69" t="s">
        <v>1715</v>
      </c>
      <c r="J2337" s="69" t="s">
        <v>55</v>
      </c>
      <c r="K2337" s="69" t="s">
        <v>93</v>
      </c>
      <c r="M2337" s="69" t="s">
        <v>6</v>
      </c>
    </row>
    <row r="2338" spans="2:13">
      <c r="B2338" s="69">
        <v>2336</v>
      </c>
      <c r="C2338" s="69">
        <v>207</v>
      </c>
      <c r="D2338" s="69">
        <v>51</v>
      </c>
      <c r="E2338" s="69">
        <v>51</v>
      </c>
      <c r="F2338" s="69">
        <v>0</v>
      </c>
      <c r="G2338" s="69" t="s">
        <v>18</v>
      </c>
      <c r="H2338" s="69" t="s">
        <v>9</v>
      </c>
      <c r="I2338" s="69" t="s">
        <v>1715</v>
      </c>
      <c r="J2338" s="69" t="s">
        <v>64</v>
      </c>
      <c r="K2338" s="69" t="s">
        <v>94</v>
      </c>
      <c r="M2338" s="69" t="s">
        <v>6</v>
      </c>
    </row>
    <row r="2339" spans="2:13">
      <c r="B2339" s="69">
        <v>2337</v>
      </c>
      <c r="C2339" s="69">
        <v>208</v>
      </c>
      <c r="D2339" s="69">
        <v>37</v>
      </c>
      <c r="E2339" s="69">
        <v>0</v>
      </c>
      <c r="F2339" s="69">
        <v>0</v>
      </c>
      <c r="G2339" s="69" t="s">
        <v>18</v>
      </c>
      <c r="H2339" s="69" t="s">
        <v>9</v>
      </c>
      <c r="I2339" s="69" t="s">
        <v>1755</v>
      </c>
      <c r="J2339" s="69" t="s">
        <v>478</v>
      </c>
      <c r="K2339" s="69" t="s">
        <v>1755</v>
      </c>
      <c r="M2339" s="69" t="s">
        <v>6</v>
      </c>
    </row>
    <row r="2340" spans="2:13">
      <c r="B2340" s="69">
        <v>2338</v>
      </c>
      <c r="C2340" s="69">
        <v>208</v>
      </c>
      <c r="D2340" s="69">
        <v>37</v>
      </c>
      <c r="E2340" s="69">
        <v>1</v>
      </c>
      <c r="F2340" s="69">
        <v>0</v>
      </c>
      <c r="G2340" s="69" t="s">
        <v>18</v>
      </c>
      <c r="H2340" s="69" t="s">
        <v>9</v>
      </c>
      <c r="I2340" s="69" t="s">
        <v>1755</v>
      </c>
      <c r="J2340" s="69" t="s">
        <v>479</v>
      </c>
      <c r="K2340" s="69" t="s">
        <v>1716</v>
      </c>
      <c r="M2340" s="69" t="s">
        <v>6</v>
      </c>
    </row>
    <row r="2341" spans="2:13">
      <c r="B2341" s="69">
        <v>2339</v>
      </c>
      <c r="C2341" s="69">
        <v>208</v>
      </c>
      <c r="D2341" s="69">
        <v>37</v>
      </c>
      <c r="E2341" s="69">
        <v>2</v>
      </c>
      <c r="F2341" s="69">
        <v>0</v>
      </c>
      <c r="G2341" s="69" t="s">
        <v>18</v>
      </c>
      <c r="H2341" s="69" t="s">
        <v>9</v>
      </c>
      <c r="I2341" s="69" t="s">
        <v>1755</v>
      </c>
      <c r="J2341" s="69" t="s">
        <v>55</v>
      </c>
      <c r="K2341" s="69" t="s">
        <v>1717</v>
      </c>
      <c r="M2341" s="69" t="s">
        <v>6</v>
      </c>
    </row>
    <row r="2342" spans="2:13">
      <c r="B2342" s="69">
        <v>2340</v>
      </c>
      <c r="C2342" s="69">
        <v>208</v>
      </c>
      <c r="D2342" s="69">
        <v>37</v>
      </c>
      <c r="E2342" s="69">
        <v>3</v>
      </c>
      <c r="F2342" s="69">
        <v>0</v>
      </c>
      <c r="G2342" s="69" t="s">
        <v>18</v>
      </c>
      <c r="H2342" s="69" t="s">
        <v>9</v>
      </c>
      <c r="I2342" s="69" t="s">
        <v>1755</v>
      </c>
      <c r="J2342" s="69" t="s">
        <v>214</v>
      </c>
      <c r="K2342" s="69" t="s">
        <v>1613</v>
      </c>
      <c r="M2342" s="69" t="s">
        <v>6</v>
      </c>
    </row>
    <row r="2343" spans="2:13">
      <c r="B2343" s="69">
        <v>2341</v>
      </c>
      <c r="C2343" s="69">
        <v>208</v>
      </c>
      <c r="D2343" s="69">
        <v>37</v>
      </c>
      <c r="E2343" s="69">
        <v>4</v>
      </c>
      <c r="F2343" s="69">
        <v>0</v>
      </c>
      <c r="G2343" s="69" t="s">
        <v>18</v>
      </c>
      <c r="H2343" s="69" t="s">
        <v>9</v>
      </c>
      <c r="I2343" s="69" t="s">
        <v>1755</v>
      </c>
      <c r="J2343" s="69" t="s">
        <v>214</v>
      </c>
      <c r="K2343" s="69" t="s">
        <v>1614</v>
      </c>
      <c r="M2343" s="69" t="s">
        <v>6</v>
      </c>
    </row>
    <row r="2344" spans="2:13">
      <c r="B2344" s="69">
        <v>2342</v>
      </c>
      <c r="C2344" s="69">
        <v>208</v>
      </c>
      <c r="D2344" s="69">
        <v>37</v>
      </c>
      <c r="E2344" s="69">
        <v>5</v>
      </c>
      <c r="F2344" s="69">
        <v>0</v>
      </c>
      <c r="G2344" s="69" t="s">
        <v>18</v>
      </c>
      <c r="H2344" s="69" t="s">
        <v>9</v>
      </c>
      <c r="I2344" s="69" t="s">
        <v>1755</v>
      </c>
      <c r="J2344" s="69" t="s">
        <v>55</v>
      </c>
      <c r="K2344" s="69" t="s">
        <v>1718</v>
      </c>
      <c r="M2344" s="69" t="s">
        <v>6</v>
      </c>
    </row>
    <row r="2345" spans="2:13">
      <c r="B2345" s="69">
        <v>2343</v>
      </c>
      <c r="C2345" s="69">
        <v>208</v>
      </c>
      <c r="D2345" s="69">
        <v>37</v>
      </c>
      <c r="E2345" s="69">
        <v>6</v>
      </c>
      <c r="F2345" s="69">
        <v>0</v>
      </c>
      <c r="G2345" s="69" t="s">
        <v>18</v>
      </c>
      <c r="H2345" s="69" t="s">
        <v>9</v>
      </c>
      <c r="I2345" s="69" t="s">
        <v>1755</v>
      </c>
      <c r="J2345" s="69" t="s">
        <v>479</v>
      </c>
      <c r="K2345" s="69" t="s">
        <v>1719</v>
      </c>
      <c r="M2345" s="69" t="s">
        <v>6</v>
      </c>
    </row>
    <row r="2346" spans="2:13">
      <c r="B2346" s="69">
        <v>2344</v>
      </c>
      <c r="C2346" s="69">
        <v>208</v>
      </c>
      <c r="D2346" s="69">
        <v>37</v>
      </c>
      <c r="E2346" s="69">
        <v>7</v>
      </c>
      <c r="F2346" s="69">
        <v>0</v>
      </c>
      <c r="G2346" s="69" t="s">
        <v>18</v>
      </c>
      <c r="H2346" s="69" t="s">
        <v>9</v>
      </c>
      <c r="I2346" s="69" t="s">
        <v>1755</v>
      </c>
      <c r="J2346" s="69" t="s">
        <v>55</v>
      </c>
      <c r="K2346" s="69" t="s">
        <v>1720</v>
      </c>
      <c r="M2346" s="69" t="s">
        <v>6</v>
      </c>
    </row>
    <row r="2347" spans="2:13">
      <c r="B2347" s="69">
        <v>2345</v>
      </c>
      <c r="C2347" s="69">
        <v>208</v>
      </c>
      <c r="D2347" s="69">
        <v>37</v>
      </c>
      <c r="E2347" s="69">
        <v>8</v>
      </c>
      <c r="F2347" s="69">
        <v>0</v>
      </c>
      <c r="G2347" s="69" t="s">
        <v>18</v>
      </c>
      <c r="H2347" s="69" t="s">
        <v>9</v>
      </c>
      <c r="I2347" s="69" t="s">
        <v>1755</v>
      </c>
      <c r="J2347" s="69" t="s">
        <v>55</v>
      </c>
      <c r="K2347" s="69" t="s">
        <v>474</v>
      </c>
      <c r="M2347" s="69" t="s">
        <v>6</v>
      </c>
    </row>
    <row r="2348" spans="2:13">
      <c r="B2348" s="69">
        <v>2346</v>
      </c>
      <c r="C2348" s="69">
        <v>208</v>
      </c>
      <c r="D2348" s="69">
        <v>37</v>
      </c>
      <c r="E2348" s="69">
        <v>9</v>
      </c>
      <c r="F2348" s="69">
        <v>0</v>
      </c>
      <c r="G2348" s="69" t="s">
        <v>18</v>
      </c>
      <c r="H2348" s="69" t="s">
        <v>9</v>
      </c>
      <c r="I2348" s="69" t="s">
        <v>1755</v>
      </c>
      <c r="J2348" s="69" t="s">
        <v>55</v>
      </c>
      <c r="K2348" s="69" t="s">
        <v>475</v>
      </c>
      <c r="M2348" s="69" t="s">
        <v>6</v>
      </c>
    </row>
    <row r="2349" spans="2:13">
      <c r="B2349" s="69">
        <v>2347</v>
      </c>
      <c r="C2349" s="69">
        <v>208</v>
      </c>
      <c r="D2349" s="69">
        <v>37</v>
      </c>
      <c r="E2349" s="69">
        <v>10</v>
      </c>
      <c r="F2349" s="69">
        <v>0</v>
      </c>
      <c r="G2349" s="69" t="s">
        <v>18</v>
      </c>
      <c r="H2349" s="69" t="s">
        <v>9</v>
      </c>
      <c r="I2349" s="69" t="s">
        <v>1755</v>
      </c>
      <c r="J2349" s="69" t="s">
        <v>55</v>
      </c>
      <c r="K2349" s="69" t="s">
        <v>476</v>
      </c>
      <c r="M2349" s="69" t="s">
        <v>6</v>
      </c>
    </row>
    <row r="2350" spans="2:13">
      <c r="B2350" s="69">
        <v>2348</v>
      </c>
      <c r="C2350" s="69">
        <v>208</v>
      </c>
      <c r="D2350" s="69">
        <v>37</v>
      </c>
      <c r="E2350" s="69">
        <v>11</v>
      </c>
      <c r="F2350" s="69">
        <v>0</v>
      </c>
      <c r="G2350" s="69" t="s">
        <v>18</v>
      </c>
      <c r="H2350" s="69" t="s">
        <v>9</v>
      </c>
      <c r="I2350" s="69" t="s">
        <v>1755</v>
      </c>
      <c r="J2350" s="69" t="s">
        <v>479</v>
      </c>
      <c r="K2350" s="69" t="s">
        <v>1734</v>
      </c>
      <c r="M2350" s="69" t="s">
        <v>6</v>
      </c>
    </row>
    <row r="2351" spans="2:13">
      <c r="B2351" s="69">
        <v>2349</v>
      </c>
      <c r="C2351" s="69">
        <v>208</v>
      </c>
      <c r="D2351" s="69">
        <v>37</v>
      </c>
      <c r="E2351" s="69">
        <v>12</v>
      </c>
      <c r="F2351" s="69">
        <v>0</v>
      </c>
      <c r="G2351" s="69" t="s">
        <v>18</v>
      </c>
      <c r="H2351" s="69" t="s">
        <v>9</v>
      </c>
      <c r="I2351" s="69" t="s">
        <v>1755</v>
      </c>
      <c r="J2351" s="69" t="s">
        <v>55</v>
      </c>
      <c r="K2351" s="69" t="s">
        <v>1735</v>
      </c>
      <c r="M2351" s="69" t="s">
        <v>6</v>
      </c>
    </row>
    <row r="2352" spans="2:13">
      <c r="B2352" s="69">
        <v>2350</v>
      </c>
      <c r="C2352" s="69">
        <v>208</v>
      </c>
      <c r="D2352" s="69">
        <v>37</v>
      </c>
      <c r="E2352" s="69">
        <v>13</v>
      </c>
      <c r="F2352" s="69">
        <v>0</v>
      </c>
      <c r="G2352" s="69" t="s">
        <v>18</v>
      </c>
      <c r="H2352" s="69" t="s">
        <v>9</v>
      </c>
      <c r="I2352" s="69" t="s">
        <v>1755</v>
      </c>
      <c r="J2352" s="69" t="s">
        <v>55</v>
      </c>
      <c r="K2352" s="69" t="s">
        <v>1736</v>
      </c>
      <c r="M2352" s="69" t="s">
        <v>6</v>
      </c>
    </row>
    <row r="2353" spans="2:13">
      <c r="B2353" s="69">
        <v>2351</v>
      </c>
      <c r="C2353" s="69">
        <v>208</v>
      </c>
      <c r="D2353" s="69">
        <v>37</v>
      </c>
      <c r="E2353" s="69">
        <v>14</v>
      </c>
      <c r="F2353" s="69">
        <v>0</v>
      </c>
      <c r="G2353" s="69" t="s">
        <v>18</v>
      </c>
      <c r="H2353" s="69" t="s">
        <v>9</v>
      </c>
      <c r="I2353" s="69" t="s">
        <v>1755</v>
      </c>
      <c r="J2353" s="69" t="s">
        <v>55</v>
      </c>
      <c r="K2353" s="69" t="s">
        <v>1737</v>
      </c>
      <c r="M2353" s="69" t="s">
        <v>6</v>
      </c>
    </row>
    <row r="2354" spans="2:13">
      <c r="B2354" s="69">
        <v>2352</v>
      </c>
      <c r="C2354" s="69">
        <v>208</v>
      </c>
      <c r="D2354" s="69">
        <v>37</v>
      </c>
      <c r="E2354" s="69">
        <v>15</v>
      </c>
      <c r="F2354" s="69">
        <v>0</v>
      </c>
      <c r="G2354" s="69" t="s">
        <v>18</v>
      </c>
      <c r="H2354" s="69" t="s">
        <v>9</v>
      </c>
      <c r="I2354" s="69" t="s">
        <v>1755</v>
      </c>
      <c r="J2354" s="69" t="s">
        <v>55</v>
      </c>
      <c r="K2354" s="69" t="s">
        <v>1738</v>
      </c>
      <c r="M2354" s="69" t="s">
        <v>6</v>
      </c>
    </row>
    <row r="2355" spans="2:13">
      <c r="B2355" s="69">
        <v>2353</v>
      </c>
      <c r="C2355" s="69">
        <v>208</v>
      </c>
      <c r="D2355" s="69">
        <v>37</v>
      </c>
      <c r="E2355" s="69">
        <v>16</v>
      </c>
      <c r="F2355" s="69">
        <v>0</v>
      </c>
      <c r="G2355" s="69" t="s">
        <v>18</v>
      </c>
      <c r="H2355" s="69" t="s">
        <v>9</v>
      </c>
      <c r="I2355" s="69" t="s">
        <v>1755</v>
      </c>
      <c r="J2355" s="69" t="s">
        <v>479</v>
      </c>
      <c r="K2355" s="69" t="s">
        <v>1739</v>
      </c>
      <c r="M2355" s="69" t="s">
        <v>6</v>
      </c>
    </row>
    <row r="2356" spans="2:13">
      <c r="B2356" s="69">
        <v>2354</v>
      </c>
      <c r="C2356" s="69">
        <v>208</v>
      </c>
      <c r="D2356" s="69">
        <v>37</v>
      </c>
      <c r="E2356" s="69">
        <v>17</v>
      </c>
      <c r="F2356" s="69">
        <v>0</v>
      </c>
      <c r="G2356" s="69" t="s">
        <v>18</v>
      </c>
      <c r="H2356" s="69" t="s">
        <v>9</v>
      </c>
      <c r="I2356" s="69" t="s">
        <v>1755</v>
      </c>
      <c r="J2356" s="69" t="s">
        <v>55</v>
      </c>
      <c r="K2356" s="69" t="s">
        <v>1740</v>
      </c>
      <c r="M2356" s="69" t="s">
        <v>6</v>
      </c>
    </row>
    <row r="2357" spans="2:13">
      <c r="B2357" s="69">
        <v>2355</v>
      </c>
      <c r="C2357" s="69">
        <v>208</v>
      </c>
      <c r="D2357" s="69">
        <v>37</v>
      </c>
      <c r="E2357" s="69">
        <v>18</v>
      </c>
      <c r="F2357" s="69">
        <v>0</v>
      </c>
      <c r="G2357" s="69" t="s">
        <v>18</v>
      </c>
      <c r="H2357" s="69" t="s">
        <v>9</v>
      </c>
      <c r="I2357" s="69" t="s">
        <v>1755</v>
      </c>
      <c r="J2357" s="69" t="s">
        <v>214</v>
      </c>
      <c r="K2357" s="69" t="s">
        <v>1741</v>
      </c>
      <c r="M2357" s="69" t="s">
        <v>6</v>
      </c>
    </row>
    <row r="2358" spans="2:13">
      <c r="B2358" s="69">
        <v>2356</v>
      </c>
      <c r="C2358" s="69">
        <v>208</v>
      </c>
      <c r="D2358" s="69">
        <v>37</v>
      </c>
      <c r="E2358" s="69">
        <v>19</v>
      </c>
      <c r="F2358" s="69">
        <v>0</v>
      </c>
      <c r="G2358" s="69" t="s">
        <v>18</v>
      </c>
      <c r="H2358" s="69" t="s">
        <v>9</v>
      </c>
      <c r="I2358" s="69" t="s">
        <v>1755</v>
      </c>
      <c r="J2358" s="69" t="s">
        <v>214</v>
      </c>
      <c r="K2358" s="69" t="s">
        <v>1618</v>
      </c>
      <c r="M2358" s="69" t="s">
        <v>6</v>
      </c>
    </row>
    <row r="2359" spans="2:13">
      <c r="B2359" s="69">
        <v>2357</v>
      </c>
      <c r="C2359" s="69">
        <v>208</v>
      </c>
      <c r="D2359" s="69">
        <v>37</v>
      </c>
      <c r="E2359" s="69">
        <v>20</v>
      </c>
      <c r="F2359" s="69">
        <v>0</v>
      </c>
      <c r="G2359" s="69" t="s">
        <v>18</v>
      </c>
      <c r="H2359" s="69" t="s">
        <v>9</v>
      </c>
      <c r="I2359" s="69" t="s">
        <v>1755</v>
      </c>
      <c r="J2359" s="69" t="s">
        <v>214</v>
      </c>
      <c r="K2359" s="69" t="s">
        <v>1619</v>
      </c>
      <c r="M2359" s="69" t="s">
        <v>6</v>
      </c>
    </row>
    <row r="2360" spans="2:13">
      <c r="B2360" s="69">
        <v>2358</v>
      </c>
      <c r="C2360" s="69">
        <v>208</v>
      </c>
      <c r="D2360" s="69">
        <v>37</v>
      </c>
      <c r="E2360" s="69">
        <v>21</v>
      </c>
      <c r="F2360" s="69">
        <v>0</v>
      </c>
      <c r="G2360" s="69" t="s">
        <v>18</v>
      </c>
      <c r="H2360" s="69" t="s">
        <v>9</v>
      </c>
      <c r="I2360" s="69" t="s">
        <v>1755</v>
      </c>
      <c r="J2360" s="69" t="s">
        <v>214</v>
      </c>
      <c r="K2360" s="69" t="s">
        <v>1620</v>
      </c>
      <c r="M2360" s="69" t="s">
        <v>6</v>
      </c>
    </row>
    <row r="2361" spans="2:13">
      <c r="B2361" s="69">
        <v>2359</v>
      </c>
      <c r="C2361" s="69">
        <v>208</v>
      </c>
      <c r="D2361" s="69">
        <v>37</v>
      </c>
      <c r="E2361" s="69">
        <v>22</v>
      </c>
      <c r="F2361" s="69">
        <v>0</v>
      </c>
      <c r="G2361" s="69" t="s">
        <v>18</v>
      </c>
      <c r="H2361" s="69" t="s">
        <v>9</v>
      </c>
      <c r="I2361" s="69" t="s">
        <v>1755</v>
      </c>
      <c r="J2361" s="69" t="s">
        <v>437</v>
      </c>
      <c r="K2361" s="69" t="s">
        <v>1621</v>
      </c>
      <c r="L2361" s="69" t="s">
        <v>1272</v>
      </c>
      <c r="M2361" s="69" t="s">
        <v>6</v>
      </c>
    </row>
    <row r="2362" spans="2:13">
      <c r="B2362" s="69">
        <v>2360</v>
      </c>
      <c r="C2362" s="69">
        <v>208</v>
      </c>
      <c r="D2362" s="69">
        <v>37</v>
      </c>
      <c r="E2362" s="69">
        <v>23</v>
      </c>
      <c r="F2362" s="69">
        <v>0</v>
      </c>
      <c r="G2362" s="69" t="s">
        <v>18</v>
      </c>
      <c r="H2362" s="69" t="s">
        <v>9</v>
      </c>
      <c r="I2362" s="69" t="s">
        <v>1755</v>
      </c>
      <c r="J2362" s="69" t="s">
        <v>55</v>
      </c>
      <c r="K2362" s="69" t="s">
        <v>1581</v>
      </c>
      <c r="M2362" s="69" t="s">
        <v>6</v>
      </c>
    </row>
    <row r="2363" spans="2:13">
      <c r="B2363" s="69">
        <v>2361</v>
      </c>
      <c r="C2363" s="69">
        <v>208</v>
      </c>
      <c r="D2363" s="69">
        <v>37</v>
      </c>
      <c r="E2363" s="69">
        <v>24</v>
      </c>
      <c r="F2363" s="69">
        <v>0</v>
      </c>
      <c r="G2363" s="69" t="s">
        <v>18</v>
      </c>
      <c r="H2363" s="69" t="s">
        <v>9</v>
      </c>
      <c r="I2363" s="69" t="s">
        <v>1755</v>
      </c>
      <c r="J2363" s="69" t="s">
        <v>55</v>
      </c>
      <c r="K2363" s="69" t="s">
        <v>1582</v>
      </c>
      <c r="M2363" s="69" t="s">
        <v>6</v>
      </c>
    </row>
    <row r="2364" spans="2:13">
      <c r="B2364" s="69">
        <v>2362</v>
      </c>
      <c r="C2364" s="69">
        <v>208</v>
      </c>
      <c r="D2364" s="69">
        <v>37</v>
      </c>
      <c r="E2364" s="69">
        <v>25</v>
      </c>
      <c r="F2364" s="69">
        <v>0</v>
      </c>
      <c r="G2364" s="69" t="s">
        <v>18</v>
      </c>
      <c r="H2364" s="69" t="s">
        <v>9</v>
      </c>
      <c r="I2364" s="69" t="s">
        <v>1755</v>
      </c>
      <c r="J2364" s="69" t="s">
        <v>479</v>
      </c>
      <c r="K2364" s="69" t="s">
        <v>1744</v>
      </c>
      <c r="M2364" s="69" t="s">
        <v>6</v>
      </c>
    </row>
    <row r="2365" spans="2:13">
      <c r="B2365" s="69">
        <v>2363</v>
      </c>
      <c r="C2365" s="69">
        <v>208</v>
      </c>
      <c r="D2365" s="69">
        <v>37</v>
      </c>
      <c r="E2365" s="69">
        <v>26</v>
      </c>
      <c r="F2365" s="69">
        <v>0</v>
      </c>
      <c r="G2365" s="69" t="s">
        <v>18</v>
      </c>
      <c r="H2365" s="69" t="s">
        <v>9</v>
      </c>
      <c r="I2365" s="69" t="s">
        <v>1755</v>
      </c>
      <c r="J2365" s="69" t="s">
        <v>55</v>
      </c>
      <c r="K2365" s="69" t="s">
        <v>1745</v>
      </c>
      <c r="M2365" s="69" t="s">
        <v>6</v>
      </c>
    </row>
    <row r="2366" spans="2:13">
      <c r="B2366" s="69">
        <v>2364</v>
      </c>
      <c r="C2366" s="69">
        <v>208</v>
      </c>
      <c r="D2366" s="69">
        <v>37</v>
      </c>
      <c r="E2366" s="69">
        <v>27</v>
      </c>
      <c r="F2366" s="69">
        <v>0</v>
      </c>
      <c r="G2366" s="69" t="s">
        <v>18</v>
      </c>
      <c r="H2366" s="69" t="s">
        <v>9</v>
      </c>
      <c r="I2366" s="69" t="s">
        <v>1755</v>
      </c>
      <c r="J2366" s="69" t="s">
        <v>55</v>
      </c>
      <c r="K2366" s="69" t="s">
        <v>1746</v>
      </c>
      <c r="M2366" s="69" t="s">
        <v>6</v>
      </c>
    </row>
    <row r="2367" spans="2:13">
      <c r="B2367" s="69">
        <v>2365</v>
      </c>
      <c r="C2367" s="69">
        <v>208</v>
      </c>
      <c r="D2367" s="69">
        <v>37</v>
      </c>
      <c r="E2367" s="69">
        <v>28</v>
      </c>
      <c r="F2367" s="69">
        <v>0</v>
      </c>
      <c r="G2367" s="69" t="s">
        <v>18</v>
      </c>
      <c r="H2367" s="69" t="s">
        <v>9</v>
      </c>
      <c r="I2367" s="69" t="s">
        <v>1755</v>
      </c>
      <c r="J2367" s="69" t="s">
        <v>437</v>
      </c>
      <c r="K2367" s="69" t="s">
        <v>1747</v>
      </c>
      <c r="L2367" s="69" t="s">
        <v>1272</v>
      </c>
      <c r="M2367" s="69" t="s">
        <v>6</v>
      </c>
    </row>
    <row r="2368" spans="2:13">
      <c r="B2368" s="69">
        <v>2366</v>
      </c>
      <c r="C2368" s="69">
        <v>208</v>
      </c>
      <c r="D2368" s="69">
        <v>37</v>
      </c>
      <c r="E2368" s="69">
        <v>29</v>
      </c>
      <c r="F2368" s="69">
        <v>0</v>
      </c>
      <c r="G2368" s="69" t="s">
        <v>18</v>
      </c>
      <c r="H2368" s="69" t="s">
        <v>9</v>
      </c>
      <c r="I2368" s="69" t="s">
        <v>1755</v>
      </c>
      <c r="J2368" s="69" t="s">
        <v>55</v>
      </c>
      <c r="K2368" s="69" t="s">
        <v>1748</v>
      </c>
      <c r="M2368" s="69" t="s">
        <v>6</v>
      </c>
    </row>
    <row r="2369" spans="2:13">
      <c r="B2369" s="69">
        <v>2367</v>
      </c>
      <c r="C2369" s="69">
        <v>208</v>
      </c>
      <c r="D2369" s="69">
        <v>37</v>
      </c>
      <c r="E2369" s="69">
        <v>30</v>
      </c>
      <c r="F2369" s="69">
        <v>0</v>
      </c>
      <c r="G2369" s="69" t="s">
        <v>18</v>
      </c>
      <c r="H2369" s="69" t="s">
        <v>9</v>
      </c>
      <c r="I2369" s="69" t="s">
        <v>1755</v>
      </c>
      <c r="J2369" s="69" t="s">
        <v>55</v>
      </c>
      <c r="K2369" s="69" t="s">
        <v>1749</v>
      </c>
      <c r="M2369" s="69" t="s">
        <v>6</v>
      </c>
    </row>
    <row r="2370" spans="2:13">
      <c r="B2370" s="69">
        <v>2368</v>
      </c>
      <c r="C2370" s="69">
        <v>208</v>
      </c>
      <c r="D2370" s="69">
        <v>37</v>
      </c>
      <c r="E2370" s="69">
        <v>31</v>
      </c>
      <c r="F2370" s="69">
        <v>0</v>
      </c>
      <c r="G2370" s="69" t="s">
        <v>18</v>
      </c>
      <c r="H2370" s="69" t="s">
        <v>9</v>
      </c>
      <c r="I2370" s="69" t="s">
        <v>1755</v>
      </c>
      <c r="J2370" s="69" t="s">
        <v>55</v>
      </c>
      <c r="K2370" s="69" t="s">
        <v>1750</v>
      </c>
      <c r="M2370" s="69" t="s">
        <v>6</v>
      </c>
    </row>
    <row r="2371" spans="2:13">
      <c r="B2371" s="69">
        <v>2369</v>
      </c>
      <c r="C2371" s="69">
        <v>208</v>
      </c>
      <c r="D2371" s="69">
        <v>37</v>
      </c>
      <c r="E2371" s="69">
        <v>32</v>
      </c>
      <c r="F2371" s="69">
        <v>0</v>
      </c>
      <c r="G2371" s="69" t="s">
        <v>18</v>
      </c>
      <c r="H2371" s="69" t="s">
        <v>9</v>
      </c>
      <c r="I2371" s="69" t="s">
        <v>1755</v>
      </c>
      <c r="J2371" s="69" t="s">
        <v>479</v>
      </c>
      <c r="K2371" s="69" t="s">
        <v>1751</v>
      </c>
      <c r="M2371" s="69" t="s">
        <v>6</v>
      </c>
    </row>
    <row r="2372" spans="2:13">
      <c r="B2372" s="69">
        <v>2370</v>
      </c>
      <c r="C2372" s="69">
        <v>208</v>
      </c>
      <c r="D2372" s="69">
        <v>37</v>
      </c>
      <c r="E2372" s="69">
        <v>33</v>
      </c>
      <c r="F2372" s="69">
        <v>0</v>
      </c>
      <c r="G2372" s="69" t="s">
        <v>18</v>
      </c>
      <c r="H2372" s="69" t="s">
        <v>9</v>
      </c>
      <c r="I2372" s="69" t="s">
        <v>1755</v>
      </c>
      <c r="J2372" s="69" t="s">
        <v>55</v>
      </c>
      <c r="K2372" s="69" t="s">
        <v>1752</v>
      </c>
      <c r="M2372" s="69" t="s">
        <v>6</v>
      </c>
    </row>
    <row r="2373" spans="2:13">
      <c r="B2373" s="69">
        <v>2371</v>
      </c>
      <c r="C2373" s="69">
        <v>208</v>
      </c>
      <c r="D2373" s="69">
        <v>37</v>
      </c>
      <c r="E2373" s="69">
        <v>34</v>
      </c>
      <c r="F2373" s="69">
        <v>0</v>
      </c>
      <c r="G2373" s="69" t="s">
        <v>18</v>
      </c>
      <c r="H2373" s="69" t="s">
        <v>9</v>
      </c>
      <c r="I2373" s="69" t="s">
        <v>1755</v>
      </c>
      <c r="J2373" s="69" t="s">
        <v>64</v>
      </c>
      <c r="K2373" s="69" t="s">
        <v>1753</v>
      </c>
      <c r="M2373" s="69" t="s">
        <v>6</v>
      </c>
    </row>
    <row r="2374" spans="2:13">
      <c r="B2374" s="69">
        <v>2372</v>
      </c>
      <c r="C2374" s="69">
        <v>208</v>
      </c>
      <c r="D2374" s="69">
        <v>37</v>
      </c>
      <c r="E2374" s="69">
        <v>35</v>
      </c>
      <c r="F2374" s="69">
        <v>0</v>
      </c>
      <c r="G2374" s="69" t="s">
        <v>18</v>
      </c>
      <c r="H2374" s="69" t="s">
        <v>9</v>
      </c>
      <c r="I2374" s="69" t="s">
        <v>1755</v>
      </c>
      <c r="J2374" s="69" t="s">
        <v>55</v>
      </c>
      <c r="K2374" s="69" t="s">
        <v>1754</v>
      </c>
      <c r="M2374" s="69" t="s">
        <v>6</v>
      </c>
    </row>
    <row r="2375" spans="2:13">
      <c r="B2375" s="69">
        <v>2373</v>
      </c>
      <c r="C2375" s="69">
        <v>208</v>
      </c>
      <c r="D2375" s="69">
        <v>37</v>
      </c>
      <c r="E2375" s="69">
        <v>36</v>
      </c>
      <c r="F2375" s="69">
        <v>0</v>
      </c>
      <c r="G2375" s="69" t="s">
        <v>18</v>
      </c>
      <c r="H2375" s="69" t="s">
        <v>9</v>
      </c>
      <c r="I2375" s="69" t="s">
        <v>1755</v>
      </c>
      <c r="J2375" s="69" t="s">
        <v>55</v>
      </c>
      <c r="K2375" s="69" t="s">
        <v>93</v>
      </c>
      <c r="M2375" s="69" t="s">
        <v>6</v>
      </c>
    </row>
    <row r="2376" spans="2:13">
      <c r="B2376" s="69">
        <v>2374</v>
      </c>
      <c r="C2376" s="69">
        <v>208</v>
      </c>
      <c r="D2376" s="69">
        <v>37</v>
      </c>
      <c r="E2376" s="69">
        <v>37</v>
      </c>
      <c r="F2376" s="69">
        <v>0</v>
      </c>
      <c r="G2376" s="69" t="s">
        <v>18</v>
      </c>
      <c r="H2376" s="69" t="s">
        <v>9</v>
      </c>
      <c r="I2376" s="69" t="s">
        <v>1755</v>
      </c>
      <c r="J2376" s="69" t="s">
        <v>64</v>
      </c>
      <c r="K2376" s="69" t="s">
        <v>94</v>
      </c>
      <c r="M2376" s="69" t="s">
        <v>6</v>
      </c>
    </row>
    <row r="2377" spans="2:13">
      <c r="B2377" s="69">
        <v>2375</v>
      </c>
      <c r="C2377" s="69">
        <v>209</v>
      </c>
      <c r="D2377" s="69">
        <v>15</v>
      </c>
      <c r="E2377" s="69">
        <v>0</v>
      </c>
      <c r="F2377" s="69">
        <v>0</v>
      </c>
      <c r="G2377" s="69" t="s">
        <v>18</v>
      </c>
      <c r="H2377" s="69" t="s">
        <v>9</v>
      </c>
      <c r="I2377" s="69" t="s">
        <v>1756</v>
      </c>
      <c r="J2377" s="69" t="s">
        <v>54</v>
      </c>
      <c r="K2377" s="69" t="s">
        <v>1756</v>
      </c>
      <c r="M2377" s="69" t="s">
        <v>6</v>
      </c>
    </row>
    <row r="2378" spans="2:13">
      <c r="B2378" s="69">
        <v>2376</v>
      </c>
      <c r="C2378" s="69">
        <v>209</v>
      </c>
      <c r="D2378" s="69">
        <v>15</v>
      </c>
      <c r="E2378" s="69">
        <v>1</v>
      </c>
      <c r="F2378" s="69">
        <v>0</v>
      </c>
      <c r="G2378" s="69" t="s">
        <v>18</v>
      </c>
      <c r="H2378" s="69" t="s">
        <v>9</v>
      </c>
      <c r="I2378" s="69" t="s">
        <v>1756</v>
      </c>
      <c r="J2378" s="69" t="s">
        <v>55</v>
      </c>
      <c r="K2378" s="69" t="s">
        <v>1722</v>
      </c>
      <c r="M2378" s="69" t="s">
        <v>6</v>
      </c>
    </row>
    <row r="2379" spans="2:13">
      <c r="B2379" s="69">
        <v>2377</v>
      </c>
      <c r="C2379" s="69">
        <v>209</v>
      </c>
      <c r="D2379" s="69">
        <v>15</v>
      </c>
      <c r="E2379" s="69">
        <v>2</v>
      </c>
      <c r="F2379" s="69">
        <v>0</v>
      </c>
      <c r="G2379" s="69" t="s">
        <v>18</v>
      </c>
      <c r="H2379" s="69" t="s">
        <v>9</v>
      </c>
      <c r="I2379" s="69" t="s">
        <v>1756</v>
      </c>
      <c r="J2379" s="69" t="s">
        <v>55</v>
      </c>
      <c r="K2379" s="69" t="s">
        <v>1723</v>
      </c>
      <c r="M2379" s="69" t="s">
        <v>6</v>
      </c>
    </row>
    <row r="2380" spans="2:13">
      <c r="B2380" s="69">
        <v>2378</v>
      </c>
      <c r="C2380" s="69">
        <v>209</v>
      </c>
      <c r="D2380" s="69">
        <v>15</v>
      </c>
      <c r="E2380" s="69">
        <v>3</v>
      </c>
      <c r="F2380" s="69">
        <v>0</v>
      </c>
      <c r="G2380" s="69" t="s">
        <v>18</v>
      </c>
      <c r="H2380" s="69" t="s">
        <v>9</v>
      </c>
      <c r="I2380" s="69" t="s">
        <v>1756</v>
      </c>
      <c r="J2380" s="69" t="s">
        <v>55</v>
      </c>
      <c r="K2380" s="69" t="s">
        <v>1724</v>
      </c>
      <c r="M2380" s="69" t="s">
        <v>6</v>
      </c>
    </row>
    <row r="2381" spans="2:13">
      <c r="B2381" s="69">
        <v>2379</v>
      </c>
      <c r="C2381" s="69">
        <v>209</v>
      </c>
      <c r="D2381" s="69">
        <v>15</v>
      </c>
      <c r="E2381" s="69">
        <v>4</v>
      </c>
      <c r="F2381" s="69">
        <v>0</v>
      </c>
      <c r="G2381" s="69" t="s">
        <v>18</v>
      </c>
      <c r="H2381" s="69" t="s">
        <v>9</v>
      </c>
      <c r="I2381" s="69" t="s">
        <v>1756</v>
      </c>
      <c r="J2381" s="69" t="s">
        <v>55</v>
      </c>
      <c r="K2381" s="69" t="s">
        <v>1725</v>
      </c>
      <c r="M2381" s="69" t="s">
        <v>6</v>
      </c>
    </row>
    <row r="2382" spans="2:13">
      <c r="B2382" s="69">
        <v>2380</v>
      </c>
      <c r="C2382" s="69">
        <v>209</v>
      </c>
      <c r="D2382" s="69">
        <v>15</v>
      </c>
      <c r="E2382" s="69">
        <v>5</v>
      </c>
      <c r="F2382" s="69">
        <v>0</v>
      </c>
      <c r="G2382" s="69" t="s">
        <v>18</v>
      </c>
      <c r="H2382" s="69" t="s">
        <v>9</v>
      </c>
      <c r="I2382" s="69" t="s">
        <v>1756</v>
      </c>
      <c r="J2382" s="69" t="s">
        <v>55</v>
      </c>
      <c r="K2382" s="69" t="s">
        <v>1726</v>
      </c>
      <c r="M2382" s="69" t="s">
        <v>6</v>
      </c>
    </row>
    <row r="2383" spans="2:13">
      <c r="B2383" s="69">
        <v>2381</v>
      </c>
      <c r="C2383" s="69">
        <v>209</v>
      </c>
      <c r="D2383" s="69">
        <v>15</v>
      </c>
      <c r="E2383" s="69">
        <v>6</v>
      </c>
      <c r="F2383" s="69">
        <v>0</v>
      </c>
      <c r="G2383" s="69" t="s">
        <v>18</v>
      </c>
      <c r="H2383" s="69" t="s">
        <v>9</v>
      </c>
      <c r="I2383" s="69" t="s">
        <v>1756</v>
      </c>
      <c r="J2383" s="69" t="s">
        <v>99</v>
      </c>
      <c r="K2383" s="69" t="s">
        <v>1727</v>
      </c>
      <c r="M2383" s="69" t="s">
        <v>6</v>
      </c>
    </row>
    <row r="2384" spans="2:13">
      <c r="B2384" s="69">
        <v>2382</v>
      </c>
      <c r="C2384" s="69">
        <v>209</v>
      </c>
      <c r="D2384" s="69">
        <v>15</v>
      </c>
      <c r="E2384" s="69">
        <v>7</v>
      </c>
      <c r="F2384" s="69">
        <v>0</v>
      </c>
      <c r="G2384" s="69" t="s">
        <v>18</v>
      </c>
      <c r="H2384" s="69" t="s">
        <v>9</v>
      </c>
      <c r="I2384" s="69" t="s">
        <v>1756</v>
      </c>
      <c r="J2384" s="69" t="s">
        <v>99</v>
      </c>
      <c r="K2384" s="69" t="s">
        <v>1728</v>
      </c>
      <c r="M2384" s="69" t="s">
        <v>6</v>
      </c>
    </row>
    <row r="2385" spans="2:13">
      <c r="B2385" s="69">
        <v>2383</v>
      </c>
      <c r="C2385" s="69">
        <v>209</v>
      </c>
      <c r="D2385" s="69">
        <v>15</v>
      </c>
      <c r="E2385" s="69">
        <v>8</v>
      </c>
      <c r="F2385" s="69">
        <v>0</v>
      </c>
      <c r="G2385" s="69" t="s">
        <v>18</v>
      </c>
      <c r="H2385" s="69" t="s">
        <v>9</v>
      </c>
      <c r="I2385" s="69" t="s">
        <v>1756</v>
      </c>
      <c r="J2385" s="69" t="s">
        <v>55</v>
      </c>
      <c r="K2385" s="69" t="s">
        <v>1729</v>
      </c>
      <c r="M2385" s="69" t="s">
        <v>6</v>
      </c>
    </row>
    <row r="2386" spans="2:13">
      <c r="B2386" s="69">
        <v>2384</v>
      </c>
      <c r="C2386" s="69">
        <v>209</v>
      </c>
      <c r="D2386" s="69">
        <v>15</v>
      </c>
      <c r="E2386" s="69">
        <v>9</v>
      </c>
      <c r="F2386" s="69">
        <v>0</v>
      </c>
      <c r="G2386" s="69" t="s">
        <v>18</v>
      </c>
      <c r="H2386" s="69" t="s">
        <v>9</v>
      </c>
      <c r="I2386" s="69" t="s">
        <v>1756</v>
      </c>
      <c r="J2386" s="69" t="s">
        <v>55</v>
      </c>
      <c r="K2386" s="69" t="s">
        <v>1730</v>
      </c>
      <c r="M2386" s="69" t="s">
        <v>6</v>
      </c>
    </row>
    <row r="2387" spans="2:13">
      <c r="B2387" s="69">
        <v>2385</v>
      </c>
      <c r="C2387" s="69">
        <v>209</v>
      </c>
      <c r="D2387" s="69">
        <v>15</v>
      </c>
      <c r="E2387" s="69">
        <v>10</v>
      </c>
      <c r="F2387" s="69">
        <v>0</v>
      </c>
      <c r="G2387" s="69" t="s">
        <v>18</v>
      </c>
      <c r="H2387" s="69" t="s">
        <v>9</v>
      </c>
      <c r="I2387" s="69" t="s">
        <v>1756</v>
      </c>
      <c r="J2387" s="69" t="s">
        <v>55</v>
      </c>
      <c r="K2387" s="69" t="s">
        <v>1731</v>
      </c>
      <c r="M2387" s="69" t="s">
        <v>6</v>
      </c>
    </row>
    <row r="2388" spans="2:13">
      <c r="B2388" s="69">
        <v>2386</v>
      </c>
      <c r="C2388" s="69">
        <v>209</v>
      </c>
      <c r="D2388" s="69">
        <v>15</v>
      </c>
      <c r="E2388" s="69">
        <v>11</v>
      </c>
      <c r="F2388" s="69">
        <v>0</v>
      </c>
      <c r="G2388" s="69" t="s">
        <v>18</v>
      </c>
      <c r="H2388" s="69" t="s">
        <v>9</v>
      </c>
      <c r="I2388" s="69" t="s">
        <v>1756</v>
      </c>
      <c r="J2388" s="69" t="s">
        <v>55</v>
      </c>
      <c r="K2388" s="69" t="s">
        <v>1732</v>
      </c>
      <c r="M2388" s="69" t="s">
        <v>6</v>
      </c>
    </row>
    <row r="2389" spans="2:13">
      <c r="B2389" s="69">
        <v>2387</v>
      </c>
      <c r="C2389" s="69">
        <v>209</v>
      </c>
      <c r="D2389" s="69">
        <v>15</v>
      </c>
      <c r="E2389" s="69">
        <v>12</v>
      </c>
      <c r="F2389" s="69">
        <v>0</v>
      </c>
      <c r="G2389" s="69" t="s">
        <v>18</v>
      </c>
      <c r="H2389" s="69" t="s">
        <v>9</v>
      </c>
      <c r="I2389" s="69" t="s">
        <v>1756</v>
      </c>
      <c r="J2389" s="69" t="s">
        <v>55</v>
      </c>
      <c r="K2389" s="69" t="s">
        <v>1583</v>
      </c>
      <c r="M2389" s="69" t="s">
        <v>6</v>
      </c>
    </row>
    <row r="2390" spans="2:13">
      <c r="B2390" s="69">
        <v>2388</v>
      </c>
      <c r="C2390" s="69">
        <v>209</v>
      </c>
      <c r="D2390" s="69">
        <v>15</v>
      </c>
      <c r="E2390" s="69">
        <v>13</v>
      </c>
      <c r="F2390" s="69">
        <v>0</v>
      </c>
      <c r="G2390" s="69" t="s">
        <v>18</v>
      </c>
      <c r="H2390" s="69" t="s">
        <v>9</v>
      </c>
      <c r="I2390" s="69" t="s">
        <v>1756</v>
      </c>
      <c r="J2390" s="69" t="s">
        <v>55</v>
      </c>
      <c r="K2390" s="69" t="s">
        <v>1733</v>
      </c>
      <c r="M2390" s="69" t="s">
        <v>6</v>
      </c>
    </row>
    <row r="2391" spans="2:13">
      <c r="B2391" s="69">
        <v>2389</v>
      </c>
      <c r="C2391" s="69">
        <v>209</v>
      </c>
      <c r="D2391" s="69">
        <v>15</v>
      </c>
      <c r="E2391" s="69">
        <v>14</v>
      </c>
      <c r="F2391" s="69">
        <v>0</v>
      </c>
      <c r="G2391" s="69" t="s">
        <v>18</v>
      </c>
      <c r="H2391" s="69" t="s">
        <v>9</v>
      </c>
      <c r="I2391" s="69" t="s">
        <v>1756</v>
      </c>
      <c r="J2391" s="69" t="s">
        <v>55</v>
      </c>
      <c r="K2391" s="69" t="s">
        <v>93</v>
      </c>
      <c r="M2391" s="69" t="s">
        <v>6</v>
      </c>
    </row>
    <row r="2392" spans="2:13">
      <c r="B2392" s="69">
        <v>2390</v>
      </c>
      <c r="C2392" s="69">
        <v>209</v>
      </c>
      <c r="D2392" s="69">
        <v>15</v>
      </c>
      <c r="E2392" s="69">
        <v>15</v>
      </c>
      <c r="F2392" s="69">
        <v>0</v>
      </c>
      <c r="G2392" s="69" t="s">
        <v>18</v>
      </c>
      <c r="H2392" s="69" t="s">
        <v>9</v>
      </c>
      <c r="I2392" s="69" t="s">
        <v>1756</v>
      </c>
      <c r="J2392" s="69" t="s">
        <v>64</v>
      </c>
      <c r="K2392" s="69" t="s">
        <v>94</v>
      </c>
      <c r="M2392" s="69" t="s">
        <v>6</v>
      </c>
    </row>
    <row r="2393" spans="2:13">
      <c r="B2393" s="69">
        <v>2391</v>
      </c>
      <c r="C2393" s="69">
        <v>210</v>
      </c>
      <c r="D2393" s="69">
        <v>13</v>
      </c>
      <c r="E2393" s="69">
        <v>0</v>
      </c>
      <c r="F2393" s="69">
        <v>0</v>
      </c>
      <c r="G2393" s="69" t="s">
        <v>18</v>
      </c>
      <c r="H2393" s="69" t="s">
        <v>9</v>
      </c>
      <c r="I2393" s="69" t="s">
        <v>1757</v>
      </c>
      <c r="J2393" s="69" t="s">
        <v>54</v>
      </c>
      <c r="K2393" s="69" t="s">
        <v>1757</v>
      </c>
      <c r="M2393" s="69" t="s">
        <v>6</v>
      </c>
    </row>
    <row r="2394" spans="2:13">
      <c r="B2394" s="69">
        <v>2392</v>
      </c>
      <c r="C2394" s="69">
        <v>210</v>
      </c>
      <c r="D2394" s="69">
        <v>13</v>
      </c>
      <c r="E2394" s="69">
        <v>1</v>
      </c>
      <c r="F2394" s="69">
        <v>0</v>
      </c>
      <c r="G2394" s="69" t="s">
        <v>18</v>
      </c>
      <c r="H2394" s="69" t="s">
        <v>9</v>
      </c>
      <c r="I2394" s="69" t="s">
        <v>1757</v>
      </c>
      <c r="J2394" s="69" t="s">
        <v>55</v>
      </c>
      <c r="K2394" s="69" t="s">
        <v>1758</v>
      </c>
      <c r="M2394" s="69" t="s">
        <v>6</v>
      </c>
    </row>
    <row r="2395" spans="2:13">
      <c r="B2395" s="69">
        <v>2393</v>
      </c>
      <c r="C2395" s="69">
        <v>210</v>
      </c>
      <c r="D2395" s="69">
        <v>13</v>
      </c>
      <c r="E2395" s="69">
        <v>2</v>
      </c>
      <c r="F2395" s="69">
        <v>0</v>
      </c>
      <c r="G2395" s="69" t="s">
        <v>18</v>
      </c>
      <c r="H2395" s="69" t="s">
        <v>9</v>
      </c>
      <c r="I2395" s="69" t="s">
        <v>1757</v>
      </c>
      <c r="J2395" s="69" t="s">
        <v>214</v>
      </c>
      <c r="K2395" s="69" t="s">
        <v>569</v>
      </c>
      <c r="M2395" s="69" t="s">
        <v>6</v>
      </c>
    </row>
    <row r="2396" spans="2:13">
      <c r="B2396" s="69">
        <v>2394</v>
      </c>
      <c r="C2396" s="69">
        <v>210</v>
      </c>
      <c r="D2396" s="69">
        <v>13</v>
      </c>
      <c r="E2396" s="69">
        <v>3</v>
      </c>
      <c r="F2396" s="69">
        <v>0</v>
      </c>
      <c r="G2396" s="69" t="s">
        <v>18</v>
      </c>
      <c r="H2396" s="69" t="s">
        <v>9</v>
      </c>
      <c r="I2396" s="69" t="s">
        <v>1757</v>
      </c>
      <c r="J2396" s="69" t="s">
        <v>55</v>
      </c>
      <c r="K2396" s="69" t="s">
        <v>1759</v>
      </c>
      <c r="M2396" s="69" t="s">
        <v>6</v>
      </c>
    </row>
    <row r="2397" spans="2:13">
      <c r="B2397" s="69">
        <v>2395</v>
      </c>
      <c r="C2397" s="69">
        <v>210</v>
      </c>
      <c r="D2397" s="69">
        <v>13</v>
      </c>
      <c r="E2397" s="69">
        <v>4</v>
      </c>
      <c r="F2397" s="69">
        <v>0</v>
      </c>
      <c r="G2397" s="69" t="s">
        <v>18</v>
      </c>
      <c r="H2397" s="69" t="s">
        <v>9</v>
      </c>
      <c r="I2397" s="69" t="s">
        <v>1757</v>
      </c>
      <c r="J2397" s="69" t="s">
        <v>55</v>
      </c>
      <c r="K2397" s="69" t="s">
        <v>1760</v>
      </c>
      <c r="M2397" s="69" t="s">
        <v>6</v>
      </c>
    </row>
    <row r="2398" spans="2:13">
      <c r="B2398" s="69">
        <v>2396</v>
      </c>
      <c r="C2398" s="69">
        <v>210</v>
      </c>
      <c r="D2398" s="69">
        <v>13</v>
      </c>
      <c r="E2398" s="69">
        <v>5</v>
      </c>
      <c r="F2398" s="69">
        <v>0</v>
      </c>
      <c r="G2398" s="69" t="s">
        <v>18</v>
      </c>
      <c r="H2398" s="69" t="s">
        <v>9</v>
      </c>
      <c r="I2398" s="69" t="s">
        <v>1757</v>
      </c>
      <c r="J2398" s="69" t="s">
        <v>55</v>
      </c>
      <c r="K2398" s="69" t="s">
        <v>1761</v>
      </c>
      <c r="M2398" s="69" t="s">
        <v>6</v>
      </c>
    </row>
    <row r="2399" spans="2:13">
      <c r="B2399" s="69">
        <v>2397</v>
      </c>
      <c r="C2399" s="69">
        <v>210</v>
      </c>
      <c r="D2399" s="69">
        <v>13</v>
      </c>
      <c r="E2399" s="69">
        <v>6</v>
      </c>
      <c r="F2399" s="69">
        <v>0</v>
      </c>
      <c r="G2399" s="69" t="s">
        <v>18</v>
      </c>
      <c r="H2399" s="69" t="s">
        <v>9</v>
      </c>
      <c r="I2399" s="69" t="s">
        <v>1757</v>
      </c>
      <c r="J2399" s="69" t="s">
        <v>55</v>
      </c>
      <c r="K2399" s="69" t="s">
        <v>1762</v>
      </c>
      <c r="M2399" s="69" t="s">
        <v>6</v>
      </c>
    </row>
    <row r="2400" spans="2:13">
      <c r="B2400" s="69">
        <v>2398</v>
      </c>
      <c r="C2400" s="69">
        <v>210</v>
      </c>
      <c r="D2400" s="69">
        <v>13</v>
      </c>
      <c r="E2400" s="69">
        <v>7</v>
      </c>
      <c r="F2400" s="69">
        <v>0</v>
      </c>
      <c r="G2400" s="69" t="s">
        <v>18</v>
      </c>
      <c r="H2400" s="69" t="s">
        <v>9</v>
      </c>
      <c r="I2400" s="69" t="s">
        <v>1757</v>
      </c>
      <c r="J2400" s="69" t="s">
        <v>55</v>
      </c>
      <c r="K2400" s="69" t="s">
        <v>1763</v>
      </c>
      <c r="M2400" s="69" t="s">
        <v>6</v>
      </c>
    </row>
    <row r="2401" spans="2:13">
      <c r="B2401" s="69">
        <v>2399</v>
      </c>
      <c r="C2401" s="69">
        <v>210</v>
      </c>
      <c r="D2401" s="69">
        <v>13</v>
      </c>
      <c r="E2401" s="69">
        <v>8</v>
      </c>
      <c r="F2401" s="69">
        <v>0</v>
      </c>
      <c r="G2401" s="69" t="s">
        <v>18</v>
      </c>
      <c r="H2401" s="69" t="s">
        <v>9</v>
      </c>
      <c r="I2401" s="69" t="s">
        <v>1757</v>
      </c>
      <c r="J2401" s="69" t="s">
        <v>214</v>
      </c>
      <c r="K2401" s="69" t="s">
        <v>1764</v>
      </c>
      <c r="M2401" s="69" t="s">
        <v>6</v>
      </c>
    </row>
    <row r="2402" spans="2:13">
      <c r="B2402" s="69">
        <v>2400</v>
      </c>
      <c r="C2402" s="69">
        <v>210</v>
      </c>
      <c r="D2402" s="69">
        <v>13</v>
      </c>
      <c r="E2402" s="69">
        <v>9</v>
      </c>
      <c r="F2402" s="69">
        <v>0</v>
      </c>
      <c r="G2402" s="69" t="s">
        <v>18</v>
      </c>
      <c r="H2402" s="69" t="s">
        <v>9</v>
      </c>
      <c r="I2402" s="69" t="s">
        <v>1757</v>
      </c>
      <c r="J2402" s="69" t="s">
        <v>55</v>
      </c>
      <c r="K2402" s="69" t="s">
        <v>1765</v>
      </c>
      <c r="M2402" s="69" t="s">
        <v>6</v>
      </c>
    </row>
    <row r="2403" spans="2:13">
      <c r="B2403" s="69">
        <v>2401</v>
      </c>
      <c r="C2403" s="69">
        <v>210</v>
      </c>
      <c r="D2403" s="69">
        <v>13</v>
      </c>
      <c r="E2403" s="69">
        <v>10</v>
      </c>
      <c r="F2403" s="69">
        <v>0</v>
      </c>
      <c r="G2403" s="69" t="s">
        <v>18</v>
      </c>
      <c r="H2403" s="69" t="s">
        <v>9</v>
      </c>
      <c r="I2403" s="69" t="s">
        <v>1757</v>
      </c>
      <c r="J2403" s="69" t="s">
        <v>214</v>
      </c>
      <c r="K2403" s="69" t="s">
        <v>1766</v>
      </c>
      <c r="M2403" s="69" t="s">
        <v>6</v>
      </c>
    </row>
    <row r="2404" spans="2:13">
      <c r="B2404" s="69">
        <v>2402</v>
      </c>
      <c r="C2404" s="69">
        <v>210</v>
      </c>
      <c r="D2404" s="69">
        <v>13</v>
      </c>
      <c r="E2404" s="69">
        <v>11</v>
      </c>
      <c r="F2404" s="69">
        <v>0</v>
      </c>
      <c r="G2404" s="69" t="s">
        <v>18</v>
      </c>
      <c r="H2404" s="69" t="s">
        <v>9</v>
      </c>
      <c r="I2404" s="69" t="s">
        <v>1757</v>
      </c>
      <c r="J2404" s="69" t="s">
        <v>55</v>
      </c>
      <c r="K2404" s="69" t="s">
        <v>1767</v>
      </c>
      <c r="M2404" s="69" t="s">
        <v>6</v>
      </c>
    </row>
    <row r="2405" spans="2:13">
      <c r="B2405" s="69">
        <v>2403</v>
      </c>
      <c r="C2405" s="69">
        <v>210</v>
      </c>
      <c r="D2405" s="69">
        <v>13</v>
      </c>
      <c r="E2405" s="69">
        <v>12</v>
      </c>
      <c r="F2405" s="69">
        <v>0</v>
      </c>
      <c r="G2405" s="69" t="s">
        <v>18</v>
      </c>
      <c r="H2405" s="69" t="s">
        <v>9</v>
      </c>
      <c r="I2405" s="69" t="s">
        <v>1757</v>
      </c>
      <c r="J2405" s="69" t="s">
        <v>55</v>
      </c>
      <c r="K2405" s="69" t="s">
        <v>93</v>
      </c>
      <c r="M2405" s="69" t="s">
        <v>6</v>
      </c>
    </row>
    <row r="2406" spans="2:13">
      <c r="B2406" s="69">
        <v>2404</v>
      </c>
      <c r="C2406" s="69">
        <v>210</v>
      </c>
      <c r="D2406" s="69">
        <v>13</v>
      </c>
      <c r="E2406" s="69">
        <v>13</v>
      </c>
      <c r="F2406" s="69">
        <v>0</v>
      </c>
      <c r="G2406" s="69" t="s">
        <v>18</v>
      </c>
      <c r="H2406" s="69" t="s">
        <v>9</v>
      </c>
      <c r="I2406" s="69" t="s">
        <v>1757</v>
      </c>
      <c r="J2406" s="69" t="s">
        <v>64</v>
      </c>
      <c r="K2406" s="69" t="s">
        <v>94</v>
      </c>
      <c r="M2406" s="69" t="s">
        <v>6</v>
      </c>
    </row>
    <row r="2407" spans="2:13">
      <c r="B2407" s="69">
        <v>2405</v>
      </c>
      <c r="C2407" s="69">
        <v>211</v>
      </c>
      <c r="D2407" s="69">
        <v>10</v>
      </c>
      <c r="E2407" s="69">
        <v>0</v>
      </c>
      <c r="F2407" s="69">
        <v>0</v>
      </c>
      <c r="G2407" s="69" t="s">
        <v>18</v>
      </c>
      <c r="H2407" s="69" t="s">
        <v>9</v>
      </c>
      <c r="I2407" s="69" t="s">
        <v>1768</v>
      </c>
      <c r="J2407" s="69" t="s">
        <v>54</v>
      </c>
      <c r="K2407" s="69" t="s">
        <v>1768</v>
      </c>
      <c r="M2407" s="69" t="s">
        <v>470</v>
      </c>
    </row>
    <row r="2408" spans="2:13">
      <c r="B2408" s="69">
        <v>2406</v>
      </c>
      <c r="C2408" s="69">
        <v>211</v>
      </c>
      <c r="D2408" s="69">
        <v>10</v>
      </c>
      <c r="E2408" s="69">
        <v>1</v>
      </c>
      <c r="F2408" s="69">
        <v>0</v>
      </c>
      <c r="G2408" s="69" t="s">
        <v>18</v>
      </c>
      <c r="H2408" s="69" t="s">
        <v>9</v>
      </c>
      <c r="I2408" s="69" t="s">
        <v>1768</v>
      </c>
      <c r="J2408" s="69" t="s">
        <v>55</v>
      </c>
      <c r="K2408" s="69" t="s">
        <v>1769</v>
      </c>
      <c r="M2408" s="69" t="s">
        <v>470</v>
      </c>
    </row>
    <row r="2409" spans="2:13">
      <c r="B2409" s="69">
        <v>2407</v>
      </c>
      <c r="C2409" s="69">
        <v>211</v>
      </c>
      <c r="D2409" s="69">
        <v>10</v>
      </c>
      <c r="E2409" s="69">
        <v>2</v>
      </c>
      <c r="F2409" s="69">
        <v>0</v>
      </c>
      <c r="G2409" s="69" t="s">
        <v>18</v>
      </c>
      <c r="H2409" s="69" t="s">
        <v>9</v>
      </c>
      <c r="I2409" s="69" t="s">
        <v>1768</v>
      </c>
      <c r="J2409" s="69" t="s">
        <v>55</v>
      </c>
      <c r="K2409" s="69" t="s">
        <v>1770</v>
      </c>
      <c r="M2409" s="69" t="s">
        <v>470</v>
      </c>
    </row>
    <row r="2410" spans="2:13">
      <c r="B2410" s="69">
        <v>2408</v>
      </c>
      <c r="C2410" s="69">
        <v>211</v>
      </c>
      <c r="D2410" s="69">
        <v>10</v>
      </c>
      <c r="E2410" s="69">
        <v>3</v>
      </c>
      <c r="F2410" s="69">
        <v>0</v>
      </c>
      <c r="G2410" s="69" t="s">
        <v>18</v>
      </c>
      <c r="H2410" s="69" t="s">
        <v>9</v>
      </c>
      <c r="I2410" s="69" t="s">
        <v>1768</v>
      </c>
      <c r="J2410" s="69" t="s">
        <v>55</v>
      </c>
      <c r="K2410" s="69" t="s">
        <v>1771</v>
      </c>
      <c r="M2410" s="69" t="s">
        <v>470</v>
      </c>
    </row>
    <row r="2411" spans="2:13">
      <c r="B2411" s="69">
        <v>2409</v>
      </c>
      <c r="C2411" s="69">
        <v>211</v>
      </c>
      <c r="D2411" s="69">
        <v>10</v>
      </c>
      <c r="E2411" s="69">
        <v>4</v>
      </c>
      <c r="F2411" s="69">
        <v>0</v>
      </c>
      <c r="G2411" s="69" t="s">
        <v>18</v>
      </c>
      <c r="H2411" s="69" t="s">
        <v>9</v>
      </c>
      <c r="I2411" s="69" t="s">
        <v>1768</v>
      </c>
      <c r="J2411" s="69" t="s">
        <v>55</v>
      </c>
      <c r="K2411" s="69" t="s">
        <v>1772</v>
      </c>
      <c r="M2411" s="69" t="s">
        <v>470</v>
      </c>
    </row>
    <row r="2412" spans="2:13">
      <c r="B2412" s="69">
        <v>2410</v>
      </c>
      <c r="C2412" s="69">
        <v>211</v>
      </c>
      <c r="D2412" s="69">
        <v>10</v>
      </c>
      <c r="E2412" s="69">
        <v>5</v>
      </c>
      <c r="F2412" s="69">
        <v>0</v>
      </c>
      <c r="G2412" s="69" t="s">
        <v>18</v>
      </c>
      <c r="H2412" s="69" t="s">
        <v>9</v>
      </c>
      <c r="I2412" s="69" t="s">
        <v>1768</v>
      </c>
      <c r="J2412" s="69" t="s">
        <v>55</v>
      </c>
      <c r="K2412" s="69" t="s">
        <v>1773</v>
      </c>
      <c r="M2412" s="69" t="s">
        <v>470</v>
      </c>
    </row>
    <row r="2413" spans="2:13">
      <c r="B2413" s="69">
        <v>2411</v>
      </c>
      <c r="C2413" s="69">
        <v>211</v>
      </c>
      <c r="D2413" s="69">
        <v>10</v>
      </c>
      <c r="E2413" s="69">
        <v>6</v>
      </c>
      <c r="F2413" s="69">
        <v>0</v>
      </c>
      <c r="G2413" s="69" t="s">
        <v>18</v>
      </c>
      <c r="H2413" s="69" t="s">
        <v>9</v>
      </c>
      <c r="I2413" s="69" t="s">
        <v>1768</v>
      </c>
      <c r="J2413" s="69" t="s">
        <v>55</v>
      </c>
      <c r="K2413" s="69" t="s">
        <v>1774</v>
      </c>
      <c r="M2413" s="69" t="s">
        <v>470</v>
      </c>
    </row>
    <row r="2414" spans="2:13">
      <c r="B2414" s="69">
        <v>2412</v>
      </c>
      <c r="C2414" s="69">
        <v>211</v>
      </c>
      <c r="D2414" s="69">
        <v>10</v>
      </c>
      <c r="E2414" s="69">
        <v>7</v>
      </c>
      <c r="F2414" s="69">
        <v>0</v>
      </c>
      <c r="G2414" s="69" t="s">
        <v>18</v>
      </c>
      <c r="H2414" s="69" t="s">
        <v>9</v>
      </c>
      <c r="I2414" s="69" t="s">
        <v>1768</v>
      </c>
      <c r="J2414" s="69" t="s">
        <v>55</v>
      </c>
      <c r="K2414" s="69" t="s">
        <v>1775</v>
      </c>
      <c r="M2414" s="69" t="s">
        <v>470</v>
      </c>
    </row>
    <row r="2415" spans="2:13">
      <c r="B2415" s="69">
        <v>2413</v>
      </c>
      <c r="C2415" s="69">
        <v>211</v>
      </c>
      <c r="D2415" s="69">
        <v>10</v>
      </c>
      <c r="E2415" s="69">
        <v>8</v>
      </c>
      <c r="F2415" s="69">
        <v>0</v>
      </c>
      <c r="G2415" s="69" t="s">
        <v>18</v>
      </c>
      <c r="H2415" s="69" t="s">
        <v>9</v>
      </c>
      <c r="I2415" s="69" t="s">
        <v>1768</v>
      </c>
      <c r="J2415" s="69" t="s">
        <v>55</v>
      </c>
      <c r="K2415" s="69" t="s">
        <v>1776</v>
      </c>
      <c r="M2415" s="69" t="s">
        <v>470</v>
      </c>
    </row>
    <row r="2416" spans="2:13">
      <c r="B2416" s="69">
        <v>2414</v>
      </c>
      <c r="C2416" s="69">
        <v>211</v>
      </c>
      <c r="D2416" s="69">
        <v>10</v>
      </c>
      <c r="E2416" s="69">
        <v>9</v>
      </c>
      <c r="F2416" s="69">
        <v>0</v>
      </c>
      <c r="G2416" s="69" t="s">
        <v>18</v>
      </c>
      <c r="H2416" s="69" t="s">
        <v>9</v>
      </c>
      <c r="I2416" s="69" t="s">
        <v>1768</v>
      </c>
      <c r="J2416" s="69" t="s">
        <v>55</v>
      </c>
      <c r="K2416" s="69" t="s">
        <v>1777</v>
      </c>
      <c r="M2416" s="69" t="s">
        <v>470</v>
      </c>
    </row>
    <row r="2417" spans="2:13">
      <c r="B2417" s="69">
        <v>2415</v>
      </c>
      <c r="C2417" s="69">
        <v>211</v>
      </c>
      <c r="D2417" s="69">
        <v>10</v>
      </c>
      <c r="E2417" s="69">
        <v>10</v>
      </c>
      <c r="F2417" s="69">
        <v>0</v>
      </c>
      <c r="G2417" s="69" t="s">
        <v>18</v>
      </c>
      <c r="H2417" s="69" t="s">
        <v>9</v>
      </c>
      <c r="I2417" s="69" t="s">
        <v>1768</v>
      </c>
      <c r="J2417" s="69" t="s">
        <v>64</v>
      </c>
      <c r="K2417" s="69" t="s">
        <v>94</v>
      </c>
      <c r="M2417" s="69" t="s">
        <v>470</v>
      </c>
    </row>
    <row r="2418" spans="2:13">
      <c r="B2418" s="69">
        <v>2416</v>
      </c>
      <c r="C2418" s="69">
        <v>212</v>
      </c>
      <c r="D2418" s="69">
        <v>27</v>
      </c>
      <c r="E2418" s="69">
        <v>0</v>
      </c>
      <c r="F2418" s="69">
        <v>0</v>
      </c>
      <c r="G2418" s="69" t="s">
        <v>18</v>
      </c>
      <c r="H2418" s="69" t="s">
        <v>9</v>
      </c>
      <c r="I2418" s="69" t="s">
        <v>1778</v>
      </c>
      <c r="J2418" s="69" t="s">
        <v>54</v>
      </c>
      <c r="K2418" s="69" t="s">
        <v>1778</v>
      </c>
      <c r="M2418" s="69" t="s">
        <v>6</v>
      </c>
    </row>
    <row r="2419" spans="2:13">
      <c r="B2419" s="69">
        <v>2417</v>
      </c>
      <c r="C2419" s="69">
        <v>212</v>
      </c>
      <c r="D2419" s="69">
        <v>27</v>
      </c>
      <c r="E2419" s="69">
        <v>1</v>
      </c>
      <c r="F2419" s="69">
        <v>0</v>
      </c>
      <c r="G2419" s="69" t="s">
        <v>18</v>
      </c>
      <c r="H2419" s="69" t="s">
        <v>9</v>
      </c>
      <c r="I2419" s="69" t="s">
        <v>1778</v>
      </c>
      <c r="J2419" s="69" t="s">
        <v>479</v>
      </c>
      <c r="K2419" s="69" t="s">
        <v>1716</v>
      </c>
      <c r="M2419" s="69" t="s">
        <v>6</v>
      </c>
    </row>
    <row r="2420" spans="2:13">
      <c r="B2420" s="69">
        <v>2418</v>
      </c>
      <c r="C2420" s="69">
        <v>212</v>
      </c>
      <c r="D2420" s="69">
        <v>27</v>
      </c>
      <c r="E2420" s="69">
        <v>2</v>
      </c>
      <c r="F2420" s="69">
        <v>0</v>
      </c>
      <c r="G2420" s="69" t="s">
        <v>18</v>
      </c>
      <c r="H2420" s="69" t="s">
        <v>9</v>
      </c>
      <c r="I2420" s="69" t="s">
        <v>1778</v>
      </c>
      <c r="J2420" s="69" t="s">
        <v>55</v>
      </c>
      <c r="K2420" s="69" t="s">
        <v>1779</v>
      </c>
      <c r="M2420" s="69" t="s">
        <v>6</v>
      </c>
    </row>
    <row r="2421" spans="2:13">
      <c r="B2421" s="69">
        <v>2419</v>
      </c>
      <c r="C2421" s="69">
        <v>212</v>
      </c>
      <c r="D2421" s="69">
        <v>27</v>
      </c>
      <c r="E2421" s="69">
        <v>3</v>
      </c>
      <c r="F2421" s="69">
        <v>0</v>
      </c>
      <c r="G2421" s="69" t="s">
        <v>18</v>
      </c>
      <c r="H2421" s="69" t="s">
        <v>9</v>
      </c>
      <c r="I2421" s="69" t="s">
        <v>1778</v>
      </c>
      <c r="J2421" s="69" t="s">
        <v>214</v>
      </c>
      <c r="K2421" s="69" t="s">
        <v>1613</v>
      </c>
      <c r="M2421" s="69" t="s">
        <v>6</v>
      </c>
    </row>
    <row r="2422" spans="2:13">
      <c r="B2422" s="69">
        <v>2420</v>
      </c>
      <c r="C2422" s="69">
        <v>212</v>
      </c>
      <c r="D2422" s="69">
        <v>27</v>
      </c>
      <c r="E2422" s="69">
        <v>4</v>
      </c>
      <c r="F2422" s="69">
        <v>0</v>
      </c>
      <c r="G2422" s="69" t="s">
        <v>18</v>
      </c>
      <c r="H2422" s="69" t="s">
        <v>9</v>
      </c>
      <c r="I2422" s="69" t="s">
        <v>1778</v>
      </c>
      <c r="J2422" s="69" t="s">
        <v>214</v>
      </c>
      <c r="K2422" s="69" t="s">
        <v>1614</v>
      </c>
      <c r="M2422" s="69" t="s">
        <v>6</v>
      </c>
    </row>
    <row r="2423" spans="2:13">
      <c r="B2423" s="69">
        <v>2421</v>
      </c>
      <c r="C2423" s="69">
        <v>212</v>
      </c>
      <c r="D2423" s="69">
        <v>27</v>
      </c>
      <c r="E2423" s="69">
        <v>5</v>
      </c>
      <c r="F2423" s="69">
        <v>0</v>
      </c>
      <c r="G2423" s="69" t="s">
        <v>18</v>
      </c>
      <c r="H2423" s="69" t="s">
        <v>9</v>
      </c>
      <c r="I2423" s="69" t="s">
        <v>1778</v>
      </c>
      <c r="J2423" s="69" t="s">
        <v>55</v>
      </c>
      <c r="K2423" s="69" t="s">
        <v>1718</v>
      </c>
      <c r="M2423" s="69" t="s">
        <v>6</v>
      </c>
    </row>
    <row r="2424" spans="2:13">
      <c r="B2424" s="69">
        <v>2422</v>
      </c>
      <c r="C2424" s="69">
        <v>212</v>
      </c>
      <c r="D2424" s="69">
        <v>27</v>
      </c>
      <c r="E2424" s="69">
        <v>6</v>
      </c>
      <c r="F2424" s="69">
        <v>0</v>
      </c>
      <c r="G2424" s="69" t="s">
        <v>18</v>
      </c>
      <c r="H2424" s="69" t="s">
        <v>9</v>
      </c>
      <c r="I2424" s="69" t="s">
        <v>1778</v>
      </c>
      <c r="J2424" s="69" t="s">
        <v>479</v>
      </c>
      <c r="K2424" s="69" t="s">
        <v>1780</v>
      </c>
      <c r="M2424" s="69" t="s">
        <v>6</v>
      </c>
    </row>
    <row r="2425" spans="2:13">
      <c r="B2425" s="69">
        <v>2423</v>
      </c>
      <c r="C2425" s="69">
        <v>212</v>
      </c>
      <c r="D2425" s="69">
        <v>27</v>
      </c>
      <c r="E2425" s="69">
        <v>7</v>
      </c>
      <c r="F2425" s="69">
        <v>0</v>
      </c>
      <c r="G2425" s="69" t="s">
        <v>18</v>
      </c>
      <c r="H2425" s="69" t="s">
        <v>9</v>
      </c>
      <c r="I2425" s="69" t="s">
        <v>1778</v>
      </c>
      <c r="J2425" s="69" t="s">
        <v>55</v>
      </c>
      <c r="K2425" s="69" t="s">
        <v>1781</v>
      </c>
      <c r="M2425" s="69" t="s">
        <v>6</v>
      </c>
    </row>
    <row r="2426" spans="2:13">
      <c r="B2426" s="69">
        <v>2424</v>
      </c>
      <c r="C2426" s="69">
        <v>212</v>
      </c>
      <c r="D2426" s="69">
        <v>27</v>
      </c>
      <c r="E2426" s="69">
        <v>8</v>
      </c>
      <c r="F2426" s="69">
        <v>0</v>
      </c>
      <c r="G2426" s="69" t="s">
        <v>18</v>
      </c>
      <c r="H2426" s="69" t="s">
        <v>9</v>
      </c>
      <c r="I2426" s="69" t="s">
        <v>1778</v>
      </c>
      <c r="J2426" s="69" t="s">
        <v>55</v>
      </c>
      <c r="K2426" s="69" t="s">
        <v>475</v>
      </c>
      <c r="M2426" s="69" t="s">
        <v>6</v>
      </c>
    </row>
    <row r="2427" spans="2:13">
      <c r="B2427" s="69">
        <v>2425</v>
      </c>
      <c r="C2427" s="69">
        <v>212</v>
      </c>
      <c r="D2427" s="69">
        <v>27</v>
      </c>
      <c r="E2427" s="69">
        <v>9</v>
      </c>
      <c r="F2427" s="69">
        <v>0</v>
      </c>
      <c r="G2427" s="69" t="s">
        <v>18</v>
      </c>
      <c r="H2427" s="69" t="s">
        <v>9</v>
      </c>
      <c r="I2427" s="69" t="s">
        <v>1778</v>
      </c>
      <c r="J2427" s="69" t="s">
        <v>55</v>
      </c>
      <c r="K2427" s="69" t="s">
        <v>1782</v>
      </c>
      <c r="M2427" s="69" t="s">
        <v>6</v>
      </c>
    </row>
    <row r="2428" spans="2:13">
      <c r="B2428" s="69">
        <v>2426</v>
      </c>
      <c r="C2428" s="69">
        <v>212</v>
      </c>
      <c r="D2428" s="69">
        <v>27</v>
      </c>
      <c r="E2428" s="69">
        <v>10</v>
      </c>
      <c r="F2428" s="69">
        <v>0</v>
      </c>
      <c r="G2428" s="69" t="s">
        <v>18</v>
      </c>
      <c r="H2428" s="69" t="s">
        <v>9</v>
      </c>
      <c r="I2428" s="69" t="s">
        <v>1778</v>
      </c>
      <c r="J2428" s="69" t="s">
        <v>479</v>
      </c>
      <c r="K2428" s="69" t="s">
        <v>1721</v>
      </c>
      <c r="M2428" s="69" t="s">
        <v>6</v>
      </c>
    </row>
    <row r="2429" spans="2:13">
      <c r="B2429" s="69">
        <v>2427</v>
      </c>
      <c r="C2429" s="69">
        <v>212</v>
      </c>
      <c r="D2429" s="69">
        <v>27</v>
      </c>
      <c r="E2429" s="69">
        <v>11</v>
      </c>
      <c r="F2429" s="69">
        <v>0</v>
      </c>
      <c r="G2429" s="69" t="s">
        <v>18</v>
      </c>
      <c r="H2429" s="69" t="s">
        <v>9</v>
      </c>
      <c r="I2429" s="69" t="s">
        <v>1778</v>
      </c>
      <c r="J2429" s="69" t="s">
        <v>55</v>
      </c>
      <c r="K2429" s="69" t="s">
        <v>1722</v>
      </c>
      <c r="M2429" s="69" t="s">
        <v>6</v>
      </c>
    </row>
    <row r="2430" spans="2:13">
      <c r="B2430" s="69">
        <v>2428</v>
      </c>
      <c r="C2430" s="69">
        <v>212</v>
      </c>
      <c r="D2430" s="69">
        <v>27</v>
      </c>
      <c r="E2430" s="69">
        <v>12</v>
      </c>
      <c r="F2430" s="69">
        <v>0</v>
      </c>
      <c r="G2430" s="69" t="s">
        <v>18</v>
      </c>
      <c r="H2430" s="69" t="s">
        <v>9</v>
      </c>
      <c r="I2430" s="69" t="s">
        <v>1778</v>
      </c>
      <c r="J2430" s="69" t="s">
        <v>479</v>
      </c>
      <c r="K2430" s="69" t="s">
        <v>1734</v>
      </c>
      <c r="M2430" s="69" t="s">
        <v>6</v>
      </c>
    </row>
    <row r="2431" spans="2:13">
      <c r="B2431" s="69">
        <v>2429</v>
      </c>
      <c r="C2431" s="69">
        <v>212</v>
      </c>
      <c r="D2431" s="69">
        <v>27</v>
      </c>
      <c r="E2431" s="69">
        <v>13</v>
      </c>
      <c r="F2431" s="69">
        <v>0</v>
      </c>
      <c r="G2431" s="69" t="s">
        <v>18</v>
      </c>
      <c r="H2431" s="69" t="s">
        <v>9</v>
      </c>
      <c r="I2431" s="69" t="s">
        <v>1778</v>
      </c>
      <c r="J2431" s="69" t="s">
        <v>55</v>
      </c>
      <c r="K2431" s="69" t="s">
        <v>1783</v>
      </c>
      <c r="M2431" s="69" t="s">
        <v>6</v>
      </c>
    </row>
    <row r="2432" spans="2:13">
      <c r="B2432" s="69">
        <v>2430</v>
      </c>
      <c r="C2432" s="69">
        <v>212</v>
      </c>
      <c r="D2432" s="69">
        <v>27</v>
      </c>
      <c r="E2432" s="69">
        <v>14</v>
      </c>
      <c r="F2432" s="69">
        <v>0</v>
      </c>
      <c r="G2432" s="69" t="s">
        <v>18</v>
      </c>
      <c r="H2432" s="69" t="s">
        <v>9</v>
      </c>
      <c r="I2432" s="69" t="s">
        <v>1778</v>
      </c>
      <c r="J2432" s="69" t="s">
        <v>55</v>
      </c>
      <c r="K2432" s="69" t="s">
        <v>1737</v>
      </c>
      <c r="M2432" s="69" t="s">
        <v>6</v>
      </c>
    </row>
    <row r="2433" spans="2:13">
      <c r="B2433" s="69">
        <v>2431</v>
      </c>
      <c r="C2433" s="69">
        <v>212</v>
      </c>
      <c r="D2433" s="69">
        <v>27</v>
      </c>
      <c r="E2433" s="69">
        <v>15</v>
      </c>
      <c r="F2433" s="69">
        <v>0</v>
      </c>
      <c r="G2433" s="69" t="s">
        <v>18</v>
      </c>
      <c r="H2433" s="69" t="s">
        <v>9</v>
      </c>
      <c r="I2433" s="69" t="s">
        <v>1778</v>
      </c>
      <c r="J2433" s="69" t="s">
        <v>64</v>
      </c>
      <c r="K2433" s="69" t="s">
        <v>65</v>
      </c>
      <c r="M2433" s="69" t="s">
        <v>6</v>
      </c>
    </row>
    <row r="2434" spans="2:13">
      <c r="B2434" s="69">
        <v>2432</v>
      </c>
      <c r="C2434" s="69">
        <v>212</v>
      </c>
      <c r="D2434" s="69">
        <v>27</v>
      </c>
      <c r="E2434" s="69">
        <v>16</v>
      </c>
      <c r="F2434" s="69">
        <v>0</v>
      </c>
      <c r="G2434" s="69" t="s">
        <v>18</v>
      </c>
      <c r="H2434" s="69" t="s">
        <v>9</v>
      </c>
      <c r="I2434" s="69" t="s">
        <v>1778</v>
      </c>
      <c r="J2434" s="69" t="s">
        <v>55</v>
      </c>
      <c r="K2434" s="69" t="s">
        <v>1784</v>
      </c>
      <c r="M2434" s="69" t="s">
        <v>6</v>
      </c>
    </row>
    <row r="2435" spans="2:13">
      <c r="B2435" s="69">
        <v>2433</v>
      </c>
      <c r="C2435" s="69">
        <v>212</v>
      </c>
      <c r="D2435" s="69">
        <v>27</v>
      </c>
      <c r="E2435" s="69">
        <v>17</v>
      </c>
      <c r="F2435" s="69">
        <v>0</v>
      </c>
      <c r="G2435" s="69" t="s">
        <v>18</v>
      </c>
      <c r="H2435" s="69" t="s">
        <v>9</v>
      </c>
      <c r="I2435" s="69" t="s">
        <v>1778</v>
      </c>
      <c r="J2435" s="69" t="s">
        <v>55</v>
      </c>
      <c r="K2435" s="69" t="s">
        <v>1738</v>
      </c>
      <c r="M2435" s="69" t="s">
        <v>6</v>
      </c>
    </row>
    <row r="2436" spans="2:13">
      <c r="B2436" s="69">
        <v>2434</v>
      </c>
      <c r="C2436" s="69">
        <v>212</v>
      </c>
      <c r="D2436" s="69">
        <v>27</v>
      </c>
      <c r="E2436" s="69">
        <v>18</v>
      </c>
      <c r="F2436" s="69">
        <v>0</v>
      </c>
      <c r="G2436" s="69" t="s">
        <v>18</v>
      </c>
      <c r="H2436" s="69" t="s">
        <v>9</v>
      </c>
      <c r="I2436" s="69" t="s">
        <v>1778</v>
      </c>
      <c r="J2436" s="69" t="s">
        <v>479</v>
      </c>
      <c r="K2436" s="69" t="s">
        <v>1739</v>
      </c>
      <c r="M2436" s="69" t="s">
        <v>6</v>
      </c>
    </row>
    <row r="2437" spans="2:13">
      <c r="B2437" s="69">
        <v>2435</v>
      </c>
      <c r="C2437" s="69">
        <v>212</v>
      </c>
      <c r="D2437" s="69">
        <v>27</v>
      </c>
      <c r="E2437" s="69">
        <v>19</v>
      </c>
      <c r="F2437" s="69">
        <v>0</v>
      </c>
      <c r="G2437" s="69" t="s">
        <v>18</v>
      </c>
      <c r="H2437" s="69" t="s">
        <v>9</v>
      </c>
      <c r="I2437" s="69" t="s">
        <v>1778</v>
      </c>
      <c r="J2437" s="69" t="s">
        <v>55</v>
      </c>
      <c r="K2437" s="69" t="s">
        <v>1621</v>
      </c>
      <c r="M2437" s="69" t="s">
        <v>6</v>
      </c>
    </row>
    <row r="2438" spans="2:13">
      <c r="B2438" s="69">
        <v>2436</v>
      </c>
      <c r="C2438" s="69">
        <v>212</v>
      </c>
      <c r="D2438" s="69">
        <v>27</v>
      </c>
      <c r="E2438" s="69">
        <v>20</v>
      </c>
      <c r="F2438" s="69">
        <v>0</v>
      </c>
      <c r="G2438" s="69" t="s">
        <v>18</v>
      </c>
      <c r="H2438" s="69" t="s">
        <v>9</v>
      </c>
      <c r="I2438" s="69" t="s">
        <v>1778</v>
      </c>
      <c r="J2438" s="69" t="s">
        <v>55</v>
      </c>
      <c r="K2438" s="69" t="s">
        <v>1582</v>
      </c>
      <c r="M2438" s="69" t="s">
        <v>6</v>
      </c>
    </row>
    <row r="2439" spans="2:13">
      <c r="B2439" s="69">
        <v>2437</v>
      </c>
      <c r="C2439" s="69">
        <v>212</v>
      </c>
      <c r="D2439" s="69">
        <v>27</v>
      </c>
      <c r="E2439" s="69">
        <v>21</v>
      </c>
      <c r="F2439" s="69">
        <v>0</v>
      </c>
      <c r="G2439" s="69" t="s">
        <v>18</v>
      </c>
      <c r="H2439" s="69" t="s">
        <v>9</v>
      </c>
      <c r="I2439" s="69" t="s">
        <v>1778</v>
      </c>
      <c r="J2439" s="69" t="s">
        <v>55</v>
      </c>
      <c r="K2439" s="69" t="s">
        <v>1581</v>
      </c>
      <c r="M2439" s="69" t="s">
        <v>6</v>
      </c>
    </row>
    <row r="2440" spans="2:13">
      <c r="B2440" s="69">
        <v>2438</v>
      </c>
      <c r="C2440" s="69">
        <v>212</v>
      </c>
      <c r="D2440" s="69">
        <v>27</v>
      </c>
      <c r="E2440" s="69">
        <v>22</v>
      </c>
      <c r="F2440" s="69">
        <v>0</v>
      </c>
      <c r="G2440" s="69" t="s">
        <v>18</v>
      </c>
      <c r="H2440" s="69" t="s">
        <v>9</v>
      </c>
      <c r="I2440" s="69" t="s">
        <v>1778</v>
      </c>
      <c r="J2440" s="69" t="s">
        <v>479</v>
      </c>
      <c r="K2440" s="69" t="s">
        <v>1751</v>
      </c>
      <c r="M2440" s="69" t="s">
        <v>6</v>
      </c>
    </row>
    <row r="2441" spans="2:13">
      <c r="B2441" s="69">
        <v>2439</v>
      </c>
      <c r="C2441" s="69">
        <v>212</v>
      </c>
      <c r="D2441" s="69">
        <v>27</v>
      </c>
      <c r="E2441" s="69">
        <v>23</v>
      </c>
      <c r="F2441" s="69">
        <v>0</v>
      </c>
      <c r="G2441" s="69" t="s">
        <v>18</v>
      </c>
      <c r="H2441" s="69" t="s">
        <v>9</v>
      </c>
      <c r="I2441" s="69" t="s">
        <v>1778</v>
      </c>
      <c r="J2441" s="69" t="s">
        <v>55</v>
      </c>
      <c r="K2441" s="69" t="s">
        <v>1752</v>
      </c>
      <c r="M2441" s="69" t="s">
        <v>6</v>
      </c>
    </row>
    <row r="2442" spans="2:13">
      <c r="B2442" s="69">
        <v>2440</v>
      </c>
      <c r="C2442" s="69">
        <v>212</v>
      </c>
      <c r="D2442" s="69">
        <v>27</v>
      </c>
      <c r="E2442" s="69">
        <v>24</v>
      </c>
      <c r="F2442" s="69">
        <v>0</v>
      </c>
      <c r="G2442" s="69" t="s">
        <v>18</v>
      </c>
      <c r="H2442" s="69" t="s">
        <v>9</v>
      </c>
      <c r="I2442" s="69" t="s">
        <v>1778</v>
      </c>
      <c r="J2442" s="69" t="s">
        <v>64</v>
      </c>
      <c r="K2442" s="69" t="s">
        <v>65</v>
      </c>
      <c r="M2442" s="69" t="s">
        <v>6</v>
      </c>
    </row>
    <row r="2443" spans="2:13">
      <c r="B2443" s="69">
        <v>2441</v>
      </c>
      <c r="C2443" s="69">
        <v>212</v>
      </c>
      <c r="D2443" s="69">
        <v>27</v>
      </c>
      <c r="E2443" s="69">
        <v>25</v>
      </c>
      <c r="F2443" s="69">
        <v>0</v>
      </c>
      <c r="G2443" s="69" t="s">
        <v>18</v>
      </c>
      <c r="H2443" s="69" t="s">
        <v>9</v>
      </c>
      <c r="I2443" s="69" t="s">
        <v>1778</v>
      </c>
      <c r="J2443" s="69" t="s">
        <v>55</v>
      </c>
      <c r="K2443" s="69" t="s">
        <v>1754</v>
      </c>
      <c r="M2443" s="69" t="s">
        <v>6</v>
      </c>
    </row>
    <row r="2444" spans="2:13">
      <c r="B2444" s="69">
        <v>2442</v>
      </c>
      <c r="C2444" s="69">
        <v>212</v>
      </c>
      <c r="D2444" s="69">
        <v>27</v>
      </c>
      <c r="E2444" s="69">
        <v>26</v>
      </c>
      <c r="F2444" s="69">
        <v>0</v>
      </c>
      <c r="G2444" s="69" t="s">
        <v>18</v>
      </c>
      <c r="H2444" s="69" t="s">
        <v>9</v>
      </c>
      <c r="I2444" s="69" t="s">
        <v>1778</v>
      </c>
      <c r="J2444" s="69" t="s">
        <v>55</v>
      </c>
      <c r="K2444" s="69" t="s">
        <v>93</v>
      </c>
      <c r="M2444" s="69" t="s">
        <v>6</v>
      </c>
    </row>
    <row r="2445" spans="2:13">
      <c r="B2445" s="69">
        <v>2443</v>
      </c>
      <c r="C2445" s="69">
        <v>212</v>
      </c>
      <c r="D2445" s="69">
        <v>27</v>
      </c>
      <c r="E2445" s="69">
        <v>27</v>
      </c>
      <c r="F2445" s="69">
        <v>0</v>
      </c>
      <c r="G2445" s="69" t="s">
        <v>18</v>
      </c>
      <c r="H2445" s="69" t="s">
        <v>9</v>
      </c>
      <c r="I2445" s="69" t="s">
        <v>1778</v>
      </c>
      <c r="J2445" s="69" t="s">
        <v>64</v>
      </c>
      <c r="K2445" s="69" t="s">
        <v>733</v>
      </c>
      <c r="M2445" s="69" t="s">
        <v>6</v>
      </c>
    </row>
    <row r="2446" spans="2:13">
      <c r="B2446" s="69">
        <v>2444</v>
      </c>
      <c r="C2446" s="69">
        <v>213</v>
      </c>
      <c r="D2446" s="69">
        <v>17</v>
      </c>
      <c r="E2446" s="69">
        <v>0</v>
      </c>
      <c r="F2446" s="69">
        <v>0</v>
      </c>
      <c r="G2446" s="69" t="s">
        <v>18</v>
      </c>
      <c r="H2446" s="69" t="s">
        <v>9</v>
      </c>
      <c r="I2446" s="69" t="s">
        <v>1785</v>
      </c>
      <c r="J2446" s="69" t="s">
        <v>478</v>
      </c>
      <c r="K2446" s="69" t="s">
        <v>1785</v>
      </c>
      <c r="M2446" s="69" t="s">
        <v>6</v>
      </c>
    </row>
    <row r="2447" spans="2:13">
      <c r="B2447" s="69">
        <v>2445</v>
      </c>
      <c r="C2447" s="69">
        <v>213</v>
      </c>
      <c r="D2447" s="69">
        <v>17</v>
      </c>
      <c r="E2447" s="69">
        <v>1</v>
      </c>
      <c r="F2447" s="69">
        <v>0</v>
      </c>
      <c r="G2447" s="69" t="s">
        <v>18</v>
      </c>
      <c r="H2447" s="69" t="s">
        <v>9</v>
      </c>
      <c r="I2447" s="69" t="s">
        <v>1785</v>
      </c>
      <c r="J2447" s="69" t="s">
        <v>479</v>
      </c>
      <c r="K2447" s="69" t="s">
        <v>1786</v>
      </c>
      <c r="M2447" s="69" t="s">
        <v>6</v>
      </c>
    </row>
    <row r="2448" spans="2:13">
      <c r="B2448" s="69">
        <v>2446</v>
      </c>
      <c r="C2448" s="69">
        <v>213</v>
      </c>
      <c r="D2448" s="69">
        <v>17</v>
      </c>
      <c r="E2448" s="69">
        <v>2</v>
      </c>
      <c r="F2448" s="69">
        <v>0</v>
      </c>
      <c r="G2448" s="69" t="s">
        <v>18</v>
      </c>
      <c r="H2448" s="69" t="s">
        <v>9</v>
      </c>
      <c r="I2448" s="69" t="s">
        <v>1785</v>
      </c>
      <c r="J2448" s="69" t="s">
        <v>55</v>
      </c>
      <c r="K2448" s="69" t="s">
        <v>1787</v>
      </c>
      <c r="M2448" s="69" t="s">
        <v>6</v>
      </c>
    </row>
    <row r="2449" spans="2:13">
      <c r="B2449" s="69">
        <v>2447</v>
      </c>
      <c r="C2449" s="69">
        <v>213</v>
      </c>
      <c r="D2449" s="69">
        <v>17</v>
      </c>
      <c r="E2449" s="69">
        <v>3</v>
      </c>
      <c r="F2449" s="69">
        <v>0</v>
      </c>
      <c r="G2449" s="69" t="s">
        <v>18</v>
      </c>
      <c r="H2449" s="69" t="s">
        <v>9</v>
      </c>
      <c r="I2449" s="69" t="s">
        <v>1785</v>
      </c>
      <c r="J2449" s="69" t="s">
        <v>55</v>
      </c>
      <c r="K2449" s="69" t="s">
        <v>1788</v>
      </c>
      <c r="M2449" s="69" t="s">
        <v>6</v>
      </c>
    </row>
    <row r="2450" spans="2:13">
      <c r="B2450" s="69">
        <v>2448</v>
      </c>
      <c r="C2450" s="69">
        <v>213</v>
      </c>
      <c r="D2450" s="69">
        <v>17</v>
      </c>
      <c r="E2450" s="69">
        <v>4</v>
      </c>
      <c r="F2450" s="69">
        <v>0</v>
      </c>
      <c r="G2450" s="69" t="s">
        <v>18</v>
      </c>
      <c r="H2450" s="69" t="s">
        <v>9</v>
      </c>
      <c r="I2450" s="69" t="s">
        <v>1785</v>
      </c>
      <c r="J2450" s="69" t="s">
        <v>55</v>
      </c>
      <c r="K2450" s="69" t="s">
        <v>1789</v>
      </c>
      <c r="M2450" s="69" t="s">
        <v>6</v>
      </c>
    </row>
    <row r="2451" spans="2:13">
      <c r="B2451" s="69">
        <v>2449</v>
      </c>
      <c r="C2451" s="69">
        <v>213</v>
      </c>
      <c r="D2451" s="69">
        <v>17</v>
      </c>
      <c r="E2451" s="69">
        <v>5</v>
      </c>
      <c r="F2451" s="69">
        <v>0</v>
      </c>
      <c r="G2451" s="69" t="s">
        <v>18</v>
      </c>
      <c r="H2451" s="69" t="s">
        <v>9</v>
      </c>
      <c r="I2451" s="69" t="s">
        <v>1785</v>
      </c>
      <c r="J2451" s="69" t="s">
        <v>55</v>
      </c>
      <c r="K2451" s="69" t="s">
        <v>1790</v>
      </c>
      <c r="M2451" s="69" t="s">
        <v>6</v>
      </c>
    </row>
    <row r="2452" spans="2:13">
      <c r="B2452" s="69">
        <v>2450</v>
      </c>
      <c r="C2452" s="69">
        <v>213</v>
      </c>
      <c r="D2452" s="69">
        <v>17</v>
      </c>
      <c r="E2452" s="69">
        <v>6</v>
      </c>
      <c r="F2452" s="69">
        <v>0</v>
      </c>
      <c r="G2452" s="69" t="s">
        <v>18</v>
      </c>
      <c r="H2452" s="69" t="s">
        <v>9</v>
      </c>
      <c r="I2452" s="69" t="s">
        <v>1785</v>
      </c>
      <c r="J2452" s="69" t="s">
        <v>214</v>
      </c>
      <c r="K2452" s="69" t="s">
        <v>1791</v>
      </c>
      <c r="M2452" s="69" t="s">
        <v>6</v>
      </c>
    </row>
    <row r="2453" spans="2:13">
      <c r="B2453" s="69">
        <v>2451</v>
      </c>
      <c r="C2453" s="69">
        <v>213</v>
      </c>
      <c r="D2453" s="69">
        <v>17</v>
      </c>
      <c r="E2453" s="69">
        <v>7</v>
      </c>
      <c r="F2453" s="69">
        <v>0</v>
      </c>
      <c r="G2453" s="69" t="s">
        <v>18</v>
      </c>
      <c r="H2453" s="69" t="s">
        <v>9</v>
      </c>
      <c r="I2453" s="69" t="s">
        <v>1785</v>
      </c>
      <c r="J2453" s="69" t="s">
        <v>214</v>
      </c>
      <c r="K2453" s="69" t="s">
        <v>1792</v>
      </c>
      <c r="M2453" s="69" t="s">
        <v>6</v>
      </c>
    </row>
    <row r="2454" spans="2:13">
      <c r="B2454" s="69">
        <v>2452</v>
      </c>
      <c r="C2454" s="69">
        <v>213</v>
      </c>
      <c r="D2454" s="69">
        <v>17</v>
      </c>
      <c r="E2454" s="69">
        <v>8</v>
      </c>
      <c r="F2454" s="69">
        <v>0</v>
      </c>
      <c r="G2454" s="69" t="s">
        <v>18</v>
      </c>
      <c r="H2454" s="69" t="s">
        <v>9</v>
      </c>
      <c r="I2454" s="69" t="s">
        <v>1785</v>
      </c>
      <c r="J2454" s="69" t="s">
        <v>55</v>
      </c>
      <c r="K2454" s="69" t="s">
        <v>1793</v>
      </c>
      <c r="M2454" s="69" t="s">
        <v>6</v>
      </c>
    </row>
    <row r="2455" spans="2:13">
      <c r="B2455" s="69">
        <v>2453</v>
      </c>
      <c r="C2455" s="69">
        <v>213</v>
      </c>
      <c r="D2455" s="69">
        <v>17</v>
      </c>
      <c r="E2455" s="69">
        <v>9</v>
      </c>
      <c r="F2455" s="69">
        <v>0</v>
      </c>
      <c r="G2455" s="69" t="s">
        <v>18</v>
      </c>
      <c r="H2455" s="69" t="s">
        <v>9</v>
      </c>
      <c r="I2455" s="69" t="s">
        <v>1785</v>
      </c>
      <c r="J2455" s="69" t="s">
        <v>64</v>
      </c>
      <c r="K2455" s="69" t="s">
        <v>1794</v>
      </c>
      <c r="M2455" s="69" t="s">
        <v>6</v>
      </c>
    </row>
    <row r="2456" spans="2:13">
      <c r="B2456" s="69">
        <v>2454</v>
      </c>
      <c r="C2456" s="69">
        <v>213</v>
      </c>
      <c r="D2456" s="69">
        <v>17</v>
      </c>
      <c r="E2456" s="69">
        <v>10</v>
      </c>
      <c r="F2456" s="69">
        <v>0</v>
      </c>
      <c r="G2456" s="69" t="s">
        <v>18</v>
      </c>
      <c r="H2456" s="69" t="s">
        <v>9</v>
      </c>
      <c r="I2456" s="69" t="s">
        <v>1785</v>
      </c>
      <c r="J2456" s="69" t="s">
        <v>479</v>
      </c>
      <c r="K2456" s="69" t="s">
        <v>1795</v>
      </c>
      <c r="M2456" s="69" t="s">
        <v>6</v>
      </c>
    </row>
    <row r="2457" spans="2:13">
      <c r="B2457" s="69">
        <v>2455</v>
      </c>
      <c r="C2457" s="69">
        <v>213</v>
      </c>
      <c r="D2457" s="69">
        <v>17</v>
      </c>
      <c r="E2457" s="69">
        <v>11</v>
      </c>
      <c r="F2457" s="69">
        <v>0</v>
      </c>
      <c r="G2457" s="69" t="s">
        <v>18</v>
      </c>
      <c r="H2457" s="69" t="s">
        <v>9</v>
      </c>
      <c r="I2457" s="69" t="s">
        <v>1785</v>
      </c>
      <c r="J2457" s="69" t="s">
        <v>55</v>
      </c>
      <c r="K2457" s="69" t="s">
        <v>1796</v>
      </c>
      <c r="M2457" s="69" t="s">
        <v>6</v>
      </c>
    </row>
    <row r="2458" spans="2:13">
      <c r="B2458" s="69">
        <v>2456</v>
      </c>
      <c r="C2458" s="69">
        <v>213</v>
      </c>
      <c r="D2458" s="69">
        <v>17</v>
      </c>
      <c r="E2458" s="69">
        <v>12</v>
      </c>
      <c r="F2458" s="69">
        <v>0</v>
      </c>
      <c r="G2458" s="69" t="s">
        <v>18</v>
      </c>
      <c r="H2458" s="69" t="s">
        <v>9</v>
      </c>
      <c r="I2458" s="69" t="s">
        <v>1785</v>
      </c>
      <c r="J2458" s="69" t="s">
        <v>55</v>
      </c>
      <c r="K2458" s="69" t="s">
        <v>1797</v>
      </c>
      <c r="M2458" s="69" t="s">
        <v>6</v>
      </c>
    </row>
    <row r="2459" spans="2:13">
      <c r="B2459" s="69">
        <v>2457</v>
      </c>
      <c r="C2459" s="69">
        <v>213</v>
      </c>
      <c r="D2459" s="69">
        <v>17</v>
      </c>
      <c r="E2459" s="69">
        <v>13</v>
      </c>
      <c r="F2459" s="69">
        <v>0</v>
      </c>
      <c r="G2459" s="69" t="s">
        <v>18</v>
      </c>
      <c r="H2459" s="69" t="s">
        <v>9</v>
      </c>
      <c r="I2459" s="69" t="s">
        <v>1785</v>
      </c>
      <c r="J2459" s="69" t="s">
        <v>55</v>
      </c>
      <c r="K2459" s="69" t="s">
        <v>1798</v>
      </c>
      <c r="M2459" s="69" t="s">
        <v>6</v>
      </c>
    </row>
    <row r="2460" spans="2:13">
      <c r="B2460" s="69">
        <v>2458</v>
      </c>
      <c r="C2460" s="69">
        <v>213</v>
      </c>
      <c r="D2460" s="69">
        <v>17</v>
      </c>
      <c r="E2460" s="69">
        <v>14</v>
      </c>
      <c r="F2460" s="69">
        <v>0</v>
      </c>
      <c r="G2460" s="69" t="s">
        <v>18</v>
      </c>
      <c r="H2460" s="69" t="s">
        <v>9</v>
      </c>
      <c r="I2460" s="69" t="s">
        <v>1785</v>
      </c>
      <c r="J2460" s="69" t="s">
        <v>55</v>
      </c>
      <c r="K2460" s="69" t="s">
        <v>1799</v>
      </c>
      <c r="M2460" s="69" t="s">
        <v>6</v>
      </c>
    </row>
    <row r="2461" spans="2:13">
      <c r="B2461" s="69">
        <v>2459</v>
      </c>
      <c r="C2461" s="69">
        <v>213</v>
      </c>
      <c r="D2461" s="69">
        <v>17</v>
      </c>
      <c r="E2461" s="69">
        <v>15</v>
      </c>
      <c r="F2461" s="69">
        <v>0</v>
      </c>
      <c r="G2461" s="69" t="s">
        <v>18</v>
      </c>
      <c r="H2461" s="69" t="s">
        <v>9</v>
      </c>
      <c r="I2461" s="69" t="s">
        <v>1785</v>
      </c>
      <c r="J2461" s="69" t="s">
        <v>64</v>
      </c>
      <c r="K2461" s="69" t="s">
        <v>1794</v>
      </c>
      <c r="M2461" s="69" t="s">
        <v>6</v>
      </c>
    </row>
    <row r="2462" spans="2:13">
      <c r="B2462" s="69">
        <v>2460</v>
      </c>
      <c r="C2462" s="69">
        <v>213</v>
      </c>
      <c r="D2462" s="69">
        <v>17</v>
      </c>
      <c r="E2462" s="69">
        <v>16</v>
      </c>
      <c r="F2462" s="69">
        <v>0</v>
      </c>
      <c r="G2462" s="69" t="s">
        <v>18</v>
      </c>
      <c r="H2462" s="69" t="s">
        <v>9</v>
      </c>
      <c r="I2462" s="69" t="s">
        <v>1785</v>
      </c>
      <c r="J2462" s="69" t="s">
        <v>55</v>
      </c>
      <c r="K2462" s="69" t="s">
        <v>93</v>
      </c>
      <c r="M2462" s="69" t="s">
        <v>6</v>
      </c>
    </row>
    <row r="2463" spans="2:13">
      <c r="B2463" s="69">
        <v>2461</v>
      </c>
      <c r="C2463" s="69">
        <v>213</v>
      </c>
      <c r="D2463" s="69">
        <v>17</v>
      </c>
      <c r="E2463" s="69">
        <v>17</v>
      </c>
      <c r="F2463" s="69">
        <v>0</v>
      </c>
      <c r="G2463" s="69" t="s">
        <v>18</v>
      </c>
      <c r="H2463" s="69" t="s">
        <v>9</v>
      </c>
      <c r="I2463" s="69" t="s">
        <v>1785</v>
      </c>
      <c r="J2463" s="69" t="s">
        <v>64</v>
      </c>
      <c r="K2463" s="69" t="s">
        <v>94</v>
      </c>
      <c r="M2463" s="69" t="s">
        <v>6</v>
      </c>
    </row>
    <row r="2464" spans="2:13">
      <c r="B2464" s="69">
        <v>2462</v>
      </c>
      <c r="C2464" s="69">
        <v>214</v>
      </c>
      <c r="D2464" s="69">
        <v>17</v>
      </c>
      <c r="E2464" s="69">
        <v>0</v>
      </c>
      <c r="F2464" s="69">
        <v>0</v>
      </c>
      <c r="G2464" s="69" t="s">
        <v>18</v>
      </c>
      <c r="H2464" s="69" t="s">
        <v>9</v>
      </c>
      <c r="I2464" s="69" t="s">
        <v>1800</v>
      </c>
      <c r="J2464" s="69" t="s">
        <v>478</v>
      </c>
      <c r="K2464" s="69" t="s">
        <v>1800</v>
      </c>
      <c r="M2464" s="69" t="s">
        <v>6</v>
      </c>
    </row>
    <row r="2465" spans="2:13">
      <c r="B2465" s="69">
        <v>2463</v>
      </c>
      <c r="C2465" s="69">
        <v>214</v>
      </c>
      <c r="D2465" s="69">
        <v>17</v>
      </c>
      <c r="E2465" s="69">
        <v>1</v>
      </c>
      <c r="F2465" s="69">
        <v>0</v>
      </c>
      <c r="G2465" s="69" t="s">
        <v>18</v>
      </c>
      <c r="H2465" s="69" t="s">
        <v>9</v>
      </c>
      <c r="I2465" s="69" t="s">
        <v>1800</v>
      </c>
      <c r="J2465" s="69" t="s">
        <v>479</v>
      </c>
      <c r="K2465" s="69" t="s">
        <v>1801</v>
      </c>
      <c r="M2465" s="69" t="s">
        <v>6</v>
      </c>
    </row>
    <row r="2466" spans="2:13">
      <c r="B2466" s="69">
        <v>2464</v>
      </c>
      <c r="C2466" s="69">
        <v>214</v>
      </c>
      <c r="D2466" s="69">
        <v>17</v>
      </c>
      <c r="E2466" s="69">
        <v>2</v>
      </c>
      <c r="F2466" s="69">
        <v>0</v>
      </c>
      <c r="G2466" s="69" t="s">
        <v>18</v>
      </c>
      <c r="H2466" s="69" t="s">
        <v>9</v>
      </c>
      <c r="I2466" s="69" t="s">
        <v>1800</v>
      </c>
      <c r="J2466" s="69" t="s">
        <v>55</v>
      </c>
      <c r="K2466" s="69" t="s">
        <v>1802</v>
      </c>
      <c r="M2466" s="69" t="s">
        <v>6</v>
      </c>
    </row>
    <row r="2467" spans="2:13">
      <c r="B2467" s="69">
        <v>2465</v>
      </c>
      <c r="C2467" s="69">
        <v>214</v>
      </c>
      <c r="D2467" s="69">
        <v>17</v>
      </c>
      <c r="E2467" s="69">
        <v>3</v>
      </c>
      <c r="F2467" s="69">
        <v>0</v>
      </c>
      <c r="G2467" s="69" t="s">
        <v>18</v>
      </c>
      <c r="H2467" s="69" t="s">
        <v>9</v>
      </c>
      <c r="I2467" s="69" t="s">
        <v>1800</v>
      </c>
      <c r="J2467" s="69" t="s">
        <v>214</v>
      </c>
      <c r="K2467" s="69" t="s">
        <v>1803</v>
      </c>
      <c r="M2467" s="69" t="s">
        <v>6</v>
      </c>
    </row>
    <row r="2468" spans="2:13">
      <c r="B2468" s="69">
        <v>2466</v>
      </c>
      <c r="C2468" s="69">
        <v>214</v>
      </c>
      <c r="D2468" s="69">
        <v>17</v>
      </c>
      <c r="E2468" s="69">
        <v>4</v>
      </c>
      <c r="F2468" s="69">
        <v>0</v>
      </c>
      <c r="G2468" s="69" t="s">
        <v>18</v>
      </c>
      <c r="H2468" s="69" t="s">
        <v>9</v>
      </c>
      <c r="I2468" s="69" t="s">
        <v>1800</v>
      </c>
      <c r="J2468" s="69" t="s">
        <v>55</v>
      </c>
      <c r="K2468" s="69" t="s">
        <v>1804</v>
      </c>
      <c r="M2468" s="69" t="s">
        <v>6</v>
      </c>
    </row>
    <row r="2469" spans="2:13">
      <c r="B2469" s="69">
        <v>2467</v>
      </c>
      <c r="C2469" s="69">
        <v>214</v>
      </c>
      <c r="D2469" s="69">
        <v>17</v>
      </c>
      <c r="E2469" s="69">
        <v>5</v>
      </c>
      <c r="F2469" s="69">
        <v>0</v>
      </c>
      <c r="G2469" s="69" t="s">
        <v>18</v>
      </c>
      <c r="H2469" s="69" t="s">
        <v>9</v>
      </c>
      <c r="I2469" s="69" t="s">
        <v>1800</v>
      </c>
      <c r="J2469" s="69" t="s">
        <v>55</v>
      </c>
      <c r="K2469" s="69" t="s">
        <v>1805</v>
      </c>
      <c r="M2469" s="69" t="s">
        <v>6</v>
      </c>
    </row>
    <row r="2470" spans="2:13">
      <c r="B2470" s="69">
        <v>2468</v>
      </c>
      <c r="C2470" s="69">
        <v>214</v>
      </c>
      <c r="D2470" s="69">
        <v>17</v>
      </c>
      <c r="E2470" s="69">
        <v>6</v>
      </c>
      <c r="F2470" s="69">
        <v>0</v>
      </c>
      <c r="G2470" s="69" t="s">
        <v>18</v>
      </c>
      <c r="H2470" s="69" t="s">
        <v>9</v>
      </c>
      <c r="I2470" s="69" t="s">
        <v>1800</v>
      </c>
      <c r="J2470" s="69" t="s">
        <v>99</v>
      </c>
      <c r="K2470" s="69" t="s">
        <v>1806</v>
      </c>
      <c r="M2470" s="69" t="s">
        <v>6</v>
      </c>
    </row>
    <row r="2471" spans="2:13">
      <c r="B2471" s="69">
        <v>2469</v>
      </c>
      <c r="C2471" s="69">
        <v>214</v>
      </c>
      <c r="D2471" s="69">
        <v>17</v>
      </c>
      <c r="E2471" s="69">
        <v>7</v>
      </c>
      <c r="F2471" s="69">
        <v>0</v>
      </c>
      <c r="G2471" s="69" t="s">
        <v>18</v>
      </c>
      <c r="H2471" s="69" t="s">
        <v>9</v>
      </c>
      <c r="I2471" s="69" t="s">
        <v>1800</v>
      </c>
      <c r="J2471" s="69" t="s">
        <v>99</v>
      </c>
      <c r="K2471" s="69" t="s">
        <v>1807</v>
      </c>
      <c r="M2471" s="69" t="s">
        <v>6</v>
      </c>
    </row>
    <row r="2472" spans="2:13">
      <c r="B2472" s="69">
        <v>2470</v>
      </c>
      <c r="C2472" s="69">
        <v>214</v>
      </c>
      <c r="D2472" s="69">
        <v>17</v>
      </c>
      <c r="E2472" s="69">
        <v>8</v>
      </c>
      <c r="F2472" s="69">
        <v>0</v>
      </c>
      <c r="G2472" s="69" t="s">
        <v>18</v>
      </c>
      <c r="H2472" s="69" t="s">
        <v>9</v>
      </c>
      <c r="I2472" s="69" t="s">
        <v>1800</v>
      </c>
      <c r="J2472" s="69" t="s">
        <v>99</v>
      </c>
      <c r="K2472" s="69" t="s">
        <v>1808</v>
      </c>
      <c r="M2472" s="69" t="s">
        <v>6</v>
      </c>
    </row>
    <row r="2473" spans="2:13">
      <c r="B2473" s="69">
        <v>2471</v>
      </c>
      <c r="C2473" s="69">
        <v>214</v>
      </c>
      <c r="D2473" s="69">
        <v>17</v>
      </c>
      <c r="E2473" s="69">
        <v>9</v>
      </c>
      <c r="F2473" s="69">
        <v>0</v>
      </c>
      <c r="G2473" s="69" t="s">
        <v>18</v>
      </c>
      <c r="H2473" s="69" t="s">
        <v>9</v>
      </c>
      <c r="I2473" s="69" t="s">
        <v>1800</v>
      </c>
      <c r="J2473" s="69" t="s">
        <v>99</v>
      </c>
      <c r="K2473" s="69" t="s">
        <v>1809</v>
      </c>
      <c r="M2473" s="69" t="s">
        <v>6</v>
      </c>
    </row>
    <row r="2474" spans="2:13">
      <c r="B2474" s="69">
        <v>2472</v>
      </c>
      <c r="C2474" s="69">
        <v>214</v>
      </c>
      <c r="D2474" s="69">
        <v>17</v>
      </c>
      <c r="E2474" s="69">
        <v>10</v>
      </c>
      <c r="F2474" s="69">
        <v>0</v>
      </c>
      <c r="G2474" s="69" t="s">
        <v>18</v>
      </c>
      <c r="H2474" s="69" t="s">
        <v>9</v>
      </c>
      <c r="I2474" s="69" t="s">
        <v>1800</v>
      </c>
      <c r="J2474" s="69" t="s">
        <v>55</v>
      </c>
      <c r="K2474" s="69" t="s">
        <v>1799</v>
      </c>
      <c r="M2474" s="69" t="s">
        <v>6</v>
      </c>
    </row>
    <row r="2475" spans="2:13">
      <c r="B2475" s="69">
        <v>2473</v>
      </c>
      <c r="C2475" s="69">
        <v>214</v>
      </c>
      <c r="D2475" s="69">
        <v>17</v>
      </c>
      <c r="E2475" s="69">
        <v>11</v>
      </c>
      <c r="F2475" s="69">
        <v>0</v>
      </c>
      <c r="G2475" s="69" t="s">
        <v>18</v>
      </c>
      <c r="H2475" s="69" t="s">
        <v>9</v>
      </c>
      <c r="I2475" s="69" t="s">
        <v>1800</v>
      </c>
      <c r="J2475" s="69" t="s">
        <v>479</v>
      </c>
      <c r="K2475" s="69" t="s">
        <v>1810</v>
      </c>
      <c r="M2475" s="69" t="s">
        <v>6</v>
      </c>
    </row>
    <row r="2476" spans="2:13">
      <c r="B2476" s="69">
        <v>2474</v>
      </c>
      <c r="C2476" s="69">
        <v>214</v>
      </c>
      <c r="D2476" s="69">
        <v>17</v>
      </c>
      <c r="E2476" s="69">
        <v>12</v>
      </c>
      <c r="F2476" s="69">
        <v>0</v>
      </c>
      <c r="G2476" s="69" t="s">
        <v>18</v>
      </c>
      <c r="H2476" s="69" t="s">
        <v>9</v>
      </c>
      <c r="I2476" s="69" t="s">
        <v>1800</v>
      </c>
      <c r="J2476" s="69" t="s">
        <v>55</v>
      </c>
      <c r="K2476" s="69" t="s">
        <v>1811</v>
      </c>
      <c r="M2476" s="69" t="s">
        <v>6</v>
      </c>
    </row>
    <row r="2477" spans="2:13">
      <c r="B2477" s="69">
        <v>2475</v>
      </c>
      <c r="C2477" s="69">
        <v>214</v>
      </c>
      <c r="D2477" s="69">
        <v>17</v>
      </c>
      <c r="E2477" s="69">
        <v>13</v>
      </c>
      <c r="F2477" s="69">
        <v>0</v>
      </c>
      <c r="G2477" s="69" t="s">
        <v>18</v>
      </c>
      <c r="H2477" s="69" t="s">
        <v>9</v>
      </c>
      <c r="I2477" s="69" t="s">
        <v>1800</v>
      </c>
      <c r="J2477" s="69" t="s">
        <v>55</v>
      </c>
      <c r="K2477" s="69" t="s">
        <v>1812</v>
      </c>
      <c r="M2477" s="69" t="s">
        <v>6</v>
      </c>
    </row>
    <row r="2478" spans="2:13">
      <c r="B2478" s="69">
        <v>2476</v>
      </c>
      <c r="C2478" s="69">
        <v>214</v>
      </c>
      <c r="D2478" s="69">
        <v>17</v>
      </c>
      <c r="E2478" s="69">
        <v>14</v>
      </c>
      <c r="F2478" s="69">
        <v>0</v>
      </c>
      <c r="G2478" s="69" t="s">
        <v>18</v>
      </c>
      <c r="H2478" s="69" t="s">
        <v>9</v>
      </c>
      <c r="I2478" s="69" t="s">
        <v>1800</v>
      </c>
      <c r="J2478" s="69" t="s">
        <v>55</v>
      </c>
      <c r="K2478" s="69" t="s">
        <v>1813</v>
      </c>
      <c r="M2478" s="69" t="s">
        <v>6</v>
      </c>
    </row>
    <row r="2479" spans="2:13">
      <c r="B2479" s="69">
        <v>2477</v>
      </c>
      <c r="C2479" s="69">
        <v>214</v>
      </c>
      <c r="D2479" s="69">
        <v>17</v>
      </c>
      <c r="E2479" s="69">
        <v>15</v>
      </c>
      <c r="F2479" s="69">
        <v>0</v>
      </c>
      <c r="G2479" s="69" t="s">
        <v>18</v>
      </c>
      <c r="H2479" s="69" t="s">
        <v>9</v>
      </c>
      <c r="I2479" s="69" t="s">
        <v>1800</v>
      </c>
      <c r="J2479" s="69" t="s">
        <v>55</v>
      </c>
      <c r="K2479" s="69" t="s">
        <v>1814</v>
      </c>
      <c r="M2479" s="69" t="s">
        <v>6</v>
      </c>
    </row>
    <row r="2480" spans="2:13">
      <c r="B2480" s="69">
        <v>2478</v>
      </c>
      <c r="C2480" s="69">
        <v>214</v>
      </c>
      <c r="D2480" s="69">
        <v>17</v>
      </c>
      <c r="E2480" s="69">
        <v>16</v>
      </c>
      <c r="F2480" s="69">
        <v>0</v>
      </c>
      <c r="G2480" s="69" t="s">
        <v>18</v>
      </c>
      <c r="H2480" s="69" t="s">
        <v>9</v>
      </c>
      <c r="I2480" s="69" t="s">
        <v>1800</v>
      </c>
      <c r="J2480" s="69" t="s">
        <v>55</v>
      </c>
      <c r="K2480" s="69" t="s">
        <v>93</v>
      </c>
      <c r="M2480" s="69" t="s">
        <v>6</v>
      </c>
    </row>
    <row r="2481" spans="2:13">
      <c r="B2481" s="69">
        <v>2479</v>
      </c>
      <c r="C2481" s="69">
        <v>214</v>
      </c>
      <c r="D2481" s="69">
        <v>17</v>
      </c>
      <c r="E2481" s="69">
        <v>17</v>
      </c>
      <c r="F2481" s="69">
        <v>0</v>
      </c>
      <c r="G2481" s="69" t="s">
        <v>18</v>
      </c>
      <c r="H2481" s="69" t="s">
        <v>9</v>
      </c>
      <c r="I2481" s="69" t="s">
        <v>1800</v>
      </c>
      <c r="J2481" s="69" t="s">
        <v>64</v>
      </c>
      <c r="K2481" s="69" t="s">
        <v>94</v>
      </c>
      <c r="M2481" s="69" t="s">
        <v>6</v>
      </c>
    </row>
    <row r="2482" spans="2:13">
      <c r="B2482" s="69">
        <v>2480</v>
      </c>
      <c r="C2482" s="69">
        <v>215</v>
      </c>
      <c r="D2482" s="69">
        <v>6</v>
      </c>
      <c r="E2482" s="69">
        <v>0</v>
      </c>
      <c r="F2482" s="69">
        <v>0</v>
      </c>
      <c r="G2482" s="69" t="s">
        <v>18</v>
      </c>
      <c r="H2482" s="69" t="s">
        <v>9</v>
      </c>
      <c r="I2482" s="69" t="s">
        <v>1815</v>
      </c>
      <c r="J2482" s="69" t="s">
        <v>54</v>
      </c>
      <c r="K2482" s="69" t="s">
        <v>1815</v>
      </c>
      <c r="M2482" s="69" t="s">
        <v>6</v>
      </c>
    </row>
    <row r="2483" spans="2:13">
      <c r="B2483" s="69">
        <v>2481</v>
      </c>
      <c r="C2483" s="69">
        <v>215</v>
      </c>
      <c r="D2483" s="69">
        <v>6</v>
      </c>
      <c r="E2483" s="69">
        <v>1</v>
      </c>
      <c r="F2483" s="69">
        <v>0</v>
      </c>
      <c r="G2483" s="69" t="s">
        <v>18</v>
      </c>
      <c r="H2483" s="69" t="s">
        <v>9</v>
      </c>
      <c r="I2483" s="69" t="s">
        <v>1815</v>
      </c>
      <c r="J2483" s="69" t="s">
        <v>55</v>
      </c>
      <c r="K2483" s="69" t="s">
        <v>1816</v>
      </c>
      <c r="M2483" s="69" t="s">
        <v>6</v>
      </c>
    </row>
    <row r="2484" spans="2:13">
      <c r="B2484" s="69">
        <v>2482</v>
      </c>
      <c r="C2484" s="69">
        <v>215</v>
      </c>
      <c r="D2484" s="69">
        <v>6</v>
      </c>
      <c r="E2484" s="69">
        <v>2</v>
      </c>
      <c r="F2484" s="69">
        <v>0</v>
      </c>
      <c r="G2484" s="69" t="s">
        <v>18</v>
      </c>
      <c r="H2484" s="69" t="s">
        <v>9</v>
      </c>
      <c r="I2484" s="69" t="s">
        <v>1815</v>
      </c>
      <c r="J2484" s="69" t="s">
        <v>55</v>
      </c>
      <c r="K2484" s="69" t="s">
        <v>155</v>
      </c>
      <c r="M2484" s="69" t="s">
        <v>6</v>
      </c>
    </row>
    <row r="2485" spans="2:13">
      <c r="B2485" s="69">
        <v>2483</v>
      </c>
      <c r="C2485" s="69">
        <v>215</v>
      </c>
      <c r="D2485" s="69">
        <v>6</v>
      </c>
      <c r="E2485" s="69">
        <v>3</v>
      </c>
      <c r="F2485" s="69">
        <v>0</v>
      </c>
      <c r="G2485" s="69" t="s">
        <v>18</v>
      </c>
      <c r="H2485" s="69" t="s">
        <v>9</v>
      </c>
      <c r="I2485" s="69" t="s">
        <v>1815</v>
      </c>
      <c r="J2485" s="69" t="s">
        <v>55</v>
      </c>
      <c r="K2485" s="69" t="s">
        <v>1817</v>
      </c>
      <c r="M2485" s="69" t="s">
        <v>6</v>
      </c>
    </row>
    <row r="2486" spans="2:13">
      <c r="B2486" s="69">
        <v>2484</v>
      </c>
      <c r="C2486" s="69">
        <v>215</v>
      </c>
      <c r="D2486" s="69">
        <v>6</v>
      </c>
      <c r="E2486" s="69">
        <v>4</v>
      </c>
      <c r="F2486" s="69">
        <v>0</v>
      </c>
      <c r="G2486" s="69" t="s">
        <v>18</v>
      </c>
      <c r="H2486" s="69" t="s">
        <v>9</v>
      </c>
      <c r="I2486" s="69" t="s">
        <v>1815</v>
      </c>
      <c r="J2486" s="69" t="s">
        <v>55</v>
      </c>
      <c r="K2486" s="69" t="s">
        <v>1818</v>
      </c>
      <c r="M2486" s="69" t="s">
        <v>6</v>
      </c>
    </row>
    <row r="2487" spans="2:13">
      <c r="B2487" s="69">
        <v>2485</v>
      </c>
      <c r="C2487" s="69">
        <v>215</v>
      </c>
      <c r="D2487" s="69">
        <v>6</v>
      </c>
      <c r="E2487" s="69">
        <v>5</v>
      </c>
      <c r="F2487" s="69">
        <v>0</v>
      </c>
      <c r="G2487" s="69" t="s">
        <v>18</v>
      </c>
      <c r="H2487" s="69" t="s">
        <v>9</v>
      </c>
      <c r="I2487" s="69" t="s">
        <v>1815</v>
      </c>
      <c r="J2487" s="69" t="s">
        <v>55</v>
      </c>
      <c r="K2487" s="69" t="s">
        <v>93</v>
      </c>
      <c r="M2487" s="69" t="s">
        <v>6</v>
      </c>
    </row>
    <row r="2488" spans="2:13">
      <c r="B2488" s="69">
        <v>2486</v>
      </c>
      <c r="C2488" s="69">
        <v>215</v>
      </c>
      <c r="D2488" s="69">
        <v>6</v>
      </c>
      <c r="E2488" s="69">
        <v>6</v>
      </c>
      <c r="F2488" s="69">
        <v>0</v>
      </c>
      <c r="G2488" s="69" t="s">
        <v>18</v>
      </c>
      <c r="H2488" s="69" t="s">
        <v>9</v>
      </c>
      <c r="I2488" s="69" t="s">
        <v>1815</v>
      </c>
      <c r="J2488" s="69" t="s">
        <v>64</v>
      </c>
      <c r="K2488" s="69" t="s">
        <v>94</v>
      </c>
      <c r="M2488" s="69" t="s">
        <v>6</v>
      </c>
    </row>
    <row r="2489" spans="2:13">
      <c r="B2489" s="69">
        <v>2487</v>
      </c>
      <c r="C2489" s="69">
        <v>216</v>
      </c>
      <c r="D2489" s="69">
        <v>7</v>
      </c>
      <c r="E2489" s="69">
        <v>0</v>
      </c>
      <c r="F2489" s="69">
        <v>0</v>
      </c>
      <c r="G2489" s="69" t="s">
        <v>18</v>
      </c>
      <c r="H2489" s="69" t="s">
        <v>9</v>
      </c>
      <c r="I2489" s="69" t="s">
        <v>1819</v>
      </c>
      <c r="J2489" s="69" t="s">
        <v>54</v>
      </c>
      <c r="K2489" s="69" t="s">
        <v>1819</v>
      </c>
      <c r="M2489" s="69" t="s">
        <v>6</v>
      </c>
    </row>
    <row r="2490" spans="2:13">
      <c r="B2490" s="69">
        <v>2488</v>
      </c>
      <c r="C2490" s="69">
        <v>216</v>
      </c>
      <c r="D2490" s="69">
        <v>7</v>
      </c>
      <c r="E2490" s="69">
        <v>1</v>
      </c>
      <c r="F2490" s="69">
        <v>0</v>
      </c>
      <c r="G2490" s="69" t="s">
        <v>18</v>
      </c>
      <c r="H2490" s="69" t="s">
        <v>9</v>
      </c>
      <c r="I2490" s="69" t="s">
        <v>1819</v>
      </c>
      <c r="J2490" s="69" t="s">
        <v>55</v>
      </c>
      <c r="K2490" s="69" t="s">
        <v>1820</v>
      </c>
      <c r="M2490" s="69" t="s">
        <v>6</v>
      </c>
    </row>
    <row r="2491" spans="2:13">
      <c r="B2491" s="69">
        <v>2489</v>
      </c>
      <c r="C2491" s="69">
        <v>216</v>
      </c>
      <c r="D2491" s="69">
        <v>7</v>
      </c>
      <c r="E2491" s="69">
        <v>2</v>
      </c>
      <c r="F2491" s="69">
        <v>0</v>
      </c>
      <c r="G2491" s="69" t="s">
        <v>18</v>
      </c>
      <c r="H2491" s="69" t="s">
        <v>9</v>
      </c>
      <c r="I2491" s="69" t="s">
        <v>1819</v>
      </c>
      <c r="J2491" s="69" t="s">
        <v>55</v>
      </c>
      <c r="K2491" s="69" t="s">
        <v>1821</v>
      </c>
      <c r="M2491" s="69" t="s">
        <v>6</v>
      </c>
    </row>
    <row r="2492" spans="2:13">
      <c r="B2492" s="69">
        <v>2490</v>
      </c>
      <c r="C2492" s="69">
        <v>216</v>
      </c>
      <c r="D2492" s="69">
        <v>7</v>
      </c>
      <c r="E2492" s="69">
        <v>3</v>
      </c>
      <c r="F2492" s="69">
        <v>0</v>
      </c>
      <c r="G2492" s="69" t="s">
        <v>18</v>
      </c>
      <c r="H2492" s="69" t="s">
        <v>9</v>
      </c>
      <c r="I2492" s="69" t="s">
        <v>1819</v>
      </c>
      <c r="J2492" s="69" t="s">
        <v>55</v>
      </c>
      <c r="K2492" s="69" t="s">
        <v>1822</v>
      </c>
      <c r="M2492" s="69" t="s">
        <v>6</v>
      </c>
    </row>
    <row r="2493" spans="2:13">
      <c r="B2493" s="69">
        <v>2491</v>
      </c>
      <c r="C2493" s="69">
        <v>216</v>
      </c>
      <c r="D2493" s="69">
        <v>7</v>
      </c>
      <c r="E2493" s="69">
        <v>4</v>
      </c>
      <c r="F2493" s="69">
        <v>0</v>
      </c>
      <c r="G2493" s="69" t="s">
        <v>18</v>
      </c>
      <c r="H2493" s="69" t="s">
        <v>9</v>
      </c>
      <c r="I2493" s="69" t="s">
        <v>1819</v>
      </c>
      <c r="J2493" s="69" t="s">
        <v>55</v>
      </c>
      <c r="K2493" s="69" t="s">
        <v>1823</v>
      </c>
      <c r="M2493" s="69" t="s">
        <v>6</v>
      </c>
    </row>
    <row r="2494" spans="2:13">
      <c r="B2494" s="69">
        <v>2492</v>
      </c>
      <c r="C2494" s="69">
        <v>216</v>
      </c>
      <c r="D2494" s="69">
        <v>7</v>
      </c>
      <c r="E2494" s="69">
        <v>5</v>
      </c>
      <c r="F2494" s="69">
        <v>0</v>
      </c>
      <c r="G2494" s="69" t="s">
        <v>18</v>
      </c>
      <c r="H2494" s="69" t="s">
        <v>9</v>
      </c>
      <c r="I2494" s="69" t="s">
        <v>1819</v>
      </c>
      <c r="J2494" s="69" t="s">
        <v>55</v>
      </c>
      <c r="K2494" s="69" t="s">
        <v>1824</v>
      </c>
      <c r="M2494" s="69" t="s">
        <v>6</v>
      </c>
    </row>
    <row r="2495" spans="2:13">
      <c r="B2495" s="69">
        <v>2493</v>
      </c>
      <c r="C2495" s="69">
        <v>216</v>
      </c>
      <c r="D2495" s="69">
        <v>7</v>
      </c>
      <c r="E2495" s="69">
        <v>6</v>
      </c>
      <c r="F2495" s="69">
        <v>0</v>
      </c>
      <c r="G2495" s="69" t="s">
        <v>18</v>
      </c>
      <c r="H2495" s="69" t="s">
        <v>9</v>
      </c>
      <c r="I2495" s="69" t="s">
        <v>1819</v>
      </c>
      <c r="J2495" s="69" t="s">
        <v>55</v>
      </c>
      <c r="K2495" s="69" t="s">
        <v>93</v>
      </c>
      <c r="M2495" s="69" t="s">
        <v>6</v>
      </c>
    </row>
    <row r="2496" spans="2:13">
      <c r="B2496" s="69">
        <v>2494</v>
      </c>
      <c r="C2496" s="69">
        <v>216</v>
      </c>
      <c r="D2496" s="69">
        <v>7</v>
      </c>
      <c r="E2496" s="69">
        <v>7</v>
      </c>
      <c r="F2496" s="69">
        <v>0</v>
      </c>
      <c r="G2496" s="69" t="s">
        <v>18</v>
      </c>
      <c r="H2496" s="69" t="s">
        <v>9</v>
      </c>
      <c r="I2496" s="69" t="s">
        <v>1819</v>
      </c>
      <c r="J2496" s="69" t="s">
        <v>64</v>
      </c>
      <c r="K2496" s="69" t="s">
        <v>94</v>
      </c>
      <c r="M2496" s="69" t="s">
        <v>6</v>
      </c>
    </row>
    <row r="2497" spans="2:13">
      <c r="B2497" s="69">
        <v>2495</v>
      </c>
      <c r="C2497" s="69">
        <v>217</v>
      </c>
      <c r="D2497" s="69">
        <v>7</v>
      </c>
      <c r="E2497" s="69">
        <v>0</v>
      </c>
      <c r="F2497" s="69">
        <v>0</v>
      </c>
      <c r="G2497" s="69" t="s">
        <v>18</v>
      </c>
      <c r="H2497" s="69" t="s">
        <v>9</v>
      </c>
      <c r="I2497" s="69" t="s">
        <v>1825</v>
      </c>
      <c r="J2497" s="69" t="s">
        <v>54</v>
      </c>
      <c r="K2497" s="69" t="s">
        <v>1825</v>
      </c>
      <c r="M2497" s="69" t="s">
        <v>6</v>
      </c>
    </row>
    <row r="2498" spans="2:13">
      <c r="B2498" s="69">
        <v>2496</v>
      </c>
      <c r="C2498" s="69">
        <v>217</v>
      </c>
      <c r="D2498" s="69">
        <v>7</v>
      </c>
      <c r="E2498" s="69">
        <v>1</v>
      </c>
      <c r="F2498" s="69">
        <v>0</v>
      </c>
      <c r="G2498" s="69" t="s">
        <v>18</v>
      </c>
      <c r="H2498" s="69" t="s">
        <v>9</v>
      </c>
      <c r="I2498" s="69" t="s">
        <v>1825</v>
      </c>
      <c r="J2498" s="69" t="s">
        <v>55</v>
      </c>
      <c r="K2498" s="69" t="s">
        <v>1826</v>
      </c>
      <c r="M2498" s="69" t="s">
        <v>6</v>
      </c>
    </row>
    <row r="2499" spans="2:13">
      <c r="B2499" s="69">
        <v>2497</v>
      </c>
      <c r="C2499" s="69">
        <v>217</v>
      </c>
      <c r="D2499" s="69">
        <v>7</v>
      </c>
      <c r="E2499" s="69">
        <v>2</v>
      </c>
      <c r="F2499" s="69">
        <v>0</v>
      </c>
      <c r="G2499" s="69" t="s">
        <v>18</v>
      </c>
      <c r="H2499" s="69" t="s">
        <v>9</v>
      </c>
      <c r="I2499" s="69" t="s">
        <v>1825</v>
      </c>
      <c r="J2499" s="69" t="s">
        <v>55</v>
      </c>
      <c r="K2499" s="69" t="s">
        <v>1827</v>
      </c>
      <c r="M2499" s="69" t="s">
        <v>6</v>
      </c>
    </row>
    <row r="2500" spans="2:13">
      <c r="B2500" s="69">
        <v>2498</v>
      </c>
      <c r="C2500" s="69">
        <v>217</v>
      </c>
      <c r="D2500" s="69">
        <v>7</v>
      </c>
      <c r="E2500" s="69">
        <v>3</v>
      </c>
      <c r="F2500" s="69">
        <v>0</v>
      </c>
      <c r="G2500" s="69" t="s">
        <v>18</v>
      </c>
      <c r="H2500" s="69" t="s">
        <v>9</v>
      </c>
      <c r="I2500" s="69" t="s">
        <v>1825</v>
      </c>
      <c r="J2500" s="69" t="s">
        <v>55</v>
      </c>
      <c r="K2500" s="69" t="s">
        <v>1828</v>
      </c>
      <c r="M2500" s="69" t="s">
        <v>6</v>
      </c>
    </row>
    <row r="2501" spans="2:13">
      <c r="B2501" s="69">
        <v>2499</v>
      </c>
      <c r="C2501" s="69">
        <v>217</v>
      </c>
      <c r="D2501" s="69">
        <v>7</v>
      </c>
      <c r="E2501" s="69">
        <v>4</v>
      </c>
      <c r="F2501" s="69">
        <v>0</v>
      </c>
      <c r="G2501" s="69" t="s">
        <v>18</v>
      </c>
      <c r="H2501" s="69" t="s">
        <v>9</v>
      </c>
      <c r="I2501" s="69" t="s">
        <v>1825</v>
      </c>
      <c r="J2501" s="69" t="s">
        <v>55</v>
      </c>
      <c r="K2501" s="69" t="s">
        <v>1817</v>
      </c>
      <c r="M2501" s="69" t="s">
        <v>6</v>
      </c>
    </row>
    <row r="2502" spans="2:13">
      <c r="B2502" s="69">
        <v>2500</v>
      </c>
      <c r="C2502" s="69">
        <v>217</v>
      </c>
      <c r="D2502" s="69">
        <v>7</v>
      </c>
      <c r="E2502" s="69">
        <v>5</v>
      </c>
      <c r="F2502" s="69">
        <v>0</v>
      </c>
      <c r="G2502" s="69" t="s">
        <v>18</v>
      </c>
      <c r="H2502" s="69" t="s">
        <v>9</v>
      </c>
      <c r="I2502" s="69" t="s">
        <v>1825</v>
      </c>
      <c r="J2502" s="69" t="s">
        <v>55</v>
      </c>
      <c r="K2502" s="69" t="s">
        <v>1829</v>
      </c>
      <c r="M2502" s="69" t="s">
        <v>6</v>
      </c>
    </row>
    <row r="2503" spans="2:13">
      <c r="B2503" s="69">
        <v>2501</v>
      </c>
      <c r="C2503" s="69">
        <v>217</v>
      </c>
      <c r="D2503" s="69">
        <v>7</v>
      </c>
      <c r="E2503" s="69">
        <v>6</v>
      </c>
      <c r="F2503" s="69">
        <v>0</v>
      </c>
      <c r="G2503" s="69" t="s">
        <v>18</v>
      </c>
      <c r="H2503" s="69" t="s">
        <v>9</v>
      </c>
      <c r="I2503" s="69" t="s">
        <v>1825</v>
      </c>
      <c r="J2503" s="69" t="s">
        <v>55</v>
      </c>
      <c r="K2503" s="69" t="s">
        <v>93</v>
      </c>
      <c r="M2503" s="69" t="s">
        <v>6</v>
      </c>
    </row>
    <row r="2504" spans="2:13">
      <c r="B2504" s="69">
        <v>2502</v>
      </c>
      <c r="C2504" s="69">
        <v>217</v>
      </c>
      <c r="D2504" s="69">
        <v>7</v>
      </c>
      <c r="E2504" s="69">
        <v>7</v>
      </c>
      <c r="F2504" s="69">
        <v>0</v>
      </c>
      <c r="G2504" s="69" t="s">
        <v>18</v>
      </c>
      <c r="H2504" s="69" t="s">
        <v>9</v>
      </c>
      <c r="I2504" s="69" t="s">
        <v>1825</v>
      </c>
      <c r="J2504" s="69" t="s">
        <v>64</v>
      </c>
      <c r="K2504" s="69" t="s">
        <v>94</v>
      </c>
      <c r="M2504" s="69" t="s">
        <v>6</v>
      </c>
    </row>
    <row r="2505" spans="2:13">
      <c r="B2505" s="69">
        <v>2503</v>
      </c>
      <c r="C2505" s="69">
        <v>218</v>
      </c>
      <c r="D2505" s="69">
        <v>6</v>
      </c>
      <c r="E2505" s="69">
        <v>0</v>
      </c>
      <c r="F2505" s="69">
        <v>0</v>
      </c>
      <c r="G2505" s="69" t="s">
        <v>18</v>
      </c>
      <c r="H2505" s="69" t="s">
        <v>9</v>
      </c>
      <c r="I2505" s="69" t="s">
        <v>1830</v>
      </c>
      <c r="J2505" s="69" t="s">
        <v>54</v>
      </c>
      <c r="K2505" s="69" t="s">
        <v>1830</v>
      </c>
      <c r="M2505" s="69" t="s">
        <v>6</v>
      </c>
    </row>
    <row r="2506" spans="2:13">
      <c r="B2506" s="69">
        <v>2504</v>
      </c>
      <c r="C2506" s="69">
        <v>218</v>
      </c>
      <c r="D2506" s="69">
        <v>6</v>
      </c>
      <c r="E2506" s="69">
        <v>1</v>
      </c>
      <c r="F2506" s="69">
        <v>0</v>
      </c>
      <c r="G2506" s="69" t="s">
        <v>18</v>
      </c>
      <c r="H2506" s="69" t="s">
        <v>9</v>
      </c>
      <c r="I2506" s="69" t="s">
        <v>1830</v>
      </c>
      <c r="J2506" s="69" t="s">
        <v>55</v>
      </c>
      <c r="K2506" s="69" t="s">
        <v>1816</v>
      </c>
      <c r="M2506" s="69" t="s">
        <v>6</v>
      </c>
    </row>
    <row r="2507" spans="2:13">
      <c r="B2507" s="69">
        <v>2505</v>
      </c>
      <c r="C2507" s="69">
        <v>218</v>
      </c>
      <c r="D2507" s="69">
        <v>6</v>
      </c>
      <c r="E2507" s="69">
        <v>2</v>
      </c>
      <c r="F2507" s="69">
        <v>0</v>
      </c>
      <c r="G2507" s="69" t="s">
        <v>18</v>
      </c>
      <c r="H2507" s="69" t="s">
        <v>9</v>
      </c>
      <c r="I2507" s="69" t="s">
        <v>1830</v>
      </c>
      <c r="J2507" s="69" t="s">
        <v>55</v>
      </c>
      <c r="K2507" s="69" t="s">
        <v>155</v>
      </c>
      <c r="M2507" s="69" t="s">
        <v>6</v>
      </c>
    </row>
    <row r="2508" spans="2:13">
      <c r="B2508" s="69">
        <v>2506</v>
      </c>
      <c r="C2508" s="69">
        <v>218</v>
      </c>
      <c r="D2508" s="69">
        <v>6</v>
      </c>
      <c r="E2508" s="69">
        <v>3</v>
      </c>
      <c r="F2508" s="69">
        <v>0</v>
      </c>
      <c r="G2508" s="69" t="s">
        <v>18</v>
      </c>
      <c r="H2508" s="69" t="s">
        <v>9</v>
      </c>
      <c r="I2508" s="69" t="s">
        <v>1830</v>
      </c>
      <c r="J2508" s="69" t="s">
        <v>55</v>
      </c>
      <c r="K2508" s="69" t="s">
        <v>1817</v>
      </c>
      <c r="M2508" s="69" t="s">
        <v>6</v>
      </c>
    </row>
    <row r="2509" spans="2:13">
      <c r="B2509" s="69">
        <v>2507</v>
      </c>
      <c r="C2509" s="69">
        <v>218</v>
      </c>
      <c r="D2509" s="69">
        <v>6</v>
      </c>
      <c r="E2509" s="69">
        <v>4</v>
      </c>
      <c r="F2509" s="69">
        <v>0</v>
      </c>
      <c r="G2509" s="69" t="s">
        <v>18</v>
      </c>
      <c r="H2509" s="69" t="s">
        <v>9</v>
      </c>
      <c r="I2509" s="69" t="s">
        <v>1830</v>
      </c>
      <c r="J2509" s="69" t="s">
        <v>55</v>
      </c>
      <c r="K2509" s="69" t="s">
        <v>1831</v>
      </c>
      <c r="M2509" s="69" t="s">
        <v>6</v>
      </c>
    </row>
    <row r="2510" spans="2:13">
      <c r="B2510" s="69">
        <v>2508</v>
      </c>
      <c r="C2510" s="69">
        <v>218</v>
      </c>
      <c r="D2510" s="69">
        <v>6</v>
      </c>
      <c r="E2510" s="69">
        <v>5</v>
      </c>
      <c r="F2510" s="69">
        <v>0</v>
      </c>
      <c r="G2510" s="69" t="s">
        <v>18</v>
      </c>
      <c r="H2510" s="69" t="s">
        <v>9</v>
      </c>
      <c r="I2510" s="69" t="s">
        <v>1830</v>
      </c>
      <c r="J2510" s="69" t="s">
        <v>55</v>
      </c>
      <c r="K2510" s="69" t="s">
        <v>93</v>
      </c>
      <c r="M2510" s="69" t="s">
        <v>6</v>
      </c>
    </row>
    <row r="2511" spans="2:13">
      <c r="B2511" s="69">
        <v>2509</v>
      </c>
      <c r="C2511" s="69">
        <v>218</v>
      </c>
      <c r="D2511" s="69">
        <v>6</v>
      </c>
      <c r="E2511" s="69">
        <v>6</v>
      </c>
      <c r="F2511" s="69">
        <v>0</v>
      </c>
      <c r="G2511" s="69" t="s">
        <v>18</v>
      </c>
      <c r="H2511" s="69" t="s">
        <v>9</v>
      </c>
      <c r="I2511" s="69" t="s">
        <v>1830</v>
      </c>
      <c r="J2511" s="69" t="s">
        <v>64</v>
      </c>
      <c r="K2511" s="69" t="s">
        <v>94</v>
      </c>
      <c r="M2511" s="69" t="s">
        <v>6</v>
      </c>
    </row>
    <row r="2512" spans="2:13">
      <c r="B2512" s="69">
        <v>2510</v>
      </c>
      <c r="C2512" s="69">
        <v>219</v>
      </c>
      <c r="D2512" s="69">
        <v>6</v>
      </c>
      <c r="E2512" s="69">
        <v>0</v>
      </c>
      <c r="F2512" s="69">
        <v>0</v>
      </c>
      <c r="G2512" s="69" t="s">
        <v>18</v>
      </c>
      <c r="H2512" s="69" t="s">
        <v>9</v>
      </c>
      <c r="I2512" s="69" t="s">
        <v>1832</v>
      </c>
      <c r="J2512" s="69" t="s">
        <v>54</v>
      </c>
      <c r="K2512" s="69" t="s">
        <v>1832</v>
      </c>
      <c r="M2512" s="69" t="s">
        <v>6</v>
      </c>
    </row>
    <row r="2513" spans="2:13">
      <c r="B2513" s="69">
        <v>2511</v>
      </c>
      <c r="C2513" s="69">
        <v>219</v>
      </c>
      <c r="D2513" s="69">
        <v>6</v>
      </c>
      <c r="E2513" s="69">
        <v>1</v>
      </c>
      <c r="F2513" s="69">
        <v>0</v>
      </c>
      <c r="G2513" s="69" t="s">
        <v>18</v>
      </c>
      <c r="H2513" s="69" t="s">
        <v>9</v>
      </c>
      <c r="I2513" s="69" t="s">
        <v>1832</v>
      </c>
      <c r="J2513" s="69" t="s">
        <v>55</v>
      </c>
      <c r="K2513" s="69" t="s">
        <v>954</v>
      </c>
      <c r="M2513" s="69" t="s">
        <v>6</v>
      </c>
    </row>
    <row r="2514" spans="2:13">
      <c r="B2514" s="69">
        <v>2512</v>
      </c>
      <c r="C2514" s="69">
        <v>219</v>
      </c>
      <c r="D2514" s="69">
        <v>6</v>
      </c>
      <c r="E2514" s="69">
        <v>2</v>
      </c>
      <c r="F2514" s="69">
        <v>0</v>
      </c>
      <c r="G2514" s="69" t="s">
        <v>18</v>
      </c>
      <c r="H2514" s="69" t="s">
        <v>9</v>
      </c>
      <c r="I2514" s="69" t="s">
        <v>1832</v>
      </c>
      <c r="J2514" s="69" t="s">
        <v>55</v>
      </c>
      <c r="K2514" s="69" t="s">
        <v>1833</v>
      </c>
      <c r="M2514" s="69" t="s">
        <v>6</v>
      </c>
    </row>
    <row r="2515" spans="2:13">
      <c r="B2515" s="69">
        <v>2513</v>
      </c>
      <c r="C2515" s="69">
        <v>219</v>
      </c>
      <c r="D2515" s="69">
        <v>6</v>
      </c>
      <c r="E2515" s="69">
        <v>3</v>
      </c>
      <c r="F2515" s="69">
        <v>0</v>
      </c>
      <c r="G2515" s="69" t="s">
        <v>18</v>
      </c>
      <c r="H2515" s="69" t="s">
        <v>9</v>
      </c>
      <c r="I2515" s="69" t="s">
        <v>1832</v>
      </c>
      <c r="J2515" s="69" t="s">
        <v>55</v>
      </c>
      <c r="K2515" s="69" t="s">
        <v>953</v>
      </c>
      <c r="M2515" s="69" t="s">
        <v>6</v>
      </c>
    </row>
    <row r="2516" spans="2:13">
      <c r="B2516" s="69">
        <v>2514</v>
      </c>
      <c r="C2516" s="69">
        <v>219</v>
      </c>
      <c r="D2516" s="69">
        <v>6</v>
      </c>
      <c r="E2516" s="69">
        <v>4</v>
      </c>
      <c r="F2516" s="69">
        <v>0</v>
      </c>
      <c r="G2516" s="69" t="s">
        <v>18</v>
      </c>
      <c r="H2516" s="69" t="s">
        <v>9</v>
      </c>
      <c r="I2516" s="69" t="s">
        <v>1832</v>
      </c>
      <c r="J2516" s="69" t="s">
        <v>55</v>
      </c>
      <c r="K2516" s="69" t="s">
        <v>1834</v>
      </c>
      <c r="M2516" s="69" t="s">
        <v>6</v>
      </c>
    </row>
    <row r="2517" spans="2:13">
      <c r="B2517" s="69">
        <v>2515</v>
      </c>
      <c r="C2517" s="69">
        <v>219</v>
      </c>
      <c r="D2517" s="69">
        <v>6</v>
      </c>
      <c r="E2517" s="69">
        <v>5</v>
      </c>
      <c r="F2517" s="69">
        <v>0</v>
      </c>
      <c r="G2517" s="69" t="s">
        <v>18</v>
      </c>
      <c r="H2517" s="69" t="s">
        <v>9</v>
      </c>
      <c r="I2517" s="69" t="s">
        <v>1832</v>
      </c>
      <c r="J2517" s="69" t="s">
        <v>55</v>
      </c>
      <c r="K2517" s="69" t="s">
        <v>93</v>
      </c>
      <c r="M2517" s="69" t="s">
        <v>6</v>
      </c>
    </row>
    <row r="2518" spans="2:13">
      <c r="B2518" s="69">
        <v>2516</v>
      </c>
      <c r="C2518" s="69">
        <v>219</v>
      </c>
      <c r="D2518" s="69">
        <v>6</v>
      </c>
      <c r="E2518" s="69">
        <v>6</v>
      </c>
      <c r="F2518" s="69">
        <v>0</v>
      </c>
      <c r="G2518" s="69" t="s">
        <v>18</v>
      </c>
      <c r="H2518" s="69" t="s">
        <v>9</v>
      </c>
      <c r="I2518" s="69" t="s">
        <v>1832</v>
      </c>
      <c r="J2518" s="69" t="s">
        <v>64</v>
      </c>
      <c r="K2518" s="69" t="s">
        <v>94</v>
      </c>
      <c r="M2518" s="69" t="s">
        <v>6</v>
      </c>
    </row>
    <row r="2519" spans="2:13">
      <c r="B2519" s="69">
        <v>2517</v>
      </c>
      <c r="C2519" s="69">
        <v>220</v>
      </c>
      <c r="D2519" s="69">
        <v>6</v>
      </c>
      <c r="E2519" s="69">
        <v>0</v>
      </c>
      <c r="F2519" s="69">
        <v>0</v>
      </c>
      <c r="G2519" s="69" t="s">
        <v>18</v>
      </c>
      <c r="H2519" s="69" t="s">
        <v>9</v>
      </c>
      <c r="I2519" s="69" t="s">
        <v>1835</v>
      </c>
      <c r="J2519" s="69" t="s">
        <v>54</v>
      </c>
      <c r="K2519" s="69" t="s">
        <v>1835</v>
      </c>
      <c r="M2519" s="69" t="s">
        <v>6</v>
      </c>
    </row>
    <row r="2520" spans="2:13">
      <c r="B2520" s="69">
        <v>2518</v>
      </c>
      <c r="C2520" s="69">
        <v>220</v>
      </c>
      <c r="D2520" s="69">
        <v>6</v>
      </c>
      <c r="E2520" s="69">
        <v>1</v>
      </c>
      <c r="F2520" s="69">
        <v>0</v>
      </c>
      <c r="G2520" s="69" t="s">
        <v>18</v>
      </c>
      <c r="H2520" s="69" t="s">
        <v>9</v>
      </c>
      <c r="I2520" s="69" t="s">
        <v>1835</v>
      </c>
      <c r="J2520" s="69" t="s">
        <v>55</v>
      </c>
      <c r="K2520" s="69" t="s">
        <v>1816</v>
      </c>
      <c r="M2520" s="69" t="s">
        <v>6</v>
      </c>
    </row>
    <row r="2521" spans="2:13">
      <c r="B2521" s="69">
        <v>2519</v>
      </c>
      <c r="C2521" s="69">
        <v>220</v>
      </c>
      <c r="D2521" s="69">
        <v>6</v>
      </c>
      <c r="E2521" s="69">
        <v>2</v>
      </c>
      <c r="F2521" s="69">
        <v>0</v>
      </c>
      <c r="G2521" s="69" t="s">
        <v>18</v>
      </c>
      <c r="H2521" s="69" t="s">
        <v>9</v>
      </c>
      <c r="I2521" s="69" t="s">
        <v>1835</v>
      </c>
      <c r="J2521" s="69" t="s">
        <v>55</v>
      </c>
      <c r="K2521" s="69" t="s">
        <v>155</v>
      </c>
      <c r="M2521" s="69" t="s">
        <v>6</v>
      </c>
    </row>
    <row r="2522" spans="2:13">
      <c r="B2522" s="69">
        <v>2520</v>
      </c>
      <c r="C2522" s="69">
        <v>220</v>
      </c>
      <c r="D2522" s="69">
        <v>6</v>
      </c>
      <c r="E2522" s="69">
        <v>3</v>
      </c>
      <c r="F2522" s="69">
        <v>0</v>
      </c>
      <c r="G2522" s="69" t="s">
        <v>18</v>
      </c>
      <c r="H2522" s="69" t="s">
        <v>9</v>
      </c>
      <c r="I2522" s="69" t="s">
        <v>1835</v>
      </c>
      <c r="J2522" s="69" t="s">
        <v>55</v>
      </c>
      <c r="K2522" s="69" t="s">
        <v>1817</v>
      </c>
      <c r="M2522" s="69" t="s">
        <v>6</v>
      </c>
    </row>
    <row r="2523" spans="2:13">
      <c r="B2523" s="69">
        <v>2521</v>
      </c>
      <c r="C2523" s="69">
        <v>220</v>
      </c>
      <c r="D2523" s="69">
        <v>6</v>
      </c>
      <c r="E2523" s="69">
        <v>4</v>
      </c>
      <c r="F2523" s="69">
        <v>0</v>
      </c>
      <c r="G2523" s="69" t="s">
        <v>18</v>
      </c>
      <c r="H2523" s="69" t="s">
        <v>9</v>
      </c>
      <c r="I2523" s="69" t="s">
        <v>1835</v>
      </c>
      <c r="J2523" s="69" t="s">
        <v>55</v>
      </c>
      <c r="K2523" s="69" t="s">
        <v>1836</v>
      </c>
      <c r="M2523" s="69" t="s">
        <v>6</v>
      </c>
    </row>
    <row r="2524" spans="2:13">
      <c r="B2524" s="69">
        <v>2522</v>
      </c>
      <c r="C2524" s="69">
        <v>220</v>
      </c>
      <c r="D2524" s="69">
        <v>6</v>
      </c>
      <c r="E2524" s="69">
        <v>5</v>
      </c>
      <c r="F2524" s="69">
        <v>0</v>
      </c>
      <c r="G2524" s="69" t="s">
        <v>18</v>
      </c>
      <c r="H2524" s="69" t="s">
        <v>9</v>
      </c>
      <c r="I2524" s="69" t="s">
        <v>1835</v>
      </c>
      <c r="J2524" s="69" t="s">
        <v>55</v>
      </c>
      <c r="K2524" s="69" t="s">
        <v>93</v>
      </c>
      <c r="M2524" s="69" t="s">
        <v>6</v>
      </c>
    </row>
    <row r="2525" spans="2:13">
      <c r="B2525" s="69">
        <v>2523</v>
      </c>
      <c r="C2525" s="69">
        <v>220</v>
      </c>
      <c r="D2525" s="69">
        <v>6</v>
      </c>
      <c r="E2525" s="69">
        <v>6</v>
      </c>
      <c r="F2525" s="69">
        <v>0</v>
      </c>
      <c r="G2525" s="69" t="s">
        <v>18</v>
      </c>
      <c r="H2525" s="69" t="s">
        <v>9</v>
      </c>
      <c r="I2525" s="69" t="s">
        <v>1835</v>
      </c>
      <c r="J2525" s="69" t="s">
        <v>64</v>
      </c>
      <c r="K2525" s="69" t="s">
        <v>94</v>
      </c>
      <c r="M2525" s="69" t="s">
        <v>6</v>
      </c>
    </row>
    <row r="2526" spans="2:13">
      <c r="B2526" s="69">
        <v>2524</v>
      </c>
      <c r="C2526" s="69">
        <v>221</v>
      </c>
      <c r="D2526" s="69">
        <v>6</v>
      </c>
      <c r="E2526" s="69">
        <v>0</v>
      </c>
      <c r="F2526" s="69">
        <v>0</v>
      </c>
      <c r="G2526" s="69" t="s">
        <v>18</v>
      </c>
      <c r="H2526" s="69" t="s">
        <v>9</v>
      </c>
      <c r="I2526" s="69" t="s">
        <v>1837</v>
      </c>
      <c r="J2526" s="69" t="s">
        <v>54</v>
      </c>
      <c r="K2526" s="69" t="s">
        <v>1837</v>
      </c>
      <c r="M2526" s="69" t="s">
        <v>6</v>
      </c>
    </row>
    <row r="2527" spans="2:13">
      <c r="B2527" s="69">
        <v>2525</v>
      </c>
      <c r="C2527" s="69">
        <v>221</v>
      </c>
      <c r="D2527" s="69">
        <v>6</v>
      </c>
      <c r="E2527" s="69">
        <v>1</v>
      </c>
      <c r="F2527" s="69">
        <v>0</v>
      </c>
      <c r="G2527" s="69" t="s">
        <v>18</v>
      </c>
      <c r="H2527" s="69" t="s">
        <v>9</v>
      </c>
      <c r="I2527" s="69" t="s">
        <v>1837</v>
      </c>
      <c r="J2527" s="69" t="s">
        <v>55</v>
      </c>
      <c r="K2527" s="69" t="s">
        <v>1816</v>
      </c>
      <c r="M2527" s="69" t="s">
        <v>6</v>
      </c>
    </row>
    <row r="2528" spans="2:13">
      <c r="B2528" s="69">
        <v>2526</v>
      </c>
      <c r="C2528" s="69">
        <v>221</v>
      </c>
      <c r="D2528" s="69">
        <v>6</v>
      </c>
      <c r="E2528" s="69">
        <v>2</v>
      </c>
      <c r="F2528" s="69">
        <v>0</v>
      </c>
      <c r="G2528" s="69" t="s">
        <v>18</v>
      </c>
      <c r="H2528" s="69" t="s">
        <v>9</v>
      </c>
      <c r="I2528" s="69" t="s">
        <v>1837</v>
      </c>
      <c r="J2528" s="69" t="s">
        <v>55</v>
      </c>
      <c r="K2528" s="69" t="s">
        <v>155</v>
      </c>
      <c r="M2528" s="69" t="s">
        <v>6</v>
      </c>
    </row>
    <row r="2529" spans="2:13">
      <c r="B2529" s="69">
        <v>2527</v>
      </c>
      <c r="C2529" s="69">
        <v>221</v>
      </c>
      <c r="D2529" s="69">
        <v>6</v>
      </c>
      <c r="E2529" s="69">
        <v>3</v>
      </c>
      <c r="F2529" s="69">
        <v>0</v>
      </c>
      <c r="G2529" s="69" t="s">
        <v>18</v>
      </c>
      <c r="H2529" s="69" t="s">
        <v>9</v>
      </c>
      <c r="I2529" s="69" t="s">
        <v>1837</v>
      </c>
      <c r="J2529" s="69" t="s">
        <v>55</v>
      </c>
      <c r="K2529" s="69" t="s">
        <v>1817</v>
      </c>
      <c r="M2529" s="69" t="s">
        <v>6</v>
      </c>
    </row>
    <row r="2530" spans="2:13">
      <c r="B2530" s="69">
        <v>2528</v>
      </c>
      <c r="C2530" s="69">
        <v>221</v>
      </c>
      <c r="D2530" s="69">
        <v>6</v>
      </c>
      <c r="E2530" s="69">
        <v>4</v>
      </c>
      <c r="F2530" s="69">
        <v>0</v>
      </c>
      <c r="G2530" s="69" t="s">
        <v>18</v>
      </c>
      <c r="H2530" s="69" t="s">
        <v>9</v>
      </c>
      <c r="I2530" s="69" t="s">
        <v>1837</v>
      </c>
      <c r="J2530" s="69" t="s">
        <v>55</v>
      </c>
      <c r="K2530" s="69" t="s">
        <v>1838</v>
      </c>
      <c r="M2530" s="69" t="s">
        <v>6</v>
      </c>
    </row>
    <row r="2531" spans="2:13">
      <c r="B2531" s="69">
        <v>2529</v>
      </c>
      <c r="C2531" s="69">
        <v>221</v>
      </c>
      <c r="D2531" s="69">
        <v>6</v>
      </c>
      <c r="E2531" s="69">
        <v>5</v>
      </c>
      <c r="F2531" s="69">
        <v>0</v>
      </c>
      <c r="G2531" s="69" t="s">
        <v>18</v>
      </c>
      <c r="H2531" s="69" t="s">
        <v>9</v>
      </c>
      <c r="I2531" s="69" t="s">
        <v>1837</v>
      </c>
      <c r="J2531" s="69" t="s">
        <v>55</v>
      </c>
      <c r="K2531" s="69" t="s">
        <v>93</v>
      </c>
      <c r="M2531" s="69" t="s">
        <v>6</v>
      </c>
    </row>
    <row r="2532" spans="2:13">
      <c r="B2532" s="69">
        <v>2530</v>
      </c>
      <c r="C2532" s="69">
        <v>221</v>
      </c>
      <c r="D2532" s="69">
        <v>6</v>
      </c>
      <c r="E2532" s="69">
        <v>6</v>
      </c>
      <c r="F2532" s="69">
        <v>0</v>
      </c>
      <c r="G2532" s="69" t="s">
        <v>18</v>
      </c>
      <c r="H2532" s="69" t="s">
        <v>9</v>
      </c>
      <c r="I2532" s="69" t="s">
        <v>1837</v>
      </c>
      <c r="J2532" s="69" t="s">
        <v>64</v>
      </c>
      <c r="K2532" s="69" t="s">
        <v>94</v>
      </c>
      <c r="M2532" s="69" t="s">
        <v>6</v>
      </c>
    </row>
    <row r="2533" spans="2:13">
      <c r="B2533" s="69">
        <v>2531</v>
      </c>
      <c r="C2533" s="69">
        <v>222</v>
      </c>
      <c r="D2533" s="69">
        <v>6</v>
      </c>
      <c r="E2533" s="69">
        <v>0</v>
      </c>
      <c r="F2533" s="69">
        <v>0</v>
      </c>
      <c r="G2533" s="69" t="s">
        <v>18</v>
      </c>
      <c r="H2533" s="69" t="s">
        <v>9</v>
      </c>
      <c r="I2533" s="69" t="s">
        <v>1839</v>
      </c>
      <c r="J2533" s="69" t="s">
        <v>54</v>
      </c>
      <c r="K2533" s="69" t="s">
        <v>1839</v>
      </c>
      <c r="M2533" s="69" t="s">
        <v>6</v>
      </c>
    </row>
    <row r="2534" spans="2:13">
      <c r="B2534" s="69">
        <v>2532</v>
      </c>
      <c r="C2534" s="69">
        <v>222</v>
      </c>
      <c r="D2534" s="69">
        <v>6</v>
      </c>
      <c r="E2534" s="69">
        <v>1</v>
      </c>
      <c r="F2534" s="69">
        <v>0</v>
      </c>
      <c r="G2534" s="69" t="s">
        <v>18</v>
      </c>
      <c r="H2534" s="69" t="s">
        <v>9</v>
      </c>
      <c r="I2534" s="69" t="s">
        <v>1839</v>
      </c>
      <c r="J2534" s="69" t="s">
        <v>55</v>
      </c>
      <c r="K2534" s="69" t="s">
        <v>1816</v>
      </c>
      <c r="M2534" s="69" t="s">
        <v>6</v>
      </c>
    </row>
    <row r="2535" spans="2:13">
      <c r="B2535" s="69">
        <v>2533</v>
      </c>
      <c r="C2535" s="69">
        <v>222</v>
      </c>
      <c r="D2535" s="69">
        <v>6</v>
      </c>
      <c r="E2535" s="69">
        <v>2</v>
      </c>
      <c r="F2535" s="69">
        <v>0</v>
      </c>
      <c r="G2535" s="69" t="s">
        <v>18</v>
      </c>
      <c r="H2535" s="69" t="s">
        <v>9</v>
      </c>
      <c r="I2535" s="69" t="s">
        <v>1839</v>
      </c>
      <c r="J2535" s="69" t="s">
        <v>55</v>
      </c>
      <c r="K2535" s="69" t="s">
        <v>155</v>
      </c>
      <c r="M2535" s="69" t="s">
        <v>6</v>
      </c>
    </row>
    <row r="2536" spans="2:13">
      <c r="B2536" s="69">
        <v>2534</v>
      </c>
      <c r="C2536" s="69">
        <v>222</v>
      </c>
      <c r="D2536" s="69">
        <v>6</v>
      </c>
      <c r="E2536" s="69">
        <v>3</v>
      </c>
      <c r="F2536" s="69">
        <v>0</v>
      </c>
      <c r="G2536" s="69" t="s">
        <v>18</v>
      </c>
      <c r="H2536" s="69" t="s">
        <v>9</v>
      </c>
      <c r="I2536" s="69" t="s">
        <v>1839</v>
      </c>
      <c r="J2536" s="69" t="s">
        <v>55</v>
      </c>
      <c r="K2536" s="69" t="s">
        <v>1817</v>
      </c>
      <c r="M2536" s="69" t="s">
        <v>6</v>
      </c>
    </row>
    <row r="2537" spans="2:13">
      <c r="B2537" s="69">
        <v>2535</v>
      </c>
      <c r="C2537" s="69">
        <v>222</v>
      </c>
      <c r="D2537" s="69">
        <v>6</v>
      </c>
      <c r="E2537" s="69">
        <v>4</v>
      </c>
      <c r="F2537" s="69">
        <v>0</v>
      </c>
      <c r="G2537" s="69" t="s">
        <v>18</v>
      </c>
      <c r="H2537" s="69" t="s">
        <v>9</v>
      </c>
      <c r="I2537" s="69" t="s">
        <v>1839</v>
      </c>
      <c r="J2537" s="69" t="s">
        <v>55</v>
      </c>
      <c r="K2537" s="69" t="s">
        <v>1840</v>
      </c>
      <c r="M2537" s="69" t="s">
        <v>6</v>
      </c>
    </row>
    <row r="2538" spans="2:13">
      <c r="B2538" s="69">
        <v>2536</v>
      </c>
      <c r="C2538" s="69">
        <v>222</v>
      </c>
      <c r="D2538" s="69">
        <v>6</v>
      </c>
      <c r="E2538" s="69">
        <v>5</v>
      </c>
      <c r="F2538" s="69">
        <v>0</v>
      </c>
      <c r="G2538" s="69" t="s">
        <v>18</v>
      </c>
      <c r="H2538" s="69" t="s">
        <v>9</v>
      </c>
      <c r="I2538" s="69" t="s">
        <v>1839</v>
      </c>
      <c r="J2538" s="69" t="s">
        <v>55</v>
      </c>
      <c r="K2538" s="69" t="s">
        <v>93</v>
      </c>
      <c r="M2538" s="69" t="s">
        <v>6</v>
      </c>
    </row>
    <row r="2539" spans="2:13">
      <c r="B2539" s="69">
        <v>2537</v>
      </c>
      <c r="C2539" s="69">
        <v>222</v>
      </c>
      <c r="D2539" s="69">
        <v>6</v>
      </c>
      <c r="E2539" s="69">
        <v>6</v>
      </c>
      <c r="F2539" s="69">
        <v>0</v>
      </c>
      <c r="G2539" s="69" t="s">
        <v>18</v>
      </c>
      <c r="H2539" s="69" t="s">
        <v>9</v>
      </c>
      <c r="I2539" s="69" t="s">
        <v>1839</v>
      </c>
      <c r="J2539" s="69" t="s">
        <v>64</v>
      </c>
      <c r="K2539" s="69" t="s">
        <v>94</v>
      </c>
      <c r="M2539" s="69" t="s">
        <v>6</v>
      </c>
    </row>
    <row r="2540" spans="2:13">
      <c r="B2540" s="69">
        <v>2538</v>
      </c>
      <c r="C2540" s="69">
        <v>223</v>
      </c>
      <c r="D2540" s="69">
        <v>9</v>
      </c>
      <c r="E2540" s="69">
        <v>0</v>
      </c>
      <c r="F2540" s="69">
        <v>0</v>
      </c>
      <c r="G2540" s="69" t="s">
        <v>18</v>
      </c>
      <c r="H2540" s="69" t="s">
        <v>9</v>
      </c>
      <c r="I2540" s="69" t="s">
        <v>1841</v>
      </c>
      <c r="J2540" s="69" t="s">
        <v>54</v>
      </c>
      <c r="K2540" s="69" t="s">
        <v>1841</v>
      </c>
      <c r="M2540" s="69" t="s">
        <v>6</v>
      </c>
    </row>
    <row r="2541" spans="2:13">
      <c r="B2541" s="69">
        <v>2539</v>
      </c>
      <c r="C2541" s="69">
        <v>223</v>
      </c>
      <c r="D2541" s="69">
        <v>9</v>
      </c>
      <c r="E2541" s="69">
        <v>1</v>
      </c>
      <c r="F2541" s="69">
        <v>0</v>
      </c>
      <c r="G2541" s="69" t="s">
        <v>18</v>
      </c>
      <c r="H2541" s="69" t="s">
        <v>9</v>
      </c>
      <c r="I2541" s="69" t="s">
        <v>1841</v>
      </c>
      <c r="J2541" s="69" t="s">
        <v>55</v>
      </c>
      <c r="K2541" s="69" t="s">
        <v>1842</v>
      </c>
      <c r="M2541" s="69" t="s">
        <v>6</v>
      </c>
    </row>
    <row r="2542" spans="2:13">
      <c r="B2542" s="69">
        <v>2540</v>
      </c>
      <c r="C2542" s="69">
        <v>223</v>
      </c>
      <c r="D2542" s="69">
        <v>9</v>
      </c>
      <c r="E2542" s="69">
        <v>2</v>
      </c>
      <c r="F2542" s="69">
        <v>0</v>
      </c>
      <c r="G2542" s="69" t="s">
        <v>18</v>
      </c>
      <c r="H2542" s="69" t="s">
        <v>9</v>
      </c>
      <c r="I2542" s="69" t="s">
        <v>1841</v>
      </c>
      <c r="J2542" s="69" t="s">
        <v>55</v>
      </c>
      <c r="K2542" s="69" t="s">
        <v>1843</v>
      </c>
      <c r="M2542" s="69" t="s">
        <v>6</v>
      </c>
    </row>
    <row r="2543" spans="2:13">
      <c r="B2543" s="69">
        <v>2541</v>
      </c>
      <c r="C2543" s="69">
        <v>223</v>
      </c>
      <c r="D2543" s="69">
        <v>9</v>
      </c>
      <c r="E2543" s="69">
        <v>3</v>
      </c>
      <c r="F2543" s="69">
        <v>0</v>
      </c>
      <c r="G2543" s="69" t="s">
        <v>18</v>
      </c>
      <c r="H2543" s="69" t="s">
        <v>9</v>
      </c>
      <c r="I2543" s="69" t="s">
        <v>1841</v>
      </c>
      <c r="J2543" s="69" t="s">
        <v>55</v>
      </c>
      <c r="K2543" s="69" t="s">
        <v>1844</v>
      </c>
      <c r="M2543" s="69" t="s">
        <v>6</v>
      </c>
    </row>
    <row r="2544" spans="2:13">
      <c r="B2544" s="69">
        <v>2542</v>
      </c>
      <c r="C2544" s="69">
        <v>223</v>
      </c>
      <c r="D2544" s="69">
        <v>9</v>
      </c>
      <c r="E2544" s="69">
        <v>4</v>
      </c>
      <c r="F2544" s="69">
        <v>0</v>
      </c>
      <c r="G2544" s="69" t="s">
        <v>18</v>
      </c>
      <c r="H2544" s="69" t="s">
        <v>9</v>
      </c>
      <c r="I2544" s="69" t="s">
        <v>1841</v>
      </c>
      <c r="J2544" s="69" t="s">
        <v>55</v>
      </c>
      <c r="K2544" s="69" t="s">
        <v>1845</v>
      </c>
      <c r="M2544" s="69" t="s">
        <v>6</v>
      </c>
    </row>
    <row r="2545" spans="2:13">
      <c r="B2545" s="69">
        <v>2543</v>
      </c>
      <c r="C2545" s="69">
        <v>223</v>
      </c>
      <c r="D2545" s="69">
        <v>9</v>
      </c>
      <c r="E2545" s="69">
        <v>5</v>
      </c>
      <c r="F2545" s="69">
        <v>0</v>
      </c>
      <c r="G2545" s="69" t="s">
        <v>18</v>
      </c>
      <c r="H2545" s="69" t="s">
        <v>9</v>
      </c>
      <c r="I2545" s="69" t="s">
        <v>1841</v>
      </c>
      <c r="J2545" s="69" t="s">
        <v>55</v>
      </c>
      <c r="K2545" s="69" t="s">
        <v>1846</v>
      </c>
      <c r="M2545" s="69" t="s">
        <v>6</v>
      </c>
    </row>
    <row r="2546" spans="2:13">
      <c r="B2546" s="69">
        <v>2544</v>
      </c>
      <c r="C2546" s="69">
        <v>223</v>
      </c>
      <c r="D2546" s="69">
        <v>9</v>
      </c>
      <c r="E2546" s="69">
        <v>6</v>
      </c>
      <c r="F2546" s="69">
        <v>0</v>
      </c>
      <c r="G2546" s="69" t="s">
        <v>18</v>
      </c>
      <c r="H2546" s="69" t="s">
        <v>9</v>
      </c>
      <c r="I2546" s="69" t="s">
        <v>1841</v>
      </c>
      <c r="J2546" s="69" t="s">
        <v>55</v>
      </c>
      <c r="K2546" s="69" t="s">
        <v>1847</v>
      </c>
      <c r="M2546" s="69" t="s">
        <v>6</v>
      </c>
    </row>
    <row r="2547" spans="2:13">
      <c r="B2547" s="69">
        <v>2545</v>
      </c>
      <c r="C2547" s="69">
        <v>223</v>
      </c>
      <c r="D2547" s="69">
        <v>9</v>
      </c>
      <c r="E2547" s="69">
        <v>7</v>
      </c>
      <c r="F2547" s="69">
        <v>0</v>
      </c>
      <c r="G2547" s="69" t="s">
        <v>18</v>
      </c>
      <c r="H2547" s="69" t="s">
        <v>9</v>
      </c>
      <c r="I2547" s="69" t="s">
        <v>1841</v>
      </c>
      <c r="J2547" s="69" t="s">
        <v>55</v>
      </c>
      <c r="K2547" s="69" t="s">
        <v>1848</v>
      </c>
      <c r="M2547" s="69" t="s">
        <v>6</v>
      </c>
    </row>
    <row r="2548" spans="2:13">
      <c r="B2548" s="69">
        <v>2546</v>
      </c>
      <c r="C2548" s="69">
        <v>223</v>
      </c>
      <c r="D2548" s="69">
        <v>9</v>
      </c>
      <c r="E2548" s="69">
        <v>8</v>
      </c>
      <c r="F2548" s="69">
        <v>0</v>
      </c>
      <c r="G2548" s="69" t="s">
        <v>18</v>
      </c>
      <c r="H2548" s="69" t="s">
        <v>9</v>
      </c>
      <c r="I2548" s="69" t="s">
        <v>1841</v>
      </c>
      <c r="J2548" s="69" t="s">
        <v>55</v>
      </c>
      <c r="K2548" s="69" t="s">
        <v>93</v>
      </c>
      <c r="M2548" s="69" t="s">
        <v>6</v>
      </c>
    </row>
    <row r="2549" spans="2:13">
      <c r="B2549" s="69">
        <v>2547</v>
      </c>
      <c r="C2549" s="69">
        <v>223</v>
      </c>
      <c r="D2549" s="69">
        <v>9</v>
      </c>
      <c r="E2549" s="69">
        <v>9</v>
      </c>
      <c r="F2549" s="69">
        <v>0</v>
      </c>
      <c r="G2549" s="69" t="s">
        <v>18</v>
      </c>
      <c r="H2549" s="69" t="s">
        <v>9</v>
      </c>
      <c r="I2549" s="69" t="s">
        <v>1841</v>
      </c>
      <c r="J2549" s="69" t="s">
        <v>64</v>
      </c>
      <c r="K2549" s="69" t="s">
        <v>94</v>
      </c>
      <c r="M2549" s="69" t="s">
        <v>6</v>
      </c>
    </row>
    <row r="2550" spans="2:13">
      <c r="B2550" s="69">
        <v>2548</v>
      </c>
      <c r="C2550" s="69">
        <v>224</v>
      </c>
      <c r="D2550" s="69">
        <v>8</v>
      </c>
      <c r="E2550" s="69">
        <v>0</v>
      </c>
      <c r="F2550" s="69">
        <v>0</v>
      </c>
      <c r="G2550" s="69" t="s">
        <v>18</v>
      </c>
      <c r="H2550" s="69" t="s">
        <v>9</v>
      </c>
      <c r="I2550" s="69" t="s">
        <v>1849</v>
      </c>
      <c r="J2550" s="69" t="s">
        <v>54</v>
      </c>
      <c r="K2550" s="69" t="s">
        <v>1849</v>
      </c>
      <c r="M2550" s="69" t="s">
        <v>6</v>
      </c>
    </row>
    <row r="2551" spans="2:13">
      <c r="B2551" s="69">
        <v>2549</v>
      </c>
      <c r="C2551" s="69">
        <v>224</v>
      </c>
      <c r="D2551" s="69">
        <v>8</v>
      </c>
      <c r="E2551" s="69">
        <v>1</v>
      </c>
      <c r="F2551" s="69">
        <v>0</v>
      </c>
      <c r="G2551" s="69" t="s">
        <v>18</v>
      </c>
      <c r="H2551" s="69" t="s">
        <v>9</v>
      </c>
      <c r="I2551" s="69" t="s">
        <v>1849</v>
      </c>
      <c r="J2551" s="69" t="s">
        <v>55</v>
      </c>
      <c r="K2551" s="69" t="s">
        <v>1816</v>
      </c>
      <c r="M2551" s="69" t="s">
        <v>6</v>
      </c>
    </row>
    <row r="2552" spans="2:13">
      <c r="B2552" s="69">
        <v>2550</v>
      </c>
      <c r="C2552" s="69">
        <v>224</v>
      </c>
      <c r="D2552" s="69">
        <v>8</v>
      </c>
      <c r="E2552" s="69">
        <v>2</v>
      </c>
      <c r="F2552" s="69">
        <v>0</v>
      </c>
      <c r="G2552" s="69" t="s">
        <v>18</v>
      </c>
      <c r="H2552" s="69" t="s">
        <v>9</v>
      </c>
      <c r="I2552" s="69" t="s">
        <v>1849</v>
      </c>
      <c r="J2552" s="69" t="s">
        <v>55</v>
      </c>
      <c r="K2552" s="69" t="s">
        <v>1727</v>
      </c>
      <c r="M2552" s="69" t="s">
        <v>6</v>
      </c>
    </row>
    <row r="2553" spans="2:13">
      <c r="B2553" s="69">
        <v>2551</v>
      </c>
      <c r="C2553" s="69">
        <v>224</v>
      </c>
      <c r="D2553" s="69">
        <v>8</v>
      </c>
      <c r="E2553" s="69">
        <v>3</v>
      </c>
      <c r="F2553" s="69">
        <v>0</v>
      </c>
      <c r="G2553" s="69" t="s">
        <v>18</v>
      </c>
      <c r="H2553" s="69" t="s">
        <v>9</v>
      </c>
      <c r="I2553" s="69" t="s">
        <v>1849</v>
      </c>
      <c r="J2553" s="69" t="s">
        <v>55</v>
      </c>
      <c r="K2553" s="69" t="s">
        <v>155</v>
      </c>
      <c r="M2553" s="69" t="s">
        <v>6</v>
      </c>
    </row>
    <row r="2554" spans="2:13">
      <c r="B2554" s="69">
        <v>2552</v>
      </c>
      <c r="C2554" s="69">
        <v>224</v>
      </c>
      <c r="D2554" s="69">
        <v>8</v>
      </c>
      <c r="E2554" s="69">
        <v>4</v>
      </c>
      <c r="F2554" s="69">
        <v>0</v>
      </c>
      <c r="G2554" s="69" t="s">
        <v>18</v>
      </c>
      <c r="H2554" s="69" t="s">
        <v>9</v>
      </c>
      <c r="I2554" s="69" t="s">
        <v>1849</v>
      </c>
      <c r="J2554" s="69" t="s">
        <v>55</v>
      </c>
      <c r="K2554" s="69" t="s">
        <v>1850</v>
      </c>
      <c r="M2554" s="69" t="s">
        <v>6</v>
      </c>
    </row>
    <row r="2555" spans="2:13">
      <c r="B2555" s="69">
        <v>2553</v>
      </c>
      <c r="C2555" s="69">
        <v>224</v>
      </c>
      <c r="D2555" s="69">
        <v>8</v>
      </c>
      <c r="E2555" s="69">
        <v>5</v>
      </c>
      <c r="F2555" s="69">
        <v>0</v>
      </c>
      <c r="G2555" s="69" t="s">
        <v>18</v>
      </c>
      <c r="H2555" s="69" t="s">
        <v>9</v>
      </c>
      <c r="I2555" s="69" t="s">
        <v>1849</v>
      </c>
      <c r="J2555" s="69" t="s">
        <v>55</v>
      </c>
      <c r="K2555" s="69" t="s">
        <v>1851</v>
      </c>
      <c r="M2555" s="69" t="s">
        <v>6</v>
      </c>
    </row>
    <row r="2556" spans="2:13">
      <c r="B2556" s="69">
        <v>2554</v>
      </c>
      <c r="C2556" s="69">
        <v>224</v>
      </c>
      <c r="D2556" s="69">
        <v>8</v>
      </c>
      <c r="E2556" s="69">
        <v>6</v>
      </c>
      <c r="F2556" s="69">
        <v>0</v>
      </c>
      <c r="G2556" s="69" t="s">
        <v>18</v>
      </c>
      <c r="H2556" s="69" t="s">
        <v>9</v>
      </c>
      <c r="I2556" s="69" t="s">
        <v>1849</v>
      </c>
      <c r="J2556" s="69" t="s">
        <v>55</v>
      </c>
      <c r="K2556" s="69" t="s">
        <v>1852</v>
      </c>
      <c r="M2556" s="69" t="s">
        <v>6</v>
      </c>
    </row>
    <row r="2557" spans="2:13">
      <c r="B2557" s="69">
        <v>2555</v>
      </c>
      <c r="C2557" s="69">
        <v>224</v>
      </c>
      <c r="D2557" s="69">
        <v>8</v>
      </c>
      <c r="E2557" s="69">
        <v>7</v>
      </c>
      <c r="F2557" s="69">
        <v>0</v>
      </c>
      <c r="G2557" s="69" t="s">
        <v>18</v>
      </c>
      <c r="H2557" s="69" t="s">
        <v>9</v>
      </c>
      <c r="I2557" s="69" t="s">
        <v>1849</v>
      </c>
      <c r="J2557" s="69" t="s">
        <v>55</v>
      </c>
      <c r="K2557" s="69" t="s">
        <v>93</v>
      </c>
      <c r="M2557" s="69" t="s">
        <v>6</v>
      </c>
    </row>
    <row r="2558" spans="2:13">
      <c r="B2558" s="69">
        <v>2556</v>
      </c>
      <c r="C2558" s="69">
        <v>224</v>
      </c>
      <c r="D2558" s="69">
        <v>8</v>
      </c>
      <c r="E2558" s="69">
        <v>8</v>
      </c>
      <c r="F2558" s="69">
        <v>0</v>
      </c>
      <c r="G2558" s="69" t="s">
        <v>18</v>
      </c>
      <c r="H2558" s="69" t="s">
        <v>9</v>
      </c>
      <c r="I2558" s="69" t="s">
        <v>1849</v>
      </c>
      <c r="J2558" s="69" t="s">
        <v>64</v>
      </c>
      <c r="K2558" s="69" t="s">
        <v>94</v>
      </c>
      <c r="M2558" s="69" t="s">
        <v>6</v>
      </c>
    </row>
    <row r="2559" spans="2:13">
      <c r="B2559" s="69">
        <v>2557</v>
      </c>
      <c r="C2559" s="69">
        <v>225</v>
      </c>
      <c r="D2559" s="69">
        <v>29</v>
      </c>
      <c r="E2559" s="69">
        <v>0</v>
      </c>
      <c r="F2559" s="69">
        <v>0</v>
      </c>
      <c r="G2559" s="69" t="s">
        <v>18</v>
      </c>
      <c r="H2559" s="69" t="s">
        <v>9</v>
      </c>
      <c r="I2559" s="69" t="s">
        <v>1853</v>
      </c>
      <c r="J2559" s="69" t="s">
        <v>478</v>
      </c>
      <c r="K2559" s="69" t="s">
        <v>1853</v>
      </c>
      <c r="M2559" s="69" t="s">
        <v>6</v>
      </c>
    </row>
    <row r="2560" spans="2:13">
      <c r="B2560" s="69">
        <v>2558</v>
      </c>
      <c r="C2560" s="69">
        <v>225</v>
      </c>
      <c r="D2560" s="69">
        <v>29</v>
      </c>
      <c r="E2560" s="69">
        <v>1</v>
      </c>
      <c r="F2560" s="69">
        <v>0</v>
      </c>
      <c r="G2560" s="69" t="s">
        <v>18</v>
      </c>
      <c r="H2560" s="69" t="s">
        <v>9</v>
      </c>
      <c r="I2560" s="69" t="s">
        <v>1853</v>
      </c>
      <c r="J2560" s="69" t="s">
        <v>479</v>
      </c>
      <c r="K2560" s="69" t="s">
        <v>1652</v>
      </c>
      <c r="M2560" s="69" t="s">
        <v>6</v>
      </c>
    </row>
    <row r="2561" spans="2:13">
      <c r="B2561" s="69">
        <v>2559</v>
      </c>
      <c r="C2561" s="69">
        <v>225</v>
      </c>
      <c r="D2561" s="69">
        <v>29</v>
      </c>
      <c r="E2561" s="69">
        <v>2</v>
      </c>
      <c r="F2561" s="69">
        <v>0</v>
      </c>
      <c r="G2561" s="69" t="s">
        <v>18</v>
      </c>
      <c r="H2561" s="69" t="s">
        <v>9</v>
      </c>
      <c r="I2561" s="69" t="s">
        <v>1853</v>
      </c>
      <c r="J2561" s="69" t="s">
        <v>55</v>
      </c>
      <c r="K2561" s="69" t="s">
        <v>1854</v>
      </c>
      <c r="M2561" s="69" t="s">
        <v>6</v>
      </c>
    </row>
    <row r="2562" spans="2:13">
      <c r="B2562" s="69">
        <v>2560</v>
      </c>
      <c r="C2562" s="69">
        <v>225</v>
      </c>
      <c r="D2562" s="69">
        <v>29</v>
      </c>
      <c r="E2562" s="69">
        <v>3</v>
      </c>
      <c r="F2562" s="69">
        <v>0</v>
      </c>
      <c r="G2562" s="69" t="s">
        <v>18</v>
      </c>
      <c r="H2562" s="69" t="s">
        <v>9</v>
      </c>
      <c r="I2562" s="69" t="s">
        <v>1853</v>
      </c>
      <c r="J2562" s="69" t="s">
        <v>55</v>
      </c>
      <c r="K2562" s="69" t="s">
        <v>1855</v>
      </c>
      <c r="M2562" s="69" t="s">
        <v>6</v>
      </c>
    </row>
    <row r="2563" spans="2:13">
      <c r="B2563" s="69">
        <v>2561</v>
      </c>
      <c r="C2563" s="69">
        <v>225</v>
      </c>
      <c r="D2563" s="69">
        <v>29</v>
      </c>
      <c r="E2563" s="69">
        <v>4</v>
      </c>
      <c r="F2563" s="69">
        <v>0</v>
      </c>
      <c r="G2563" s="69" t="s">
        <v>18</v>
      </c>
      <c r="H2563" s="69" t="s">
        <v>9</v>
      </c>
      <c r="I2563" s="69" t="s">
        <v>1853</v>
      </c>
      <c r="J2563" s="69" t="s">
        <v>55</v>
      </c>
      <c r="K2563" s="69" t="s">
        <v>1653</v>
      </c>
      <c r="M2563" s="69" t="s">
        <v>6</v>
      </c>
    </row>
    <row r="2564" spans="2:13">
      <c r="B2564" s="69">
        <v>2562</v>
      </c>
      <c r="C2564" s="69">
        <v>225</v>
      </c>
      <c r="D2564" s="69">
        <v>29</v>
      </c>
      <c r="E2564" s="69">
        <v>5</v>
      </c>
      <c r="F2564" s="69">
        <v>0</v>
      </c>
      <c r="G2564" s="69" t="s">
        <v>18</v>
      </c>
      <c r="H2564" s="69" t="s">
        <v>9</v>
      </c>
      <c r="I2564" s="69" t="s">
        <v>1853</v>
      </c>
      <c r="J2564" s="69" t="s">
        <v>55</v>
      </c>
      <c r="K2564" s="69" t="s">
        <v>1856</v>
      </c>
      <c r="M2564" s="69" t="s">
        <v>6</v>
      </c>
    </row>
    <row r="2565" spans="2:13">
      <c r="B2565" s="69">
        <v>2563</v>
      </c>
      <c r="C2565" s="69">
        <v>225</v>
      </c>
      <c r="D2565" s="69">
        <v>29</v>
      </c>
      <c r="E2565" s="69">
        <v>6</v>
      </c>
      <c r="F2565" s="69">
        <v>0</v>
      </c>
      <c r="G2565" s="69" t="s">
        <v>18</v>
      </c>
      <c r="H2565" s="69" t="s">
        <v>9</v>
      </c>
      <c r="I2565" s="69" t="s">
        <v>1853</v>
      </c>
      <c r="J2565" s="69" t="s">
        <v>55</v>
      </c>
      <c r="K2565" s="69" t="s">
        <v>1857</v>
      </c>
      <c r="M2565" s="69" t="s">
        <v>6</v>
      </c>
    </row>
    <row r="2566" spans="2:13">
      <c r="B2566" s="69">
        <v>2564</v>
      </c>
      <c r="C2566" s="69">
        <v>225</v>
      </c>
      <c r="D2566" s="69">
        <v>29</v>
      </c>
      <c r="E2566" s="69">
        <v>7</v>
      </c>
      <c r="F2566" s="69">
        <v>0</v>
      </c>
      <c r="G2566" s="69" t="s">
        <v>18</v>
      </c>
      <c r="H2566" s="69" t="s">
        <v>9</v>
      </c>
      <c r="I2566" s="69" t="s">
        <v>1853</v>
      </c>
      <c r="J2566" s="69" t="s">
        <v>55</v>
      </c>
      <c r="K2566" s="69" t="s">
        <v>1858</v>
      </c>
      <c r="M2566" s="69" t="s">
        <v>6</v>
      </c>
    </row>
    <row r="2567" spans="2:13">
      <c r="B2567" s="69">
        <v>2565</v>
      </c>
      <c r="C2567" s="69">
        <v>225</v>
      </c>
      <c r="D2567" s="69">
        <v>29</v>
      </c>
      <c r="E2567" s="69">
        <v>8</v>
      </c>
      <c r="F2567" s="69">
        <v>0</v>
      </c>
      <c r="G2567" s="69" t="s">
        <v>18</v>
      </c>
      <c r="H2567" s="69" t="s">
        <v>9</v>
      </c>
      <c r="I2567" s="69" t="s">
        <v>1853</v>
      </c>
      <c r="J2567" s="69" t="s">
        <v>55</v>
      </c>
      <c r="K2567" s="69" t="s">
        <v>1859</v>
      </c>
      <c r="M2567" s="69" t="s">
        <v>6</v>
      </c>
    </row>
    <row r="2568" spans="2:13">
      <c r="B2568" s="69">
        <v>2566</v>
      </c>
      <c r="C2568" s="69">
        <v>225</v>
      </c>
      <c r="D2568" s="69">
        <v>29</v>
      </c>
      <c r="E2568" s="69">
        <v>9</v>
      </c>
      <c r="F2568" s="69">
        <v>0</v>
      </c>
      <c r="G2568" s="69" t="s">
        <v>18</v>
      </c>
      <c r="H2568" s="69" t="s">
        <v>9</v>
      </c>
      <c r="I2568" s="69" t="s">
        <v>1853</v>
      </c>
      <c r="J2568" s="69" t="s">
        <v>479</v>
      </c>
      <c r="K2568" s="69" t="s">
        <v>1860</v>
      </c>
      <c r="M2568" s="69" t="s">
        <v>6</v>
      </c>
    </row>
    <row r="2569" spans="2:13">
      <c r="B2569" s="69">
        <v>2567</v>
      </c>
      <c r="C2569" s="69">
        <v>225</v>
      </c>
      <c r="D2569" s="69">
        <v>29</v>
      </c>
      <c r="E2569" s="69">
        <v>10</v>
      </c>
      <c r="F2569" s="69">
        <v>0</v>
      </c>
      <c r="G2569" s="69" t="s">
        <v>18</v>
      </c>
      <c r="H2569" s="69" t="s">
        <v>9</v>
      </c>
      <c r="I2569" s="69" t="s">
        <v>1853</v>
      </c>
      <c r="J2569" s="69" t="s">
        <v>55</v>
      </c>
      <c r="K2569" s="69" t="s">
        <v>1655</v>
      </c>
      <c r="M2569" s="69" t="s">
        <v>6</v>
      </c>
    </row>
    <row r="2570" spans="2:13">
      <c r="B2570" s="69">
        <v>2568</v>
      </c>
      <c r="C2570" s="69">
        <v>225</v>
      </c>
      <c r="D2570" s="69">
        <v>29</v>
      </c>
      <c r="E2570" s="69">
        <v>11</v>
      </c>
      <c r="F2570" s="69">
        <v>0</v>
      </c>
      <c r="G2570" s="69" t="s">
        <v>18</v>
      </c>
      <c r="H2570" s="69" t="s">
        <v>9</v>
      </c>
      <c r="I2570" s="69" t="s">
        <v>1853</v>
      </c>
      <c r="J2570" s="69" t="s">
        <v>55</v>
      </c>
      <c r="K2570" s="69" t="s">
        <v>1861</v>
      </c>
      <c r="M2570" s="69" t="s">
        <v>6</v>
      </c>
    </row>
    <row r="2571" spans="2:13">
      <c r="B2571" s="69">
        <v>2569</v>
      </c>
      <c r="C2571" s="69">
        <v>225</v>
      </c>
      <c r="D2571" s="69">
        <v>29</v>
      </c>
      <c r="E2571" s="69">
        <v>12</v>
      </c>
      <c r="F2571" s="69">
        <v>0</v>
      </c>
      <c r="G2571" s="69" t="s">
        <v>18</v>
      </c>
      <c r="H2571" s="69" t="s">
        <v>9</v>
      </c>
      <c r="I2571" s="69" t="s">
        <v>1853</v>
      </c>
      <c r="J2571" s="69" t="s">
        <v>55</v>
      </c>
      <c r="K2571" s="69" t="s">
        <v>1862</v>
      </c>
      <c r="M2571" s="69" t="s">
        <v>6</v>
      </c>
    </row>
    <row r="2572" spans="2:13">
      <c r="B2572" s="69">
        <v>2570</v>
      </c>
      <c r="C2572" s="69">
        <v>225</v>
      </c>
      <c r="D2572" s="69">
        <v>29</v>
      </c>
      <c r="E2572" s="69">
        <v>13</v>
      </c>
      <c r="F2572" s="69">
        <v>0</v>
      </c>
      <c r="G2572" s="69" t="s">
        <v>18</v>
      </c>
      <c r="H2572" s="69" t="s">
        <v>9</v>
      </c>
      <c r="I2572" s="69" t="s">
        <v>1853</v>
      </c>
      <c r="J2572" s="69" t="s">
        <v>55</v>
      </c>
      <c r="K2572" s="69" t="s">
        <v>1863</v>
      </c>
      <c r="M2572" s="69" t="s">
        <v>6</v>
      </c>
    </row>
    <row r="2573" spans="2:13">
      <c r="B2573" s="69">
        <v>2571</v>
      </c>
      <c r="C2573" s="69">
        <v>225</v>
      </c>
      <c r="D2573" s="69">
        <v>29</v>
      </c>
      <c r="E2573" s="69">
        <v>14</v>
      </c>
      <c r="F2573" s="69">
        <v>0</v>
      </c>
      <c r="G2573" s="69" t="s">
        <v>18</v>
      </c>
      <c r="H2573" s="69" t="s">
        <v>9</v>
      </c>
      <c r="I2573" s="69" t="s">
        <v>1853</v>
      </c>
      <c r="J2573" s="69" t="s">
        <v>479</v>
      </c>
      <c r="K2573" s="69" t="s">
        <v>1664</v>
      </c>
      <c r="M2573" s="69" t="s">
        <v>6</v>
      </c>
    </row>
    <row r="2574" spans="2:13">
      <c r="B2574" s="69">
        <v>2572</v>
      </c>
      <c r="C2574" s="69">
        <v>225</v>
      </c>
      <c r="D2574" s="69">
        <v>29</v>
      </c>
      <c r="E2574" s="69">
        <v>15</v>
      </c>
      <c r="F2574" s="69">
        <v>0</v>
      </c>
      <c r="G2574" s="69" t="s">
        <v>18</v>
      </c>
      <c r="H2574" s="69" t="s">
        <v>9</v>
      </c>
      <c r="I2574" s="69" t="s">
        <v>1853</v>
      </c>
      <c r="J2574" s="69" t="s">
        <v>55</v>
      </c>
      <c r="K2574" s="69" t="s">
        <v>1864</v>
      </c>
      <c r="M2574" s="69" t="s">
        <v>6</v>
      </c>
    </row>
    <row r="2575" spans="2:13">
      <c r="B2575" s="69">
        <v>2573</v>
      </c>
      <c r="C2575" s="69">
        <v>225</v>
      </c>
      <c r="D2575" s="69">
        <v>29</v>
      </c>
      <c r="E2575" s="69">
        <v>16</v>
      </c>
      <c r="F2575" s="69">
        <v>0</v>
      </c>
      <c r="G2575" s="69" t="s">
        <v>18</v>
      </c>
      <c r="H2575" s="69" t="s">
        <v>9</v>
      </c>
      <c r="I2575" s="69" t="s">
        <v>1853</v>
      </c>
      <c r="J2575" s="69" t="s">
        <v>55</v>
      </c>
      <c r="K2575" s="69" t="s">
        <v>1865</v>
      </c>
      <c r="M2575" s="69" t="s">
        <v>6</v>
      </c>
    </row>
    <row r="2576" spans="2:13">
      <c r="B2576" s="69">
        <v>2574</v>
      </c>
      <c r="C2576" s="69">
        <v>225</v>
      </c>
      <c r="D2576" s="69">
        <v>29</v>
      </c>
      <c r="E2576" s="69">
        <v>17</v>
      </c>
      <c r="F2576" s="69">
        <v>0</v>
      </c>
      <c r="G2576" s="69" t="s">
        <v>18</v>
      </c>
      <c r="H2576" s="69" t="s">
        <v>9</v>
      </c>
      <c r="I2576" s="69" t="s">
        <v>1853</v>
      </c>
      <c r="J2576" s="69" t="s">
        <v>55</v>
      </c>
      <c r="K2576" s="69" t="s">
        <v>1866</v>
      </c>
      <c r="M2576" s="69" t="s">
        <v>6</v>
      </c>
    </row>
    <row r="2577" spans="2:13">
      <c r="B2577" s="69">
        <v>2575</v>
      </c>
      <c r="C2577" s="69">
        <v>225</v>
      </c>
      <c r="D2577" s="69">
        <v>29</v>
      </c>
      <c r="E2577" s="69">
        <v>18</v>
      </c>
      <c r="F2577" s="69">
        <v>0</v>
      </c>
      <c r="G2577" s="69" t="s">
        <v>18</v>
      </c>
      <c r="H2577" s="69" t="s">
        <v>9</v>
      </c>
      <c r="I2577" s="69" t="s">
        <v>1853</v>
      </c>
      <c r="J2577" s="69" t="s">
        <v>55</v>
      </c>
      <c r="K2577" s="69" t="s">
        <v>1867</v>
      </c>
      <c r="M2577" s="69" t="s">
        <v>6</v>
      </c>
    </row>
    <row r="2578" spans="2:13">
      <c r="B2578" s="69">
        <v>2576</v>
      </c>
      <c r="C2578" s="69">
        <v>225</v>
      </c>
      <c r="D2578" s="69">
        <v>29</v>
      </c>
      <c r="E2578" s="69">
        <v>19</v>
      </c>
      <c r="F2578" s="69">
        <v>0</v>
      </c>
      <c r="G2578" s="69" t="s">
        <v>18</v>
      </c>
      <c r="H2578" s="69" t="s">
        <v>9</v>
      </c>
      <c r="I2578" s="69" t="s">
        <v>1853</v>
      </c>
      <c r="J2578" s="69" t="s">
        <v>64</v>
      </c>
      <c r="K2578" s="69" t="s">
        <v>733</v>
      </c>
      <c r="M2578" s="69" t="s">
        <v>6</v>
      </c>
    </row>
    <row r="2579" spans="2:13">
      <c r="B2579" s="69">
        <v>2577</v>
      </c>
      <c r="C2579" s="69">
        <v>225</v>
      </c>
      <c r="D2579" s="69">
        <v>29</v>
      </c>
      <c r="E2579" s="69">
        <v>20</v>
      </c>
      <c r="F2579" s="69">
        <v>0</v>
      </c>
      <c r="G2579" s="69" t="s">
        <v>18</v>
      </c>
      <c r="H2579" s="69" t="s">
        <v>9</v>
      </c>
      <c r="I2579" s="69" t="s">
        <v>1853</v>
      </c>
      <c r="J2579" s="69" t="s">
        <v>479</v>
      </c>
      <c r="K2579" s="69" t="s">
        <v>1668</v>
      </c>
      <c r="M2579" s="69" t="s">
        <v>6</v>
      </c>
    </row>
    <row r="2580" spans="2:13">
      <c r="B2580" s="69">
        <v>2578</v>
      </c>
      <c r="C2580" s="69">
        <v>225</v>
      </c>
      <c r="D2580" s="69">
        <v>29</v>
      </c>
      <c r="E2580" s="69">
        <v>21</v>
      </c>
      <c r="F2580" s="69">
        <v>0</v>
      </c>
      <c r="G2580" s="69" t="s">
        <v>18</v>
      </c>
      <c r="H2580" s="69" t="s">
        <v>9</v>
      </c>
      <c r="I2580" s="69" t="s">
        <v>1853</v>
      </c>
      <c r="J2580" s="69" t="s">
        <v>55</v>
      </c>
      <c r="K2580" s="69" t="s">
        <v>1868</v>
      </c>
      <c r="M2580" s="69" t="s">
        <v>6</v>
      </c>
    </row>
    <row r="2581" spans="2:13">
      <c r="B2581" s="69">
        <v>2579</v>
      </c>
      <c r="C2581" s="69">
        <v>225</v>
      </c>
      <c r="D2581" s="69">
        <v>29</v>
      </c>
      <c r="E2581" s="69">
        <v>22</v>
      </c>
      <c r="F2581" s="69">
        <v>0</v>
      </c>
      <c r="G2581" s="69" t="s">
        <v>18</v>
      </c>
      <c r="H2581" s="69" t="s">
        <v>9</v>
      </c>
      <c r="I2581" s="69" t="s">
        <v>1853</v>
      </c>
      <c r="J2581" s="69" t="s">
        <v>55</v>
      </c>
      <c r="K2581" s="69" t="s">
        <v>1869</v>
      </c>
      <c r="M2581" s="69" t="s">
        <v>6</v>
      </c>
    </row>
    <row r="2582" spans="2:13">
      <c r="B2582" s="69">
        <v>2580</v>
      </c>
      <c r="C2582" s="69">
        <v>225</v>
      </c>
      <c r="D2582" s="69">
        <v>29</v>
      </c>
      <c r="E2582" s="69">
        <v>23</v>
      </c>
      <c r="F2582" s="69">
        <v>0</v>
      </c>
      <c r="G2582" s="69" t="s">
        <v>18</v>
      </c>
      <c r="H2582" s="69" t="s">
        <v>9</v>
      </c>
      <c r="I2582" s="69" t="s">
        <v>1853</v>
      </c>
      <c r="J2582" s="69" t="s">
        <v>55</v>
      </c>
      <c r="K2582" s="69" t="s">
        <v>1870</v>
      </c>
      <c r="M2582" s="69" t="s">
        <v>6</v>
      </c>
    </row>
    <row r="2583" spans="2:13">
      <c r="B2583" s="69">
        <v>2581</v>
      </c>
      <c r="C2583" s="69">
        <v>225</v>
      </c>
      <c r="D2583" s="69">
        <v>29</v>
      </c>
      <c r="E2583" s="69">
        <v>24</v>
      </c>
      <c r="F2583" s="69">
        <v>0</v>
      </c>
      <c r="G2583" s="69" t="s">
        <v>18</v>
      </c>
      <c r="H2583" s="69" t="s">
        <v>9</v>
      </c>
      <c r="I2583" s="69" t="s">
        <v>1853</v>
      </c>
      <c r="J2583" s="69" t="s">
        <v>55</v>
      </c>
      <c r="K2583" s="69" t="s">
        <v>1871</v>
      </c>
      <c r="M2583" s="69" t="s">
        <v>6</v>
      </c>
    </row>
    <row r="2584" spans="2:13">
      <c r="B2584" s="69">
        <v>2582</v>
      </c>
      <c r="C2584" s="69">
        <v>225</v>
      </c>
      <c r="D2584" s="69">
        <v>29</v>
      </c>
      <c r="E2584" s="69">
        <v>25</v>
      </c>
      <c r="F2584" s="69">
        <v>0</v>
      </c>
      <c r="G2584" s="69" t="s">
        <v>18</v>
      </c>
      <c r="H2584" s="69" t="s">
        <v>9</v>
      </c>
      <c r="I2584" s="69" t="s">
        <v>1853</v>
      </c>
      <c r="J2584" s="69" t="s">
        <v>55</v>
      </c>
      <c r="K2584" s="69" t="s">
        <v>1872</v>
      </c>
      <c r="M2584" s="69" t="s">
        <v>6</v>
      </c>
    </row>
    <row r="2585" spans="2:13">
      <c r="B2585" s="69">
        <v>2583</v>
      </c>
      <c r="C2585" s="69">
        <v>225</v>
      </c>
      <c r="D2585" s="69">
        <v>29</v>
      </c>
      <c r="E2585" s="69">
        <v>26</v>
      </c>
      <c r="F2585" s="69">
        <v>0</v>
      </c>
      <c r="G2585" s="69" t="s">
        <v>18</v>
      </c>
      <c r="H2585" s="69" t="s">
        <v>9</v>
      </c>
      <c r="I2585" s="69" t="s">
        <v>1853</v>
      </c>
      <c r="J2585" s="69" t="s">
        <v>55</v>
      </c>
      <c r="K2585" s="69" t="s">
        <v>1672</v>
      </c>
      <c r="M2585" s="69" t="s">
        <v>6</v>
      </c>
    </row>
    <row r="2586" spans="2:13">
      <c r="B2586" s="69">
        <v>2584</v>
      </c>
      <c r="C2586" s="69">
        <v>225</v>
      </c>
      <c r="D2586" s="69">
        <v>29</v>
      </c>
      <c r="E2586" s="69">
        <v>27</v>
      </c>
      <c r="F2586" s="69">
        <v>0</v>
      </c>
      <c r="G2586" s="69" t="s">
        <v>18</v>
      </c>
      <c r="H2586" s="69" t="s">
        <v>9</v>
      </c>
      <c r="I2586" s="69" t="s">
        <v>1853</v>
      </c>
      <c r="J2586" s="69" t="s">
        <v>55</v>
      </c>
      <c r="K2586" s="69" t="s">
        <v>1873</v>
      </c>
      <c r="M2586" s="69" t="s">
        <v>6</v>
      </c>
    </row>
    <row r="2587" spans="2:13">
      <c r="B2587" s="69">
        <v>2585</v>
      </c>
      <c r="C2587" s="69">
        <v>225</v>
      </c>
      <c r="D2587" s="69">
        <v>29</v>
      </c>
      <c r="E2587" s="69">
        <v>28</v>
      </c>
      <c r="F2587" s="69">
        <v>0</v>
      </c>
      <c r="G2587" s="69" t="s">
        <v>18</v>
      </c>
      <c r="H2587" s="69" t="s">
        <v>9</v>
      </c>
      <c r="I2587" s="69" t="s">
        <v>1853</v>
      </c>
      <c r="J2587" s="69" t="s">
        <v>55</v>
      </c>
      <c r="K2587" s="69" t="s">
        <v>1867</v>
      </c>
      <c r="M2587" s="69" t="s">
        <v>6</v>
      </c>
    </row>
    <row r="2588" spans="2:13">
      <c r="B2588" s="69">
        <v>2586</v>
      </c>
      <c r="C2588" s="69">
        <v>225</v>
      </c>
      <c r="D2588" s="69">
        <v>29</v>
      </c>
      <c r="E2588" s="69">
        <v>29</v>
      </c>
      <c r="F2588" s="69">
        <v>0</v>
      </c>
      <c r="G2588" s="69" t="s">
        <v>18</v>
      </c>
      <c r="H2588" s="69" t="s">
        <v>9</v>
      </c>
      <c r="I2588" s="69" t="s">
        <v>1853</v>
      </c>
      <c r="J2588" s="69" t="s">
        <v>64</v>
      </c>
      <c r="K2588" s="69" t="s">
        <v>733</v>
      </c>
      <c r="M2588" s="69" t="s">
        <v>6</v>
      </c>
    </row>
    <row r="2589" spans="2:13">
      <c r="B2589" s="69">
        <v>2587</v>
      </c>
      <c r="C2589" s="69">
        <v>226</v>
      </c>
      <c r="D2589" s="69">
        <v>12</v>
      </c>
      <c r="E2589" s="69">
        <v>0</v>
      </c>
      <c r="F2589" s="69">
        <v>0</v>
      </c>
      <c r="G2589" s="69" t="s">
        <v>18</v>
      </c>
      <c r="H2589" s="69" t="s">
        <v>9</v>
      </c>
      <c r="I2589" s="69" t="s">
        <v>1874</v>
      </c>
      <c r="J2589" s="69" t="s">
        <v>478</v>
      </c>
      <c r="K2589" s="69" t="s">
        <v>1874</v>
      </c>
      <c r="M2589" s="69" t="s">
        <v>6</v>
      </c>
    </row>
    <row r="2590" spans="2:13">
      <c r="B2590" s="69">
        <v>2588</v>
      </c>
      <c r="C2590" s="69">
        <v>226</v>
      </c>
      <c r="D2590" s="69">
        <v>12</v>
      </c>
      <c r="E2590" s="69">
        <v>1</v>
      </c>
      <c r="F2590" s="69">
        <v>0</v>
      </c>
      <c r="G2590" s="69" t="s">
        <v>18</v>
      </c>
      <c r="H2590" s="69" t="s">
        <v>9</v>
      </c>
      <c r="I2590" s="69" t="s">
        <v>1874</v>
      </c>
      <c r="J2590" s="69" t="s">
        <v>479</v>
      </c>
      <c r="K2590" s="69" t="s">
        <v>1652</v>
      </c>
      <c r="M2590" s="69" t="s">
        <v>6</v>
      </c>
    </row>
    <row r="2591" spans="2:13">
      <c r="B2591" s="69">
        <v>2589</v>
      </c>
      <c r="C2591" s="69">
        <v>226</v>
      </c>
      <c r="D2591" s="69">
        <v>12</v>
      </c>
      <c r="E2591" s="69">
        <v>2</v>
      </c>
      <c r="F2591" s="69">
        <v>0</v>
      </c>
      <c r="G2591" s="69" t="s">
        <v>18</v>
      </c>
      <c r="H2591" s="69" t="s">
        <v>9</v>
      </c>
      <c r="I2591" s="69" t="s">
        <v>1874</v>
      </c>
      <c r="J2591" s="69" t="s">
        <v>55</v>
      </c>
      <c r="K2591" s="69" t="s">
        <v>1875</v>
      </c>
      <c r="M2591" s="69" t="s">
        <v>6</v>
      </c>
    </row>
    <row r="2592" spans="2:13">
      <c r="B2592" s="69">
        <v>2590</v>
      </c>
      <c r="C2592" s="69">
        <v>226</v>
      </c>
      <c r="D2592" s="69">
        <v>12</v>
      </c>
      <c r="E2592" s="69">
        <v>3</v>
      </c>
      <c r="F2592" s="69">
        <v>0</v>
      </c>
      <c r="G2592" s="69" t="s">
        <v>18</v>
      </c>
      <c r="H2592" s="69" t="s">
        <v>9</v>
      </c>
      <c r="I2592" s="69" t="s">
        <v>1874</v>
      </c>
      <c r="J2592" s="69" t="s">
        <v>55</v>
      </c>
      <c r="K2592" s="69" t="s">
        <v>1876</v>
      </c>
      <c r="M2592" s="69" t="s">
        <v>6</v>
      </c>
    </row>
    <row r="2593" spans="2:13">
      <c r="B2593" s="69">
        <v>2591</v>
      </c>
      <c r="C2593" s="69">
        <v>226</v>
      </c>
      <c r="D2593" s="69">
        <v>12</v>
      </c>
      <c r="E2593" s="69">
        <v>4</v>
      </c>
      <c r="F2593" s="69">
        <v>0</v>
      </c>
      <c r="G2593" s="69" t="s">
        <v>18</v>
      </c>
      <c r="H2593" s="69" t="s">
        <v>9</v>
      </c>
      <c r="I2593" s="69" t="s">
        <v>1874</v>
      </c>
      <c r="J2593" s="69" t="s">
        <v>479</v>
      </c>
      <c r="K2593" s="69" t="s">
        <v>1877</v>
      </c>
      <c r="M2593" s="69" t="s">
        <v>6</v>
      </c>
    </row>
    <row r="2594" spans="2:13">
      <c r="B2594" s="69">
        <v>2592</v>
      </c>
      <c r="C2594" s="69">
        <v>226</v>
      </c>
      <c r="D2594" s="69">
        <v>12</v>
      </c>
      <c r="E2594" s="69">
        <v>5</v>
      </c>
      <c r="F2594" s="69">
        <v>0</v>
      </c>
      <c r="G2594" s="69" t="s">
        <v>18</v>
      </c>
      <c r="H2594" s="69" t="s">
        <v>9</v>
      </c>
      <c r="I2594" s="69" t="s">
        <v>1874</v>
      </c>
      <c r="J2594" s="69" t="s">
        <v>55</v>
      </c>
      <c r="K2594" s="69" t="s">
        <v>1878</v>
      </c>
      <c r="M2594" s="69" t="s">
        <v>6</v>
      </c>
    </row>
    <row r="2595" spans="2:13">
      <c r="B2595" s="69">
        <v>2593</v>
      </c>
      <c r="C2595" s="69">
        <v>226</v>
      </c>
      <c r="D2595" s="69">
        <v>12</v>
      </c>
      <c r="E2595" s="69">
        <v>6</v>
      </c>
      <c r="F2595" s="69">
        <v>0</v>
      </c>
      <c r="G2595" s="69" t="s">
        <v>18</v>
      </c>
      <c r="H2595" s="69" t="s">
        <v>9</v>
      </c>
      <c r="I2595" s="69" t="s">
        <v>1874</v>
      </c>
      <c r="J2595" s="69" t="s">
        <v>55</v>
      </c>
      <c r="K2595" s="69" t="s">
        <v>1879</v>
      </c>
      <c r="M2595" s="69" t="s">
        <v>6</v>
      </c>
    </row>
    <row r="2596" spans="2:13">
      <c r="B2596" s="69">
        <v>2594</v>
      </c>
      <c r="C2596" s="69">
        <v>226</v>
      </c>
      <c r="D2596" s="69">
        <v>12</v>
      </c>
      <c r="E2596" s="69">
        <v>7</v>
      </c>
      <c r="F2596" s="69">
        <v>0</v>
      </c>
      <c r="G2596" s="69" t="s">
        <v>18</v>
      </c>
      <c r="H2596" s="69" t="s">
        <v>9</v>
      </c>
      <c r="I2596" s="69" t="s">
        <v>1874</v>
      </c>
      <c r="J2596" s="69" t="s">
        <v>55</v>
      </c>
      <c r="K2596" s="69" t="s">
        <v>1880</v>
      </c>
      <c r="M2596" s="69" t="s">
        <v>6</v>
      </c>
    </row>
    <row r="2597" spans="2:13">
      <c r="B2597" s="69">
        <v>2595</v>
      </c>
      <c r="C2597" s="69">
        <v>226</v>
      </c>
      <c r="D2597" s="69">
        <v>12</v>
      </c>
      <c r="E2597" s="69">
        <v>8</v>
      </c>
      <c r="F2597" s="69">
        <v>0</v>
      </c>
      <c r="G2597" s="69" t="s">
        <v>18</v>
      </c>
      <c r="H2597" s="69" t="s">
        <v>9</v>
      </c>
      <c r="I2597" s="69" t="s">
        <v>1874</v>
      </c>
      <c r="J2597" s="69" t="s">
        <v>55</v>
      </c>
      <c r="K2597" s="69" t="s">
        <v>1881</v>
      </c>
      <c r="M2597" s="69" t="s">
        <v>6</v>
      </c>
    </row>
    <row r="2598" spans="2:13">
      <c r="B2598" s="69">
        <v>2596</v>
      </c>
      <c r="C2598" s="69">
        <v>226</v>
      </c>
      <c r="D2598" s="69">
        <v>12</v>
      </c>
      <c r="E2598" s="69">
        <v>9</v>
      </c>
      <c r="F2598" s="69">
        <v>0</v>
      </c>
      <c r="G2598" s="69" t="s">
        <v>18</v>
      </c>
      <c r="H2598" s="69" t="s">
        <v>9</v>
      </c>
      <c r="I2598" s="69" t="s">
        <v>1874</v>
      </c>
      <c r="J2598" s="69" t="s">
        <v>55</v>
      </c>
      <c r="K2598" s="69" t="s">
        <v>1882</v>
      </c>
      <c r="M2598" s="69" t="s">
        <v>6</v>
      </c>
    </row>
    <row r="2599" spans="2:13">
      <c r="B2599" s="69">
        <v>2597</v>
      </c>
      <c r="C2599" s="69">
        <v>226</v>
      </c>
      <c r="D2599" s="69">
        <v>12</v>
      </c>
      <c r="E2599" s="69">
        <v>10</v>
      </c>
      <c r="F2599" s="69">
        <v>0</v>
      </c>
      <c r="G2599" s="69" t="s">
        <v>18</v>
      </c>
      <c r="H2599" s="69" t="s">
        <v>9</v>
      </c>
      <c r="I2599" s="69" t="s">
        <v>1874</v>
      </c>
      <c r="J2599" s="69" t="s">
        <v>55</v>
      </c>
      <c r="K2599" s="69" t="s">
        <v>1679</v>
      </c>
      <c r="M2599" s="69" t="s">
        <v>6</v>
      </c>
    </row>
    <row r="2600" spans="2:13">
      <c r="B2600" s="69">
        <v>2598</v>
      </c>
      <c r="C2600" s="69">
        <v>226</v>
      </c>
      <c r="D2600" s="69">
        <v>12</v>
      </c>
      <c r="E2600" s="69">
        <v>11</v>
      </c>
      <c r="F2600" s="69">
        <v>0</v>
      </c>
      <c r="G2600" s="69" t="s">
        <v>18</v>
      </c>
      <c r="H2600" s="69" t="s">
        <v>9</v>
      </c>
      <c r="I2600" s="69" t="s">
        <v>1874</v>
      </c>
      <c r="J2600" s="69" t="s">
        <v>55</v>
      </c>
      <c r="K2600" s="69" t="s">
        <v>93</v>
      </c>
      <c r="M2600" s="69" t="s">
        <v>6</v>
      </c>
    </row>
    <row r="2601" spans="2:13">
      <c r="B2601" s="69">
        <v>2599</v>
      </c>
      <c r="C2601" s="69">
        <v>226</v>
      </c>
      <c r="D2601" s="69">
        <v>12</v>
      </c>
      <c r="E2601" s="69">
        <v>12</v>
      </c>
      <c r="F2601" s="69">
        <v>0</v>
      </c>
      <c r="G2601" s="69" t="s">
        <v>18</v>
      </c>
      <c r="H2601" s="69" t="s">
        <v>9</v>
      </c>
      <c r="I2601" s="69" t="s">
        <v>1874</v>
      </c>
      <c r="J2601" s="69" t="s">
        <v>64</v>
      </c>
      <c r="K2601" s="69" t="s">
        <v>94</v>
      </c>
      <c r="M2601" s="69" t="s">
        <v>6</v>
      </c>
    </row>
    <row r="2602" spans="2:13">
      <c r="B2602" s="69">
        <v>2600</v>
      </c>
      <c r="C2602" s="69">
        <v>227</v>
      </c>
      <c r="D2602" s="69">
        <v>14</v>
      </c>
      <c r="E2602" s="69">
        <v>0</v>
      </c>
      <c r="F2602" s="69">
        <v>0</v>
      </c>
      <c r="G2602" s="69" t="s">
        <v>18</v>
      </c>
      <c r="H2602" s="69" t="s">
        <v>9</v>
      </c>
      <c r="I2602" s="69" t="s">
        <v>1883</v>
      </c>
      <c r="J2602" s="69" t="s">
        <v>54</v>
      </c>
      <c r="K2602" s="69" t="s">
        <v>1883</v>
      </c>
      <c r="M2602" s="69" t="s">
        <v>6</v>
      </c>
    </row>
    <row r="2603" spans="2:13">
      <c r="B2603" s="69">
        <v>2601</v>
      </c>
      <c r="C2603" s="69">
        <v>227</v>
      </c>
      <c r="D2603" s="69">
        <v>14</v>
      </c>
      <c r="E2603" s="69">
        <v>1</v>
      </c>
      <c r="F2603" s="69">
        <v>0</v>
      </c>
      <c r="G2603" s="69" t="s">
        <v>18</v>
      </c>
      <c r="H2603" s="69" t="s">
        <v>9</v>
      </c>
      <c r="I2603" s="69" t="s">
        <v>1883</v>
      </c>
      <c r="J2603" s="69" t="s">
        <v>55</v>
      </c>
      <c r="K2603" s="69" t="s">
        <v>1884</v>
      </c>
      <c r="M2603" s="69" t="s">
        <v>6</v>
      </c>
    </row>
    <row r="2604" spans="2:13">
      <c r="B2604" s="69">
        <v>2602</v>
      </c>
      <c r="C2604" s="69">
        <v>227</v>
      </c>
      <c r="D2604" s="69">
        <v>14</v>
      </c>
      <c r="E2604" s="69">
        <v>2</v>
      </c>
      <c r="F2604" s="69">
        <v>0</v>
      </c>
      <c r="G2604" s="69" t="s">
        <v>18</v>
      </c>
      <c r="H2604" s="69" t="s">
        <v>9</v>
      </c>
      <c r="I2604" s="69" t="s">
        <v>1883</v>
      </c>
      <c r="J2604" s="69" t="s">
        <v>55</v>
      </c>
      <c r="K2604" s="69" t="s">
        <v>1885</v>
      </c>
      <c r="M2604" s="69" t="s">
        <v>6</v>
      </c>
    </row>
    <row r="2605" spans="2:13">
      <c r="B2605" s="69">
        <v>2603</v>
      </c>
      <c r="C2605" s="69">
        <v>227</v>
      </c>
      <c r="D2605" s="69">
        <v>14</v>
      </c>
      <c r="E2605" s="69">
        <v>3</v>
      </c>
      <c r="F2605" s="69">
        <v>0</v>
      </c>
      <c r="G2605" s="69" t="s">
        <v>18</v>
      </c>
      <c r="H2605" s="69" t="s">
        <v>9</v>
      </c>
      <c r="I2605" s="69" t="s">
        <v>1883</v>
      </c>
      <c r="J2605" s="69" t="s">
        <v>55</v>
      </c>
      <c r="K2605" s="69" t="s">
        <v>1886</v>
      </c>
      <c r="M2605" s="69" t="s">
        <v>6</v>
      </c>
    </row>
    <row r="2606" spans="2:13">
      <c r="B2606" s="69">
        <v>2604</v>
      </c>
      <c r="C2606" s="69">
        <v>227</v>
      </c>
      <c r="D2606" s="69">
        <v>14</v>
      </c>
      <c r="E2606" s="69">
        <v>4</v>
      </c>
      <c r="F2606" s="69">
        <v>0</v>
      </c>
      <c r="G2606" s="69" t="s">
        <v>18</v>
      </c>
      <c r="H2606" s="69" t="s">
        <v>9</v>
      </c>
      <c r="I2606" s="69" t="s">
        <v>1883</v>
      </c>
      <c r="J2606" s="69" t="s">
        <v>55</v>
      </c>
      <c r="K2606" s="69" t="s">
        <v>1887</v>
      </c>
      <c r="M2606" s="69" t="s">
        <v>6</v>
      </c>
    </row>
    <row r="2607" spans="2:13">
      <c r="B2607" s="69">
        <v>2605</v>
      </c>
      <c r="C2607" s="69">
        <v>227</v>
      </c>
      <c r="D2607" s="69">
        <v>14</v>
      </c>
      <c r="E2607" s="69">
        <v>5</v>
      </c>
      <c r="F2607" s="69">
        <v>0</v>
      </c>
      <c r="G2607" s="69" t="s">
        <v>18</v>
      </c>
      <c r="H2607" s="69" t="s">
        <v>9</v>
      </c>
      <c r="I2607" s="69" t="s">
        <v>1883</v>
      </c>
      <c r="J2607" s="69" t="s">
        <v>55</v>
      </c>
      <c r="K2607" s="69" t="s">
        <v>1888</v>
      </c>
      <c r="M2607" s="69" t="s">
        <v>6</v>
      </c>
    </row>
    <row r="2608" spans="2:13">
      <c r="B2608" s="69">
        <v>2606</v>
      </c>
      <c r="C2608" s="69">
        <v>227</v>
      </c>
      <c r="D2608" s="69">
        <v>14</v>
      </c>
      <c r="E2608" s="69">
        <v>6</v>
      </c>
      <c r="F2608" s="69">
        <v>0</v>
      </c>
      <c r="G2608" s="69" t="s">
        <v>18</v>
      </c>
      <c r="H2608" s="69" t="s">
        <v>9</v>
      </c>
      <c r="I2608" s="69" t="s">
        <v>1883</v>
      </c>
      <c r="J2608" s="69" t="s">
        <v>55</v>
      </c>
      <c r="K2608" s="69" t="s">
        <v>1889</v>
      </c>
      <c r="M2608" s="69" t="s">
        <v>6</v>
      </c>
    </row>
    <row r="2609" spans="2:13">
      <c r="B2609" s="69">
        <v>2607</v>
      </c>
      <c r="C2609" s="69">
        <v>227</v>
      </c>
      <c r="D2609" s="69">
        <v>14</v>
      </c>
      <c r="E2609" s="69">
        <v>7</v>
      </c>
      <c r="F2609" s="69">
        <v>0</v>
      </c>
      <c r="G2609" s="69" t="s">
        <v>18</v>
      </c>
      <c r="H2609" s="69" t="s">
        <v>9</v>
      </c>
      <c r="I2609" s="69" t="s">
        <v>1883</v>
      </c>
      <c r="J2609" s="69" t="s">
        <v>55</v>
      </c>
      <c r="K2609" s="69" t="s">
        <v>1890</v>
      </c>
      <c r="M2609" s="69" t="s">
        <v>6</v>
      </c>
    </row>
    <row r="2610" spans="2:13">
      <c r="B2610" s="69">
        <v>2608</v>
      </c>
      <c r="C2610" s="69">
        <v>227</v>
      </c>
      <c r="D2610" s="69">
        <v>14</v>
      </c>
      <c r="E2610" s="69">
        <v>8</v>
      </c>
      <c r="F2610" s="69">
        <v>0</v>
      </c>
      <c r="G2610" s="69" t="s">
        <v>18</v>
      </c>
      <c r="H2610" s="69" t="s">
        <v>9</v>
      </c>
      <c r="I2610" s="69" t="s">
        <v>1883</v>
      </c>
      <c r="J2610" s="69" t="s">
        <v>55</v>
      </c>
      <c r="K2610" s="69" t="s">
        <v>1891</v>
      </c>
      <c r="M2610" s="69" t="s">
        <v>6</v>
      </c>
    </row>
    <row r="2611" spans="2:13">
      <c r="B2611" s="69">
        <v>2609</v>
      </c>
      <c r="C2611" s="69">
        <v>227</v>
      </c>
      <c r="D2611" s="69">
        <v>14</v>
      </c>
      <c r="E2611" s="69">
        <v>9</v>
      </c>
      <c r="F2611" s="69">
        <v>0</v>
      </c>
      <c r="G2611" s="69" t="s">
        <v>18</v>
      </c>
      <c r="H2611" s="69" t="s">
        <v>9</v>
      </c>
      <c r="I2611" s="69" t="s">
        <v>1883</v>
      </c>
      <c r="J2611" s="69" t="s">
        <v>55</v>
      </c>
      <c r="K2611" s="69" t="s">
        <v>1892</v>
      </c>
      <c r="M2611" s="69" t="s">
        <v>6</v>
      </c>
    </row>
    <row r="2612" spans="2:13">
      <c r="B2612" s="69">
        <v>2610</v>
      </c>
      <c r="C2612" s="69">
        <v>227</v>
      </c>
      <c r="D2612" s="69">
        <v>14</v>
      </c>
      <c r="E2612" s="69">
        <v>10</v>
      </c>
      <c r="F2612" s="69">
        <v>0</v>
      </c>
      <c r="G2612" s="69" t="s">
        <v>18</v>
      </c>
      <c r="H2612" s="69" t="s">
        <v>9</v>
      </c>
      <c r="I2612" s="69" t="s">
        <v>1883</v>
      </c>
      <c r="J2612" s="69" t="s">
        <v>55</v>
      </c>
      <c r="K2612" s="69" t="s">
        <v>1893</v>
      </c>
      <c r="M2612" s="69" t="s">
        <v>6</v>
      </c>
    </row>
    <row r="2613" spans="2:13">
      <c r="B2613" s="69">
        <v>2611</v>
      </c>
      <c r="C2613" s="69">
        <v>227</v>
      </c>
      <c r="D2613" s="69">
        <v>14</v>
      </c>
      <c r="E2613" s="69">
        <v>11</v>
      </c>
      <c r="F2613" s="69">
        <v>0</v>
      </c>
      <c r="G2613" s="69" t="s">
        <v>18</v>
      </c>
      <c r="H2613" s="69" t="s">
        <v>9</v>
      </c>
      <c r="I2613" s="69" t="s">
        <v>1883</v>
      </c>
      <c r="J2613" s="69" t="s">
        <v>55</v>
      </c>
      <c r="K2613" s="69" t="s">
        <v>1894</v>
      </c>
      <c r="M2613" s="69" t="s">
        <v>6</v>
      </c>
    </row>
    <row r="2614" spans="2:13">
      <c r="B2614" s="69">
        <v>2612</v>
      </c>
      <c r="C2614" s="69">
        <v>227</v>
      </c>
      <c r="D2614" s="69">
        <v>14</v>
      </c>
      <c r="E2614" s="69">
        <v>12</v>
      </c>
      <c r="F2614" s="69">
        <v>0</v>
      </c>
      <c r="G2614" s="69" t="s">
        <v>18</v>
      </c>
      <c r="H2614" s="69" t="s">
        <v>9</v>
      </c>
      <c r="I2614" s="69" t="s">
        <v>1883</v>
      </c>
      <c r="J2614" s="69" t="s">
        <v>55</v>
      </c>
      <c r="K2614" s="69" t="s">
        <v>1895</v>
      </c>
      <c r="M2614" s="69" t="s">
        <v>6</v>
      </c>
    </row>
    <row r="2615" spans="2:13">
      <c r="B2615" s="69">
        <v>2613</v>
      </c>
      <c r="C2615" s="69">
        <v>227</v>
      </c>
      <c r="D2615" s="69">
        <v>14</v>
      </c>
      <c r="E2615" s="69">
        <v>13</v>
      </c>
      <c r="F2615" s="69">
        <v>0</v>
      </c>
      <c r="G2615" s="69" t="s">
        <v>18</v>
      </c>
      <c r="H2615" s="69" t="s">
        <v>9</v>
      </c>
      <c r="I2615" s="69" t="s">
        <v>1883</v>
      </c>
      <c r="J2615" s="69" t="s">
        <v>55</v>
      </c>
      <c r="K2615" s="69" t="s">
        <v>93</v>
      </c>
      <c r="M2615" s="69" t="s">
        <v>6</v>
      </c>
    </row>
    <row r="2616" spans="2:13">
      <c r="B2616" s="69">
        <v>2614</v>
      </c>
      <c r="C2616" s="69">
        <v>227</v>
      </c>
      <c r="D2616" s="69">
        <v>14</v>
      </c>
      <c r="E2616" s="69">
        <v>14</v>
      </c>
      <c r="F2616" s="69">
        <v>0</v>
      </c>
      <c r="G2616" s="69" t="s">
        <v>18</v>
      </c>
      <c r="H2616" s="69" t="s">
        <v>9</v>
      </c>
      <c r="I2616" s="69" t="s">
        <v>1883</v>
      </c>
      <c r="J2616" s="69" t="s">
        <v>64</v>
      </c>
      <c r="K2616" s="69" t="s">
        <v>94</v>
      </c>
      <c r="M2616" s="69" t="s">
        <v>6</v>
      </c>
    </row>
    <row r="2617" spans="2:13">
      <c r="B2617" s="69">
        <v>2615</v>
      </c>
      <c r="C2617" s="69">
        <v>228</v>
      </c>
      <c r="D2617" s="69">
        <v>23</v>
      </c>
      <c r="E2617" s="69">
        <v>0</v>
      </c>
      <c r="F2617" s="69">
        <v>0</v>
      </c>
      <c r="G2617" s="69" t="s">
        <v>18</v>
      </c>
      <c r="H2617" s="69" t="s">
        <v>9</v>
      </c>
      <c r="I2617" s="69" t="s">
        <v>1896</v>
      </c>
      <c r="J2617" s="69" t="s">
        <v>47</v>
      </c>
      <c r="K2617" s="69" t="s">
        <v>1896</v>
      </c>
      <c r="M2617" s="69" t="s">
        <v>6</v>
      </c>
    </row>
    <row r="2618" spans="2:13">
      <c r="B2618" s="69">
        <v>2616</v>
      </c>
      <c r="C2618" s="69">
        <v>228</v>
      </c>
      <c r="D2618" s="69">
        <v>23</v>
      </c>
      <c r="E2618" s="69">
        <v>1</v>
      </c>
      <c r="F2618" s="69">
        <v>0</v>
      </c>
      <c r="G2618" s="69" t="s">
        <v>18</v>
      </c>
      <c r="H2618" s="69" t="s">
        <v>9</v>
      </c>
      <c r="I2618" s="69" t="s">
        <v>1896</v>
      </c>
      <c r="J2618" s="69" t="s">
        <v>479</v>
      </c>
      <c r="K2618" s="69" t="s">
        <v>1897</v>
      </c>
      <c r="M2618" s="69" t="s">
        <v>6</v>
      </c>
    </row>
    <row r="2619" spans="2:13">
      <c r="B2619" s="69">
        <v>2617</v>
      </c>
      <c r="C2619" s="69">
        <v>228</v>
      </c>
      <c r="D2619" s="69">
        <v>23</v>
      </c>
      <c r="E2619" s="69">
        <v>2</v>
      </c>
      <c r="F2619" s="69">
        <v>0</v>
      </c>
      <c r="G2619" s="69" t="s">
        <v>18</v>
      </c>
      <c r="H2619" s="69" t="s">
        <v>9</v>
      </c>
      <c r="I2619" s="69" t="s">
        <v>1896</v>
      </c>
      <c r="J2619" s="69" t="s">
        <v>55</v>
      </c>
      <c r="K2619" s="69" t="s">
        <v>1484</v>
      </c>
      <c r="M2619" s="69" t="s">
        <v>6</v>
      </c>
    </row>
    <row r="2620" spans="2:13">
      <c r="B2620" s="69">
        <v>2618</v>
      </c>
      <c r="C2620" s="69">
        <v>228</v>
      </c>
      <c r="D2620" s="69">
        <v>23</v>
      </c>
      <c r="E2620" s="69">
        <v>3</v>
      </c>
      <c r="F2620" s="69">
        <v>0</v>
      </c>
      <c r="G2620" s="69" t="s">
        <v>18</v>
      </c>
      <c r="H2620" s="69" t="s">
        <v>9</v>
      </c>
      <c r="I2620" s="69" t="s">
        <v>1896</v>
      </c>
      <c r="J2620" s="69" t="s">
        <v>55</v>
      </c>
      <c r="K2620" s="69" t="s">
        <v>1898</v>
      </c>
      <c r="M2620" s="69" t="s">
        <v>6</v>
      </c>
    </row>
    <row r="2621" spans="2:13">
      <c r="B2621" s="69">
        <v>2619</v>
      </c>
      <c r="C2621" s="69">
        <v>228</v>
      </c>
      <c r="D2621" s="69">
        <v>23</v>
      </c>
      <c r="E2621" s="69">
        <v>4</v>
      </c>
      <c r="F2621" s="69">
        <v>0</v>
      </c>
      <c r="G2621" s="69" t="s">
        <v>18</v>
      </c>
      <c r="H2621" s="69" t="s">
        <v>9</v>
      </c>
      <c r="I2621" s="69" t="s">
        <v>1896</v>
      </c>
      <c r="J2621" s="69" t="s">
        <v>55</v>
      </c>
      <c r="K2621" s="69" t="s">
        <v>1899</v>
      </c>
      <c r="M2621" s="69" t="s">
        <v>6</v>
      </c>
    </row>
    <row r="2622" spans="2:13">
      <c r="B2622" s="69">
        <v>2620</v>
      </c>
      <c r="C2622" s="69">
        <v>228</v>
      </c>
      <c r="D2622" s="69">
        <v>23</v>
      </c>
      <c r="E2622" s="69">
        <v>5</v>
      </c>
      <c r="F2622" s="69">
        <v>0</v>
      </c>
      <c r="G2622" s="69" t="s">
        <v>18</v>
      </c>
      <c r="H2622" s="69" t="s">
        <v>9</v>
      </c>
      <c r="I2622" s="69" t="s">
        <v>1896</v>
      </c>
      <c r="J2622" s="69" t="s">
        <v>55</v>
      </c>
      <c r="K2622" s="69" t="s">
        <v>1900</v>
      </c>
      <c r="M2622" s="69" t="s">
        <v>6</v>
      </c>
    </row>
    <row r="2623" spans="2:13">
      <c r="B2623" s="69">
        <v>2621</v>
      </c>
      <c r="C2623" s="69">
        <v>228</v>
      </c>
      <c r="D2623" s="69">
        <v>23</v>
      </c>
      <c r="E2623" s="69">
        <v>6</v>
      </c>
      <c r="F2623" s="69">
        <v>0</v>
      </c>
      <c r="G2623" s="69" t="s">
        <v>18</v>
      </c>
      <c r="H2623" s="69" t="s">
        <v>9</v>
      </c>
      <c r="I2623" s="69" t="s">
        <v>1896</v>
      </c>
      <c r="J2623" s="69" t="s">
        <v>724</v>
      </c>
      <c r="K2623" s="69" t="s">
        <v>1901</v>
      </c>
      <c r="M2623" s="69" t="s">
        <v>6</v>
      </c>
    </row>
    <row r="2624" spans="2:13">
      <c r="B2624" s="69">
        <v>2622</v>
      </c>
      <c r="C2624" s="69">
        <v>228</v>
      </c>
      <c r="D2624" s="69">
        <v>23</v>
      </c>
      <c r="E2624" s="69">
        <v>7</v>
      </c>
      <c r="F2624" s="69">
        <v>0</v>
      </c>
      <c r="G2624" s="69" t="s">
        <v>18</v>
      </c>
      <c r="H2624" s="69" t="s">
        <v>9</v>
      </c>
      <c r="I2624" s="69" t="s">
        <v>1896</v>
      </c>
      <c r="J2624" s="69" t="s">
        <v>55</v>
      </c>
      <c r="K2624" s="69" t="s">
        <v>1902</v>
      </c>
      <c r="M2624" s="69" t="s">
        <v>6</v>
      </c>
    </row>
    <row r="2625" spans="2:13">
      <c r="B2625" s="69">
        <v>2623</v>
      </c>
      <c r="C2625" s="69">
        <v>228</v>
      </c>
      <c r="D2625" s="69">
        <v>23</v>
      </c>
      <c r="E2625" s="69">
        <v>8</v>
      </c>
      <c r="F2625" s="69">
        <v>0</v>
      </c>
      <c r="G2625" s="69" t="s">
        <v>18</v>
      </c>
      <c r="H2625" s="69" t="s">
        <v>9</v>
      </c>
      <c r="I2625" s="69" t="s">
        <v>1896</v>
      </c>
      <c r="J2625" s="69" t="s">
        <v>55</v>
      </c>
      <c r="K2625" s="69" t="s">
        <v>1903</v>
      </c>
      <c r="M2625" s="69" t="s">
        <v>6</v>
      </c>
    </row>
    <row r="2626" spans="2:13">
      <c r="B2626" s="69">
        <v>2624</v>
      </c>
      <c r="C2626" s="69">
        <v>228</v>
      </c>
      <c r="D2626" s="69">
        <v>23</v>
      </c>
      <c r="E2626" s="69">
        <v>9</v>
      </c>
      <c r="F2626" s="69">
        <v>0</v>
      </c>
      <c r="G2626" s="69" t="s">
        <v>18</v>
      </c>
      <c r="H2626" s="69" t="s">
        <v>9</v>
      </c>
      <c r="I2626" s="69" t="s">
        <v>1896</v>
      </c>
      <c r="J2626" s="69" t="s">
        <v>55</v>
      </c>
      <c r="K2626" s="69" t="s">
        <v>1904</v>
      </c>
      <c r="M2626" s="69" t="s">
        <v>6</v>
      </c>
    </row>
    <row r="2627" spans="2:13">
      <c r="B2627" s="69">
        <v>2625</v>
      </c>
      <c r="C2627" s="69">
        <v>228</v>
      </c>
      <c r="D2627" s="69">
        <v>23</v>
      </c>
      <c r="E2627" s="69">
        <v>10</v>
      </c>
      <c r="F2627" s="69">
        <v>0</v>
      </c>
      <c r="G2627" s="69" t="s">
        <v>18</v>
      </c>
      <c r="H2627" s="69" t="s">
        <v>9</v>
      </c>
      <c r="I2627" s="69" t="s">
        <v>1896</v>
      </c>
      <c r="J2627" s="69" t="s">
        <v>479</v>
      </c>
      <c r="K2627" s="69" t="s">
        <v>1905</v>
      </c>
      <c r="M2627" s="69" t="s">
        <v>6</v>
      </c>
    </row>
    <row r="2628" spans="2:13">
      <c r="B2628" s="69">
        <v>2626</v>
      </c>
      <c r="C2628" s="69">
        <v>228</v>
      </c>
      <c r="D2628" s="69">
        <v>23</v>
      </c>
      <c r="E2628" s="69">
        <v>11</v>
      </c>
      <c r="F2628" s="69">
        <v>0</v>
      </c>
      <c r="G2628" s="69" t="s">
        <v>18</v>
      </c>
      <c r="H2628" s="69" t="s">
        <v>9</v>
      </c>
      <c r="I2628" s="69" t="s">
        <v>1896</v>
      </c>
      <c r="J2628" s="69" t="s">
        <v>55</v>
      </c>
      <c r="K2628" s="69" t="s">
        <v>1484</v>
      </c>
      <c r="M2628" s="69" t="s">
        <v>6</v>
      </c>
    </row>
    <row r="2629" spans="2:13">
      <c r="B2629" s="69">
        <v>2627</v>
      </c>
      <c r="C2629" s="69">
        <v>228</v>
      </c>
      <c r="D2629" s="69">
        <v>23</v>
      </c>
      <c r="E2629" s="69">
        <v>12</v>
      </c>
      <c r="F2629" s="69">
        <v>0</v>
      </c>
      <c r="G2629" s="69" t="s">
        <v>18</v>
      </c>
      <c r="H2629" s="69" t="s">
        <v>9</v>
      </c>
      <c r="I2629" s="69" t="s">
        <v>1896</v>
      </c>
      <c r="J2629" s="69" t="s">
        <v>55</v>
      </c>
      <c r="K2629" s="69" t="s">
        <v>1906</v>
      </c>
      <c r="M2629" s="69" t="s">
        <v>6</v>
      </c>
    </row>
    <row r="2630" spans="2:13">
      <c r="B2630" s="69">
        <v>2628</v>
      </c>
      <c r="C2630" s="69">
        <v>228</v>
      </c>
      <c r="D2630" s="69">
        <v>23</v>
      </c>
      <c r="E2630" s="69">
        <v>13</v>
      </c>
      <c r="F2630" s="69">
        <v>0</v>
      </c>
      <c r="G2630" s="69" t="s">
        <v>18</v>
      </c>
      <c r="H2630" s="69" t="s">
        <v>9</v>
      </c>
      <c r="I2630" s="69" t="s">
        <v>1896</v>
      </c>
      <c r="J2630" s="69" t="s">
        <v>55</v>
      </c>
      <c r="K2630" s="69" t="s">
        <v>1907</v>
      </c>
      <c r="M2630" s="69" t="s">
        <v>6</v>
      </c>
    </row>
    <row r="2631" spans="2:13">
      <c r="B2631" s="69">
        <v>2629</v>
      </c>
      <c r="C2631" s="69">
        <v>228</v>
      </c>
      <c r="D2631" s="69">
        <v>23</v>
      </c>
      <c r="E2631" s="69">
        <v>14</v>
      </c>
      <c r="F2631" s="69">
        <v>0</v>
      </c>
      <c r="G2631" s="69" t="s">
        <v>18</v>
      </c>
      <c r="H2631" s="69" t="s">
        <v>9</v>
      </c>
      <c r="I2631" s="69" t="s">
        <v>1896</v>
      </c>
      <c r="J2631" s="69" t="s">
        <v>55</v>
      </c>
      <c r="K2631" s="69" t="s">
        <v>1908</v>
      </c>
      <c r="M2631" s="69" t="s">
        <v>6</v>
      </c>
    </row>
    <row r="2632" spans="2:13">
      <c r="B2632" s="69">
        <v>2630</v>
      </c>
      <c r="C2632" s="69">
        <v>228</v>
      </c>
      <c r="D2632" s="69">
        <v>23</v>
      </c>
      <c r="E2632" s="69">
        <v>15</v>
      </c>
      <c r="F2632" s="69">
        <v>0</v>
      </c>
      <c r="G2632" s="69" t="s">
        <v>18</v>
      </c>
      <c r="H2632" s="69" t="s">
        <v>9</v>
      </c>
      <c r="I2632" s="69" t="s">
        <v>1896</v>
      </c>
      <c r="J2632" s="69" t="s">
        <v>55</v>
      </c>
      <c r="K2632" s="69" t="s">
        <v>1909</v>
      </c>
      <c r="M2632" s="69" t="s">
        <v>6</v>
      </c>
    </row>
    <row r="2633" spans="2:13">
      <c r="B2633" s="69">
        <v>2631</v>
      </c>
      <c r="C2633" s="69">
        <v>228</v>
      </c>
      <c r="D2633" s="69">
        <v>23</v>
      </c>
      <c r="E2633" s="69">
        <v>16</v>
      </c>
      <c r="F2633" s="69">
        <v>0</v>
      </c>
      <c r="G2633" s="69" t="s">
        <v>18</v>
      </c>
      <c r="H2633" s="69" t="s">
        <v>9</v>
      </c>
      <c r="I2633" s="69" t="s">
        <v>1896</v>
      </c>
      <c r="J2633" s="69" t="s">
        <v>55</v>
      </c>
      <c r="K2633" s="69" t="s">
        <v>1910</v>
      </c>
      <c r="M2633" s="69" t="s">
        <v>6</v>
      </c>
    </row>
    <row r="2634" spans="2:13">
      <c r="B2634" s="69">
        <v>2632</v>
      </c>
      <c r="C2634" s="69">
        <v>228</v>
      </c>
      <c r="D2634" s="69">
        <v>23</v>
      </c>
      <c r="E2634" s="69">
        <v>17</v>
      </c>
      <c r="F2634" s="69">
        <v>0</v>
      </c>
      <c r="G2634" s="69" t="s">
        <v>18</v>
      </c>
      <c r="H2634" s="69" t="s">
        <v>9</v>
      </c>
      <c r="I2634" s="69" t="s">
        <v>1896</v>
      </c>
      <c r="J2634" s="69" t="s">
        <v>55</v>
      </c>
      <c r="K2634" s="69" t="s">
        <v>1911</v>
      </c>
      <c r="M2634" s="69" t="s">
        <v>6</v>
      </c>
    </row>
    <row r="2635" spans="2:13">
      <c r="B2635" s="69">
        <v>2633</v>
      </c>
      <c r="C2635" s="69">
        <v>228</v>
      </c>
      <c r="D2635" s="69">
        <v>23</v>
      </c>
      <c r="E2635" s="69">
        <v>18</v>
      </c>
      <c r="F2635" s="69">
        <v>0</v>
      </c>
      <c r="G2635" s="69" t="s">
        <v>18</v>
      </c>
      <c r="H2635" s="69" t="s">
        <v>9</v>
      </c>
      <c r="I2635" s="69" t="s">
        <v>1896</v>
      </c>
      <c r="J2635" s="69" t="s">
        <v>55</v>
      </c>
      <c r="K2635" s="69" t="s">
        <v>1904</v>
      </c>
      <c r="M2635" s="69" t="s">
        <v>6</v>
      </c>
    </row>
    <row r="2636" spans="2:13">
      <c r="B2636" s="69">
        <v>2634</v>
      </c>
      <c r="C2636" s="69">
        <v>228</v>
      </c>
      <c r="D2636" s="69">
        <v>23</v>
      </c>
      <c r="E2636" s="69">
        <v>19</v>
      </c>
      <c r="F2636" s="69">
        <v>0</v>
      </c>
      <c r="G2636" s="69" t="s">
        <v>18</v>
      </c>
      <c r="H2636" s="69" t="s">
        <v>9</v>
      </c>
      <c r="I2636" s="69" t="s">
        <v>1896</v>
      </c>
      <c r="J2636" s="69" t="s">
        <v>479</v>
      </c>
      <c r="K2636" s="69" t="s">
        <v>1912</v>
      </c>
      <c r="M2636" s="69" t="s">
        <v>6</v>
      </c>
    </row>
    <row r="2637" spans="2:13">
      <c r="B2637" s="69">
        <v>2635</v>
      </c>
      <c r="C2637" s="69">
        <v>228</v>
      </c>
      <c r="D2637" s="69">
        <v>23</v>
      </c>
      <c r="E2637" s="69">
        <v>20</v>
      </c>
      <c r="F2637" s="69">
        <v>0</v>
      </c>
      <c r="G2637" s="69" t="s">
        <v>18</v>
      </c>
      <c r="H2637" s="69" t="s">
        <v>9</v>
      </c>
      <c r="I2637" s="69" t="s">
        <v>1896</v>
      </c>
      <c r="J2637" s="69" t="s">
        <v>55</v>
      </c>
      <c r="K2637" s="69" t="s">
        <v>1913</v>
      </c>
      <c r="M2637" s="69" t="s">
        <v>6</v>
      </c>
    </row>
    <row r="2638" spans="2:13">
      <c r="B2638" s="69">
        <v>2636</v>
      </c>
      <c r="C2638" s="69">
        <v>228</v>
      </c>
      <c r="D2638" s="69">
        <v>23</v>
      </c>
      <c r="E2638" s="69">
        <v>21</v>
      </c>
      <c r="F2638" s="69">
        <v>0</v>
      </c>
      <c r="G2638" s="69" t="s">
        <v>18</v>
      </c>
      <c r="H2638" s="69" t="s">
        <v>9</v>
      </c>
      <c r="I2638" s="69" t="s">
        <v>1896</v>
      </c>
      <c r="J2638" s="69" t="s">
        <v>55</v>
      </c>
      <c r="K2638" s="69" t="s">
        <v>1914</v>
      </c>
      <c r="M2638" s="69" t="s">
        <v>6</v>
      </c>
    </row>
    <row r="2639" spans="2:13">
      <c r="B2639" s="69">
        <v>2637</v>
      </c>
      <c r="C2639" s="69">
        <v>228</v>
      </c>
      <c r="D2639" s="69">
        <v>23</v>
      </c>
      <c r="E2639" s="69">
        <v>22</v>
      </c>
      <c r="F2639" s="69">
        <v>0</v>
      </c>
      <c r="G2639" s="69" t="s">
        <v>18</v>
      </c>
      <c r="H2639" s="69" t="s">
        <v>9</v>
      </c>
      <c r="I2639" s="69" t="s">
        <v>1896</v>
      </c>
      <c r="J2639" s="69" t="s">
        <v>55</v>
      </c>
      <c r="K2639" s="69" t="s">
        <v>93</v>
      </c>
      <c r="M2639" s="69" t="s">
        <v>6</v>
      </c>
    </row>
    <row r="2640" spans="2:13">
      <c r="B2640" s="69">
        <v>2638</v>
      </c>
      <c r="C2640" s="69">
        <v>228</v>
      </c>
      <c r="D2640" s="69">
        <v>23</v>
      </c>
      <c r="E2640" s="69">
        <v>23</v>
      </c>
      <c r="F2640" s="69">
        <v>0</v>
      </c>
      <c r="G2640" s="69" t="s">
        <v>18</v>
      </c>
      <c r="H2640" s="69" t="s">
        <v>9</v>
      </c>
      <c r="I2640" s="69" t="s">
        <v>1896</v>
      </c>
      <c r="J2640" s="69" t="s">
        <v>64</v>
      </c>
      <c r="K2640" s="69" t="s">
        <v>94</v>
      </c>
      <c r="M2640" s="69" t="s">
        <v>6</v>
      </c>
    </row>
    <row r="2641" spans="2:13">
      <c r="B2641" s="69">
        <v>2639</v>
      </c>
      <c r="C2641" s="69">
        <v>229</v>
      </c>
      <c r="D2641" s="69">
        <v>14</v>
      </c>
      <c r="E2641" s="69">
        <v>0</v>
      </c>
      <c r="F2641" s="69">
        <v>0</v>
      </c>
      <c r="G2641" s="69" t="s">
        <v>18</v>
      </c>
      <c r="H2641" s="69" t="s">
        <v>9</v>
      </c>
      <c r="I2641" s="69" t="s">
        <v>1915</v>
      </c>
      <c r="J2641" s="69" t="s">
        <v>54</v>
      </c>
      <c r="K2641" s="69" t="s">
        <v>1915</v>
      </c>
      <c r="M2641" s="69" t="s">
        <v>6</v>
      </c>
    </row>
    <row r="2642" spans="2:13">
      <c r="B2642" s="69">
        <v>2640</v>
      </c>
      <c r="C2642" s="69">
        <v>229</v>
      </c>
      <c r="D2642" s="69">
        <v>14</v>
      </c>
      <c r="E2642" s="69">
        <v>1</v>
      </c>
      <c r="F2642" s="69">
        <v>0</v>
      </c>
      <c r="G2642" s="69" t="s">
        <v>18</v>
      </c>
      <c r="H2642" s="69" t="s">
        <v>9</v>
      </c>
      <c r="I2642" s="69" t="s">
        <v>1915</v>
      </c>
      <c r="J2642" s="69" t="s">
        <v>55</v>
      </c>
      <c r="K2642" s="69" t="s">
        <v>1916</v>
      </c>
      <c r="M2642" s="69" t="s">
        <v>6</v>
      </c>
    </row>
    <row r="2643" spans="2:13">
      <c r="B2643" s="69">
        <v>2641</v>
      </c>
      <c r="C2643" s="69">
        <v>229</v>
      </c>
      <c r="D2643" s="69">
        <v>14</v>
      </c>
      <c r="E2643" s="69">
        <v>2</v>
      </c>
      <c r="F2643" s="69">
        <v>0</v>
      </c>
      <c r="G2643" s="69" t="s">
        <v>18</v>
      </c>
      <c r="H2643" s="69" t="s">
        <v>9</v>
      </c>
      <c r="I2643" s="69" t="s">
        <v>1915</v>
      </c>
      <c r="J2643" s="69" t="s">
        <v>55</v>
      </c>
      <c r="K2643" s="69" t="s">
        <v>1917</v>
      </c>
      <c r="M2643" s="69" t="s">
        <v>6</v>
      </c>
    </row>
    <row r="2644" spans="2:13">
      <c r="B2644" s="69">
        <v>2642</v>
      </c>
      <c r="C2644" s="69">
        <v>229</v>
      </c>
      <c r="D2644" s="69">
        <v>14</v>
      </c>
      <c r="E2644" s="69">
        <v>3</v>
      </c>
      <c r="F2644" s="69">
        <v>0</v>
      </c>
      <c r="G2644" s="69" t="s">
        <v>18</v>
      </c>
      <c r="H2644" s="69" t="s">
        <v>9</v>
      </c>
      <c r="I2644" s="69" t="s">
        <v>1915</v>
      </c>
      <c r="J2644" s="69" t="s">
        <v>724</v>
      </c>
      <c r="K2644" s="69" t="s">
        <v>1918</v>
      </c>
      <c r="M2644" s="69" t="s">
        <v>6</v>
      </c>
    </row>
    <row r="2645" spans="2:13">
      <c r="B2645" s="69">
        <v>2643</v>
      </c>
      <c r="C2645" s="69">
        <v>229</v>
      </c>
      <c r="D2645" s="69">
        <v>14</v>
      </c>
      <c r="E2645" s="69">
        <v>4</v>
      </c>
      <c r="F2645" s="69">
        <v>0</v>
      </c>
      <c r="G2645" s="69" t="s">
        <v>18</v>
      </c>
      <c r="H2645" s="69" t="s">
        <v>9</v>
      </c>
      <c r="I2645" s="69" t="s">
        <v>1915</v>
      </c>
      <c r="J2645" s="69" t="s">
        <v>724</v>
      </c>
      <c r="K2645" s="69" t="s">
        <v>571</v>
      </c>
      <c r="M2645" s="69" t="s">
        <v>6</v>
      </c>
    </row>
    <row r="2646" spans="2:13">
      <c r="B2646" s="69">
        <v>2644</v>
      </c>
      <c r="C2646" s="69">
        <v>229</v>
      </c>
      <c r="D2646" s="69">
        <v>14</v>
      </c>
      <c r="E2646" s="69">
        <v>5</v>
      </c>
      <c r="F2646" s="69">
        <v>0</v>
      </c>
      <c r="G2646" s="69" t="s">
        <v>18</v>
      </c>
      <c r="H2646" s="69" t="s">
        <v>9</v>
      </c>
      <c r="I2646" s="69" t="s">
        <v>1915</v>
      </c>
      <c r="J2646" s="69" t="s">
        <v>724</v>
      </c>
      <c r="K2646" s="69" t="s">
        <v>1919</v>
      </c>
      <c r="M2646" s="69" t="s">
        <v>6</v>
      </c>
    </row>
    <row r="2647" spans="2:13">
      <c r="B2647" s="69">
        <v>2645</v>
      </c>
      <c r="C2647" s="69">
        <v>229</v>
      </c>
      <c r="D2647" s="69">
        <v>14</v>
      </c>
      <c r="E2647" s="69">
        <v>6</v>
      </c>
      <c r="F2647" s="69">
        <v>0</v>
      </c>
      <c r="G2647" s="69" t="s">
        <v>18</v>
      </c>
      <c r="H2647" s="69" t="s">
        <v>9</v>
      </c>
      <c r="I2647" s="69" t="s">
        <v>1915</v>
      </c>
      <c r="J2647" s="69" t="s">
        <v>724</v>
      </c>
      <c r="K2647" s="69" t="s">
        <v>1920</v>
      </c>
      <c r="M2647" s="69" t="s">
        <v>6</v>
      </c>
    </row>
    <row r="2648" spans="2:13">
      <c r="B2648" s="69">
        <v>2646</v>
      </c>
      <c r="C2648" s="69">
        <v>229</v>
      </c>
      <c r="D2648" s="69">
        <v>14</v>
      </c>
      <c r="E2648" s="69">
        <v>7</v>
      </c>
      <c r="F2648" s="69">
        <v>0</v>
      </c>
      <c r="G2648" s="69" t="s">
        <v>18</v>
      </c>
      <c r="H2648" s="69" t="s">
        <v>9</v>
      </c>
      <c r="I2648" s="69" t="s">
        <v>1915</v>
      </c>
      <c r="J2648" s="69" t="s">
        <v>218</v>
      </c>
      <c r="K2648" s="69" t="s">
        <v>1921</v>
      </c>
      <c r="L2648" s="69" t="s">
        <v>510</v>
      </c>
      <c r="M2648" s="69" t="s">
        <v>6</v>
      </c>
    </row>
    <row r="2649" spans="2:13">
      <c r="B2649" s="69">
        <v>2647</v>
      </c>
      <c r="C2649" s="69">
        <v>229</v>
      </c>
      <c r="D2649" s="69">
        <v>14</v>
      </c>
      <c r="E2649" s="69">
        <v>8</v>
      </c>
      <c r="F2649" s="69">
        <v>0</v>
      </c>
      <c r="G2649" s="69" t="s">
        <v>18</v>
      </c>
      <c r="H2649" s="69" t="s">
        <v>9</v>
      </c>
      <c r="I2649" s="69" t="s">
        <v>1915</v>
      </c>
      <c r="J2649" s="69" t="s">
        <v>724</v>
      </c>
      <c r="K2649" s="69" t="s">
        <v>1922</v>
      </c>
      <c r="M2649" s="69" t="s">
        <v>6</v>
      </c>
    </row>
    <row r="2650" spans="2:13">
      <c r="B2650" s="69">
        <v>2648</v>
      </c>
      <c r="C2650" s="69">
        <v>229</v>
      </c>
      <c r="D2650" s="69">
        <v>14</v>
      </c>
      <c r="E2650" s="69">
        <v>9</v>
      </c>
      <c r="F2650" s="69">
        <v>0</v>
      </c>
      <c r="G2650" s="69" t="s">
        <v>18</v>
      </c>
      <c r="H2650" s="69" t="s">
        <v>9</v>
      </c>
      <c r="I2650" s="69" t="s">
        <v>1915</v>
      </c>
      <c r="J2650" s="69" t="s">
        <v>55</v>
      </c>
      <c r="K2650" s="69" t="s">
        <v>1923</v>
      </c>
      <c r="M2650" s="69" t="s">
        <v>6</v>
      </c>
    </row>
    <row r="2651" spans="2:13">
      <c r="B2651" s="69">
        <v>2649</v>
      </c>
      <c r="C2651" s="69">
        <v>229</v>
      </c>
      <c r="D2651" s="69">
        <v>14</v>
      </c>
      <c r="E2651" s="69">
        <v>10</v>
      </c>
      <c r="F2651" s="69">
        <v>0</v>
      </c>
      <c r="G2651" s="69" t="s">
        <v>18</v>
      </c>
      <c r="H2651" s="69" t="s">
        <v>9</v>
      </c>
      <c r="I2651" s="69" t="s">
        <v>1915</v>
      </c>
      <c r="J2651" s="69" t="s">
        <v>55</v>
      </c>
      <c r="K2651" s="69" t="s">
        <v>1924</v>
      </c>
      <c r="M2651" s="69" t="s">
        <v>6</v>
      </c>
    </row>
    <row r="2652" spans="2:13">
      <c r="B2652" s="69">
        <v>2650</v>
      </c>
      <c r="C2652" s="69">
        <v>229</v>
      </c>
      <c r="D2652" s="69">
        <v>14</v>
      </c>
      <c r="E2652" s="69">
        <v>11</v>
      </c>
      <c r="F2652" s="69">
        <v>0</v>
      </c>
      <c r="G2652" s="69" t="s">
        <v>18</v>
      </c>
      <c r="H2652" s="69" t="s">
        <v>9</v>
      </c>
      <c r="I2652" s="69" t="s">
        <v>1915</v>
      </c>
      <c r="J2652" s="69" t="s">
        <v>55</v>
      </c>
      <c r="K2652" s="69" t="s">
        <v>1925</v>
      </c>
      <c r="M2652" s="69" t="s">
        <v>6</v>
      </c>
    </row>
    <row r="2653" spans="2:13">
      <c r="B2653" s="69">
        <v>2651</v>
      </c>
      <c r="C2653" s="69">
        <v>229</v>
      </c>
      <c r="D2653" s="69">
        <v>14</v>
      </c>
      <c r="E2653" s="69">
        <v>12</v>
      </c>
      <c r="F2653" s="69">
        <v>0</v>
      </c>
      <c r="G2653" s="69" t="s">
        <v>18</v>
      </c>
      <c r="H2653" s="69" t="s">
        <v>9</v>
      </c>
      <c r="I2653" s="69" t="s">
        <v>1915</v>
      </c>
      <c r="J2653" s="69" t="s">
        <v>1926</v>
      </c>
      <c r="K2653" s="69" t="s">
        <v>1927</v>
      </c>
      <c r="M2653" s="69" t="s">
        <v>6</v>
      </c>
    </row>
    <row r="2654" spans="2:13">
      <c r="B2654" s="69">
        <v>2652</v>
      </c>
      <c r="C2654" s="69">
        <v>229</v>
      </c>
      <c r="D2654" s="69">
        <v>14</v>
      </c>
      <c r="E2654" s="69">
        <v>13</v>
      </c>
      <c r="F2654" s="69">
        <v>0</v>
      </c>
      <c r="G2654" s="69" t="s">
        <v>18</v>
      </c>
      <c r="H2654" s="69" t="s">
        <v>9</v>
      </c>
      <c r="I2654" s="69" t="s">
        <v>1915</v>
      </c>
      <c r="J2654" s="69" t="s">
        <v>55</v>
      </c>
      <c r="K2654" s="69" t="s">
        <v>93</v>
      </c>
      <c r="M2654" s="69" t="s">
        <v>6</v>
      </c>
    </row>
    <row r="2655" spans="2:13">
      <c r="B2655" s="69">
        <v>2653</v>
      </c>
      <c r="C2655" s="69">
        <v>229</v>
      </c>
      <c r="D2655" s="69">
        <v>14</v>
      </c>
      <c r="E2655" s="69">
        <v>14</v>
      </c>
      <c r="F2655" s="69">
        <v>0</v>
      </c>
      <c r="G2655" s="69" t="s">
        <v>18</v>
      </c>
      <c r="H2655" s="69" t="s">
        <v>9</v>
      </c>
      <c r="I2655" s="69" t="s">
        <v>1915</v>
      </c>
      <c r="J2655" s="69" t="s">
        <v>64</v>
      </c>
      <c r="K2655" s="69" t="s">
        <v>94</v>
      </c>
      <c r="M2655" s="69" t="s">
        <v>6</v>
      </c>
    </row>
    <row r="2656" spans="2:13">
      <c r="B2656" s="69">
        <v>2654</v>
      </c>
      <c r="C2656" s="69">
        <v>230</v>
      </c>
      <c r="D2656" s="69">
        <v>8</v>
      </c>
      <c r="E2656" s="69">
        <v>0</v>
      </c>
      <c r="F2656" s="69">
        <v>0</v>
      </c>
      <c r="G2656" s="69" t="s">
        <v>18</v>
      </c>
      <c r="H2656" s="69" t="s">
        <v>9</v>
      </c>
      <c r="I2656" s="69" t="s">
        <v>1928</v>
      </c>
      <c r="J2656" s="69" t="s">
        <v>54</v>
      </c>
      <c r="K2656" s="69" t="s">
        <v>1928</v>
      </c>
      <c r="M2656" s="69" t="s">
        <v>6</v>
      </c>
    </row>
    <row r="2657" spans="2:13">
      <c r="B2657" s="69">
        <v>2655</v>
      </c>
      <c r="C2657" s="69">
        <v>230</v>
      </c>
      <c r="D2657" s="69">
        <v>8</v>
      </c>
      <c r="E2657" s="69">
        <v>1</v>
      </c>
      <c r="F2657" s="69">
        <v>0</v>
      </c>
      <c r="G2657" s="69" t="s">
        <v>18</v>
      </c>
      <c r="H2657" s="69" t="s">
        <v>9</v>
      </c>
      <c r="I2657" s="69" t="s">
        <v>1928</v>
      </c>
      <c r="J2657" s="69" t="s">
        <v>55</v>
      </c>
      <c r="K2657" s="69" t="s">
        <v>1929</v>
      </c>
      <c r="M2657" s="69" t="s">
        <v>6</v>
      </c>
    </row>
    <row r="2658" spans="2:13">
      <c r="B2658" s="69">
        <v>2656</v>
      </c>
      <c r="C2658" s="69">
        <v>230</v>
      </c>
      <c r="D2658" s="69">
        <v>8</v>
      </c>
      <c r="E2658" s="69">
        <v>2</v>
      </c>
      <c r="F2658" s="69">
        <v>0</v>
      </c>
      <c r="G2658" s="69" t="s">
        <v>18</v>
      </c>
      <c r="H2658" s="69" t="s">
        <v>9</v>
      </c>
      <c r="I2658" s="69" t="s">
        <v>1928</v>
      </c>
      <c r="J2658" s="69" t="s">
        <v>55</v>
      </c>
      <c r="K2658" s="69" t="s">
        <v>1930</v>
      </c>
      <c r="M2658" s="69" t="s">
        <v>6</v>
      </c>
    </row>
    <row r="2659" spans="2:13">
      <c r="B2659" s="69">
        <v>2657</v>
      </c>
      <c r="C2659" s="69">
        <v>230</v>
      </c>
      <c r="D2659" s="69">
        <v>8</v>
      </c>
      <c r="E2659" s="69">
        <v>3</v>
      </c>
      <c r="F2659" s="69">
        <v>0</v>
      </c>
      <c r="G2659" s="69" t="s">
        <v>18</v>
      </c>
      <c r="H2659" s="69" t="s">
        <v>9</v>
      </c>
      <c r="I2659" s="69" t="s">
        <v>1928</v>
      </c>
      <c r="J2659" s="69" t="s">
        <v>55</v>
      </c>
      <c r="K2659" s="69" t="s">
        <v>1931</v>
      </c>
      <c r="M2659" s="69" t="s">
        <v>6</v>
      </c>
    </row>
    <row r="2660" spans="2:13">
      <c r="B2660" s="69">
        <v>2658</v>
      </c>
      <c r="C2660" s="69">
        <v>230</v>
      </c>
      <c r="D2660" s="69">
        <v>8</v>
      </c>
      <c r="E2660" s="69">
        <v>4</v>
      </c>
      <c r="F2660" s="69">
        <v>0</v>
      </c>
      <c r="G2660" s="69" t="s">
        <v>18</v>
      </c>
      <c r="H2660" s="69" t="s">
        <v>9</v>
      </c>
      <c r="I2660" s="69" t="s">
        <v>1928</v>
      </c>
      <c r="J2660" s="69" t="s">
        <v>55</v>
      </c>
      <c r="K2660" s="69" t="s">
        <v>1932</v>
      </c>
      <c r="M2660" s="69" t="s">
        <v>6</v>
      </c>
    </row>
    <row r="2661" spans="2:13">
      <c r="B2661" s="69">
        <v>2659</v>
      </c>
      <c r="C2661" s="69">
        <v>230</v>
      </c>
      <c r="D2661" s="69">
        <v>8</v>
      </c>
      <c r="E2661" s="69">
        <v>5</v>
      </c>
      <c r="F2661" s="69">
        <v>0</v>
      </c>
      <c r="G2661" s="69" t="s">
        <v>18</v>
      </c>
      <c r="H2661" s="69" t="s">
        <v>9</v>
      </c>
      <c r="I2661" s="69" t="s">
        <v>1928</v>
      </c>
      <c r="J2661" s="69" t="s">
        <v>55</v>
      </c>
      <c r="K2661" s="69" t="s">
        <v>1933</v>
      </c>
      <c r="M2661" s="69" t="s">
        <v>6</v>
      </c>
    </row>
    <row r="2662" spans="2:13">
      <c r="B2662" s="69">
        <v>2660</v>
      </c>
      <c r="C2662" s="69">
        <v>230</v>
      </c>
      <c r="D2662" s="69">
        <v>8</v>
      </c>
      <c r="E2662" s="69">
        <v>6</v>
      </c>
      <c r="F2662" s="69">
        <v>0</v>
      </c>
      <c r="G2662" s="69" t="s">
        <v>18</v>
      </c>
      <c r="H2662" s="69" t="s">
        <v>9</v>
      </c>
      <c r="I2662" s="69" t="s">
        <v>1928</v>
      </c>
      <c r="J2662" s="69" t="s">
        <v>55</v>
      </c>
      <c r="K2662" s="69" t="s">
        <v>1934</v>
      </c>
      <c r="M2662" s="69" t="s">
        <v>6</v>
      </c>
    </row>
    <row r="2663" spans="2:13">
      <c r="B2663" s="69">
        <v>2661</v>
      </c>
      <c r="C2663" s="69">
        <v>230</v>
      </c>
      <c r="D2663" s="69">
        <v>8</v>
      </c>
      <c r="E2663" s="69">
        <v>7</v>
      </c>
      <c r="F2663" s="69">
        <v>0</v>
      </c>
      <c r="G2663" s="69" t="s">
        <v>18</v>
      </c>
      <c r="H2663" s="69" t="s">
        <v>9</v>
      </c>
      <c r="I2663" s="69" t="s">
        <v>1928</v>
      </c>
      <c r="J2663" s="69" t="s">
        <v>55</v>
      </c>
      <c r="K2663" s="69" t="s">
        <v>93</v>
      </c>
      <c r="M2663" s="69" t="s">
        <v>6</v>
      </c>
    </row>
    <row r="2664" spans="2:13">
      <c r="B2664" s="69">
        <v>2662</v>
      </c>
      <c r="C2664" s="69">
        <v>230</v>
      </c>
      <c r="D2664" s="69">
        <v>8</v>
      </c>
      <c r="E2664" s="69">
        <v>8</v>
      </c>
      <c r="F2664" s="69">
        <v>0</v>
      </c>
      <c r="G2664" s="69" t="s">
        <v>18</v>
      </c>
      <c r="H2664" s="69" t="s">
        <v>9</v>
      </c>
      <c r="I2664" s="69" t="s">
        <v>1928</v>
      </c>
      <c r="J2664" s="69" t="s">
        <v>64</v>
      </c>
      <c r="K2664" s="69" t="s">
        <v>94</v>
      </c>
      <c r="M2664" s="69" t="s">
        <v>6</v>
      </c>
    </row>
    <row r="2665" spans="2:13">
      <c r="B2665" s="69">
        <v>2663</v>
      </c>
      <c r="C2665" s="69">
        <v>231</v>
      </c>
      <c r="D2665" s="69">
        <v>7</v>
      </c>
      <c r="E2665" s="69">
        <v>0</v>
      </c>
      <c r="F2665" s="69">
        <v>0</v>
      </c>
      <c r="G2665" s="69" t="s">
        <v>18</v>
      </c>
      <c r="H2665" s="69" t="s">
        <v>9</v>
      </c>
      <c r="I2665" s="69" t="s">
        <v>1935</v>
      </c>
      <c r="J2665" s="69" t="s">
        <v>54</v>
      </c>
      <c r="K2665" s="69" t="s">
        <v>1935</v>
      </c>
      <c r="M2665" s="69" t="s">
        <v>6</v>
      </c>
    </row>
    <row r="2666" spans="2:13">
      <c r="B2666" s="69">
        <v>2664</v>
      </c>
      <c r="C2666" s="69">
        <v>231</v>
      </c>
      <c r="D2666" s="69">
        <v>7</v>
      </c>
      <c r="E2666" s="69">
        <v>1</v>
      </c>
      <c r="F2666" s="69">
        <v>0</v>
      </c>
      <c r="G2666" s="69" t="s">
        <v>18</v>
      </c>
      <c r="H2666" s="69" t="s">
        <v>9</v>
      </c>
      <c r="I2666" s="69" t="s">
        <v>1935</v>
      </c>
      <c r="J2666" s="69" t="s">
        <v>55</v>
      </c>
      <c r="K2666" s="69" t="s">
        <v>1484</v>
      </c>
      <c r="M2666" s="69" t="s">
        <v>6</v>
      </c>
    </row>
    <row r="2667" spans="2:13">
      <c r="B2667" s="69">
        <v>2665</v>
      </c>
      <c r="C2667" s="69">
        <v>231</v>
      </c>
      <c r="D2667" s="69">
        <v>7</v>
      </c>
      <c r="E2667" s="69">
        <v>2</v>
      </c>
      <c r="F2667" s="69">
        <v>0</v>
      </c>
      <c r="G2667" s="69" t="s">
        <v>18</v>
      </c>
      <c r="H2667" s="69" t="s">
        <v>9</v>
      </c>
      <c r="I2667" s="69" t="s">
        <v>1935</v>
      </c>
      <c r="J2667" s="69" t="s">
        <v>55</v>
      </c>
      <c r="K2667" s="69" t="s">
        <v>1936</v>
      </c>
      <c r="M2667" s="69" t="s">
        <v>6</v>
      </c>
    </row>
    <row r="2668" spans="2:13">
      <c r="B2668" s="69">
        <v>2666</v>
      </c>
      <c r="C2668" s="69">
        <v>231</v>
      </c>
      <c r="D2668" s="69">
        <v>7</v>
      </c>
      <c r="E2668" s="69">
        <v>3</v>
      </c>
      <c r="F2668" s="69">
        <v>0</v>
      </c>
      <c r="G2668" s="69" t="s">
        <v>18</v>
      </c>
      <c r="H2668" s="69" t="s">
        <v>9</v>
      </c>
      <c r="I2668" s="69" t="s">
        <v>1935</v>
      </c>
      <c r="J2668" s="69" t="s">
        <v>55</v>
      </c>
      <c r="K2668" s="69" t="s">
        <v>1880</v>
      </c>
      <c r="M2668" s="69" t="s">
        <v>6</v>
      </c>
    </row>
    <row r="2669" spans="2:13">
      <c r="B2669" s="69">
        <v>2667</v>
      </c>
      <c r="C2669" s="69">
        <v>231</v>
      </c>
      <c r="D2669" s="69">
        <v>7</v>
      </c>
      <c r="E2669" s="69">
        <v>4</v>
      </c>
      <c r="F2669" s="69">
        <v>0</v>
      </c>
      <c r="G2669" s="69" t="s">
        <v>18</v>
      </c>
      <c r="H2669" s="69" t="s">
        <v>9</v>
      </c>
      <c r="I2669" s="69" t="s">
        <v>1935</v>
      </c>
      <c r="J2669" s="69" t="s">
        <v>55</v>
      </c>
      <c r="K2669" s="69" t="s">
        <v>1937</v>
      </c>
      <c r="M2669" s="69" t="s">
        <v>6</v>
      </c>
    </row>
    <row r="2670" spans="2:13">
      <c r="B2670" s="69">
        <v>2668</v>
      </c>
      <c r="C2670" s="69">
        <v>231</v>
      </c>
      <c r="D2670" s="69">
        <v>7</v>
      </c>
      <c r="E2670" s="69">
        <v>5</v>
      </c>
      <c r="F2670" s="69">
        <v>0</v>
      </c>
      <c r="G2670" s="69" t="s">
        <v>18</v>
      </c>
      <c r="H2670" s="69" t="s">
        <v>9</v>
      </c>
      <c r="I2670" s="69" t="s">
        <v>1935</v>
      </c>
      <c r="J2670" s="69" t="s">
        <v>55</v>
      </c>
      <c r="K2670" s="69" t="s">
        <v>1938</v>
      </c>
      <c r="M2670" s="69" t="s">
        <v>6</v>
      </c>
    </row>
    <row r="2671" spans="2:13">
      <c r="B2671" s="69">
        <v>2669</v>
      </c>
      <c r="C2671" s="69">
        <v>231</v>
      </c>
      <c r="D2671" s="69">
        <v>7</v>
      </c>
      <c r="E2671" s="69">
        <v>6</v>
      </c>
      <c r="F2671" s="69">
        <v>0</v>
      </c>
      <c r="G2671" s="69" t="s">
        <v>18</v>
      </c>
      <c r="H2671" s="69" t="s">
        <v>9</v>
      </c>
      <c r="I2671" s="69" t="s">
        <v>1935</v>
      </c>
      <c r="J2671" s="69" t="s">
        <v>55</v>
      </c>
      <c r="K2671" s="69" t="s">
        <v>93</v>
      </c>
      <c r="M2671" s="69" t="s">
        <v>6</v>
      </c>
    </row>
    <row r="2672" spans="2:13">
      <c r="B2672" s="69">
        <v>2670</v>
      </c>
      <c r="C2672" s="69">
        <v>231</v>
      </c>
      <c r="D2672" s="69">
        <v>7</v>
      </c>
      <c r="E2672" s="69">
        <v>7</v>
      </c>
      <c r="F2672" s="69">
        <v>0</v>
      </c>
      <c r="G2672" s="69" t="s">
        <v>18</v>
      </c>
      <c r="H2672" s="69" t="s">
        <v>9</v>
      </c>
      <c r="I2672" s="69" t="s">
        <v>1935</v>
      </c>
      <c r="J2672" s="69" t="s">
        <v>64</v>
      </c>
      <c r="K2672" s="69" t="s">
        <v>94</v>
      </c>
      <c r="M2672" s="69" t="s">
        <v>6</v>
      </c>
    </row>
    <row r="2673" spans="2:13">
      <c r="B2673" s="69">
        <v>2671</v>
      </c>
      <c r="C2673" s="69">
        <v>232</v>
      </c>
      <c r="D2673" s="69">
        <v>11</v>
      </c>
      <c r="E2673" s="69">
        <v>0</v>
      </c>
      <c r="F2673" s="69">
        <v>0</v>
      </c>
      <c r="G2673" s="69" t="s">
        <v>18</v>
      </c>
      <c r="H2673" s="69" t="s">
        <v>9</v>
      </c>
      <c r="I2673" s="69" t="s">
        <v>1939</v>
      </c>
      <c r="J2673" s="69" t="s">
        <v>54</v>
      </c>
      <c r="K2673" s="69" t="s">
        <v>1939</v>
      </c>
      <c r="M2673" s="69" t="s">
        <v>6</v>
      </c>
    </row>
    <row r="2674" spans="2:13">
      <c r="B2674" s="69">
        <v>2672</v>
      </c>
      <c r="C2674" s="69">
        <v>232</v>
      </c>
      <c r="D2674" s="69">
        <v>11</v>
      </c>
      <c r="E2674" s="69">
        <v>1</v>
      </c>
      <c r="F2674" s="69">
        <v>0</v>
      </c>
      <c r="G2674" s="69" t="s">
        <v>18</v>
      </c>
      <c r="H2674" s="69" t="s">
        <v>9</v>
      </c>
      <c r="I2674" s="69" t="s">
        <v>1939</v>
      </c>
      <c r="J2674" s="69" t="s">
        <v>269</v>
      </c>
      <c r="K2674" s="69" t="s">
        <v>1940</v>
      </c>
      <c r="M2674" s="69" t="s">
        <v>6</v>
      </c>
    </row>
    <row r="2675" spans="2:13">
      <c r="B2675" s="69">
        <v>2673</v>
      </c>
      <c r="C2675" s="69">
        <v>232</v>
      </c>
      <c r="D2675" s="69">
        <v>11</v>
      </c>
      <c r="E2675" s="69">
        <v>2</v>
      </c>
      <c r="F2675" s="69">
        <v>0</v>
      </c>
      <c r="G2675" s="69" t="s">
        <v>18</v>
      </c>
      <c r="H2675" s="69" t="s">
        <v>9</v>
      </c>
      <c r="I2675" s="69" t="s">
        <v>1939</v>
      </c>
      <c r="J2675" s="69" t="s">
        <v>269</v>
      </c>
      <c r="K2675" s="69" t="s">
        <v>1941</v>
      </c>
      <c r="M2675" s="69" t="s">
        <v>6</v>
      </c>
    </row>
    <row r="2676" spans="2:13">
      <c r="B2676" s="69">
        <v>2674</v>
      </c>
      <c r="C2676" s="69">
        <v>232</v>
      </c>
      <c r="D2676" s="69">
        <v>11</v>
      </c>
      <c r="E2676" s="69">
        <v>3</v>
      </c>
      <c r="F2676" s="69">
        <v>0</v>
      </c>
      <c r="G2676" s="69" t="s">
        <v>18</v>
      </c>
      <c r="H2676" s="69" t="s">
        <v>9</v>
      </c>
      <c r="I2676" s="69" t="s">
        <v>1939</v>
      </c>
      <c r="J2676" s="69" t="s">
        <v>269</v>
      </c>
      <c r="K2676" s="69" t="s">
        <v>1942</v>
      </c>
      <c r="M2676" s="69" t="s">
        <v>6</v>
      </c>
    </row>
    <row r="2677" spans="2:13">
      <c r="B2677" s="69">
        <v>2675</v>
      </c>
      <c r="C2677" s="69">
        <v>232</v>
      </c>
      <c r="D2677" s="69">
        <v>11</v>
      </c>
      <c r="E2677" s="69">
        <v>4</v>
      </c>
      <c r="F2677" s="69">
        <v>0</v>
      </c>
      <c r="G2677" s="69" t="s">
        <v>18</v>
      </c>
      <c r="H2677" s="69" t="s">
        <v>9</v>
      </c>
      <c r="I2677" s="69" t="s">
        <v>1939</v>
      </c>
      <c r="J2677" s="69" t="s">
        <v>269</v>
      </c>
      <c r="K2677" s="69" t="s">
        <v>1943</v>
      </c>
      <c r="M2677" s="69" t="s">
        <v>6</v>
      </c>
    </row>
    <row r="2678" spans="2:13">
      <c r="B2678" s="69">
        <v>2676</v>
      </c>
      <c r="C2678" s="69">
        <v>232</v>
      </c>
      <c r="D2678" s="69">
        <v>11</v>
      </c>
      <c r="E2678" s="69">
        <v>5</v>
      </c>
      <c r="F2678" s="69">
        <v>0</v>
      </c>
      <c r="G2678" s="69" t="s">
        <v>18</v>
      </c>
      <c r="H2678" s="69" t="s">
        <v>9</v>
      </c>
      <c r="I2678" s="69" t="s">
        <v>1939</v>
      </c>
      <c r="J2678" s="69" t="s">
        <v>269</v>
      </c>
      <c r="K2678" s="69" t="s">
        <v>1944</v>
      </c>
      <c r="M2678" s="69" t="s">
        <v>6</v>
      </c>
    </row>
    <row r="2679" spans="2:13">
      <c r="B2679" s="69">
        <v>2677</v>
      </c>
      <c r="C2679" s="69">
        <v>232</v>
      </c>
      <c r="D2679" s="69">
        <v>11</v>
      </c>
      <c r="E2679" s="69">
        <v>6</v>
      </c>
      <c r="F2679" s="69">
        <v>0</v>
      </c>
      <c r="G2679" s="69" t="s">
        <v>18</v>
      </c>
      <c r="H2679" s="69" t="s">
        <v>9</v>
      </c>
      <c r="I2679" s="69" t="s">
        <v>1939</v>
      </c>
      <c r="J2679" s="69" t="s">
        <v>269</v>
      </c>
      <c r="K2679" s="69" t="s">
        <v>1945</v>
      </c>
      <c r="M2679" s="69" t="s">
        <v>6</v>
      </c>
    </row>
    <row r="2680" spans="2:13">
      <c r="B2680" s="69">
        <v>2678</v>
      </c>
      <c r="C2680" s="69">
        <v>232</v>
      </c>
      <c r="D2680" s="69">
        <v>11</v>
      </c>
      <c r="E2680" s="69">
        <v>7</v>
      </c>
      <c r="F2680" s="69">
        <v>0</v>
      </c>
      <c r="G2680" s="69" t="s">
        <v>18</v>
      </c>
      <c r="H2680" s="69" t="s">
        <v>9</v>
      </c>
      <c r="I2680" s="69" t="s">
        <v>1939</v>
      </c>
      <c r="J2680" s="69" t="s">
        <v>269</v>
      </c>
      <c r="K2680" s="69" t="s">
        <v>1946</v>
      </c>
      <c r="M2680" s="69" t="s">
        <v>6</v>
      </c>
    </row>
    <row r="2681" spans="2:13">
      <c r="B2681" s="69">
        <v>2679</v>
      </c>
      <c r="C2681" s="69">
        <v>232</v>
      </c>
      <c r="D2681" s="69">
        <v>11</v>
      </c>
      <c r="E2681" s="69">
        <v>8</v>
      </c>
      <c r="F2681" s="69">
        <v>0</v>
      </c>
      <c r="G2681" s="69" t="s">
        <v>18</v>
      </c>
      <c r="H2681" s="69" t="s">
        <v>9</v>
      </c>
      <c r="I2681" s="69" t="s">
        <v>1939</v>
      </c>
      <c r="J2681" s="69" t="s">
        <v>269</v>
      </c>
      <c r="K2681" s="69" t="s">
        <v>1947</v>
      </c>
      <c r="M2681" s="69" t="s">
        <v>6</v>
      </c>
    </row>
    <row r="2682" spans="2:13">
      <c r="B2682" s="69">
        <v>2680</v>
      </c>
      <c r="C2682" s="69">
        <v>232</v>
      </c>
      <c r="D2682" s="69">
        <v>11</v>
      </c>
      <c r="E2682" s="69">
        <v>9</v>
      </c>
      <c r="F2682" s="69">
        <v>0</v>
      </c>
      <c r="G2682" s="69" t="s">
        <v>18</v>
      </c>
      <c r="H2682" s="69" t="s">
        <v>9</v>
      </c>
      <c r="I2682" s="69" t="s">
        <v>1939</v>
      </c>
      <c r="J2682" s="69" t="s">
        <v>269</v>
      </c>
      <c r="K2682" s="69" t="s">
        <v>1948</v>
      </c>
      <c r="M2682" s="69" t="s">
        <v>6</v>
      </c>
    </row>
    <row r="2683" spans="2:13">
      <c r="B2683" s="69">
        <v>2681</v>
      </c>
      <c r="C2683" s="69">
        <v>232</v>
      </c>
      <c r="D2683" s="69">
        <v>11</v>
      </c>
      <c r="E2683" s="69">
        <v>10</v>
      </c>
      <c r="F2683" s="69">
        <v>0</v>
      </c>
      <c r="G2683" s="69" t="s">
        <v>18</v>
      </c>
      <c r="H2683" s="69" t="s">
        <v>9</v>
      </c>
      <c r="I2683" s="69" t="s">
        <v>1939</v>
      </c>
      <c r="J2683" s="69" t="s">
        <v>55</v>
      </c>
      <c r="K2683" s="69" t="s">
        <v>93</v>
      </c>
      <c r="M2683" s="69" t="s">
        <v>6</v>
      </c>
    </row>
    <row r="2684" spans="2:13">
      <c r="B2684" s="69">
        <v>2682</v>
      </c>
      <c r="C2684" s="69">
        <v>232</v>
      </c>
      <c r="D2684" s="69">
        <v>11</v>
      </c>
      <c r="E2684" s="69">
        <v>11</v>
      </c>
      <c r="F2684" s="69">
        <v>0</v>
      </c>
      <c r="G2684" s="69" t="s">
        <v>18</v>
      </c>
      <c r="H2684" s="69" t="s">
        <v>9</v>
      </c>
      <c r="I2684" s="69" t="s">
        <v>1939</v>
      </c>
      <c r="J2684" s="69" t="s">
        <v>64</v>
      </c>
      <c r="K2684" s="69" t="s">
        <v>94</v>
      </c>
      <c r="M2684" s="69" t="s">
        <v>6</v>
      </c>
    </row>
    <row r="2685" spans="2:13">
      <c r="B2685" s="69">
        <v>2683</v>
      </c>
      <c r="C2685" s="69">
        <v>233</v>
      </c>
      <c r="D2685" s="69">
        <v>11</v>
      </c>
      <c r="E2685" s="69">
        <v>0</v>
      </c>
      <c r="F2685" s="69">
        <v>0</v>
      </c>
      <c r="G2685" s="69" t="s">
        <v>18</v>
      </c>
      <c r="H2685" s="69" t="s">
        <v>9</v>
      </c>
      <c r="I2685" s="69" t="s">
        <v>1949</v>
      </c>
      <c r="J2685" s="69" t="s">
        <v>1950</v>
      </c>
      <c r="K2685" s="69" t="s">
        <v>1949</v>
      </c>
      <c r="M2685" s="69" t="s">
        <v>6</v>
      </c>
    </row>
    <row r="2686" spans="2:13">
      <c r="B2686" s="69">
        <v>2684</v>
      </c>
      <c r="C2686" s="69">
        <v>233</v>
      </c>
      <c r="D2686" s="69">
        <v>11</v>
      </c>
      <c r="E2686" s="69">
        <v>1</v>
      </c>
      <c r="F2686" s="69">
        <v>0</v>
      </c>
      <c r="G2686" s="69" t="s">
        <v>18</v>
      </c>
      <c r="H2686" s="69" t="s">
        <v>9</v>
      </c>
      <c r="I2686" s="69" t="s">
        <v>1949</v>
      </c>
      <c r="J2686" s="69" t="s">
        <v>269</v>
      </c>
      <c r="K2686" s="69" t="s">
        <v>1951</v>
      </c>
      <c r="M2686" s="69" t="s">
        <v>6</v>
      </c>
    </row>
    <row r="2687" spans="2:13">
      <c r="B2687" s="69">
        <v>2685</v>
      </c>
      <c r="C2687" s="69">
        <v>233</v>
      </c>
      <c r="D2687" s="69">
        <v>11</v>
      </c>
      <c r="E2687" s="69">
        <v>2</v>
      </c>
      <c r="F2687" s="69">
        <v>0</v>
      </c>
      <c r="G2687" s="69" t="s">
        <v>18</v>
      </c>
      <c r="H2687" s="69" t="s">
        <v>9</v>
      </c>
      <c r="I2687" s="69" t="s">
        <v>1949</v>
      </c>
      <c r="J2687" s="69" t="s">
        <v>269</v>
      </c>
      <c r="K2687" s="69" t="s">
        <v>1952</v>
      </c>
      <c r="M2687" s="69" t="s">
        <v>6</v>
      </c>
    </row>
    <row r="2688" spans="2:13">
      <c r="B2688" s="69">
        <v>2686</v>
      </c>
      <c r="C2688" s="69">
        <v>233</v>
      </c>
      <c r="D2688" s="69">
        <v>11</v>
      </c>
      <c r="E2688" s="69">
        <v>3</v>
      </c>
      <c r="F2688" s="69">
        <v>0</v>
      </c>
      <c r="G2688" s="69" t="s">
        <v>18</v>
      </c>
      <c r="H2688" s="69" t="s">
        <v>9</v>
      </c>
      <c r="I2688" s="69" t="s">
        <v>1949</v>
      </c>
      <c r="J2688" s="69" t="s">
        <v>269</v>
      </c>
      <c r="K2688" s="69" t="s">
        <v>1953</v>
      </c>
      <c r="M2688" s="69" t="s">
        <v>6</v>
      </c>
    </row>
    <row r="2689" spans="2:13">
      <c r="B2689" s="69">
        <v>2687</v>
      </c>
      <c r="C2689" s="69">
        <v>233</v>
      </c>
      <c r="D2689" s="69">
        <v>11</v>
      </c>
      <c r="E2689" s="69">
        <v>4</v>
      </c>
      <c r="F2689" s="69">
        <v>0</v>
      </c>
      <c r="G2689" s="69" t="s">
        <v>18</v>
      </c>
      <c r="H2689" s="69" t="s">
        <v>9</v>
      </c>
      <c r="I2689" s="69" t="s">
        <v>1949</v>
      </c>
      <c r="J2689" s="69" t="s">
        <v>269</v>
      </c>
      <c r="K2689" s="69" t="s">
        <v>1954</v>
      </c>
      <c r="M2689" s="69" t="s">
        <v>6</v>
      </c>
    </row>
    <row r="2690" spans="2:13">
      <c r="B2690" s="69">
        <v>2688</v>
      </c>
      <c r="C2690" s="69">
        <v>233</v>
      </c>
      <c r="D2690" s="69">
        <v>11</v>
      </c>
      <c r="E2690" s="69">
        <v>5</v>
      </c>
      <c r="F2690" s="69">
        <v>0</v>
      </c>
      <c r="G2690" s="69" t="s">
        <v>18</v>
      </c>
      <c r="H2690" s="69" t="s">
        <v>9</v>
      </c>
      <c r="I2690" s="69" t="s">
        <v>1949</v>
      </c>
      <c r="J2690" s="69" t="s">
        <v>269</v>
      </c>
      <c r="K2690" s="69" t="s">
        <v>1955</v>
      </c>
      <c r="M2690" s="69" t="s">
        <v>6</v>
      </c>
    </row>
    <row r="2691" spans="2:13">
      <c r="B2691" s="69">
        <v>2689</v>
      </c>
      <c r="C2691" s="69">
        <v>233</v>
      </c>
      <c r="D2691" s="69">
        <v>11</v>
      </c>
      <c r="E2691" s="69">
        <v>6</v>
      </c>
      <c r="F2691" s="69">
        <v>0</v>
      </c>
      <c r="G2691" s="69" t="s">
        <v>18</v>
      </c>
      <c r="H2691" s="69" t="s">
        <v>9</v>
      </c>
      <c r="I2691" s="69" t="s">
        <v>1949</v>
      </c>
      <c r="J2691" s="69" t="s">
        <v>269</v>
      </c>
      <c r="K2691" s="69" t="s">
        <v>1956</v>
      </c>
      <c r="M2691" s="69" t="s">
        <v>6</v>
      </c>
    </row>
    <row r="2692" spans="2:13">
      <c r="B2692" s="69">
        <v>2690</v>
      </c>
      <c r="C2692" s="69">
        <v>233</v>
      </c>
      <c r="D2692" s="69">
        <v>11</v>
      </c>
      <c r="E2692" s="69">
        <v>7</v>
      </c>
      <c r="F2692" s="69">
        <v>0</v>
      </c>
      <c r="G2692" s="69" t="s">
        <v>18</v>
      </c>
      <c r="H2692" s="69" t="s">
        <v>9</v>
      </c>
      <c r="I2692" s="69" t="s">
        <v>1949</v>
      </c>
      <c r="J2692" s="69" t="s">
        <v>269</v>
      </c>
      <c r="K2692" s="69" t="s">
        <v>1957</v>
      </c>
      <c r="M2692" s="69" t="s">
        <v>6</v>
      </c>
    </row>
    <row r="2693" spans="2:13">
      <c r="B2693" s="69">
        <v>2691</v>
      </c>
      <c r="C2693" s="69">
        <v>233</v>
      </c>
      <c r="D2693" s="69">
        <v>11</v>
      </c>
      <c r="E2693" s="69">
        <v>8</v>
      </c>
      <c r="F2693" s="69">
        <v>0</v>
      </c>
      <c r="G2693" s="69" t="s">
        <v>18</v>
      </c>
      <c r="H2693" s="69" t="s">
        <v>9</v>
      </c>
      <c r="I2693" s="69" t="s">
        <v>1949</v>
      </c>
      <c r="J2693" s="69" t="s">
        <v>269</v>
      </c>
      <c r="K2693" s="69" t="s">
        <v>1958</v>
      </c>
      <c r="M2693" s="69" t="s">
        <v>6</v>
      </c>
    </row>
    <row r="2694" spans="2:13">
      <c r="B2694" s="69">
        <v>2692</v>
      </c>
      <c r="C2694" s="69">
        <v>233</v>
      </c>
      <c r="D2694" s="69">
        <v>11</v>
      </c>
      <c r="E2694" s="69">
        <v>9</v>
      </c>
      <c r="F2694" s="69">
        <v>0</v>
      </c>
      <c r="G2694" s="69" t="s">
        <v>18</v>
      </c>
      <c r="H2694" s="69" t="s">
        <v>9</v>
      </c>
      <c r="I2694" s="69" t="s">
        <v>1949</v>
      </c>
      <c r="J2694" s="69" t="s">
        <v>269</v>
      </c>
      <c r="K2694" s="69" t="s">
        <v>1959</v>
      </c>
      <c r="M2694" s="69" t="s">
        <v>6</v>
      </c>
    </row>
    <row r="2695" spans="2:13">
      <c r="B2695" s="69">
        <v>2693</v>
      </c>
      <c r="C2695" s="69">
        <v>233</v>
      </c>
      <c r="D2695" s="69">
        <v>11</v>
      </c>
      <c r="E2695" s="69">
        <v>10</v>
      </c>
      <c r="F2695" s="69">
        <v>0</v>
      </c>
      <c r="G2695" s="69" t="s">
        <v>18</v>
      </c>
      <c r="H2695" s="69" t="s">
        <v>9</v>
      </c>
      <c r="I2695" s="69" t="s">
        <v>1949</v>
      </c>
      <c r="J2695" s="69" t="s">
        <v>55</v>
      </c>
      <c r="K2695" s="69" t="s">
        <v>93</v>
      </c>
      <c r="M2695" s="69" t="s">
        <v>6</v>
      </c>
    </row>
    <row r="2696" spans="2:13">
      <c r="B2696" s="69">
        <v>2694</v>
      </c>
      <c r="C2696" s="69">
        <v>233</v>
      </c>
      <c r="D2696" s="69">
        <v>11</v>
      </c>
      <c r="E2696" s="69">
        <v>11</v>
      </c>
      <c r="F2696" s="69">
        <v>0</v>
      </c>
      <c r="G2696" s="69" t="s">
        <v>18</v>
      </c>
      <c r="H2696" s="69" t="s">
        <v>9</v>
      </c>
      <c r="I2696" s="69" t="s">
        <v>1949</v>
      </c>
      <c r="J2696" s="69" t="s">
        <v>64</v>
      </c>
      <c r="K2696" s="69" t="s">
        <v>94</v>
      </c>
      <c r="M2696" s="69" t="s">
        <v>6</v>
      </c>
    </row>
    <row r="2697" spans="2:13">
      <c r="B2697" s="69">
        <v>2695</v>
      </c>
      <c r="C2697" s="69">
        <v>234</v>
      </c>
      <c r="D2697" s="69">
        <v>19</v>
      </c>
      <c r="E2697" s="69">
        <v>0</v>
      </c>
      <c r="F2697" s="69">
        <v>0</v>
      </c>
      <c r="G2697" s="69" t="s">
        <v>18</v>
      </c>
      <c r="H2697" s="69" t="s">
        <v>9</v>
      </c>
      <c r="I2697" s="69" t="s">
        <v>1960</v>
      </c>
      <c r="J2697" s="69" t="s">
        <v>478</v>
      </c>
      <c r="K2697" s="69" t="s">
        <v>1960</v>
      </c>
      <c r="M2697" s="69" t="s">
        <v>6</v>
      </c>
    </row>
    <row r="2698" spans="2:13">
      <c r="B2698" s="69">
        <v>2696</v>
      </c>
      <c r="C2698" s="69">
        <v>234</v>
      </c>
      <c r="D2698" s="69">
        <v>19</v>
      </c>
      <c r="E2698" s="69">
        <v>1</v>
      </c>
      <c r="F2698" s="69">
        <v>0</v>
      </c>
      <c r="G2698" s="69" t="s">
        <v>18</v>
      </c>
      <c r="H2698" s="69" t="s">
        <v>9</v>
      </c>
      <c r="I2698" s="69" t="s">
        <v>1960</v>
      </c>
      <c r="J2698" s="69" t="s">
        <v>479</v>
      </c>
      <c r="K2698" s="69" t="s">
        <v>1961</v>
      </c>
      <c r="M2698" s="69" t="s">
        <v>6</v>
      </c>
    </row>
    <row r="2699" spans="2:13">
      <c r="B2699" s="69">
        <v>2697</v>
      </c>
      <c r="C2699" s="69">
        <v>234</v>
      </c>
      <c r="D2699" s="69">
        <v>19</v>
      </c>
      <c r="E2699" s="69">
        <v>2</v>
      </c>
      <c r="F2699" s="69">
        <v>0</v>
      </c>
      <c r="G2699" s="69" t="s">
        <v>18</v>
      </c>
      <c r="H2699" s="69" t="s">
        <v>9</v>
      </c>
      <c r="I2699" s="69" t="s">
        <v>1960</v>
      </c>
      <c r="J2699" s="69" t="s">
        <v>55</v>
      </c>
      <c r="K2699" s="69" t="s">
        <v>1962</v>
      </c>
      <c r="M2699" s="69" t="s">
        <v>6</v>
      </c>
    </row>
    <row r="2700" spans="2:13">
      <c r="B2700" s="69">
        <v>2698</v>
      </c>
      <c r="C2700" s="69">
        <v>234</v>
      </c>
      <c r="D2700" s="69">
        <v>19</v>
      </c>
      <c r="E2700" s="69">
        <v>3</v>
      </c>
      <c r="F2700" s="69">
        <v>0</v>
      </c>
      <c r="G2700" s="69" t="s">
        <v>18</v>
      </c>
      <c r="H2700" s="69" t="s">
        <v>9</v>
      </c>
      <c r="I2700" s="69" t="s">
        <v>1960</v>
      </c>
      <c r="J2700" s="69" t="s">
        <v>55</v>
      </c>
      <c r="K2700" s="69" t="s">
        <v>1963</v>
      </c>
      <c r="M2700" s="69" t="s">
        <v>6</v>
      </c>
    </row>
    <row r="2701" spans="2:13">
      <c r="B2701" s="69">
        <v>2699</v>
      </c>
      <c r="C2701" s="69">
        <v>234</v>
      </c>
      <c r="D2701" s="69">
        <v>19</v>
      </c>
      <c r="E2701" s="69">
        <v>4</v>
      </c>
      <c r="F2701" s="69">
        <v>0</v>
      </c>
      <c r="G2701" s="69" t="s">
        <v>18</v>
      </c>
      <c r="H2701" s="69" t="s">
        <v>9</v>
      </c>
      <c r="I2701" s="69" t="s">
        <v>1960</v>
      </c>
      <c r="J2701" s="69" t="s">
        <v>55</v>
      </c>
      <c r="K2701" s="69" t="s">
        <v>1964</v>
      </c>
      <c r="M2701" s="69" t="s">
        <v>6</v>
      </c>
    </row>
    <row r="2702" spans="2:13">
      <c r="B2702" s="69">
        <v>2700</v>
      </c>
      <c r="C2702" s="69">
        <v>234</v>
      </c>
      <c r="D2702" s="69">
        <v>19</v>
      </c>
      <c r="E2702" s="69">
        <v>5</v>
      </c>
      <c r="F2702" s="69">
        <v>0</v>
      </c>
      <c r="G2702" s="69" t="s">
        <v>18</v>
      </c>
      <c r="H2702" s="69" t="s">
        <v>9</v>
      </c>
      <c r="I2702" s="69" t="s">
        <v>1960</v>
      </c>
      <c r="J2702" s="69" t="s">
        <v>55</v>
      </c>
      <c r="K2702" s="69" t="s">
        <v>1965</v>
      </c>
      <c r="M2702" s="69" t="s">
        <v>6</v>
      </c>
    </row>
    <row r="2703" spans="2:13">
      <c r="B2703" s="69">
        <v>2701</v>
      </c>
      <c r="C2703" s="69">
        <v>234</v>
      </c>
      <c r="D2703" s="69">
        <v>19</v>
      </c>
      <c r="E2703" s="69">
        <v>6</v>
      </c>
      <c r="F2703" s="69">
        <v>0</v>
      </c>
      <c r="G2703" s="69" t="s">
        <v>18</v>
      </c>
      <c r="H2703" s="69" t="s">
        <v>9</v>
      </c>
      <c r="I2703" s="69" t="s">
        <v>1960</v>
      </c>
      <c r="J2703" s="69" t="s">
        <v>55</v>
      </c>
      <c r="K2703" s="69" t="s">
        <v>1966</v>
      </c>
      <c r="M2703" s="69" t="s">
        <v>6</v>
      </c>
    </row>
    <row r="2704" spans="2:13">
      <c r="B2704" s="69">
        <v>2702</v>
      </c>
      <c r="C2704" s="69">
        <v>234</v>
      </c>
      <c r="D2704" s="69">
        <v>19</v>
      </c>
      <c r="E2704" s="69">
        <v>7</v>
      </c>
      <c r="F2704" s="69">
        <v>0</v>
      </c>
      <c r="G2704" s="69" t="s">
        <v>18</v>
      </c>
      <c r="H2704" s="69" t="s">
        <v>9</v>
      </c>
      <c r="I2704" s="69" t="s">
        <v>1960</v>
      </c>
      <c r="J2704" s="69" t="s">
        <v>55</v>
      </c>
      <c r="K2704" s="69" t="s">
        <v>1967</v>
      </c>
      <c r="M2704" s="69" t="s">
        <v>6</v>
      </c>
    </row>
    <row r="2705" spans="2:13">
      <c r="B2705" s="69">
        <v>2703</v>
      </c>
      <c r="C2705" s="69">
        <v>234</v>
      </c>
      <c r="D2705" s="69">
        <v>19</v>
      </c>
      <c r="E2705" s="69">
        <v>8</v>
      </c>
      <c r="F2705" s="69">
        <v>0</v>
      </c>
      <c r="G2705" s="69" t="s">
        <v>18</v>
      </c>
      <c r="H2705" s="69" t="s">
        <v>9</v>
      </c>
      <c r="I2705" s="69" t="s">
        <v>1960</v>
      </c>
      <c r="J2705" s="69" t="s">
        <v>479</v>
      </c>
      <c r="K2705" s="69" t="s">
        <v>1968</v>
      </c>
      <c r="M2705" s="69" t="s">
        <v>6</v>
      </c>
    </row>
    <row r="2706" spans="2:13">
      <c r="B2706" s="69">
        <v>2704</v>
      </c>
      <c r="C2706" s="69">
        <v>234</v>
      </c>
      <c r="D2706" s="69">
        <v>19</v>
      </c>
      <c r="E2706" s="69">
        <v>9</v>
      </c>
      <c r="F2706" s="69">
        <v>0</v>
      </c>
      <c r="G2706" s="69" t="s">
        <v>18</v>
      </c>
      <c r="H2706" s="69" t="s">
        <v>9</v>
      </c>
      <c r="I2706" s="69" t="s">
        <v>1960</v>
      </c>
      <c r="J2706" s="69" t="s">
        <v>55</v>
      </c>
      <c r="K2706" s="69" t="s">
        <v>1969</v>
      </c>
      <c r="M2706" s="69" t="s">
        <v>6</v>
      </c>
    </row>
    <row r="2707" spans="2:13">
      <c r="B2707" s="69">
        <v>2705</v>
      </c>
      <c r="C2707" s="69">
        <v>234</v>
      </c>
      <c r="D2707" s="69">
        <v>19</v>
      </c>
      <c r="E2707" s="69">
        <v>10</v>
      </c>
      <c r="F2707" s="69">
        <v>0</v>
      </c>
      <c r="G2707" s="69" t="s">
        <v>18</v>
      </c>
      <c r="H2707" s="69" t="s">
        <v>9</v>
      </c>
      <c r="I2707" s="69" t="s">
        <v>1960</v>
      </c>
      <c r="J2707" s="69" t="s">
        <v>479</v>
      </c>
      <c r="K2707" s="69" t="s">
        <v>1970</v>
      </c>
      <c r="M2707" s="69" t="s">
        <v>6</v>
      </c>
    </row>
    <row r="2708" spans="2:13">
      <c r="B2708" s="69">
        <v>2706</v>
      </c>
      <c r="C2708" s="69">
        <v>234</v>
      </c>
      <c r="D2708" s="69">
        <v>19</v>
      </c>
      <c r="E2708" s="69">
        <v>11</v>
      </c>
      <c r="F2708" s="69">
        <v>0</v>
      </c>
      <c r="G2708" s="69" t="s">
        <v>18</v>
      </c>
      <c r="H2708" s="69" t="s">
        <v>9</v>
      </c>
      <c r="I2708" s="69" t="s">
        <v>1960</v>
      </c>
      <c r="J2708" s="69" t="s">
        <v>55</v>
      </c>
      <c r="K2708" s="69" t="s">
        <v>1971</v>
      </c>
      <c r="M2708" s="69" t="s">
        <v>6</v>
      </c>
    </row>
    <row r="2709" spans="2:13">
      <c r="B2709" s="69">
        <v>2707</v>
      </c>
      <c r="C2709" s="69">
        <v>234</v>
      </c>
      <c r="D2709" s="69">
        <v>19</v>
      </c>
      <c r="E2709" s="69">
        <v>12</v>
      </c>
      <c r="F2709" s="69">
        <v>0</v>
      </c>
      <c r="G2709" s="69" t="s">
        <v>18</v>
      </c>
      <c r="H2709" s="69" t="s">
        <v>9</v>
      </c>
      <c r="I2709" s="69" t="s">
        <v>1960</v>
      </c>
      <c r="J2709" s="69" t="s">
        <v>479</v>
      </c>
      <c r="K2709" s="69" t="s">
        <v>1972</v>
      </c>
      <c r="M2709" s="69" t="s">
        <v>6</v>
      </c>
    </row>
    <row r="2710" spans="2:13">
      <c r="B2710" s="69">
        <v>2708</v>
      </c>
      <c r="C2710" s="69">
        <v>234</v>
      </c>
      <c r="D2710" s="69">
        <v>19</v>
      </c>
      <c r="E2710" s="69">
        <v>13</v>
      </c>
      <c r="F2710" s="69">
        <v>0</v>
      </c>
      <c r="G2710" s="69" t="s">
        <v>18</v>
      </c>
      <c r="H2710" s="69" t="s">
        <v>9</v>
      </c>
      <c r="I2710" s="69" t="s">
        <v>1960</v>
      </c>
      <c r="J2710" s="69" t="s">
        <v>55</v>
      </c>
      <c r="K2710" s="69" t="s">
        <v>1973</v>
      </c>
      <c r="M2710" s="69" t="s">
        <v>6</v>
      </c>
    </row>
    <row r="2711" spans="2:13">
      <c r="B2711" s="69">
        <v>2709</v>
      </c>
      <c r="C2711" s="69">
        <v>234</v>
      </c>
      <c r="D2711" s="69">
        <v>19</v>
      </c>
      <c r="E2711" s="69">
        <v>14</v>
      </c>
      <c r="F2711" s="69">
        <v>0</v>
      </c>
      <c r="G2711" s="69" t="s">
        <v>18</v>
      </c>
      <c r="H2711" s="69" t="s">
        <v>9</v>
      </c>
      <c r="I2711" s="69" t="s">
        <v>1960</v>
      </c>
      <c r="J2711" s="69" t="s">
        <v>55</v>
      </c>
      <c r="K2711" s="69" t="s">
        <v>1974</v>
      </c>
      <c r="M2711" s="69" t="s">
        <v>6</v>
      </c>
    </row>
    <row r="2712" spans="2:13">
      <c r="B2712" s="69">
        <v>2710</v>
      </c>
      <c r="C2712" s="69">
        <v>234</v>
      </c>
      <c r="D2712" s="69">
        <v>19</v>
      </c>
      <c r="E2712" s="69">
        <v>15</v>
      </c>
      <c r="F2712" s="69">
        <v>0</v>
      </c>
      <c r="G2712" s="69" t="s">
        <v>18</v>
      </c>
      <c r="H2712" s="69" t="s">
        <v>9</v>
      </c>
      <c r="I2712" s="69" t="s">
        <v>1960</v>
      </c>
      <c r="J2712" s="69" t="s">
        <v>479</v>
      </c>
      <c r="K2712" s="69" t="s">
        <v>34</v>
      </c>
      <c r="M2712" s="69" t="s">
        <v>6</v>
      </c>
    </row>
    <row r="2713" spans="2:13">
      <c r="B2713" s="69">
        <v>2711</v>
      </c>
      <c r="C2713" s="69">
        <v>234</v>
      </c>
      <c r="D2713" s="69">
        <v>19</v>
      </c>
      <c r="E2713" s="69">
        <v>16</v>
      </c>
      <c r="F2713" s="69">
        <v>0</v>
      </c>
      <c r="G2713" s="69" t="s">
        <v>18</v>
      </c>
      <c r="H2713" s="69" t="s">
        <v>9</v>
      </c>
      <c r="I2713" s="69" t="s">
        <v>1960</v>
      </c>
      <c r="J2713" s="69" t="s">
        <v>55</v>
      </c>
      <c r="K2713" s="69" t="s">
        <v>1975</v>
      </c>
      <c r="M2713" s="69" t="s">
        <v>6</v>
      </c>
    </row>
    <row r="2714" spans="2:13">
      <c r="B2714" s="69">
        <v>2712</v>
      </c>
      <c r="C2714" s="69">
        <v>234</v>
      </c>
      <c r="D2714" s="69">
        <v>19</v>
      </c>
      <c r="E2714" s="69">
        <v>17</v>
      </c>
      <c r="F2714" s="69">
        <v>0</v>
      </c>
      <c r="G2714" s="69" t="s">
        <v>18</v>
      </c>
      <c r="H2714" s="69" t="s">
        <v>9</v>
      </c>
      <c r="I2714" s="69" t="s">
        <v>1960</v>
      </c>
      <c r="J2714" s="69" t="s">
        <v>55</v>
      </c>
      <c r="K2714" s="69" t="s">
        <v>1976</v>
      </c>
      <c r="M2714" s="69" t="s">
        <v>6</v>
      </c>
    </row>
    <row r="2715" spans="2:13">
      <c r="B2715" s="69">
        <v>2713</v>
      </c>
      <c r="C2715" s="69">
        <v>234</v>
      </c>
      <c r="D2715" s="69">
        <v>19</v>
      </c>
      <c r="E2715" s="69">
        <v>18</v>
      </c>
      <c r="F2715" s="69">
        <v>0</v>
      </c>
      <c r="G2715" s="69" t="s">
        <v>18</v>
      </c>
      <c r="H2715" s="69" t="s">
        <v>9</v>
      </c>
      <c r="I2715" s="69" t="s">
        <v>1960</v>
      </c>
      <c r="J2715" s="69" t="s">
        <v>55</v>
      </c>
      <c r="K2715" s="69" t="s">
        <v>93</v>
      </c>
      <c r="M2715" s="69" t="s">
        <v>6</v>
      </c>
    </row>
    <row r="2716" spans="2:13">
      <c r="B2716" s="69">
        <v>2714</v>
      </c>
      <c r="C2716" s="69">
        <v>234</v>
      </c>
      <c r="D2716" s="69">
        <v>19</v>
      </c>
      <c r="E2716" s="69">
        <v>19</v>
      </c>
      <c r="F2716" s="69">
        <v>0</v>
      </c>
      <c r="G2716" s="69" t="s">
        <v>18</v>
      </c>
      <c r="H2716" s="69" t="s">
        <v>9</v>
      </c>
      <c r="I2716" s="69" t="s">
        <v>1960</v>
      </c>
      <c r="J2716" s="69" t="s">
        <v>64</v>
      </c>
      <c r="K2716" s="69" t="s">
        <v>94</v>
      </c>
      <c r="M2716" s="69" t="s">
        <v>6</v>
      </c>
    </row>
    <row r="2717" spans="2:13">
      <c r="B2717" s="69">
        <v>2715</v>
      </c>
      <c r="C2717" s="69">
        <v>235</v>
      </c>
      <c r="D2717" s="69">
        <v>4</v>
      </c>
      <c r="E2717" s="69">
        <v>0</v>
      </c>
      <c r="F2717" s="69">
        <v>0</v>
      </c>
      <c r="G2717" s="69" t="s">
        <v>18</v>
      </c>
      <c r="H2717" s="69" t="s">
        <v>9</v>
      </c>
      <c r="I2717" s="69" t="s">
        <v>1977</v>
      </c>
      <c r="J2717" s="69" t="s">
        <v>54</v>
      </c>
      <c r="K2717" s="69" t="s">
        <v>1977</v>
      </c>
      <c r="M2717" s="69" t="s">
        <v>6</v>
      </c>
    </row>
    <row r="2718" spans="2:13">
      <c r="B2718" s="69">
        <v>2716</v>
      </c>
      <c r="C2718" s="69">
        <v>235</v>
      </c>
      <c r="D2718" s="69">
        <v>4</v>
      </c>
      <c r="E2718" s="69">
        <v>1</v>
      </c>
      <c r="F2718" s="69">
        <v>0</v>
      </c>
      <c r="G2718" s="69" t="s">
        <v>18</v>
      </c>
      <c r="H2718" s="69" t="s">
        <v>9</v>
      </c>
      <c r="I2718" s="69" t="s">
        <v>1977</v>
      </c>
      <c r="J2718" s="69" t="s">
        <v>55</v>
      </c>
      <c r="K2718" s="69" t="s">
        <v>1978</v>
      </c>
      <c r="M2718" s="69" t="s">
        <v>6</v>
      </c>
    </row>
    <row r="2719" spans="2:13">
      <c r="B2719" s="69">
        <v>2717</v>
      </c>
      <c r="C2719" s="69">
        <v>235</v>
      </c>
      <c r="D2719" s="69">
        <v>4</v>
      </c>
      <c r="E2719" s="69">
        <v>2</v>
      </c>
      <c r="F2719" s="69">
        <v>0</v>
      </c>
      <c r="G2719" s="69" t="s">
        <v>18</v>
      </c>
      <c r="H2719" s="69" t="s">
        <v>9</v>
      </c>
      <c r="I2719" s="69" t="s">
        <v>1977</v>
      </c>
      <c r="J2719" s="69" t="s">
        <v>994</v>
      </c>
      <c r="K2719" s="69" t="s">
        <v>1273</v>
      </c>
      <c r="M2719" s="69" t="s">
        <v>6</v>
      </c>
    </row>
    <row r="2720" spans="2:13">
      <c r="B2720" s="69">
        <v>2718</v>
      </c>
      <c r="C2720" s="69">
        <v>235</v>
      </c>
      <c r="D2720" s="69">
        <v>4</v>
      </c>
      <c r="E2720" s="69">
        <v>3</v>
      </c>
      <c r="F2720" s="69">
        <v>0</v>
      </c>
      <c r="G2720" s="69" t="s">
        <v>18</v>
      </c>
      <c r="H2720" s="69" t="s">
        <v>9</v>
      </c>
      <c r="I2720" s="69" t="s">
        <v>1977</v>
      </c>
      <c r="J2720" s="69" t="s">
        <v>55</v>
      </c>
      <c r="K2720" s="69" t="s">
        <v>93</v>
      </c>
      <c r="M2720" s="69" t="s">
        <v>6</v>
      </c>
    </row>
    <row r="2721" spans="2:13">
      <c r="B2721" s="69">
        <v>2719</v>
      </c>
      <c r="C2721" s="69">
        <v>235</v>
      </c>
      <c r="D2721" s="69">
        <v>4</v>
      </c>
      <c r="E2721" s="69">
        <v>4</v>
      </c>
      <c r="F2721" s="69">
        <v>0</v>
      </c>
      <c r="G2721" s="69" t="s">
        <v>18</v>
      </c>
      <c r="H2721" s="69" t="s">
        <v>9</v>
      </c>
      <c r="I2721" s="69" t="s">
        <v>1977</v>
      </c>
      <c r="J2721" s="69" t="s">
        <v>64</v>
      </c>
      <c r="K2721" s="69" t="s">
        <v>94</v>
      </c>
      <c r="M2721" s="69" t="s">
        <v>6</v>
      </c>
    </row>
    <row r="2722" spans="2:13">
      <c r="B2722" s="69">
        <v>2720</v>
      </c>
      <c r="C2722" s="69">
        <v>236</v>
      </c>
      <c r="D2722" s="69">
        <v>13</v>
      </c>
      <c r="E2722" s="69">
        <v>0</v>
      </c>
      <c r="F2722" s="69">
        <v>0</v>
      </c>
      <c r="G2722" s="69" t="s">
        <v>18</v>
      </c>
      <c r="H2722" s="69" t="s">
        <v>9</v>
      </c>
      <c r="I2722" s="69" t="s">
        <v>1979</v>
      </c>
      <c r="J2722" s="69" t="s">
        <v>478</v>
      </c>
      <c r="K2722" s="69" t="s">
        <v>1979</v>
      </c>
      <c r="M2722" s="69" t="s">
        <v>6</v>
      </c>
    </row>
    <row r="2723" spans="2:13">
      <c r="B2723" s="69">
        <v>2721</v>
      </c>
      <c r="C2723" s="69">
        <v>236</v>
      </c>
      <c r="D2723" s="69">
        <v>13</v>
      </c>
      <c r="E2723" s="69">
        <v>1</v>
      </c>
      <c r="F2723" s="69">
        <v>0</v>
      </c>
      <c r="G2723" s="69" t="s">
        <v>18</v>
      </c>
      <c r="H2723" s="69" t="s">
        <v>9</v>
      </c>
      <c r="I2723" s="69" t="s">
        <v>1979</v>
      </c>
      <c r="J2723" s="69" t="s">
        <v>479</v>
      </c>
      <c r="K2723" s="69" t="s">
        <v>1381</v>
      </c>
      <c r="M2723" s="69" t="s">
        <v>6</v>
      </c>
    </row>
    <row r="2724" spans="2:13">
      <c r="B2724" s="69">
        <v>2722</v>
      </c>
      <c r="C2724" s="69">
        <v>236</v>
      </c>
      <c r="D2724" s="69">
        <v>13</v>
      </c>
      <c r="E2724" s="69">
        <v>2</v>
      </c>
      <c r="F2724" s="69">
        <v>0</v>
      </c>
      <c r="G2724" s="69" t="s">
        <v>18</v>
      </c>
      <c r="H2724" s="69" t="s">
        <v>9</v>
      </c>
      <c r="I2724" s="69" t="s">
        <v>1979</v>
      </c>
      <c r="J2724" s="69" t="s">
        <v>55</v>
      </c>
      <c r="K2724" s="69" t="s">
        <v>1980</v>
      </c>
      <c r="M2724" s="69" t="s">
        <v>6</v>
      </c>
    </row>
    <row r="2725" spans="2:13">
      <c r="B2725" s="69">
        <v>2723</v>
      </c>
      <c r="C2725" s="69">
        <v>236</v>
      </c>
      <c r="D2725" s="69">
        <v>13</v>
      </c>
      <c r="E2725" s="69">
        <v>3</v>
      </c>
      <c r="F2725" s="69">
        <v>0</v>
      </c>
      <c r="G2725" s="69" t="s">
        <v>18</v>
      </c>
      <c r="H2725" s="69" t="s">
        <v>9</v>
      </c>
      <c r="I2725" s="69" t="s">
        <v>1979</v>
      </c>
      <c r="J2725" s="69" t="s">
        <v>55</v>
      </c>
      <c r="K2725" s="69" t="s">
        <v>1981</v>
      </c>
      <c r="M2725" s="69" t="s">
        <v>6</v>
      </c>
    </row>
    <row r="2726" spans="2:13">
      <c r="B2726" s="69">
        <v>2724</v>
      </c>
      <c r="C2726" s="69">
        <v>236</v>
      </c>
      <c r="D2726" s="69">
        <v>13</v>
      </c>
      <c r="E2726" s="69">
        <v>4</v>
      </c>
      <c r="F2726" s="69">
        <v>0</v>
      </c>
      <c r="G2726" s="69" t="s">
        <v>18</v>
      </c>
      <c r="H2726" s="69" t="s">
        <v>9</v>
      </c>
      <c r="I2726" s="69" t="s">
        <v>1979</v>
      </c>
      <c r="J2726" s="69" t="s">
        <v>479</v>
      </c>
      <c r="K2726" s="69" t="s">
        <v>1982</v>
      </c>
      <c r="M2726" s="69" t="s">
        <v>6</v>
      </c>
    </row>
    <row r="2727" spans="2:13">
      <c r="B2727" s="69">
        <v>2725</v>
      </c>
      <c r="C2727" s="69">
        <v>236</v>
      </c>
      <c r="D2727" s="69">
        <v>13</v>
      </c>
      <c r="E2727" s="69">
        <v>5</v>
      </c>
      <c r="F2727" s="69">
        <v>0</v>
      </c>
      <c r="G2727" s="69" t="s">
        <v>18</v>
      </c>
      <c r="H2727" s="69" t="s">
        <v>9</v>
      </c>
      <c r="I2727" s="69" t="s">
        <v>1979</v>
      </c>
      <c r="J2727" s="69" t="s">
        <v>55</v>
      </c>
      <c r="K2727" s="69" t="s">
        <v>1983</v>
      </c>
      <c r="M2727" s="69" t="s">
        <v>6</v>
      </c>
    </row>
    <row r="2728" spans="2:13">
      <c r="B2728" s="69">
        <v>2726</v>
      </c>
      <c r="C2728" s="69">
        <v>236</v>
      </c>
      <c r="D2728" s="69">
        <v>13</v>
      </c>
      <c r="E2728" s="69">
        <v>6</v>
      </c>
      <c r="F2728" s="69">
        <v>0</v>
      </c>
      <c r="G2728" s="69" t="s">
        <v>18</v>
      </c>
      <c r="H2728" s="69" t="s">
        <v>9</v>
      </c>
      <c r="I2728" s="69" t="s">
        <v>1979</v>
      </c>
      <c r="J2728" s="69" t="s">
        <v>55</v>
      </c>
      <c r="K2728" s="69" t="s">
        <v>1984</v>
      </c>
      <c r="M2728" s="69" t="s">
        <v>6</v>
      </c>
    </row>
    <row r="2729" spans="2:13">
      <c r="B2729" s="69">
        <v>2727</v>
      </c>
      <c r="C2729" s="69">
        <v>236</v>
      </c>
      <c r="D2729" s="69">
        <v>13</v>
      </c>
      <c r="E2729" s="69">
        <v>7</v>
      </c>
      <c r="F2729" s="69">
        <v>0</v>
      </c>
      <c r="G2729" s="69" t="s">
        <v>18</v>
      </c>
      <c r="H2729" s="69" t="s">
        <v>9</v>
      </c>
      <c r="I2729" s="69" t="s">
        <v>1979</v>
      </c>
      <c r="J2729" s="69" t="s">
        <v>479</v>
      </c>
      <c r="K2729" s="69" t="s">
        <v>1985</v>
      </c>
      <c r="M2729" s="69" t="s">
        <v>6</v>
      </c>
    </row>
    <row r="2730" spans="2:13">
      <c r="B2730" s="69">
        <v>2728</v>
      </c>
      <c r="C2730" s="69">
        <v>236</v>
      </c>
      <c r="D2730" s="69">
        <v>13</v>
      </c>
      <c r="E2730" s="69">
        <v>8</v>
      </c>
      <c r="F2730" s="69">
        <v>0</v>
      </c>
      <c r="G2730" s="69" t="s">
        <v>18</v>
      </c>
      <c r="H2730" s="69" t="s">
        <v>9</v>
      </c>
      <c r="I2730" s="69" t="s">
        <v>1979</v>
      </c>
      <c r="J2730" s="69" t="s">
        <v>55</v>
      </c>
      <c r="K2730" s="69" t="s">
        <v>1986</v>
      </c>
      <c r="M2730" s="69" t="s">
        <v>6</v>
      </c>
    </row>
    <row r="2731" spans="2:13">
      <c r="B2731" s="69">
        <v>2729</v>
      </c>
      <c r="C2731" s="69">
        <v>236</v>
      </c>
      <c r="D2731" s="69">
        <v>13</v>
      </c>
      <c r="E2731" s="69">
        <v>9</v>
      </c>
      <c r="F2731" s="69">
        <v>0</v>
      </c>
      <c r="G2731" s="69" t="s">
        <v>18</v>
      </c>
      <c r="H2731" s="69" t="s">
        <v>9</v>
      </c>
      <c r="I2731" s="69" t="s">
        <v>1979</v>
      </c>
      <c r="J2731" s="69" t="s">
        <v>55</v>
      </c>
      <c r="K2731" s="69" t="s">
        <v>1987</v>
      </c>
      <c r="M2731" s="69" t="s">
        <v>6</v>
      </c>
    </row>
    <row r="2732" spans="2:13">
      <c r="B2732" s="69">
        <v>2730</v>
      </c>
      <c r="C2732" s="69">
        <v>236</v>
      </c>
      <c r="D2732" s="69">
        <v>13</v>
      </c>
      <c r="E2732" s="69">
        <v>10</v>
      </c>
      <c r="F2732" s="69">
        <v>0</v>
      </c>
      <c r="G2732" s="69" t="s">
        <v>18</v>
      </c>
      <c r="H2732" s="69" t="s">
        <v>9</v>
      </c>
      <c r="I2732" s="69" t="s">
        <v>1979</v>
      </c>
      <c r="J2732" s="69" t="s">
        <v>55</v>
      </c>
      <c r="K2732" s="69" t="s">
        <v>1988</v>
      </c>
      <c r="M2732" s="69" t="s">
        <v>6</v>
      </c>
    </row>
    <row r="2733" spans="2:13">
      <c r="B2733" s="69">
        <v>2731</v>
      </c>
      <c r="C2733" s="69">
        <v>236</v>
      </c>
      <c r="D2733" s="69">
        <v>13</v>
      </c>
      <c r="E2733" s="69">
        <v>11</v>
      </c>
      <c r="F2733" s="69">
        <v>0</v>
      </c>
      <c r="G2733" s="69" t="s">
        <v>18</v>
      </c>
      <c r="H2733" s="69" t="s">
        <v>9</v>
      </c>
      <c r="I2733" s="69" t="s">
        <v>1979</v>
      </c>
      <c r="J2733" s="69" t="s">
        <v>55</v>
      </c>
      <c r="K2733" s="69" t="s">
        <v>1989</v>
      </c>
      <c r="M2733" s="69" t="s">
        <v>6</v>
      </c>
    </row>
    <row r="2734" spans="2:13">
      <c r="B2734" s="69">
        <v>2732</v>
      </c>
      <c r="C2734" s="69">
        <v>236</v>
      </c>
      <c r="D2734" s="69">
        <v>13</v>
      </c>
      <c r="E2734" s="69">
        <v>12</v>
      </c>
      <c r="F2734" s="69">
        <v>0</v>
      </c>
      <c r="G2734" s="69" t="s">
        <v>18</v>
      </c>
      <c r="H2734" s="69" t="s">
        <v>9</v>
      </c>
      <c r="I2734" s="69" t="s">
        <v>1979</v>
      </c>
      <c r="J2734" s="69" t="s">
        <v>55</v>
      </c>
      <c r="K2734" s="69" t="s">
        <v>93</v>
      </c>
      <c r="M2734" s="69" t="s">
        <v>6</v>
      </c>
    </row>
    <row r="2735" spans="2:13">
      <c r="B2735" s="69">
        <v>2733</v>
      </c>
      <c r="C2735" s="69">
        <v>236</v>
      </c>
      <c r="D2735" s="69">
        <v>13</v>
      </c>
      <c r="E2735" s="69">
        <v>13</v>
      </c>
      <c r="F2735" s="69">
        <v>0</v>
      </c>
      <c r="G2735" s="69" t="s">
        <v>18</v>
      </c>
      <c r="H2735" s="69" t="s">
        <v>9</v>
      </c>
      <c r="I2735" s="69" t="s">
        <v>1979</v>
      </c>
      <c r="J2735" s="69" t="s">
        <v>64</v>
      </c>
      <c r="K2735" s="69" t="s">
        <v>94</v>
      </c>
      <c r="M2735" s="69" t="s">
        <v>6</v>
      </c>
    </row>
    <row r="2736" spans="2:13">
      <c r="B2736" s="69">
        <v>2734</v>
      </c>
      <c r="C2736" s="69">
        <v>237</v>
      </c>
      <c r="D2736" s="69">
        <v>23</v>
      </c>
      <c r="E2736" s="69">
        <v>0</v>
      </c>
      <c r="F2736" s="69">
        <v>0</v>
      </c>
      <c r="G2736" s="69" t="s">
        <v>18</v>
      </c>
      <c r="H2736" s="69" t="s">
        <v>9</v>
      </c>
      <c r="I2736" s="69" t="s">
        <v>1990</v>
      </c>
      <c r="J2736" s="69" t="s">
        <v>478</v>
      </c>
      <c r="K2736" s="69" t="s">
        <v>1990</v>
      </c>
      <c r="M2736" s="69" t="s">
        <v>6</v>
      </c>
    </row>
    <row r="2737" spans="2:13">
      <c r="B2737" s="69">
        <v>2735</v>
      </c>
      <c r="C2737" s="69">
        <v>237</v>
      </c>
      <c r="D2737" s="69">
        <v>23</v>
      </c>
      <c r="E2737" s="69">
        <v>1</v>
      </c>
      <c r="F2737" s="69">
        <v>0</v>
      </c>
      <c r="G2737" s="69" t="s">
        <v>18</v>
      </c>
      <c r="H2737" s="69" t="s">
        <v>9</v>
      </c>
      <c r="I2737" s="69" t="s">
        <v>1990</v>
      </c>
      <c r="J2737" s="69" t="s">
        <v>479</v>
      </c>
      <c r="K2737" s="69" t="s">
        <v>1652</v>
      </c>
      <c r="M2737" s="69" t="s">
        <v>6</v>
      </c>
    </row>
    <row r="2738" spans="2:13">
      <c r="B2738" s="69">
        <v>2736</v>
      </c>
      <c r="C2738" s="69">
        <v>237</v>
      </c>
      <c r="D2738" s="69">
        <v>23</v>
      </c>
      <c r="E2738" s="69">
        <v>2</v>
      </c>
      <c r="F2738" s="69">
        <v>0</v>
      </c>
      <c r="G2738" s="69" t="s">
        <v>18</v>
      </c>
      <c r="H2738" s="69" t="s">
        <v>9</v>
      </c>
      <c r="I2738" s="69" t="s">
        <v>1990</v>
      </c>
      <c r="J2738" s="69" t="s">
        <v>55</v>
      </c>
      <c r="K2738" s="69" t="s">
        <v>1875</v>
      </c>
      <c r="M2738" s="69" t="s">
        <v>6</v>
      </c>
    </row>
    <row r="2739" spans="2:13">
      <c r="B2739" s="69">
        <v>2737</v>
      </c>
      <c r="C2739" s="69">
        <v>237</v>
      </c>
      <c r="D2739" s="69">
        <v>23</v>
      </c>
      <c r="E2739" s="69">
        <v>3</v>
      </c>
      <c r="F2739" s="69">
        <v>0</v>
      </c>
      <c r="G2739" s="69" t="s">
        <v>18</v>
      </c>
      <c r="H2739" s="69" t="s">
        <v>9</v>
      </c>
      <c r="I2739" s="69" t="s">
        <v>1990</v>
      </c>
      <c r="J2739" s="69" t="s">
        <v>55</v>
      </c>
      <c r="K2739" s="69" t="s">
        <v>1876</v>
      </c>
      <c r="M2739" s="69" t="s">
        <v>6</v>
      </c>
    </row>
    <row r="2740" spans="2:13">
      <c r="B2740" s="69">
        <v>2738</v>
      </c>
      <c r="C2740" s="69">
        <v>237</v>
      </c>
      <c r="D2740" s="69">
        <v>23</v>
      </c>
      <c r="E2740" s="69">
        <v>4</v>
      </c>
      <c r="F2740" s="69">
        <v>0</v>
      </c>
      <c r="G2740" s="69" t="s">
        <v>18</v>
      </c>
      <c r="H2740" s="69" t="s">
        <v>9</v>
      </c>
      <c r="I2740" s="69" t="s">
        <v>1990</v>
      </c>
      <c r="J2740" s="69" t="s">
        <v>479</v>
      </c>
      <c r="K2740" s="69" t="s">
        <v>1877</v>
      </c>
      <c r="M2740" s="69" t="s">
        <v>6</v>
      </c>
    </row>
    <row r="2741" spans="2:13">
      <c r="B2741" s="69">
        <v>2739</v>
      </c>
      <c r="C2741" s="69">
        <v>237</v>
      </c>
      <c r="D2741" s="69">
        <v>23</v>
      </c>
      <c r="E2741" s="69">
        <v>5</v>
      </c>
      <c r="F2741" s="69">
        <v>0</v>
      </c>
      <c r="G2741" s="69" t="s">
        <v>18</v>
      </c>
      <c r="H2741" s="69" t="s">
        <v>9</v>
      </c>
      <c r="I2741" s="69" t="s">
        <v>1990</v>
      </c>
      <c r="J2741" s="69" t="s">
        <v>55</v>
      </c>
      <c r="K2741" s="69" t="s">
        <v>1878</v>
      </c>
      <c r="M2741" s="69" t="s">
        <v>6</v>
      </c>
    </row>
    <row r="2742" spans="2:13">
      <c r="B2742" s="69">
        <v>2740</v>
      </c>
      <c r="C2742" s="69">
        <v>237</v>
      </c>
      <c r="D2742" s="69">
        <v>23</v>
      </c>
      <c r="E2742" s="69">
        <v>6</v>
      </c>
      <c r="F2742" s="69">
        <v>0</v>
      </c>
      <c r="G2742" s="69" t="s">
        <v>18</v>
      </c>
      <c r="H2742" s="69" t="s">
        <v>9</v>
      </c>
      <c r="I2742" s="69" t="s">
        <v>1990</v>
      </c>
      <c r="J2742" s="69" t="s">
        <v>55</v>
      </c>
      <c r="K2742" s="69" t="s">
        <v>1879</v>
      </c>
      <c r="M2742" s="69" t="s">
        <v>6</v>
      </c>
    </row>
    <row r="2743" spans="2:13">
      <c r="B2743" s="69">
        <v>2741</v>
      </c>
      <c r="C2743" s="69">
        <v>237</v>
      </c>
      <c r="D2743" s="69">
        <v>23</v>
      </c>
      <c r="E2743" s="69">
        <v>7</v>
      </c>
      <c r="F2743" s="69">
        <v>0</v>
      </c>
      <c r="G2743" s="69" t="s">
        <v>18</v>
      </c>
      <c r="H2743" s="69" t="s">
        <v>9</v>
      </c>
      <c r="I2743" s="69" t="s">
        <v>1990</v>
      </c>
      <c r="J2743" s="69" t="s">
        <v>55</v>
      </c>
      <c r="K2743" s="69" t="s">
        <v>1880</v>
      </c>
      <c r="M2743" s="69" t="s">
        <v>6</v>
      </c>
    </row>
    <row r="2744" spans="2:13">
      <c r="B2744" s="69">
        <v>2742</v>
      </c>
      <c r="C2744" s="69">
        <v>237</v>
      </c>
      <c r="D2744" s="69">
        <v>23</v>
      </c>
      <c r="E2744" s="69">
        <v>8</v>
      </c>
      <c r="F2744" s="69">
        <v>0</v>
      </c>
      <c r="G2744" s="69" t="s">
        <v>18</v>
      </c>
      <c r="H2744" s="69" t="s">
        <v>9</v>
      </c>
      <c r="I2744" s="69" t="s">
        <v>1990</v>
      </c>
      <c r="J2744" s="69" t="s">
        <v>55</v>
      </c>
      <c r="K2744" s="69" t="s">
        <v>1881</v>
      </c>
      <c r="M2744" s="69" t="s">
        <v>6</v>
      </c>
    </row>
    <row r="2745" spans="2:13">
      <c r="B2745" s="69">
        <v>2743</v>
      </c>
      <c r="C2745" s="69">
        <v>237</v>
      </c>
      <c r="D2745" s="69">
        <v>23</v>
      </c>
      <c r="E2745" s="69">
        <v>9</v>
      </c>
      <c r="F2745" s="69">
        <v>0</v>
      </c>
      <c r="G2745" s="69" t="s">
        <v>18</v>
      </c>
      <c r="H2745" s="69" t="s">
        <v>9</v>
      </c>
      <c r="I2745" s="69" t="s">
        <v>1990</v>
      </c>
      <c r="J2745" s="69" t="s">
        <v>55</v>
      </c>
      <c r="K2745" s="69" t="s">
        <v>1882</v>
      </c>
      <c r="M2745" s="69" t="s">
        <v>6</v>
      </c>
    </row>
    <row r="2746" spans="2:13">
      <c r="B2746" s="69">
        <v>2744</v>
      </c>
      <c r="C2746" s="69">
        <v>237</v>
      </c>
      <c r="D2746" s="69">
        <v>23</v>
      </c>
      <c r="E2746" s="69">
        <v>10</v>
      </c>
      <c r="F2746" s="69">
        <v>0</v>
      </c>
      <c r="G2746" s="69" t="s">
        <v>18</v>
      </c>
      <c r="H2746" s="69" t="s">
        <v>9</v>
      </c>
      <c r="I2746" s="69" t="s">
        <v>1990</v>
      </c>
      <c r="J2746" s="69" t="s">
        <v>55</v>
      </c>
      <c r="K2746" s="69" t="s">
        <v>1679</v>
      </c>
      <c r="M2746" s="69" t="s">
        <v>6</v>
      </c>
    </row>
    <row r="2747" spans="2:13">
      <c r="B2747" s="69">
        <v>2745</v>
      </c>
      <c r="C2747" s="69">
        <v>237</v>
      </c>
      <c r="D2747" s="69">
        <v>23</v>
      </c>
      <c r="E2747" s="69">
        <v>11</v>
      </c>
      <c r="F2747" s="69">
        <v>0</v>
      </c>
      <c r="G2747" s="69" t="s">
        <v>18</v>
      </c>
      <c r="H2747" s="69" t="s">
        <v>9</v>
      </c>
      <c r="I2747" s="69" t="s">
        <v>1990</v>
      </c>
      <c r="J2747" s="69" t="s">
        <v>479</v>
      </c>
      <c r="K2747" s="69" t="s">
        <v>1991</v>
      </c>
      <c r="M2747" s="69" t="s">
        <v>6</v>
      </c>
    </row>
    <row r="2748" spans="2:13">
      <c r="B2748" s="69">
        <v>2746</v>
      </c>
      <c r="C2748" s="69">
        <v>237</v>
      </c>
      <c r="D2748" s="69">
        <v>23</v>
      </c>
      <c r="E2748" s="69">
        <v>12</v>
      </c>
      <c r="F2748" s="69">
        <v>0</v>
      </c>
      <c r="G2748" s="69" t="s">
        <v>18</v>
      </c>
      <c r="H2748" s="69" t="s">
        <v>9</v>
      </c>
      <c r="I2748" s="69" t="s">
        <v>1990</v>
      </c>
      <c r="J2748" s="69" t="s">
        <v>55</v>
      </c>
      <c r="K2748" s="69" t="s">
        <v>1992</v>
      </c>
      <c r="M2748" s="69" t="s">
        <v>6</v>
      </c>
    </row>
    <row r="2749" spans="2:13">
      <c r="B2749" s="69">
        <v>2747</v>
      </c>
      <c r="C2749" s="69">
        <v>237</v>
      </c>
      <c r="D2749" s="69">
        <v>23</v>
      </c>
      <c r="E2749" s="69">
        <v>13</v>
      </c>
      <c r="F2749" s="69">
        <v>0</v>
      </c>
      <c r="G2749" s="69" t="s">
        <v>18</v>
      </c>
      <c r="H2749" s="69" t="s">
        <v>9</v>
      </c>
      <c r="I2749" s="69" t="s">
        <v>1990</v>
      </c>
      <c r="J2749" s="69" t="s">
        <v>55</v>
      </c>
      <c r="K2749" s="69" t="s">
        <v>1685</v>
      </c>
      <c r="M2749" s="69" t="s">
        <v>6</v>
      </c>
    </row>
    <row r="2750" spans="2:13">
      <c r="B2750" s="69">
        <v>2748</v>
      </c>
      <c r="C2750" s="69">
        <v>237</v>
      </c>
      <c r="D2750" s="69">
        <v>23</v>
      </c>
      <c r="E2750" s="69">
        <v>14</v>
      </c>
      <c r="F2750" s="69">
        <v>0</v>
      </c>
      <c r="G2750" s="69" t="s">
        <v>18</v>
      </c>
      <c r="H2750" s="69" t="s">
        <v>9</v>
      </c>
      <c r="I2750" s="69" t="s">
        <v>1990</v>
      </c>
      <c r="J2750" s="69" t="s">
        <v>99</v>
      </c>
      <c r="K2750" s="69" t="s">
        <v>1686</v>
      </c>
      <c r="M2750" s="69" t="s">
        <v>6</v>
      </c>
    </row>
    <row r="2751" spans="2:13">
      <c r="B2751" s="69">
        <v>2749</v>
      </c>
      <c r="C2751" s="69">
        <v>237</v>
      </c>
      <c r="D2751" s="69">
        <v>23</v>
      </c>
      <c r="E2751" s="69">
        <v>15</v>
      </c>
      <c r="F2751" s="69">
        <v>0</v>
      </c>
      <c r="G2751" s="69" t="s">
        <v>18</v>
      </c>
      <c r="H2751" s="69" t="s">
        <v>9</v>
      </c>
      <c r="I2751" s="69" t="s">
        <v>1990</v>
      </c>
      <c r="J2751" s="69" t="s">
        <v>99</v>
      </c>
      <c r="K2751" s="69" t="s">
        <v>1687</v>
      </c>
      <c r="M2751" s="69" t="s">
        <v>6</v>
      </c>
    </row>
    <row r="2752" spans="2:13">
      <c r="B2752" s="69">
        <v>2750</v>
      </c>
      <c r="C2752" s="69">
        <v>237</v>
      </c>
      <c r="D2752" s="69">
        <v>23</v>
      </c>
      <c r="E2752" s="69">
        <v>16</v>
      </c>
      <c r="F2752" s="69">
        <v>0</v>
      </c>
      <c r="G2752" s="69" t="s">
        <v>18</v>
      </c>
      <c r="H2752" s="69" t="s">
        <v>9</v>
      </c>
      <c r="I2752" s="69" t="s">
        <v>1990</v>
      </c>
      <c r="J2752" s="69" t="s">
        <v>99</v>
      </c>
      <c r="K2752" s="69" t="s">
        <v>1688</v>
      </c>
      <c r="M2752" s="69" t="s">
        <v>6</v>
      </c>
    </row>
    <row r="2753" spans="2:13">
      <c r="B2753" s="69">
        <v>2751</v>
      </c>
      <c r="C2753" s="69">
        <v>237</v>
      </c>
      <c r="D2753" s="69">
        <v>23</v>
      </c>
      <c r="E2753" s="69">
        <v>17</v>
      </c>
      <c r="F2753" s="69">
        <v>0</v>
      </c>
      <c r="G2753" s="69" t="s">
        <v>18</v>
      </c>
      <c r="H2753" s="69" t="s">
        <v>9</v>
      </c>
      <c r="I2753" s="69" t="s">
        <v>1990</v>
      </c>
      <c r="J2753" s="69" t="s">
        <v>99</v>
      </c>
      <c r="K2753" s="69" t="s">
        <v>1689</v>
      </c>
      <c r="M2753" s="69" t="s">
        <v>6</v>
      </c>
    </row>
    <row r="2754" spans="2:13">
      <c r="B2754" s="69">
        <v>2752</v>
      </c>
      <c r="C2754" s="69">
        <v>237</v>
      </c>
      <c r="D2754" s="69">
        <v>23</v>
      </c>
      <c r="E2754" s="69">
        <v>18</v>
      </c>
      <c r="F2754" s="69">
        <v>0</v>
      </c>
      <c r="G2754" s="69" t="s">
        <v>18</v>
      </c>
      <c r="H2754" s="69" t="s">
        <v>9</v>
      </c>
      <c r="I2754" s="69" t="s">
        <v>1990</v>
      </c>
      <c r="J2754" s="69" t="s">
        <v>55</v>
      </c>
      <c r="K2754" s="69" t="s">
        <v>1690</v>
      </c>
      <c r="M2754" s="69" t="s">
        <v>6</v>
      </c>
    </row>
    <row r="2755" spans="2:13">
      <c r="B2755" s="69">
        <v>2753</v>
      </c>
      <c r="C2755" s="69">
        <v>237</v>
      </c>
      <c r="D2755" s="69">
        <v>23</v>
      </c>
      <c r="E2755" s="69">
        <v>19</v>
      </c>
      <c r="F2755" s="69">
        <v>0</v>
      </c>
      <c r="G2755" s="69" t="s">
        <v>18</v>
      </c>
      <c r="H2755" s="69" t="s">
        <v>9</v>
      </c>
      <c r="I2755" s="69" t="s">
        <v>1990</v>
      </c>
      <c r="J2755" s="69" t="s">
        <v>55</v>
      </c>
      <c r="K2755" s="69" t="s">
        <v>1691</v>
      </c>
      <c r="M2755" s="69" t="s">
        <v>6</v>
      </c>
    </row>
    <row r="2756" spans="2:13">
      <c r="B2756" s="69">
        <v>2754</v>
      </c>
      <c r="C2756" s="69">
        <v>237</v>
      </c>
      <c r="D2756" s="69">
        <v>23</v>
      </c>
      <c r="E2756" s="69">
        <v>20</v>
      </c>
      <c r="F2756" s="69">
        <v>0</v>
      </c>
      <c r="G2756" s="69" t="s">
        <v>18</v>
      </c>
      <c r="H2756" s="69" t="s">
        <v>9</v>
      </c>
      <c r="I2756" s="69" t="s">
        <v>1990</v>
      </c>
      <c r="J2756" s="69" t="s">
        <v>99</v>
      </c>
      <c r="K2756" s="69" t="s">
        <v>1692</v>
      </c>
      <c r="M2756" s="69" t="s">
        <v>6</v>
      </c>
    </row>
    <row r="2757" spans="2:13">
      <c r="B2757" s="69">
        <v>2755</v>
      </c>
      <c r="C2757" s="69">
        <v>237</v>
      </c>
      <c r="D2757" s="69">
        <v>23</v>
      </c>
      <c r="E2757" s="69">
        <v>21</v>
      </c>
      <c r="F2757" s="69">
        <v>0</v>
      </c>
      <c r="G2757" s="69" t="s">
        <v>18</v>
      </c>
      <c r="H2757" s="69" t="s">
        <v>9</v>
      </c>
      <c r="I2757" s="69" t="s">
        <v>1990</v>
      </c>
      <c r="J2757" s="69" t="s">
        <v>55</v>
      </c>
      <c r="K2757" s="69" t="s">
        <v>1690</v>
      </c>
      <c r="M2757" s="69" t="s">
        <v>6</v>
      </c>
    </row>
    <row r="2758" spans="2:13">
      <c r="B2758" s="69">
        <v>2756</v>
      </c>
      <c r="C2758" s="69">
        <v>237</v>
      </c>
      <c r="D2758" s="69">
        <v>23</v>
      </c>
      <c r="E2758" s="69">
        <v>22</v>
      </c>
      <c r="F2758" s="69">
        <v>0</v>
      </c>
      <c r="G2758" s="69" t="s">
        <v>18</v>
      </c>
      <c r="H2758" s="69" t="s">
        <v>9</v>
      </c>
      <c r="I2758" s="69" t="s">
        <v>1990</v>
      </c>
      <c r="J2758" s="69" t="s">
        <v>55</v>
      </c>
      <c r="K2758" s="69" t="s">
        <v>93</v>
      </c>
      <c r="M2758" s="69" t="s">
        <v>6</v>
      </c>
    </row>
    <row r="2759" spans="2:13">
      <c r="B2759" s="69">
        <v>2757</v>
      </c>
      <c r="C2759" s="69">
        <v>237</v>
      </c>
      <c r="D2759" s="69">
        <v>23</v>
      </c>
      <c r="E2759" s="69">
        <v>23</v>
      </c>
      <c r="F2759" s="69">
        <v>0</v>
      </c>
      <c r="G2759" s="69" t="s">
        <v>18</v>
      </c>
      <c r="H2759" s="69" t="s">
        <v>9</v>
      </c>
      <c r="I2759" s="69" t="s">
        <v>1990</v>
      </c>
      <c r="J2759" s="69" t="s">
        <v>64</v>
      </c>
      <c r="K2759" s="69" t="s">
        <v>94</v>
      </c>
      <c r="M2759" s="69" t="s">
        <v>6</v>
      </c>
    </row>
    <row r="2760" spans="2:13">
      <c r="B2760" s="69">
        <v>2758</v>
      </c>
      <c r="C2760" s="69">
        <v>238</v>
      </c>
      <c r="D2760" s="69">
        <v>11</v>
      </c>
      <c r="E2760" s="69">
        <v>0</v>
      </c>
      <c r="F2760" s="69">
        <v>0</v>
      </c>
      <c r="G2760" s="69" t="s">
        <v>18</v>
      </c>
      <c r="H2760" s="69" t="s">
        <v>9</v>
      </c>
      <c r="I2760" s="69" t="s">
        <v>1993</v>
      </c>
      <c r="J2760" s="69" t="s">
        <v>478</v>
      </c>
      <c r="K2760" s="69" t="s">
        <v>1993</v>
      </c>
      <c r="M2760" s="69" t="s">
        <v>6</v>
      </c>
    </row>
    <row r="2761" spans="2:13">
      <c r="B2761" s="69">
        <v>2759</v>
      </c>
      <c r="C2761" s="69">
        <v>238</v>
      </c>
      <c r="D2761" s="69">
        <v>11</v>
      </c>
      <c r="E2761" s="69">
        <v>1</v>
      </c>
      <c r="F2761" s="69">
        <v>0</v>
      </c>
      <c r="G2761" s="69" t="s">
        <v>18</v>
      </c>
      <c r="H2761" s="69" t="s">
        <v>9</v>
      </c>
      <c r="I2761" s="69" t="s">
        <v>1993</v>
      </c>
      <c r="J2761" s="69" t="s">
        <v>479</v>
      </c>
      <c r="K2761" s="69" t="s">
        <v>1982</v>
      </c>
      <c r="M2761" s="69" t="s">
        <v>6</v>
      </c>
    </row>
    <row r="2762" spans="2:13">
      <c r="B2762" s="69">
        <v>2760</v>
      </c>
      <c r="C2762" s="69">
        <v>238</v>
      </c>
      <c r="D2762" s="69">
        <v>11</v>
      </c>
      <c r="E2762" s="69">
        <v>2</v>
      </c>
      <c r="F2762" s="69">
        <v>0</v>
      </c>
      <c r="G2762" s="69" t="s">
        <v>18</v>
      </c>
      <c r="H2762" s="69" t="s">
        <v>9</v>
      </c>
      <c r="I2762" s="69" t="s">
        <v>1993</v>
      </c>
      <c r="J2762" s="69" t="s">
        <v>55</v>
      </c>
      <c r="K2762" s="69" t="s">
        <v>1983</v>
      </c>
      <c r="M2762" s="69" t="s">
        <v>6</v>
      </c>
    </row>
    <row r="2763" spans="2:13">
      <c r="B2763" s="69">
        <v>2761</v>
      </c>
      <c r="C2763" s="69">
        <v>238</v>
      </c>
      <c r="D2763" s="69">
        <v>11</v>
      </c>
      <c r="E2763" s="69">
        <v>3</v>
      </c>
      <c r="F2763" s="69">
        <v>0</v>
      </c>
      <c r="G2763" s="69" t="s">
        <v>18</v>
      </c>
      <c r="H2763" s="69" t="s">
        <v>9</v>
      </c>
      <c r="I2763" s="69" t="s">
        <v>1993</v>
      </c>
      <c r="J2763" s="69" t="s">
        <v>55</v>
      </c>
      <c r="K2763" s="69" t="s">
        <v>1994</v>
      </c>
      <c r="M2763" s="69" t="s">
        <v>6</v>
      </c>
    </row>
    <row r="2764" spans="2:13">
      <c r="B2764" s="69">
        <v>2762</v>
      </c>
      <c r="C2764" s="69">
        <v>238</v>
      </c>
      <c r="D2764" s="69">
        <v>11</v>
      </c>
      <c r="E2764" s="69">
        <v>4</v>
      </c>
      <c r="F2764" s="69">
        <v>0</v>
      </c>
      <c r="G2764" s="69" t="s">
        <v>18</v>
      </c>
      <c r="H2764" s="69" t="s">
        <v>9</v>
      </c>
      <c r="I2764" s="69" t="s">
        <v>1993</v>
      </c>
      <c r="J2764" s="69" t="s">
        <v>55</v>
      </c>
      <c r="K2764" s="69" t="s">
        <v>1995</v>
      </c>
      <c r="M2764" s="69" t="s">
        <v>6</v>
      </c>
    </row>
    <row r="2765" spans="2:13">
      <c r="B2765" s="69">
        <v>2763</v>
      </c>
      <c r="C2765" s="69">
        <v>238</v>
      </c>
      <c r="D2765" s="69">
        <v>11</v>
      </c>
      <c r="E2765" s="69">
        <v>5</v>
      </c>
      <c r="F2765" s="69">
        <v>0</v>
      </c>
      <c r="G2765" s="69" t="s">
        <v>18</v>
      </c>
      <c r="H2765" s="69" t="s">
        <v>9</v>
      </c>
      <c r="I2765" s="69" t="s">
        <v>1993</v>
      </c>
      <c r="J2765" s="69" t="s">
        <v>479</v>
      </c>
      <c r="K2765" s="69" t="s">
        <v>1625</v>
      </c>
      <c r="M2765" s="69" t="s">
        <v>6</v>
      </c>
    </row>
    <row r="2766" spans="2:13">
      <c r="B2766" s="69">
        <v>2764</v>
      </c>
      <c r="C2766" s="69">
        <v>238</v>
      </c>
      <c r="D2766" s="69">
        <v>11</v>
      </c>
      <c r="E2766" s="69">
        <v>6</v>
      </c>
      <c r="F2766" s="69">
        <v>0</v>
      </c>
      <c r="G2766" s="69" t="s">
        <v>18</v>
      </c>
      <c r="H2766" s="69" t="s">
        <v>9</v>
      </c>
      <c r="I2766" s="69" t="s">
        <v>1993</v>
      </c>
      <c r="J2766" s="69" t="s">
        <v>55</v>
      </c>
      <c r="K2766" s="69" t="s">
        <v>1996</v>
      </c>
      <c r="M2766" s="69" t="s">
        <v>6</v>
      </c>
    </row>
    <row r="2767" spans="2:13">
      <c r="B2767" s="69">
        <v>2765</v>
      </c>
      <c r="C2767" s="69">
        <v>238</v>
      </c>
      <c r="D2767" s="69">
        <v>11</v>
      </c>
      <c r="E2767" s="69">
        <v>7</v>
      </c>
      <c r="F2767" s="69">
        <v>0</v>
      </c>
      <c r="G2767" s="69" t="s">
        <v>18</v>
      </c>
      <c r="H2767" s="69" t="s">
        <v>9</v>
      </c>
      <c r="I2767" s="69" t="s">
        <v>1993</v>
      </c>
      <c r="J2767" s="69" t="s">
        <v>55</v>
      </c>
      <c r="K2767" s="69" t="s">
        <v>1997</v>
      </c>
      <c r="M2767" s="69" t="s">
        <v>6</v>
      </c>
    </row>
    <row r="2768" spans="2:13">
      <c r="B2768" s="69">
        <v>2766</v>
      </c>
      <c r="C2768" s="69">
        <v>238</v>
      </c>
      <c r="D2768" s="69">
        <v>11</v>
      </c>
      <c r="E2768" s="69">
        <v>8</v>
      </c>
      <c r="F2768" s="69">
        <v>0</v>
      </c>
      <c r="G2768" s="69" t="s">
        <v>18</v>
      </c>
      <c r="H2768" s="69" t="s">
        <v>9</v>
      </c>
      <c r="I2768" s="69" t="s">
        <v>1993</v>
      </c>
      <c r="J2768" s="69" t="s">
        <v>55</v>
      </c>
      <c r="K2768" s="69" t="s">
        <v>1998</v>
      </c>
      <c r="M2768" s="69" t="s">
        <v>6</v>
      </c>
    </row>
    <row r="2769" spans="2:13">
      <c r="B2769" s="69">
        <v>2767</v>
      </c>
      <c r="C2769" s="69">
        <v>238</v>
      </c>
      <c r="D2769" s="69">
        <v>11</v>
      </c>
      <c r="E2769" s="69">
        <v>9</v>
      </c>
      <c r="F2769" s="69">
        <v>0</v>
      </c>
      <c r="G2769" s="69" t="s">
        <v>18</v>
      </c>
      <c r="H2769" s="69" t="s">
        <v>9</v>
      </c>
      <c r="I2769" s="69" t="s">
        <v>1993</v>
      </c>
      <c r="J2769" s="69" t="s">
        <v>55</v>
      </c>
      <c r="K2769" s="69" t="s">
        <v>1999</v>
      </c>
      <c r="M2769" s="69" t="s">
        <v>6</v>
      </c>
    </row>
    <row r="2770" spans="2:13">
      <c r="B2770" s="69">
        <v>2768</v>
      </c>
      <c r="C2770" s="69">
        <v>238</v>
      </c>
      <c r="D2770" s="69">
        <v>11</v>
      </c>
      <c r="E2770" s="69">
        <v>10</v>
      </c>
      <c r="F2770" s="69">
        <v>0</v>
      </c>
      <c r="G2770" s="69" t="s">
        <v>18</v>
      </c>
      <c r="H2770" s="69" t="s">
        <v>9</v>
      </c>
      <c r="I2770" s="69" t="s">
        <v>1993</v>
      </c>
      <c r="J2770" s="69" t="s">
        <v>55</v>
      </c>
      <c r="K2770" s="69" t="s">
        <v>93</v>
      </c>
      <c r="M2770" s="69" t="s">
        <v>6</v>
      </c>
    </row>
    <row r="2771" spans="2:13">
      <c r="B2771" s="69">
        <v>2769</v>
      </c>
      <c r="C2771" s="69">
        <v>238</v>
      </c>
      <c r="D2771" s="69">
        <v>11</v>
      </c>
      <c r="E2771" s="69">
        <v>11</v>
      </c>
      <c r="F2771" s="69">
        <v>0</v>
      </c>
      <c r="G2771" s="69" t="s">
        <v>18</v>
      </c>
      <c r="H2771" s="69" t="s">
        <v>9</v>
      </c>
      <c r="I2771" s="69" t="s">
        <v>1993</v>
      </c>
      <c r="J2771" s="69" t="s">
        <v>64</v>
      </c>
      <c r="K2771" s="69" t="s">
        <v>94</v>
      </c>
      <c r="M2771" s="69" t="s">
        <v>6</v>
      </c>
    </row>
    <row r="2772" spans="2:13">
      <c r="B2772" s="69">
        <v>2770</v>
      </c>
      <c r="C2772" s="69">
        <v>239</v>
      </c>
      <c r="D2772" s="69">
        <v>8</v>
      </c>
      <c r="E2772" s="69">
        <v>0</v>
      </c>
      <c r="F2772" s="69">
        <v>0</v>
      </c>
      <c r="G2772" s="69" t="s">
        <v>18</v>
      </c>
      <c r="H2772" s="69" t="s">
        <v>9</v>
      </c>
      <c r="I2772" s="69" t="s">
        <v>2000</v>
      </c>
      <c r="J2772" s="69" t="s">
        <v>54</v>
      </c>
      <c r="K2772" s="69" t="s">
        <v>2000</v>
      </c>
      <c r="M2772" s="69" t="s">
        <v>6</v>
      </c>
    </row>
    <row r="2773" spans="2:13">
      <c r="B2773" s="69">
        <v>2771</v>
      </c>
      <c r="C2773" s="69">
        <v>239</v>
      </c>
      <c r="D2773" s="69">
        <v>8</v>
      </c>
      <c r="E2773" s="69">
        <v>1</v>
      </c>
      <c r="F2773" s="69">
        <v>0</v>
      </c>
      <c r="G2773" s="69" t="s">
        <v>18</v>
      </c>
      <c r="H2773" s="69" t="s">
        <v>9</v>
      </c>
      <c r="I2773" s="69" t="s">
        <v>2000</v>
      </c>
      <c r="J2773" s="69" t="s">
        <v>55</v>
      </c>
      <c r="K2773" s="69" t="s">
        <v>2001</v>
      </c>
      <c r="M2773" s="69" t="s">
        <v>6</v>
      </c>
    </row>
    <row r="2774" spans="2:13">
      <c r="B2774" s="69">
        <v>2772</v>
      </c>
      <c r="C2774" s="69">
        <v>239</v>
      </c>
      <c r="D2774" s="69">
        <v>8</v>
      </c>
      <c r="E2774" s="69">
        <v>2</v>
      </c>
      <c r="F2774" s="69">
        <v>0</v>
      </c>
      <c r="G2774" s="69" t="s">
        <v>18</v>
      </c>
      <c r="H2774" s="69" t="s">
        <v>9</v>
      </c>
      <c r="I2774" s="69" t="s">
        <v>2000</v>
      </c>
      <c r="J2774" s="69" t="s">
        <v>55</v>
      </c>
      <c r="K2774" s="69" t="s">
        <v>2002</v>
      </c>
      <c r="M2774" s="69" t="s">
        <v>6</v>
      </c>
    </row>
    <row r="2775" spans="2:13">
      <c r="B2775" s="69">
        <v>2773</v>
      </c>
      <c r="C2775" s="69">
        <v>239</v>
      </c>
      <c r="D2775" s="69">
        <v>8</v>
      </c>
      <c r="E2775" s="69">
        <v>3</v>
      </c>
      <c r="F2775" s="69">
        <v>0</v>
      </c>
      <c r="G2775" s="69" t="s">
        <v>18</v>
      </c>
      <c r="H2775" s="69" t="s">
        <v>9</v>
      </c>
      <c r="I2775" s="69" t="s">
        <v>2000</v>
      </c>
      <c r="J2775" s="69" t="s">
        <v>55</v>
      </c>
      <c r="K2775" s="69" t="s">
        <v>2003</v>
      </c>
      <c r="M2775" s="69" t="s">
        <v>6</v>
      </c>
    </row>
    <row r="2776" spans="2:13">
      <c r="B2776" s="69">
        <v>2774</v>
      </c>
      <c r="C2776" s="69">
        <v>239</v>
      </c>
      <c r="D2776" s="69">
        <v>8</v>
      </c>
      <c r="E2776" s="69">
        <v>4</v>
      </c>
      <c r="F2776" s="69">
        <v>0</v>
      </c>
      <c r="G2776" s="69" t="s">
        <v>18</v>
      </c>
      <c r="H2776" s="69" t="s">
        <v>9</v>
      </c>
      <c r="I2776" s="69" t="s">
        <v>2000</v>
      </c>
      <c r="J2776" s="69" t="s">
        <v>55</v>
      </c>
      <c r="K2776" s="69" t="s">
        <v>1881</v>
      </c>
      <c r="M2776" s="69" t="s">
        <v>6</v>
      </c>
    </row>
    <row r="2777" spans="2:13">
      <c r="B2777" s="69">
        <v>2775</v>
      </c>
      <c r="C2777" s="69">
        <v>239</v>
      </c>
      <c r="D2777" s="69">
        <v>8</v>
      </c>
      <c r="E2777" s="69">
        <v>5</v>
      </c>
      <c r="F2777" s="69">
        <v>0</v>
      </c>
      <c r="G2777" s="69" t="s">
        <v>18</v>
      </c>
      <c r="H2777" s="69" t="s">
        <v>9</v>
      </c>
      <c r="I2777" s="69" t="s">
        <v>2000</v>
      </c>
      <c r="J2777" s="69" t="s">
        <v>55</v>
      </c>
      <c r="K2777" s="69" t="s">
        <v>2004</v>
      </c>
      <c r="M2777" s="69" t="s">
        <v>6</v>
      </c>
    </row>
    <row r="2778" spans="2:13">
      <c r="B2778" s="69">
        <v>2776</v>
      </c>
      <c r="C2778" s="69">
        <v>239</v>
      </c>
      <c r="D2778" s="69">
        <v>8</v>
      </c>
      <c r="E2778" s="69">
        <v>6</v>
      </c>
      <c r="F2778" s="69">
        <v>0</v>
      </c>
      <c r="G2778" s="69" t="s">
        <v>18</v>
      </c>
      <c r="H2778" s="69" t="s">
        <v>9</v>
      </c>
      <c r="I2778" s="69" t="s">
        <v>2000</v>
      </c>
      <c r="J2778" s="69" t="s">
        <v>55</v>
      </c>
      <c r="K2778" s="69" t="s">
        <v>898</v>
      </c>
      <c r="M2778" s="69" t="s">
        <v>6</v>
      </c>
    </row>
    <row r="2779" spans="2:13">
      <c r="B2779" s="69">
        <v>2777</v>
      </c>
      <c r="C2779" s="69">
        <v>239</v>
      </c>
      <c r="D2779" s="69">
        <v>8</v>
      </c>
      <c r="E2779" s="69">
        <v>7</v>
      </c>
      <c r="F2779" s="69">
        <v>0</v>
      </c>
      <c r="G2779" s="69" t="s">
        <v>18</v>
      </c>
      <c r="H2779" s="69" t="s">
        <v>9</v>
      </c>
      <c r="I2779" s="69" t="s">
        <v>2000</v>
      </c>
      <c r="J2779" s="69" t="s">
        <v>55</v>
      </c>
      <c r="K2779" s="69" t="s">
        <v>93</v>
      </c>
      <c r="M2779" s="69" t="s">
        <v>6</v>
      </c>
    </row>
    <row r="2780" spans="2:13">
      <c r="B2780" s="69">
        <v>2778</v>
      </c>
      <c r="C2780" s="69">
        <v>239</v>
      </c>
      <c r="D2780" s="69">
        <v>8</v>
      </c>
      <c r="E2780" s="69">
        <v>8</v>
      </c>
      <c r="F2780" s="69">
        <v>0</v>
      </c>
      <c r="G2780" s="69" t="s">
        <v>18</v>
      </c>
      <c r="H2780" s="69" t="s">
        <v>9</v>
      </c>
      <c r="I2780" s="69" t="s">
        <v>2000</v>
      </c>
      <c r="J2780" s="69" t="s">
        <v>64</v>
      </c>
      <c r="K2780" s="69" t="s">
        <v>94</v>
      </c>
      <c r="M2780" s="69" t="s">
        <v>6</v>
      </c>
    </row>
    <row r="2781" spans="2:13">
      <c r="B2781" s="69">
        <v>2779</v>
      </c>
      <c r="C2781" s="69">
        <v>240</v>
      </c>
      <c r="D2781" s="69">
        <v>5</v>
      </c>
      <c r="E2781" s="69">
        <v>0</v>
      </c>
      <c r="F2781" s="69">
        <v>0</v>
      </c>
      <c r="G2781" s="69" t="s">
        <v>18</v>
      </c>
      <c r="H2781" s="69" t="s">
        <v>9</v>
      </c>
      <c r="I2781" s="69" t="s">
        <v>2005</v>
      </c>
      <c r="J2781" s="69" t="s">
        <v>54</v>
      </c>
      <c r="K2781" s="69" t="s">
        <v>2005</v>
      </c>
      <c r="M2781" s="69" t="s">
        <v>6</v>
      </c>
    </row>
    <row r="2782" spans="2:13">
      <c r="B2782" s="69">
        <v>2780</v>
      </c>
      <c r="C2782" s="69">
        <v>240</v>
      </c>
      <c r="D2782" s="69">
        <v>5</v>
      </c>
      <c r="E2782" s="69">
        <v>1</v>
      </c>
      <c r="F2782" s="69">
        <v>0</v>
      </c>
      <c r="G2782" s="69" t="s">
        <v>18</v>
      </c>
      <c r="H2782" s="69" t="s">
        <v>9</v>
      </c>
      <c r="I2782" s="69" t="s">
        <v>2005</v>
      </c>
      <c r="J2782" s="69" t="s">
        <v>55</v>
      </c>
      <c r="K2782" s="69" t="s">
        <v>2006</v>
      </c>
      <c r="M2782" s="69" t="s">
        <v>6</v>
      </c>
    </row>
    <row r="2783" spans="2:13">
      <c r="B2783" s="69">
        <v>2781</v>
      </c>
      <c r="C2783" s="69">
        <v>240</v>
      </c>
      <c r="D2783" s="69">
        <v>5</v>
      </c>
      <c r="E2783" s="69">
        <v>2</v>
      </c>
      <c r="F2783" s="69">
        <v>0</v>
      </c>
      <c r="G2783" s="69" t="s">
        <v>18</v>
      </c>
      <c r="H2783" s="69" t="s">
        <v>9</v>
      </c>
      <c r="I2783" s="69" t="s">
        <v>2005</v>
      </c>
      <c r="J2783" s="69" t="s">
        <v>55</v>
      </c>
      <c r="K2783" s="69" t="s">
        <v>1089</v>
      </c>
      <c r="M2783" s="69" t="s">
        <v>6</v>
      </c>
    </row>
    <row r="2784" spans="2:13">
      <c r="B2784" s="69">
        <v>2782</v>
      </c>
      <c r="C2784" s="69">
        <v>240</v>
      </c>
      <c r="D2784" s="69">
        <v>5</v>
      </c>
      <c r="E2784" s="69">
        <v>3</v>
      </c>
      <c r="F2784" s="69">
        <v>0</v>
      </c>
      <c r="G2784" s="69" t="s">
        <v>18</v>
      </c>
      <c r="H2784" s="69" t="s">
        <v>9</v>
      </c>
      <c r="I2784" s="69" t="s">
        <v>2005</v>
      </c>
      <c r="J2784" s="69" t="s">
        <v>55</v>
      </c>
      <c r="K2784" s="69" t="s">
        <v>1090</v>
      </c>
      <c r="M2784" s="69" t="s">
        <v>6</v>
      </c>
    </row>
    <row r="2785" spans="2:13">
      <c r="B2785" s="69">
        <v>2783</v>
      </c>
      <c r="C2785" s="69">
        <v>240</v>
      </c>
      <c r="D2785" s="69">
        <v>5</v>
      </c>
      <c r="E2785" s="69">
        <v>4</v>
      </c>
      <c r="F2785" s="69">
        <v>0</v>
      </c>
      <c r="G2785" s="69" t="s">
        <v>18</v>
      </c>
      <c r="H2785" s="69" t="s">
        <v>9</v>
      </c>
      <c r="I2785" s="69" t="s">
        <v>2005</v>
      </c>
      <c r="J2785" s="69" t="s">
        <v>55</v>
      </c>
      <c r="K2785" s="69" t="s">
        <v>93</v>
      </c>
      <c r="M2785" s="69" t="s">
        <v>6</v>
      </c>
    </row>
    <row r="2786" spans="2:13">
      <c r="B2786" s="69">
        <v>2784</v>
      </c>
      <c r="C2786" s="69">
        <v>240</v>
      </c>
      <c r="D2786" s="69">
        <v>5</v>
      </c>
      <c r="E2786" s="69">
        <v>5</v>
      </c>
      <c r="F2786" s="69">
        <v>0</v>
      </c>
      <c r="G2786" s="69" t="s">
        <v>18</v>
      </c>
      <c r="H2786" s="69" t="s">
        <v>9</v>
      </c>
      <c r="I2786" s="69" t="s">
        <v>2005</v>
      </c>
      <c r="J2786" s="69" t="s">
        <v>64</v>
      </c>
      <c r="K2786" s="69" t="s">
        <v>94</v>
      </c>
      <c r="M2786" s="69" t="s">
        <v>6</v>
      </c>
    </row>
    <row r="2787" spans="2:13">
      <c r="B2787" s="69">
        <v>2785</v>
      </c>
      <c r="C2787" s="69">
        <v>241</v>
      </c>
      <c r="D2787" s="69">
        <v>10</v>
      </c>
      <c r="E2787" s="69">
        <v>0</v>
      </c>
      <c r="F2787" s="69">
        <v>0</v>
      </c>
      <c r="G2787" s="69" t="s">
        <v>18</v>
      </c>
      <c r="H2787" s="69" t="s">
        <v>9</v>
      </c>
      <c r="I2787" s="69" t="s">
        <v>2007</v>
      </c>
      <c r="J2787" s="69" t="s">
        <v>478</v>
      </c>
      <c r="K2787" s="69" t="s">
        <v>2007</v>
      </c>
      <c r="M2787" s="69" t="s">
        <v>6</v>
      </c>
    </row>
    <row r="2788" spans="2:13">
      <c r="B2788" s="69">
        <v>2786</v>
      </c>
      <c r="C2788" s="69">
        <v>241</v>
      </c>
      <c r="D2788" s="69">
        <v>10</v>
      </c>
      <c r="E2788" s="69">
        <v>1</v>
      </c>
      <c r="F2788" s="69">
        <v>0</v>
      </c>
      <c r="G2788" s="69" t="s">
        <v>18</v>
      </c>
      <c r="H2788" s="69" t="s">
        <v>9</v>
      </c>
      <c r="I2788" s="69" t="s">
        <v>2007</v>
      </c>
      <c r="J2788" s="69" t="s">
        <v>479</v>
      </c>
      <c r="K2788" s="69" t="s">
        <v>2008</v>
      </c>
      <c r="M2788" s="69" t="s">
        <v>6</v>
      </c>
    </row>
    <row r="2789" spans="2:13">
      <c r="B2789" s="69">
        <v>2787</v>
      </c>
      <c r="C2789" s="69">
        <v>241</v>
      </c>
      <c r="D2789" s="69">
        <v>10</v>
      </c>
      <c r="E2789" s="69">
        <v>2</v>
      </c>
      <c r="F2789" s="69">
        <v>0</v>
      </c>
      <c r="G2789" s="69" t="s">
        <v>18</v>
      </c>
      <c r="H2789" s="69" t="s">
        <v>9</v>
      </c>
      <c r="I2789" s="69" t="s">
        <v>2007</v>
      </c>
      <c r="J2789" s="69" t="s">
        <v>55</v>
      </c>
      <c r="K2789" s="69" t="s">
        <v>2009</v>
      </c>
      <c r="M2789" s="69" t="s">
        <v>6</v>
      </c>
    </row>
    <row r="2790" spans="2:13">
      <c r="B2790" s="69">
        <v>2788</v>
      </c>
      <c r="C2790" s="69">
        <v>241</v>
      </c>
      <c r="D2790" s="69">
        <v>10</v>
      </c>
      <c r="E2790" s="69">
        <v>3</v>
      </c>
      <c r="F2790" s="69">
        <v>0</v>
      </c>
      <c r="G2790" s="69" t="s">
        <v>18</v>
      </c>
      <c r="H2790" s="69" t="s">
        <v>9</v>
      </c>
      <c r="I2790" s="69" t="s">
        <v>2007</v>
      </c>
      <c r="J2790" s="69" t="s">
        <v>55</v>
      </c>
      <c r="K2790" s="69" t="s">
        <v>2010</v>
      </c>
      <c r="M2790" s="69" t="s">
        <v>6</v>
      </c>
    </row>
    <row r="2791" spans="2:13">
      <c r="B2791" s="69">
        <v>2789</v>
      </c>
      <c r="C2791" s="69">
        <v>241</v>
      </c>
      <c r="D2791" s="69">
        <v>10</v>
      </c>
      <c r="E2791" s="69">
        <v>4</v>
      </c>
      <c r="F2791" s="69">
        <v>0</v>
      </c>
      <c r="G2791" s="69" t="s">
        <v>18</v>
      </c>
      <c r="H2791" s="69" t="s">
        <v>9</v>
      </c>
      <c r="I2791" s="69" t="s">
        <v>2007</v>
      </c>
      <c r="J2791" s="69" t="s">
        <v>55</v>
      </c>
      <c r="K2791" s="69" t="s">
        <v>2011</v>
      </c>
      <c r="M2791" s="69" t="s">
        <v>6</v>
      </c>
    </row>
    <row r="2792" spans="2:13">
      <c r="B2792" s="69">
        <v>2790</v>
      </c>
      <c r="C2792" s="69">
        <v>241</v>
      </c>
      <c r="D2792" s="69">
        <v>10</v>
      </c>
      <c r="E2792" s="69">
        <v>5</v>
      </c>
      <c r="F2792" s="69">
        <v>0</v>
      </c>
      <c r="G2792" s="69" t="s">
        <v>18</v>
      </c>
      <c r="H2792" s="69" t="s">
        <v>9</v>
      </c>
      <c r="I2792" s="69" t="s">
        <v>2007</v>
      </c>
      <c r="J2792" s="69" t="s">
        <v>55</v>
      </c>
      <c r="K2792" s="69" t="s">
        <v>2012</v>
      </c>
      <c r="M2792" s="69" t="s">
        <v>6</v>
      </c>
    </row>
    <row r="2793" spans="2:13">
      <c r="B2793" s="69">
        <v>2791</v>
      </c>
      <c r="C2793" s="69">
        <v>241</v>
      </c>
      <c r="D2793" s="69">
        <v>10</v>
      </c>
      <c r="E2793" s="69">
        <v>6</v>
      </c>
      <c r="F2793" s="69">
        <v>0</v>
      </c>
      <c r="G2793" s="69" t="s">
        <v>18</v>
      </c>
      <c r="H2793" s="69" t="s">
        <v>9</v>
      </c>
      <c r="I2793" s="69" t="s">
        <v>2007</v>
      </c>
      <c r="J2793" s="69" t="s">
        <v>55</v>
      </c>
      <c r="K2793" s="69" t="s">
        <v>2013</v>
      </c>
      <c r="M2793" s="69" t="s">
        <v>6</v>
      </c>
    </row>
    <row r="2794" spans="2:13">
      <c r="B2794" s="69">
        <v>2792</v>
      </c>
      <c r="C2794" s="69">
        <v>241</v>
      </c>
      <c r="D2794" s="69">
        <v>10</v>
      </c>
      <c r="E2794" s="69">
        <v>7</v>
      </c>
      <c r="F2794" s="69">
        <v>0</v>
      </c>
      <c r="G2794" s="69" t="s">
        <v>18</v>
      </c>
      <c r="H2794" s="69" t="s">
        <v>9</v>
      </c>
      <c r="I2794" s="69" t="s">
        <v>2007</v>
      </c>
      <c r="J2794" s="69" t="s">
        <v>55</v>
      </c>
      <c r="K2794" s="69" t="s">
        <v>2014</v>
      </c>
      <c r="M2794" s="69" t="s">
        <v>6</v>
      </c>
    </row>
    <row r="2795" spans="2:13">
      <c r="B2795" s="69">
        <v>2793</v>
      </c>
      <c r="C2795" s="69">
        <v>241</v>
      </c>
      <c r="D2795" s="69">
        <v>10</v>
      </c>
      <c r="E2795" s="69">
        <v>8</v>
      </c>
      <c r="F2795" s="69">
        <v>0</v>
      </c>
      <c r="G2795" s="69" t="s">
        <v>18</v>
      </c>
      <c r="H2795" s="69" t="s">
        <v>9</v>
      </c>
      <c r="I2795" s="69" t="s">
        <v>2007</v>
      </c>
      <c r="J2795" s="69" t="s">
        <v>55</v>
      </c>
      <c r="K2795" s="69" t="s">
        <v>2015</v>
      </c>
      <c r="M2795" s="69" t="s">
        <v>6</v>
      </c>
    </row>
    <row r="2796" spans="2:13">
      <c r="B2796" s="69">
        <v>2794</v>
      </c>
      <c r="C2796" s="69">
        <v>241</v>
      </c>
      <c r="D2796" s="69">
        <v>10</v>
      </c>
      <c r="E2796" s="69">
        <v>9</v>
      </c>
      <c r="F2796" s="69">
        <v>0</v>
      </c>
      <c r="G2796" s="69" t="s">
        <v>18</v>
      </c>
      <c r="H2796" s="69" t="s">
        <v>9</v>
      </c>
      <c r="I2796" s="69" t="s">
        <v>2007</v>
      </c>
      <c r="J2796" s="69" t="s">
        <v>479</v>
      </c>
      <c r="K2796" s="69" t="s">
        <v>2016</v>
      </c>
      <c r="M2796" s="69" t="s">
        <v>6</v>
      </c>
    </row>
    <row r="2797" spans="2:13">
      <c r="B2797" s="69">
        <v>2795</v>
      </c>
      <c r="C2797" s="69">
        <v>241</v>
      </c>
      <c r="D2797" s="69">
        <v>10</v>
      </c>
      <c r="E2797" s="69">
        <v>10</v>
      </c>
      <c r="F2797" s="69">
        <v>0</v>
      </c>
      <c r="G2797" s="69" t="s">
        <v>18</v>
      </c>
      <c r="H2797" s="69" t="s">
        <v>9</v>
      </c>
      <c r="I2797" s="69" t="s">
        <v>2007</v>
      </c>
      <c r="J2797" s="69" t="s">
        <v>55</v>
      </c>
      <c r="K2797" s="69" t="s">
        <v>2017</v>
      </c>
      <c r="M2797" s="69" t="s">
        <v>6</v>
      </c>
    </row>
    <row r="2798" spans="2:13">
      <c r="B2798" s="69">
        <v>2796</v>
      </c>
      <c r="C2798" s="69">
        <v>242</v>
      </c>
      <c r="D2798" s="69">
        <v>8</v>
      </c>
      <c r="E2798" s="69">
        <v>0</v>
      </c>
      <c r="F2798" s="69">
        <v>0</v>
      </c>
      <c r="G2798" s="69" t="s">
        <v>18</v>
      </c>
      <c r="H2798" s="69" t="s">
        <v>9</v>
      </c>
      <c r="I2798" s="69" t="s">
        <v>2018</v>
      </c>
      <c r="J2798" s="69" t="s">
        <v>54</v>
      </c>
      <c r="K2798" s="69" t="s">
        <v>2018</v>
      </c>
      <c r="M2798" s="69" t="s">
        <v>6</v>
      </c>
    </row>
    <row r="2799" spans="2:13">
      <c r="B2799" s="69">
        <v>2797</v>
      </c>
      <c r="C2799" s="69">
        <v>242</v>
      </c>
      <c r="D2799" s="69">
        <v>8</v>
      </c>
      <c r="E2799" s="69">
        <v>1</v>
      </c>
      <c r="F2799" s="69">
        <v>0</v>
      </c>
      <c r="G2799" s="69" t="s">
        <v>18</v>
      </c>
      <c r="H2799" s="69" t="s">
        <v>9</v>
      </c>
      <c r="I2799" s="69" t="s">
        <v>2018</v>
      </c>
      <c r="J2799" s="69" t="s">
        <v>55</v>
      </c>
      <c r="K2799" s="69" t="s">
        <v>2019</v>
      </c>
      <c r="M2799" s="69" t="s">
        <v>6</v>
      </c>
    </row>
    <row r="2800" spans="2:13">
      <c r="B2800" s="69">
        <v>2798</v>
      </c>
      <c r="C2800" s="69">
        <v>242</v>
      </c>
      <c r="D2800" s="69">
        <v>8</v>
      </c>
      <c r="E2800" s="69">
        <v>2</v>
      </c>
      <c r="F2800" s="69">
        <v>0</v>
      </c>
      <c r="G2800" s="69" t="s">
        <v>18</v>
      </c>
      <c r="H2800" s="69" t="s">
        <v>9</v>
      </c>
      <c r="I2800" s="69" t="s">
        <v>2018</v>
      </c>
      <c r="J2800" s="69" t="s">
        <v>55</v>
      </c>
      <c r="K2800" s="69" t="s">
        <v>1722</v>
      </c>
      <c r="M2800" s="69" t="s">
        <v>6</v>
      </c>
    </row>
    <row r="2801" spans="2:13">
      <c r="B2801" s="69">
        <v>2799</v>
      </c>
      <c r="C2801" s="69">
        <v>242</v>
      </c>
      <c r="D2801" s="69">
        <v>8</v>
      </c>
      <c r="E2801" s="69">
        <v>3</v>
      </c>
      <c r="F2801" s="69">
        <v>0</v>
      </c>
      <c r="G2801" s="69" t="s">
        <v>18</v>
      </c>
      <c r="H2801" s="69" t="s">
        <v>9</v>
      </c>
      <c r="I2801" s="69" t="s">
        <v>2018</v>
      </c>
      <c r="J2801" s="69" t="s">
        <v>55</v>
      </c>
      <c r="K2801" s="69" t="s">
        <v>1723</v>
      </c>
      <c r="M2801" s="69" t="s">
        <v>6</v>
      </c>
    </row>
    <row r="2802" spans="2:13">
      <c r="B2802" s="69">
        <v>2800</v>
      </c>
      <c r="C2802" s="69">
        <v>242</v>
      </c>
      <c r="D2802" s="69">
        <v>8</v>
      </c>
      <c r="E2802" s="69">
        <v>4</v>
      </c>
      <c r="F2802" s="69">
        <v>0</v>
      </c>
      <c r="G2802" s="69" t="s">
        <v>18</v>
      </c>
      <c r="H2802" s="69" t="s">
        <v>9</v>
      </c>
      <c r="I2802" s="69" t="s">
        <v>2018</v>
      </c>
      <c r="J2802" s="69" t="s">
        <v>55</v>
      </c>
      <c r="K2802" s="69" t="s">
        <v>2020</v>
      </c>
      <c r="M2802" s="69" t="s">
        <v>6</v>
      </c>
    </row>
    <row r="2803" spans="2:13">
      <c r="B2803" s="69">
        <v>2801</v>
      </c>
      <c r="C2803" s="69">
        <v>242</v>
      </c>
      <c r="D2803" s="69">
        <v>8</v>
      </c>
      <c r="E2803" s="69">
        <v>5</v>
      </c>
      <c r="F2803" s="69">
        <v>0</v>
      </c>
      <c r="G2803" s="69" t="s">
        <v>18</v>
      </c>
      <c r="H2803" s="69" t="s">
        <v>9</v>
      </c>
      <c r="I2803" s="69" t="s">
        <v>2018</v>
      </c>
      <c r="J2803" s="69" t="s">
        <v>55</v>
      </c>
      <c r="K2803" s="69" t="s">
        <v>2021</v>
      </c>
      <c r="M2803" s="69" t="s">
        <v>6</v>
      </c>
    </row>
    <row r="2804" spans="2:13">
      <c r="B2804" s="69">
        <v>2802</v>
      </c>
      <c r="C2804" s="69">
        <v>242</v>
      </c>
      <c r="D2804" s="69">
        <v>8</v>
      </c>
      <c r="E2804" s="69">
        <v>6</v>
      </c>
      <c r="F2804" s="69">
        <v>0</v>
      </c>
      <c r="G2804" s="69" t="s">
        <v>18</v>
      </c>
      <c r="H2804" s="69" t="s">
        <v>9</v>
      </c>
      <c r="I2804" s="69" t="s">
        <v>2018</v>
      </c>
      <c r="J2804" s="69" t="s">
        <v>55</v>
      </c>
      <c r="K2804" s="69" t="s">
        <v>2022</v>
      </c>
      <c r="M2804" s="69" t="s">
        <v>6</v>
      </c>
    </row>
    <row r="2805" spans="2:13">
      <c r="B2805" s="69">
        <v>2803</v>
      </c>
      <c r="C2805" s="69">
        <v>242</v>
      </c>
      <c r="D2805" s="69">
        <v>8</v>
      </c>
      <c r="E2805" s="69">
        <v>7</v>
      </c>
      <c r="F2805" s="69">
        <v>0</v>
      </c>
      <c r="G2805" s="69" t="s">
        <v>18</v>
      </c>
      <c r="H2805" s="69" t="s">
        <v>9</v>
      </c>
      <c r="I2805" s="69" t="s">
        <v>2018</v>
      </c>
      <c r="J2805" s="69" t="s">
        <v>55</v>
      </c>
      <c r="K2805" s="69" t="s">
        <v>93</v>
      </c>
      <c r="M2805" s="69" t="s">
        <v>6</v>
      </c>
    </row>
    <row r="2806" spans="2:13">
      <c r="B2806" s="69">
        <v>2804</v>
      </c>
      <c r="C2806" s="69">
        <v>242</v>
      </c>
      <c r="D2806" s="69">
        <v>8</v>
      </c>
      <c r="E2806" s="69">
        <v>8</v>
      </c>
      <c r="F2806" s="69">
        <v>0</v>
      </c>
      <c r="G2806" s="69" t="s">
        <v>18</v>
      </c>
      <c r="H2806" s="69" t="s">
        <v>9</v>
      </c>
      <c r="I2806" s="69" t="s">
        <v>2018</v>
      </c>
      <c r="J2806" s="69" t="s">
        <v>64</v>
      </c>
      <c r="K2806" s="69" t="s">
        <v>94</v>
      </c>
      <c r="M2806" s="69" t="s">
        <v>6</v>
      </c>
    </row>
    <row r="2807" spans="2:13">
      <c r="B2807" s="69">
        <v>2805</v>
      </c>
      <c r="C2807" s="69">
        <v>243</v>
      </c>
      <c r="D2807" s="69">
        <v>20</v>
      </c>
      <c r="E2807" s="69">
        <v>0</v>
      </c>
      <c r="F2807" s="69">
        <v>0</v>
      </c>
      <c r="G2807" s="69" t="s">
        <v>2023</v>
      </c>
      <c r="H2807" s="69" t="s">
        <v>52</v>
      </c>
      <c r="I2807" s="69" t="s">
        <v>2024</v>
      </c>
      <c r="J2807" s="69" t="s">
        <v>478</v>
      </c>
      <c r="K2807" s="69" t="s">
        <v>2024</v>
      </c>
      <c r="M2807" s="69" t="s">
        <v>6</v>
      </c>
    </row>
    <row r="2808" spans="2:13">
      <c r="B2808" s="69">
        <v>2806</v>
      </c>
      <c r="C2808" s="69">
        <v>243</v>
      </c>
      <c r="D2808" s="69">
        <v>20</v>
      </c>
      <c r="E2808" s="69">
        <v>1</v>
      </c>
      <c r="F2808" s="69">
        <v>0</v>
      </c>
      <c r="G2808" s="69" t="s">
        <v>2023</v>
      </c>
      <c r="H2808" s="69" t="s">
        <v>52</v>
      </c>
      <c r="I2808" s="69" t="s">
        <v>2024</v>
      </c>
      <c r="J2808" s="69" t="s">
        <v>55</v>
      </c>
      <c r="K2808" s="69" t="s">
        <v>2025</v>
      </c>
      <c r="M2808" s="69" t="s">
        <v>6</v>
      </c>
    </row>
    <row r="2809" spans="2:13">
      <c r="B2809" s="69">
        <v>2807</v>
      </c>
      <c r="C2809" s="69">
        <v>243</v>
      </c>
      <c r="D2809" s="69">
        <v>20</v>
      </c>
      <c r="E2809" s="69">
        <v>2</v>
      </c>
      <c r="F2809" s="69">
        <v>0</v>
      </c>
      <c r="G2809" s="69" t="s">
        <v>2023</v>
      </c>
      <c r="H2809" s="69" t="s">
        <v>52</v>
      </c>
      <c r="I2809" s="69" t="s">
        <v>2024</v>
      </c>
      <c r="J2809" s="69" t="s">
        <v>55</v>
      </c>
      <c r="K2809" s="69" t="s">
        <v>429</v>
      </c>
      <c r="M2809" s="69" t="s">
        <v>6</v>
      </c>
    </row>
    <row r="2810" spans="2:13">
      <c r="B2810" s="69">
        <v>2808</v>
      </c>
      <c r="C2810" s="69">
        <v>243</v>
      </c>
      <c r="D2810" s="69">
        <v>20</v>
      </c>
      <c r="E2810" s="69">
        <v>3</v>
      </c>
      <c r="F2810" s="69">
        <v>0</v>
      </c>
      <c r="G2810" s="69" t="s">
        <v>2023</v>
      </c>
      <c r="H2810" s="69" t="s">
        <v>52</v>
      </c>
      <c r="I2810" s="69" t="s">
        <v>2024</v>
      </c>
      <c r="J2810" s="69" t="s">
        <v>55</v>
      </c>
      <c r="K2810" s="69" t="s">
        <v>430</v>
      </c>
      <c r="M2810" s="69" t="s">
        <v>6</v>
      </c>
    </row>
    <row r="2811" spans="2:13">
      <c r="B2811" s="69">
        <v>2809</v>
      </c>
      <c r="C2811" s="69">
        <v>243</v>
      </c>
      <c r="D2811" s="69">
        <v>20</v>
      </c>
      <c r="E2811" s="69">
        <v>4</v>
      </c>
      <c r="F2811" s="69">
        <v>0</v>
      </c>
      <c r="G2811" s="69" t="s">
        <v>2023</v>
      </c>
      <c r="H2811" s="69" t="s">
        <v>52</v>
      </c>
      <c r="I2811" s="69" t="s">
        <v>2024</v>
      </c>
      <c r="J2811" s="69" t="s">
        <v>55</v>
      </c>
      <c r="K2811" s="69" t="s">
        <v>2026</v>
      </c>
      <c r="M2811" s="69" t="s">
        <v>6</v>
      </c>
    </row>
    <row r="2812" spans="2:13">
      <c r="B2812" s="69">
        <v>2810</v>
      </c>
      <c r="C2812" s="69">
        <v>243</v>
      </c>
      <c r="D2812" s="69">
        <v>20</v>
      </c>
      <c r="E2812" s="69">
        <v>5</v>
      </c>
      <c r="F2812" s="69">
        <v>0</v>
      </c>
      <c r="G2812" s="69" t="s">
        <v>2023</v>
      </c>
      <c r="H2812" s="69" t="s">
        <v>52</v>
      </c>
      <c r="I2812" s="69" t="s">
        <v>2024</v>
      </c>
      <c r="J2812" s="69" t="s">
        <v>55</v>
      </c>
      <c r="K2812" s="69" t="s">
        <v>587</v>
      </c>
      <c r="M2812" s="69" t="s">
        <v>6</v>
      </c>
    </row>
    <row r="2813" spans="2:13">
      <c r="B2813" s="69">
        <v>2811</v>
      </c>
      <c r="C2813" s="69">
        <v>243</v>
      </c>
      <c r="D2813" s="69">
        <v>20</v>
      </c>
      <c r="E2813" s="69">
        <v>6</v>
      </c>
      <c r="F2813" s="69">
        <v>0</v>
      </c>
      <c r="G2813" s="69" t="s">
        <v>2023</v>
      </c>
      <c r="H2813" s="69" t="s">
        <v>52</v>
      </c>
      <c r="I2813" s="69" t="s">
        <v>2024</v>
      </c>
      <c r="J2813" s="69" t="s">
        <v>55</v>
      </c>
      <c r="K2813" s="69" t="s">
        <v>588</v>
      </c>
      <c r="M2813" s="69" t="s">
        <v>6</v>
      </c>
    </row>
    <row r="2814" spans="2:13">
      <c r="B2814" s="69">
        <v>2812</v>
      </c>
      <c r="C2814" s="69">
        <v>243</v>
      </c>
      <c r="D2814" s="69">
        <v>20</v>
      </c>
      <c r="E2814" s="69">
        <v>7</v>
      </c>
      <c r="F2814" s="69">
        <v>0</v>
      </c>
      <c r="G2814" s="69" t="s">
        <v>2023</v>
      </c>
      <c r="H2814" s="69" t="s">
        <v>52</v>
      </c>
      <c r="I2814" s="69" t="s">
        <v>2024</v>
      </c>
      <c r="J2814" s="69" t="s">
        <v>55</v>
      </c>
      <c r="K2814" s="69" t="s">
        <v>589</v>
      </c>
      <c r="M2814" s="69" t="s">
        <v>6</v>
      </c>
    </row>
    <row r="2815" spans="2:13">
      <c r="B2815" s="69">
        <v>2813</v>
      </c>
      <c r="C2815" s="69">
        <v>243</v>
      </c>
      <c r="D2815" s="69">
        <v>20</v>
      </c>
      <c r="E2815" s="69">
        <v>8</v>
      </c>
      <c r="F2815" s="69">
        <v>0</v>
      </c>
      <c r="G2815" s="69" t="s">
        <v>2023</v>
      </c>
      <c r="H2815" s="69" t="s">
        <v>52</v>
      </c>
      <c r="I2815" s="69" t="s">
        <v>2024</v>
      </c>
      <c r="J2815" s="69" t="s">
        <v>55</v>
      </c>
      <c r="K2815" s="69" t="s">
        <v>590</v>
      </c>
      <c r="M2815" s="69" t="s">
        <v>6</v>
      </c>
    </row>
    <row r="2816" spans="2:13">
      <c r="B2816" s="69">
        <v>2814</v>
      </c>
      <c r="C2816" s="69">
        <v>243</v>
      </c>
      <c r="D2816" s="69">
        <v>20</v>
      </c>
      <c r="E2816" s="69">
        <v>9</v>
      </c>
      <c r="F2816" s="69">
        <v>0</v>
      </c>
      <c r="G2816" s="69" t="s">
        <v>2023</v>
      </c>
      <c r="H2816" s="69" t="s">
        <v>52</v>
      </c>
      <c r="I2816" s="69" t="s">
        <v>2024</v>
      </c>
      <c r="J2816" s="69" t="s">
        <v>55</v>
      </c>
      <c r="K2816" s="69" t="s">
        <v>2027</v>
      </c>
      <c r="M2816" s="69" t="s">
        <v>6</v>
      </c>
    </row>
    <row r="2817" spans="2:13">
      <c r="B2817" s="69">
        <v>2815</v>
      </c>
      <c r="C2817" s="69">
        <v>243</v>
      </c>
      <c r="D2817" s="69">
        <v>20</v>
      </c>
      <c r="E2817" s="69">
        <v>10</v>
      </c>
      <c r="F2817" s="69">
        <v>0</v>
      </c>
      <c r="G2817" s="69" t="s">
        <v>2023</v>
      </c>
      <c r="H2817" s="69" t="s">
        <v>52</v>
      </c>
      <c r="I2817" s="69" t="s">
        <v>2024</v>
      </c>
      <c r="J2817" s="69" t="s">
        <v>55</v>
      </c>
      <c r="K2817" s="69" t="s">
        <v>2028</v>
      </c>
      <c r="M2817" s="69" t="s">
        <v>6</v>
      </c>
    </row>
    <row r="2818" spans="2:13">
      <c r="B2818" s="69">
        <v>2816</v>
      </c>
      <c r="C2818" s="69">
        <v>243</v>
      </c>
      <c r="D2818" s="69">
        <v>20</v>
      </c>
      <c r="E2818" s="69">
        <v>11</v>
      </c>
      <c r="F2818" s="69">
        <v>0</v>
      </c>
      <c r="G2818" s="69" t="s">
        <v>2023</v>
      </c>
      <c r="H2818" s="69" t="s">
        <v>52</v>
      </c>
      <c r="I2818" s="69" t="s">
        <v>2024</v>
      </c>
      <c r="J2818" s="69" t="s">
        <v>55</v>
      </c>
      <c r="K2818" s="69" t="s">
        <v>2029</v>
      </c>
      <c r="M2818" s="69" t="s">
        <v>6</v>
      </c>
    </row>
    <row r="2819" spans="2:13">
      <c r="B2819" s="69">
        <v>2817</v>
      </c>
      <c r="C2819" s="69">
        <v>243</v>
      </c>
      <c r="D2819" s="69">
        <v>20</v>
      </c>
      <c r="E2819" s="69">
        <v>12</v>
      </c>
      <c r="F2819" s="69">
        <v>0</v>
      </c>
      <c r="G2819" s="69" t="s">
        <v>2023</v>
      </c>
      <c r="H2819" s="69" t="s">
        <v>52</v>
      </c>
      <c r="I2819" s="69" t="s">
        <v>2024</v>
      </c>
      <c r="J2819" s="69" t="s">
        <v>55</v>
      </c>
      <c r="K2819" s="69" t="s">
        <v>2030</v>
      </c>
      <c r="M2819" s="69" t="s">
        <v>6</v>
      </c>
    </row>
    <row r="2820" spans="2:13">
      <c r="B2820" s="69">
        <v>2818</v>
      </c>
      <c r="C2820" s="69">
        <v>243</v>
      </c>
      <c r="D2820" s="69">
        <v>20</v>
      </c>
      <c r="E2820" s="69">
        <v>13</v>
      </c>
      <c r="F2820" s="69">
        <v>0</v>
      </c>
      <c r="G2820" s="69" t="s">
        <v>2023</v>
      </c>
      <c r="H2820" s="69" t="s">
        <v>52</v>
      </c>
      <c r="I2820" s="69" t="s">
        <v>2024</v>
      </c>
      <c r="J2820" s="69" t="s">
        <v>55</v>
      </c>
      <c r="K2820" s="69" t="s">
        <v>2031</v>
      </c>
      <c r="M2820" s="69" t="s">
        <v>6</v>
      </c>
    </row>
    <row r="2821" spans="2:13">
      <c r="B2821" s="69">
        <v>2819</v>
      </c>
      <c r="C2821" s="69">
        <v>243</v>
      </c>
      <c r="D2821" s="69">
        <v>20</v>
      </c>
      <c r="E2821" s="69">
        <v>14</v>
      </c>
      <c r="F2821" s="69">
        <v>0</v>
      </c>
      <c r="G2821" s="69" t="s">
        <v>2023</v>
      </c>
      <c r="H2821" s="69" t="s">
        <v>52</v>
      </c>
      <c r="I2821" s="69" t="s">
        <v>2024</v>
      </c>
      <c r="J2821" s="69" t="s">
        <v>437</v>
      </c>
      <c r="K2821" s="69" t="s">
        <v>438</v>
      </c>
      <c r="L2821" s="69" t="s">
        <v>439</v>
      </c>
      <c r="M2821" s="69" t="s">
        <v>6</v>
      </c>
    </row>
    <row r="2822" spans="2:13">
      <c r="B2822" s="69">
        <v>2820</v>
      </c>
      <c r="C2822" s="69">
        <v>243</v>
      </c>
      <c r="D2822" s="69">
        <v>20</v>
      </c>
      <c r="E2822" s="69">
        <v>15</v>
      </c>
      <c r="F2822" s="69">
        <v>0</v>
      </c>
      <c r="G2822" s="69" t="s">
        <v>2023</v>
      </c>
      <c r="H2822" s="69" t="s">
        <v>52</v>
      </c>
      <c r="I2822" s="69" t="s">
        <v>2024</v>
      </c>
      <c r="J2822" s="69" t="s">
        <v>64</v>
      </c>
      <c r="K2822" s="69" t="s">
        <v>440</v>
      </c>
      <c r="M2822" s="69" t="s">
        <v>6</v>
      </c>
    </row>
    <row r="2823" spans="2:13">
      <c r="B2823" s="69">
        <v>2821</v>
      </c>
      <c r="C2823" s="69">
        <v>243</v>
      </c>
      <c r="D2823" s="69">
        <v>20</v>
      </c>
      <c r="E2823" s="69">
        <v>16</v>
      </c>
      <c r="F2823" s="69">
        <v>0</v>
      </c>
      <c r="G2823" s="69" t="s">
        <v>2023</v>
      </c>
      <c r="H2823" s="69" t="s">
        <v>52</v>
      </c>
      <c r="I2823" s="69" t="s">
        <v>2024</v>
      </c>
      <c r="J2823" s="69" t="s">
        <v>55</v>
      </c>
      <c r="K2823" s="69" t="s">
        <v>2032</v>
      </c>
      <c r="M2823" s="69" t="s">
        <v>6</v>
      </c>
    </row>
    <row r="2824" spans="2:13">
      <c r="B2824" s="69">
        <v>2822</v>
      </c>
      <c r="C2824" s="69">
        <v>243</v>
      </c>
      <c r="D2824" s="69">
        <v>20</v>
      </c>
      <c r="E2824" s="69">
        <v>17</v>
      </c>
      <c r="F2824" s="69">
        <v>0</v>
      </c>
      <c r="G2824" s="69" t="s">
        <v>2023</v>
      </c>
      <c r="H2824" s="69" t="s">
        <v>52</v>
      </c>
      <c r="I2824" s="69" t="s">
        <v>2024</v>
      </c>
      <c r="J2824" s="69" t="s">
        <v>437</v>
      </c>
      <c r="K2824" s="69" t="s">
        <v>438</v>
      </c>
      <c r="L2824" s="69" t="s">
        <v>439</v>
      </c>
      <c r="M2824" s="69" t="s">
        <v>6</v>
      </c>
    </row>
    <row r="2825" spans="2:13">
      <c r="B2825" s="69">
        <v>2823</v>
      </c>
      <c r="C2825" s="69">
        <v>243</v>
      </c>
      <c r="D2825" s="69">
        <v>20</v>
      </c>
      <c r="E2825" s="69">
        <v>18</v>
      </c>
      <c r="F2825" s="69">
        <v>0</v>
      </c>
      <c r="G2825" s="69" t="s">
        <v>2023</v>
      </c>
      <c r="H2825" s="69" t="s">
        <v>52</v>
      </c>
      <c r="I2825" s="69" t="s">
        <v>2024</v>
      </c>
      <c r="J2825" s="69" t="s">
        <v>64</v>
      </c>
      <c r="K2825" s="69" t="s">
        <v>440</v>
      </c>
      <c r="M2825" s="69" t="s">
        <v>6</v>
      </c>
    </row>
    <row r="2826" spans="2:13">
      <c r="B2826" s="69">
        <v>2824</v>
      </c>
      <c r="C2826" s="69">
        <v>243</v>
      </c>
      <c r="D2826" s="69">
        <v>20</v>
      </c>
      <c r="E2826" s="69">
        <v>19</v>
      </c>
      <c r="F2826" s="69">
        <v>0</v>
      </c>
      <c r="G2826" s="69" t="s">
        <v>2023</v>
      </c>
      <c r="H2826" s="69" t="s">
        <v>52</v>
      </c>
      <c r="I2826" s="69" t="s">
        <v>2024</v>
      </c>
      <c r="J2826" s="69" t="s">
        <v>214</v>
      </c>
      <c r="K2826" s="69" t="s">
        <v>443</v>
      </c>
      <c r="M2826" s="69" t="s">
        <v>6</v>
      </c>
    </row>
    <row r="2827" spans="2:13">
      <c r="B2827" s="69">
        <v>2825</v>
      </c>
      <c r="C2827" s="69">
        <v>243</v>
      </c>
      <c r="D2827" s="69">
        <v>20</v>
      </c>
      <c r="E2827" s="69">
        <v>20</v>
      </c>
      <c r="F2827" s="69">
        <v>0</v>
      </c>
      <c r="G2827" s="69" t="s">
        <v>2023</v>
      </c>
      <c r="H2827" s="69" t="s">
        <v>52</v>
      </c>
      <c r="I2827" s="69" t="s">
        <v>2024</v>
      </c>
      <c r="J2827" s="69" t="s">
        <v>55</v>
      </c>
      <c r="K2827" s="69" t="s">
        <v>442</v>
      </c>
      <c r="M2827" s="69" t="s">
        <v>6</v>
      </c>
    </row>
    <row r="2828" spans="2:13">
      <c r="B2828" s="69">
        <v>2826</v>
      </c>
      <c r="C2828" s="69">
        <v>244</v>
      </c>
      <c r="D2828" s="69">
        <v>28</v>
      </c>
      <c r="E2828" s="69">
        <v>0</v>
      </c>
      <c r="F2828" s="69">
        <v>0</v>
      </c>
      <c r="G2828" s="69" t="s">
        <v>2023</v>
      </c>
      <c r="H2828" s="69" t="s">
        <v>52</v>
      </c>
      <c r="I2828" s="69" t="s">
        <v>2033</v>
      </c>
      <c r="J2828" s="69" t="s">
        <v>478</v>
      </c>
      <c r="K2828" s="69" t="s">
        <v>2033</v>
      </c>
      <c r="M2828" s="69" t="s">
        <v>6</v>
      </c>
    </row>
    <row r="2829" spans="2:13">
      <c r="B2829" s="69">
        <v>2827</v>
      </c>
      <c r="C2829" s="69">
        <v>244</v>
      </c>
      <c r="D2829" s="69">
        <v>28</v>
      </c>
      <c r="E2829" s="69">
        <v>1</v>
      </c>
      <c r="F2829" s="69">
        <v>0</v>
      </c>
      <c r="G2829" s="69" t="s">
        <v>2023</v>
      </c>
      <c r="H2829" s="69" t="s">
        <v>52</v>
      </c>
      <c r="I2829" s="69" t="s">
        <v>2033</v>
      </c>
      <c r="J2829" s="69" t="s">
        <v>479</v>
      </c>
      <c r="K2829" s="69" t="s">
        <v>2034</v>
      </c>
      <c r="M2829" s="69" t="s">
        <v>6</v>
      </c>
    </row>
    <row r="2830" spans="2:13">
      <c r="B2830" s="69">
        <v>2828</v>
      </c>
      <c r="C2830" s="69">
        <v>244</v>
      </c>
      <c r="D2830" s="69">
        <v>28</v>
      </c>
      <c r="E2830" s="69">
        <v>2</v>
      </c>
      <c r="F2830" s="69">
        <v>0</v>
      </c>
      <c r="G2830" s="69" t="s">
        <v>2023</v>
      </c>
      <c r="H2830" s="69" t="s">
        <v>52</v>
      </c>
      <c r="I2830" s="69" t="s">
        <v>2033</v>
      </c>
      <c r="J2830" s="69" t="s">
        <v>55</v>
      </c>
      <c r="K2830" s="69" t="s">
        <v>429</v>
      </c>
      <c r="M2830" s="69" t="s">
        <v>6</v>
      </c>
    </row>
    <row r="2831" spans="2:13">
      <c r="B2831" s="69">
        <v>2829</v>
      </c>
      <c r="C2831" s="69">
        <v>244</v>
      </c>
      <c r="D2831" s="69">
        <v>28</v>
      </c>
      <c r="E2831" s="69">
        <v>3</v>
      </c>
      <c r="F2831" s="69">
        <v>0</v>
      </c>
      <c r="G2831" s="69" t="s">
        <v>2023</v>
      </c>
      <c r="H2831" s="69" t="s">
        <v>52</v>
      </c>
      <c r="I2831" s="69" t="s">
        <v>2033</v>
      </c>
      <c r="J2831" s="69" t="s">
        <v>55</v>
      </c>
      <c r="K2831" s="69" t="s">
        <v>430</v>
      </c>
      <c r="M2831" s="69" t="s">
        <v>6</v>
      </c>
    </row>
    <row r="2832" spans="2:13">
      <c r="B2832" s="69">
        <v>2830</v>
      </c>
      <c r="C2832" s="69">
        <v>244</v>
      </c>
      <c r="D2832" s="69">
        <v>28</v>
      </c>
      <c r="E2832" s="69">
        <v>4</v>
      </c>
      <c r="F2832" s="69">
        <v>0</v>
      </c>
      <c r="G2832" s="69" t="s">
        <v>2023</v>
      </c>
      <c r="H2832" s="69" t="s">
        <v>52</v>
      </c>
      <c r="I2832" s="69" t="s">
        <v>2033</v>
      </c>
      <c r="J2832" s="69" t="s">
        <v>55</v>
      </c>
      <c r="K2832" s="69" t="s">
        <v>2035</v>
      </c>
      <c r="M2832" s="69" t="s">
        <v>6</v>
      </c>
    </row>
    <row r="2833" spans="2:13">
      <c r="B2833" s="69">
        <v>2831</v>
      </c>
      <c r="C2833" s="69">
        <v>244</v>
      </c>
      <c r="D2833" s="69">
        <v>28</v>
      </c>
      <c r="E2833" s="69">
        <v>5</v>
      </c>
      <c r="F2833" s="69">
        <v>0</v>
      </c>
      <c r="G2833" s="69" t="s">
        <v>2023</v>
      </c>
      <c r="H2833" s="69" t="s">
        <v>52</v>
      </c>
      <c r="I2833" s="69" t="s">
        <v>2033</v>
      </c>
      <c r="J2833" s="69" t="s">
        <v>214</v>
      </c>
      <c r="K2833" s="69" t="s">
        <v>2036</v>
      </c>
      <c r="M2833" s="69" t="s">
        <v>6</v>
      </c>
    </row>
    <row r="2834" spans="2:13">
      <c r="B2834" s="69">
        <v>2832</v>
      </c>
      <c r="C2834" s="69">
        <v>244</v>
      </c>
      <c r="D2834" s="69">
        <v>28</v>
      </c>
      <c r="E2834" s="69">
        <v>6</v>
      </c>
      <c r="F2834" s="69">
        <v>0</v>
      </c>
      <c r="G2834" s="69" t="s">
        <v>2023</v>
      </c>
      <c r="H2834" s="69" t="s">
        <v>52</v>
      </c>
      <c r="I2834" s="69" t="s">
        <v>2033</v>
      </c>
      <c r="J2834" s="69" t="s">
        <v>214</v>
      </c>
      <c r="K2834" s="69" t="s">
        <v>1618</v>
      </c>
      <c r="M2834" s="69" t="s">
        <v>6</v>
      </c>
    </row>
    <row r="2835" spans="2:13">
      <c r="B2835" s="69">
        <v>2833</v>
      </c>
      <c r="C2835" s="69">
        <v>244</v>
      </c>
      <c r="D2835" s="69">
        <v>28</v>
      </c>
      <c r="E2835" s="69">
        <v>7</v>
      </c>
      <c r="F2835" s="69">
        <v>0</v>
      </c>
      <c r="G2835" s="69" t="s">
        <v>2023</v>
      </c>
      <c r="H2835" s="69" t="s">
        <v>52</v>
      </c>
      <c r="I2835" s="69" t="s">
        <v>2033</v>
      </c>
      <c r="J2835" s="69" t="s">
        <v>214</v>
      </c>
      <c r="K2835" s="69" t="s">
        <v>1619</v>
      </c>
      <c r="M2835" s="69" t="s">
        <v>6</v>
      </c>
    </row>
    <row r="2836" spans="2:13">
      <c r="B2836" s="69">
        <v>2834</v>
      </c>
      <c r="C2836" s="69">
        <v>244</v>
      </c>
      <c r="D2836" s="69">
        <v>28</v>
      </c>
      <c r="E2836" s="69">
        <v>8</v>
      </c>
      <c r="F2836" s="69">
        <v>0</v>
      </c>
      <c r="G2836" s="69" t="s">
        <v>2023</v>
      </c>
      <c r="H2836" s="69" t="s">
        <v>52</v>
      </c>
      <c r="I2836" s="69" t="s">
        <v>2033</v>
      </c>
      <c r="J2836" s="69" t="s">
        <v>214</v>
      </c>
      <c r="K2836" s="69" t="s">
        <v>1620</v>
      </c>
      <c r="M2836" s="69" t="s">
        <v>6</v>
      </c>
    </row>
    <row r="2837" spans="2:13">
      <c r="B2837" s="69">
        <v>2835</v>
      </c>
      <c r="C2837" s="69">
        <v>244</v>
      </c>
      <c r="D2837" s="69">
        <v>28</v>
      </c>
      <c r="E2837" s="69">
        <v>9</v>
      </c>
      <c r="F2837" s="69">
        <v>0</v>
      </c>
      <c r="G2837" s="69" t="s">
        <v>2023</v>
      </c>
      <c r="H2837" s="69" t="s">
        <v>52</v>
      </c>
      <c r="I2837" s="69" t="s">
        <v>2033</v>
      </c>
      <c r="J2837" s="69" t="s">
        <v>214</v>
      </c>
      <c r="K2837" s="69" t="s">
        <v>443</v>
      </c>
      <c r="M2837" s="69" t="s">
        <v>6</v>
      </c>
    </row>
    <row r="2838" spans="2:13">
      <c r="B2838" s="69">
        <v>2836</v>
      </c>
      <c r="C2838" s="69">
        <v>244</v>
      </c>
      <c r="D2838" s="69">
        <v>28</v>
      </c>
      <c r="E2838" s="69">
        <v>10</v>
      </c>
      <c r="F2838" s="69">
        <v>0</v>
      </c>
      <c r="G2838" s="69" t="s">
        <v>2023</v>
      </c>
      <c r="H2838" s="69" t="s">
        <v>52</v>
      </c>
      <c r="I2838" s="69" t="s">
        <v>2033</v>
      </c>
      <c r="J2838" s="69" t="s">
        <v>55</v>
      </c>
      <c r="K2838" s="69" t="s">
        <v>442</v>
      </c>
      <c r="M2838" s="69" t="s">
        <v>6</v>
      </c>
    </row>
    <row r="2839" spans="2:13">
      <c r="B2839" s="69">
        <v>2837</v>
      </c>
      <c r="C2839" s="69">
        <v>244</v>
      </c>
      <c r="D2839" s="69">
        <v>28</v>
      </c>
      <c r="E2839" s="69">
        <v>11</v>
      </c>
      <c r="F2839" s="69">
        <v>0</v>
      </c>
      <c r="G2839" s="69" t="s">
        <v>2023</v>
      </c>
      <c r="H2839" s="69" t="s">
        <v>52</v>
      </c>
      <c r="I2839" s="69" t="s">
        <v>2033</v>
      </c>
      <c r="J2839" s="69" t="s">
        <v>64</v>
      </c>
      <c r="K2839" s="69" t="s">
        <v>440</v>
      </c>
      <c r="M2839" s="69" t="s">
        <v>6</v>
      </c>
    </row>
    <row r="2840" spans="2:13">
      <c r="B2840" s="69">
        <v>2838</v>
      </c>
      <c r="C2840" s="69">
        <v>244</v>
      </c>
      <c r="D2840" s="69">
        <v>28</v>
      </c>
      <c r="E2840" s="69">
        <v>12</v>
      </c>
      <c r="F2840" s="69">
        <v>0</v>
      </c>
      <c r="G2840" s="69" t="s">
        <v>2023</v>
      </c>
      <c r="H2840" s="69" t="s">
        <v>52</v>
      </c>
      <c r="I2840" s="69" t="s">
        <v>2033</v>
      </c>
      <c r="J2840" s="69" t="s">
        <v>479</v>
      </c>
      <c r="K2840" s="69" t="s">
        <v>2037</v>
      </c>
      <c r="M2840" s="69" t="s">
        <v>6</v>
      </c>
    </row>
    <row r="2841" spans="2:13">
      <c r="B2841" s="69">
        <v>2839</v>
      </c>
      <c r="C2841" s="69">
        <v>244</v>
      </c>
      <c r="D2841" s="69">
        <v>28</v>
      </c>
      <c r="E2841" s="69">
        <v>13</v>
      </c>
      <c r="F2841" s="69">
        <v>0</v>
      </c>
      <c r="G2841" s="69" t="s">
        <v>2023</v>
      </c>
      <c r="H2841" s="69" t="s">
        <v>52</v>
      </c>
      <c r="I2841" s="69" t="s">
        <v>2033</v>
      </c>
      <c r="J2841" s="69" t="s">
        <v>55</v>
      </c>
      <c r="K2841" s="69" t="s">
        <v>429</v>
      </c>
      <c r="M2841" s="69" t="s">
        <v>6</v>
      </c>
    </row>
    <row r="2842" spans="2:13">
      <c r="B2842" s="69">
        <v>2840</v>
      </c>
      <c r="C2842" s="69">
        <v>244</v>
      </c>
      <c r="D2842" s="69">
        <v>28</v>
      </c>
      <c r="E2842" s="69">
        <v>14</v>
      </c>
      <c r="F2842" s="69">
        <v>0</v>
      </c>
      <c r="G2842" s="69" t="s">
        <v>2023</v>
      </c>
      <c r="H2842" s="69" t="s">
        <v>52</v>
      </c>
      <c r="I2842" s="69" t="s">
        <v>2033</v>
      </c>
      <c r="J2842" s="69" t="s">
        <v>55</v>
      </c>
      <c r="K2842" s="69" t="s">
        <v>430</v>
      </c>
      <c r="M2842" s="69" t="s">
        <v>6</v>
      </c>
    </row>
    <row r="2843" spans="2:13">
      <c r="B2843" s="69">
        <v>2841</v>
      </c>
      <c r="C2843" s="69">
        <v>244</v>
      </c>
      <c r="D2843" s="69">
        <v>28</v>
      </c>
      <c r="E2843" s="69">
        <v>15</v>
      </c>
      <c r="F2843" s="69">
        <v>0</v>
      </c>
      <c r="G2843" s="69" t="s">
        <v>2023</v>
      </c>
      <c r="H2843" s="69" t="s">
        <v>52</v>
      </c>
      <c r="I2843" s="69" t="s">
        <v>2033</v>
      </c>
      <c r="J2843" s="69" t="s">
        <v>55</v>
      </c>
      <c r="K2843" s="69" t="s">
        <v>2038</v>
      </c>
      <c r="M2843" s="69" t="s">
        <v>6</v>
      </c>
    </row>
    <row r="2844" spans="2:13">
      <c r="B2844" s="69">
        <v>2842</v>
      </c>
      <c r="C2844" s="69">
        <v>244</v>
      </c>
      <c r="D2844" s="69">
        <v>28</v>
      </c>
      <c r="E2844" s="69">
        <v>16</v>
      </c>
      <c r="F2844" s="69">
        <v>0</v>
      </c>
      <c r="G2844" s="69" t="s">
        <v>2023</v>
      </c>
      <c r="H2844" s="69" t="s">
        <v>52</v>
      </c>
      <c r="I2844" s="69" t="s">
        <v>2033</v>
      </c>
      <c r="J2844" s="69" t="s">
        <v>437</v>
      </c>
      <c r="K2844" s="69" t="s">
        <v>2039</v>
      </c>
      <c r="L2844" s="69" t="s">
        <v>2040</v>
      </c>
      <c r="M2844" s="69" t="s">
        <v>6</v>
      </c>
    </row>
    <row r="2845" spans="2:13">
      <c r="B2845" s="69">
        <v>2843</v>
      </c>
      <c r="C2845" s="69">
        <v>244</v>
      </c>
      <c r="D2845" s="69">
        <v>28</v>
      </c>
      <c r="E2845" s="69">
        <v>17</v>
      </c>
      <c r="F2845" s="69">
        <v>0</v>
      </c>
      <c r="G2845" s="69" t="s">
        <v>2023</v>
      </c>
      <c r="H2845" s="69" t="s">
        <v>52</v>
      </c>
      <c r="I2845" s="69" t="s">
        <v>2033</v>
      </c>
      <c r="J2845" s="69" t="s">
        <v>437</v>
      </c>
      <c r="K2845" s="69" t="s">
        <v>2041</v>
      </c>
      <c r="L2845" s="69" t="s">
        <v>2040</v>
      </c>
      <c r="M2845" s="69" t="s">
        <v>6</v>
      </c>
    </row>
    <row r="2846" spans="2:13">
      <c r="B2846" s="69">
        <v>2844</v>
      </c>
      <c r="C2846" s="69">
        <v>244</v>
      </c>
      <c r="D2846" s="69">
        <v>28</v>
      </c>
      <c r="E2846" s="69">
        <v>18</v>
      </c>
      <c r="F2846" s="69">
        <v>0</v>
      </c>
      <c r="G2846" s="69" t="s">
        <v>2023</v>
      </c>
      <c r="H2846" s="69" t="s">
        <v>52</v>
      </c>
      <c r="I2846" s="69" t="s">
        <v>2033</v>
      </c>
      <c r="J2846" s="69" t="s">
        <v>437</v>
      </c>
      <c r="K2846" s="69" t="s">
        <v>2042</v>
      </c>
      <c r="L2846" s="69" t="s">
        <v>2040</v>
      </c>
      <c r="M2846" s="69" t="s">
        <v>6</v>
      </c>
    </row>
    <row r="2847" spans="2:13">
      <c r="B2847" s="69">
        <v>2845</v>
      </c>
      <c r="C2847" s="69">
        <v>244</v>
      </c>
      <c r="D2847" s="69">
        <v>28</v>
      </c>
      <c r="E2847" s="69">
        <v>19</v>
      </c>
      <c r="F2847" s="69">
        <v>0</v>
      </c>
      <c r="G2847" s="69" t="s">
        <v>2023</v>
      </c>
      <c r="H2847" s="69" t="s">
        <v>52</v>
      </c>
      <c r="I2847" s="69" t="s">
        <v>2033</v>
      </c>
      <c r="J2847" s="69" t="s">
        <v>437</v>
      </c>
      <c r="K2847" s="69" t="s">
        <v>2043</v>
      </c>
      <c r="L2847" s="69" t="s">
        <v>2040</v>
      </c>
      <c r="M2847" s="69" t="s">
        <v>6</v>
      </c>
    </row>
    <row r="2848" spans="2:13">
      <c r="B2848" s="69">
        <v>2846</v>
      </c>
      <c r="C2848" s="69">
        <v>244</v>
      </c>
      <c r="D2848" s="69">
        <v>28</v>
      </c>
      <c r="E2848" s="69">
        <v>20</v>
      </c>
      <c r="F2848" s="69">
        <v>0</v>
      </c>
      <c r="G2848" s="69" t="s">
        <v>2023</v>
      </c>
      <c r="H2848" s="69" t="s">
        <v>52</v>
      </c>
      <c r="I2848" s="69" t="s">
        <v>2033</v>
      </c>
      <c r="J2848" s="69" t="s">
        <v>437</v>
      </c>
      <c r="K2848" s="69" t="s">
        <v>2044</v>
      </c>
      <c r="L2848" s="69" t="s">
        <v>2040</v>
      </c>
      <c r="M2848" s="69" t="s">
        <v>6</v>
      </c>
    </row>
    <row r="2849" spans="2:13">
      <c r="B2849" s="69">
        <v>2847</v>
      </c>
      <c r="C2849" s="69">
        <v>244</v>
      </c>
      <c r="D2849" s="69">
        <v>28</v>
      </c>
      <c r="E2849" s="69">
        <v>21</v>
      </c>
      <c r="F2849" s="69">
        <v>0</v>
      </c>
      <c r="G2849" s="69" t="s">
        <v>2023</v>
      </c>
      <c r="H2849" s="69" t="s">
        <v>52</v>
      </c>
      <c r="I2849" s="69" t="s">
        <v>2033</v>
      </c>
      <c r="J2849" s="69" t="s">
        <v>55</v>
      </c>
      <c r="K2849" s="69" t="s">
        <v>2045</v>
      </c>
      <c r="M2849" s="69" t="s">
        <v>6</v>
      </c>
    </row>
    <row r="2850" spans="2:13">
      <c r="B2850" s="69">
        <v>2848</v>
      </c>
      <c r="C2850" s="69">
        <v>244</v>
      </c>
      <c r="D2850" s="69">
        <v>28</v>
      </c>
      <c r="E2850" s="69">
        <v>22</v>
      </c>
      <c r="F2850" s="69">
        <v>0</v>
      </c>
      <c r="G2850" s="69" t="s">
        <v>2023</v>
      </c>
      <c r="H2850" s="69" t="s">
        <v>52</v>
      </c>
      <c r="I2850" s="69" t="s">
        <v>2033</v>
      </c>
      <c r="J2850" s="69" t="s">
        <v>437</v>
      </c>
      <c r="K2850" s="69" t="s">
        <v>438</v>
      </c>
      <c r="L2850" s="69" t="s">
        <v>439</v>
      </c>
      <c r="M2850" s="69" t="s">
        <v>6</v>
      </c>
    </row>
    <row r="2851" spans="2:13">
      <c r="B2851" s="69">
        <v>2849</v>
      </c>
      <c r="C2851" s="69">
        <v>244</v>
      </c>
      <c r="D2851" s="69">
        <v>28</v>
      </c>
      <c r="E2851" s="69">
        <v>23</v>
      </c>
      <c r="F2851" s="69">
        <v>0</v>
      </c>
      <c r="G2851" s="69" t="s">
        <v>2023</v>
      </c>
      <c r="H2851" s="69" t="s">
        <v>52</v>
      </c>
      <c r="I2851" s="69" t="s">
        <v>2033</v>
      </c>
      <c r="J2851" s="69" t="s">
        <v>214</v>
      </c>
      <c r="K2851" s="69" t="s">
        <v>2046</v>
      </c>
      <c r="M2851" s="69" t="s">
        <v>6</v>
      </c>
    </row>
    <row r="2852" spans="2:13">
      <c r="B2852" s="69">
        <v>2850</v>
      </c>
      <c r="C2852" s="69">
        <v>244</v>
      </c>
      <c r="D2852" s="69">
        <v>28</v>
      </c>
      <c r="E2852" s="69">
        <v>24</v>
      </c>
      <c r="F2852" s="69">
        <v>0</v>
      </c>
      <c r="G2852" s="69" t="s">
        <v>2023</v>
      </c>
      <c r="H2852" s="69" t="s">
        <v>52</v>
      </c>
      <c r="I2852" s="69" t="s">
        <v>2033</v>
      </c>
      <c r="J2852" s="69" t="s">
        <v>64</v>
      </c>
      <c r="K2852" s="69" t="s">
        <v>440</v>
      </c>
      <c r="M2852" s="69" t="s">
        <v>6</v>
      </c>
    </row>
    <row r="2853" spans="2:13">
      <c r="B2853" s="69">
        <v>2851</v>
      </c>
      <c r="C2853" s="69">
        <v>244</v>
      </c>
      <c r="D2853" s="69">
        <v>28</v>
      </c>
      <c r="E2853" s="69">
        <v>25</v>
      </c>
      <c r="F2853" s="69">
        <v>0</v>
      </c>
      <c r="G2853" s="69" t="s">
        <v>2023</v>
      </c>
      <c r="H2853" s="69" t="s">
        <v>52</v>
      </c>
      <c r="I2853" s="69" t="s">
        <v>2033</v>
      </c>
      <c r="J2853" s="69" t="s">
        <v>479</v>
      </c>
      <c r="K2853" s="69" t="s">
        <v>2047</v>
      </c>
      <c r="M2853" s="69" t="s">
        <v>6</v>
      </c>
    </row>
    <row r="2854" spans="2:13">
      <c r="B2854" s="69">
        <v>2852</v>
      </c>
      <c r="C2854" s="69">
        <v>244</v>
      </c>
      <c r="D2854" s="69">
        <v>28</v>
      </c>
      <c r="E2854" s="69">
        <v>26</v>
      </c>
      <c r="F2854" s="69">
        <v>0</v>
      </c>
      <c r="G2854" s="69" t="s">
        <v>2023</v>
      </c>
      <c r="H2854" s="69" t="s">
        <v>52</v>
      </c>
      <c r="I2854" s="69" t="s">
        <v>2033</v>
      </c>
      <c r="J2854" s="69" t="s">
        <v>55</v>
      </c>
      <c r="K2854" s="69" t="s">
        <v>1581</v>
      </c>
      <c r="M2854" s="69" t="s">
        <v>6</v>
      </c>
    </row>
    <row r="2855" spans="2:13">
      <c r="B2855" s="69">
        <v>2853</v>
      </c>
      <c r="C2855" s="69">
        <v>244</v>
      </c>
      <c r="D2855" s="69">
        <v>28</v>
      </c>
      <c r="E2855" s="69">
        <v>27</v>
      </c>
      <c r="F2855" s="69">
        <v>0</v>
      </c>
      <c r="G2855" s="69" t="s">
        <v>2023</v>
      </c>
      <c r="H2855" s="69" t="s">
        <v>52</v>
      </c>
      <c r="I2855" s="69" t="s">
        <v>2033</v>
      </c>
      <c r="J2855" s="69" t="s">
        <v>55</v>
      </c>
      <c r="K2855" s="69" t="s">
        <v>1582</v>
      </c>
      <c r="M2855" s="69" t="s">
        <v>6</v>
      </c>
    </row>
    <row r="2856" spans="2:13">
      <c r="B2856" s="69">
        <v>2854</v>
      </c>
      <c r="C2856" s="69">
        <v>244</v>
      </c>
      <c r="D2856" s="69">
        <v>28</v>
      </c>
      <c r="E2856" s="69">
        <v>28</v>
      </c>
      <c r="F2856" s="69">
        <v>0</v>
      </c>
      <c r="G2856" s="69" t="s">
        <v>2023</v>
      </c>
      <c r="H2856" s="69" t="s">
        <v>52</v>
      </c>
      <c r="I2856" s="69" t="s">
        <v>2033</v>
      </c>
      <c r="J2856" s="69" t="s">
        <v>55</v>
      </c>
      <c r="K2856" s="69" t="s">
        <v>1583</v>
      </c>
      <c r="M2856" s="69" t="s">
        <v>6</v>
      </c>
    </row>
    <row r="2857" spans="2:13">
      <c r="B2857" s="69">
        <v>2855</v>
      </c>
      <c r="C2857" s="69">
        <v>245</v>
      </c>
      <c r="D2857" s="69">
        <v>60</v>
      </c>
      <c r="E2857" s="69">
        <v>0</v>
      </c>
      <c r="F2857" s="69">
        <v>0</v>
      </c>
      <c r="G2857" s="69" t="s">
        <v>2023</v>
      </c>
      <c r="H2857" s="69" t="s">
        <v>52</v>
      </c>
      <c r="I2857" s="69" t="s">
        <v>2048</v>
      </c>
      <c r="J2857" s="69" t="s">
        <v>478</v>
      </c>
      <c r="K2857" s="69" t="s">
        <v>2048</v>
      </c>
      <c r="M2857" s="69" t="s">
        <v>6</v>
      </c>
    </row>
    <row r="2858" spans="2:13">
      <c r="B2858" s="69">
        <v>2856</v>
      </c>
      <c r="C2858" s="69">
        <v>245</v>
      </c>
      <c r="D2858" s="69">
        <v>60</v>
      </c>
      <c r="E2858" s="69">
        <v>1</v>
      </c>
      <c r="F2858" s="69">
        <v>0</v>
      </c>
      <c r="G2858" s="69" t="s">
        <v>2023</v>
      </c>
      <c r="H2858" s="69" t="s">
        <v>52</v>
      </c>
      <c r="I2858" s="69" t="s">
        <v>2048</v>
      </c>
      <c r="J2858" s="69" t="s">
        <v>479</v>
      </c>
      <c r="K2858" s="69" t="s">
        <v>2049</v>
      </c>
      <c r="M2858" s="69" t="s">
        <v>6</v>
      </c>
    </row>
    <row r="2859" spans="2:13">
      <c r="B2859" s="69">
        <v>2857</v>
      </c>
      <c r="C2859" s="69">
        <v>245</v>
      </c>
      <c r="D2859" s="69">
        <v>60</v>
      </c>
      <c r="E2859" s="69">
        <v>2</v>
      </c>
      <c r="F2859" s="69">
        <v>0</v>
      </c>
      <c r="G2859" s="69" t="s">
        <v>2023</v>
      </c>
      <c r="H2859" s="69" t="s">
        <v>52</v>
      </c>
      <c r="I2859" s="69" t="s">
        <v>2048</v>
      </c>
      <c r="J2859" s="69" t="s">
        <v>55</v>
      </c>
      <c r="K2859" s="69" t="s">
        <v>2025</v>
      </c>
      <c r="M2859" s="69" t="s">
        <v>6</v>
      </c>
    </row>
    <row r="2860" spans="2:13">
      <c r="B2860" s="69">
        <v>2858</v>
      </c>
      <c r="C2860" s="69">
        <v>245</v>
      </c>
      <c r="D2860" s="69">
        <v>60</v>
      </c>
      <c r="E2860" s="69">
        <v>3</v>
      </c>
      <c r="F2860" s="69">
        <v>0</v>
      </c>
      <c r="G2860" s="69" t="s">
        <v>2023</v>
      </c>
      <c r="H2860" s="69" t="s">
        <v>52</v>
      </c>
      <c r="I2860" s="69" t="s">
        <v>2048</v>
      </c>
      <c r="J2860" s="69" t="s">
        <v>55</v>
      </c>
      <c r="K2860" s="69" t="s">
        <v>2050</v>
      </c>
      <c r="M2860" s="69" t="s">
        <v>6</v>
      </c>
    </row>
    <row r="2861" spans="2:13">
      <c r="B2861" s="69">
        <v>2859</v>
      </c>
      <c r="C2861" s="69">
        <v>245</v>
      </c>
      <c r="D2861" s="69">
        <v>60</v>
      </c>
      <c r="E2861" s="69">
        <v>4</v>
      </c>
      <c r="F2861" s="69">
        <v>0</v>
      </c>
      <c r="G2861" s="69" t="s">
        <v>2023</v>
      </c>
      <c r="H2861" s="69" t="s">
        <v>52</v>
      </c>
      <c r="I2861" s="69" t="s">
        <v>2048</v>
      </c>
      <c r="J2861" s="69" t="s">
        <v>55</v>
      </c>
      <c r="K2861" s="69" t="s">
        <v>2051</v>
      </c>
      <c r="M2861" s="69" t="s">
        <v>6</v>
      </c>
    </row>
    <row r="2862" spans="2:13">
      <c r="B2862" s="69">
        <v>2860</v>
      </c>
      <c r="C2862" s="69">
        <v>245</v>
      </c>
      <c r="D2862" s="69">
        <v>60</v>
      </c>
      <c r="E2862" s="69">
        <v>5</v>
      </c>
      <c r="F2862" s="69">
        <v>0</v>
      </c>
      <c r="G2862" s="69" t="s">
        <v>2023</v>
      </c>
      <c r="H2862" s="69" t="s">
        <v>52</v>
      </c>
      <c r="I2862" s="69" t="s">
        <v>2048</v>
      </c>
      <c r="J2862" s="69" t="s">
        <v>437</v>
      </c>
      <c r="K2862" s="69" t="s">
        <v>438</v>
      </c>
      <c r="L2862" s="69" t="s">
        <v>439</v>
      </c>
      <c r="M2862" s="69" t="s">
        <v>6</v>
      </c>
    </row>
    <row r="2863" spans="2:13">
      <c r="B2863" s="69">
        <v>2861</v>
      </c>
      <c r="C2863" s="69">
        <v>245</v>
      </c>
      <c r="D2863" s="69">
        <v>60</v>
      </c>
      <c r="E2863" s="69">
        <v>6</v>
      </c>
      <c r="F2863" s="69">
        <v>0</v>
      </c>
      <c r="G2863" s="69" t="s">
        <v>2023</v>
      </c>
      <c r="H2863" s="69" t="s">
        <v>52</v>
      </c>
      <c r="I2863" s="69" t="s">
        <v>2048</v>
      </c>
      <c r="J2863" s="69" t="s">
        <v>214</v>
      </c>
      <c r="K2863" s="69" t="s">
        <v>443</v>
      </c>
      <c r="M2863" s="69" t="s">
        <v>6</v>
      </c>
    </row>
    <row r="2864" spans="2:13">
      <c r="B2864" s="69">
        <v>2862</v>
      </c>
      <c r="C2864" s="69">
        <v>245</v>
      </c>
      <c r="D2864" s="69">
        <v>60</v>
      </c>
      <c r="E2864" s="69">
        <v>7</v>
      </c>
      <c r="F2864" s="69">
        <v>0</v>
      </c>
      <c r="G2864" s="69" t="s">
        <v>2023</v>
      </c>
      <c r="H2864" s="69" t="s">
        <v>52</v>
      </c>
      <c r="I2864" s="69" t="s">
        <v>2048</v>
      </c>
      <c r="J2864" s="69" t="s">
        <v>55</v>
      </c>
      <c r="K2864" s="69" t="s">
        <v>442</v>
      </c>
      <c r="M2864" s="69" t="s">
        <v>6</v>
      </c>
    </row>
    <row r="2865" spans="2:13">
      <c r="B2865" s="69">
        <v>2863</v>
      </c>
      <c r="C2865" s="69">
        <v>245</v>
      </c>
      <c r="D2865" s="69">
        <v>60</v>
      </c>
      <c r="E2865" s="69">
        <v>8</v>
      </c>
      <c r="F2865" s="69">
        <v>0</v>
      </c>
      <c r="G2865" s="69" t="s">
        <v>2023</v>
      </c>
      <c r="H2865" s="69" t="s">
        <v>52</v>
      </c>
      <c r="I2865" s="69" t="s">
        <v>2048</v>
      </c>
      <c r="J2865" s="69" t="s">
        <v>479</v>
      </c>
      <c r="K2865" s="69" t="s">
        <v>2052</v>
      </c>
      <c r="M2865" s="69" t="s">
        <v>6</v>
      </c>
    </row>
    <row r="2866" spans="2:13">
      <c r="B2866" s="69">
        <v>2864</v>
      </c>
      <c r="C2866" s="69">
        <v>245</v>
      </c>
      <c r="D2866" s="69">
        <v>60</v>
      </c>
      <c r="E2866" s="69">
        <v>9</v>
      </c>
      <c r="F2866" s="69">
        <v>0</v>
      </c>
      <c r="G2866" s="69" t="s">
        <v>2023</v>
      </c>
      <c r="H2866" s="69" t="s">
        <v>52</v>
      </c>
      <c r="I2866" s="69" t="s">
        <v>2048</v>
      </c>
      <c r="J2866" s="69" t="s">
        <v>55</v>
      </c>
      <c r="K2866" s="69" t="s">
        <v>2025</v>
      </c>
      <c r="M2866" s="69" t="s">
        <v>6</v>
      </c>
    </row>
    <row r="2867" spans="2:13">
      <c r="B2867" s="69">
        <v>2865</v>
      </c>
      <c r="C2867" s="69">
        <v>245</v>
      </c>
      <c r="D2867" s="69">
        <v>60</v>
      </c>
      <c r="E2867" s="69">
        <v>10</v>
      </c>
      <c r="F2867" s="69">
        <v>0</v>
      </c>
      <c r="G2867" s="69" t="s">
        <v>2023</v>
      </c>
      <c r="H2867" s="69" t="s">
        <v>52</v>
      </c>
      <c r="I2867" s="69" t="s">
        <v>2048</v>
      </c>
      <c r="J2867" s="69" t="s">
        <v>55</v>
      </c>
      <c r="K2867" s="69" t="s">
        <v>2053</v>
      </c>
      <c r="M2867" s="69" t="s">
        <v>6</v>
      </c>
    </row>
    <row r="2868" spans="2:13">
      <c r="B2868" s="69">
        <v>2866</v>
      </c>
      <c r="C2868" s="69">
        <v>245</v>
      </c>
      <c r="D2868" s="69">
        <v>60</v>
      </c>
      <c r="E2868" s="69">
        <v>11</v>
      </c>
      <c r="F2868" s="69">
        <v>0</v>
      </c>
      <c r="G2868" s="69" t="s">
        <v>2023</v>
      </c>
      <c r="H2868" s="69" t="s">
        <v>52</v>
      </c>
      <c r="I2868" s="69" t="s">
        <v>2048</v>
      </c>
      <c r="J2868" s="69" t="s">
        <v>55</v>
      </c>
      <c r="K2868" s="69" t="s">
        <v>2054</v>
      </c>
      <c r="M2868" s="69" t="s">
        <v>6</v>
      </c>
    </row>
    <row r="2869" spans="2:13">
      <c r="B2869" s="69">
        <v>2867</v>
      </c>
      <c r="C2869" s="69">
        <v>245</v>
      </c>
      <c r="D2869" s="69">
        <v>60</v>
      </c>
      <c r="E2869" s="69">
        <v>12</v>
      </c>
      <c r="F2869" s="69">
        <v>0</v>
      </c>
      <c r="G2869" s="69" t="s">
        <v>2023</v>
      </c>
      <c r="H2869" s="69" t="s">
        <v>52</v>
      </c>
      <c r="I2869" s="69" t="s">
        <v>2048</v>
      </c>
      <c r="J2869" s="69" t="s">
        <v>55</v>
      </c>
      <c r="K2869" s="69" t="s">
        <v>2055</v>
      </c>
      <c r="M2869" s="69" t="s">
        <v>6</v>
      </c>
    </row>
    <row r="2870" spans="2:13">
      <c r="B2870" s="69">
        <v>2868</v>
      </c>
      <c r="C2870" s="69">
        <v>245</v>
      </c>
      <c r="D2870" s="69">
        <v>60</v>
      </c>
      <c r="E2870" s="69">
        <v>13</v>
      </c>
      <c r="F2870" s="69">
        <v>0</v>
      </c>
      <c r="G2870" s="69" t="s">
        <v>2023</v>
      </c>
      <c r="H2870" s="69" t="s">
        <v>52</v>
      </c>
      <c r="I2870" s="69" t="s">
        <v>2048</v>
      </c>
      <c r="J2870" s="69" t="s">
        <v>55</v>
      </c>
      <c r="K2870" s="69" t="s">
        <v>2056</v>
      </c>
      <c r="M2870" s="69" t="s">
        <v>6</v>
      </c>
    </row>
    <row r="2871" spans="2:13">
      <c r="B2871" s="69">
        <v>2869</v>
      </c>
      <c r="C2871" s="69">
        <v>245</v>
      </c>
      <c r="D2871" s="69">
        <v>60</v>
      </c>
      <c r="E2871" s="69">
        <v>14</v>
      </c>
      <c r="F2871" s="69">
        <v>0</v>
      </c>
      <c r="G2871" s="69" t="s">
        <v>2023</v>
      </c>
      <c r="H2871" s="69" t="s">
        <v>52</v>
      </c>
      <c r="I2871" s="69" t="s">
        <v>2048</v>
      </c>
      <c r="J2871" s="69" t="s">
        <v>437</v>
      </c>
      <c r="K2871" s="69" t="s">
        <v>438</v>
      </c>
      <c r="L2871" s="69" t="s">
        <v>439</v>
      </c>
      <c r="M2871" s="69" t="s">
        <v>6</v>
      </c>
    </row>
    <row r="2872" spans="2:13">
      <c r="B2872" s="69">
        <v>2870</v>
      </c>
      <c r="C2872" s="69">
        <v>245</v>
      </c>
      <c r="D2872" s="69">
        <v>60</v>
      </c>
      <c r="E2872" s="69">
        <v>15</v>
      </c>
      <c r="F2872" s="69">
        <v>0</v>
      </c>
      <c r="G2872" s="69" t="s">
        <v>2023</v>
      </c>
      <c r="H2872" s="69" t="s">
        <v>52</v>
      </c>
      <c r="I2872" s="69" t="s">
        <v>2048</v>
      </c>
      <c r="J2872" s="69" t="s">
        <v>214</v>
      </c>
      <c r="K2872" s="69" t="s">
        <v>443</v>
      </c>
      <c r="M2872" s="69" t="s">
        <v>6</v>
      </c>
    </row>
    <row r="2873" spans="2:13">
      <c r="B2873" s="69">
        <v>2871</v>
      </c>
      <c r="C2873" s="69">
        <v>245</v>
      </c>
      <c r="D2873" s="69">
        <v>60</v>
      </c>
      <c r="E2873" s="69">
        <v>16</v>
      </c>
      <c r="F2873" s="69">
        <v>0</v>
      </c>
      <c r="G2873" s="69" t="s">
        <v>2023</v>
      </c>
      <c r="H2873" s="69" t="s">
        <v>52</v>
      </c>
      <c r="I2873" s="69" t="s">
        <v>2048</v>
      </c>
      <c r="J2873" s="69" t="s">
        <v>55</v>
      </c>
      <c r="K2873" s="69" t="s">
        <v>442</v>
      </c>
      <c r="M2873" s="69" t="s">
        <v>6</v>
      </c>
    </row>
    <row r="2874" spans="2:13">
      <c r="B2874" s="69">
        <v>2872</v>
      </c>
      <c r="C2874" s="69">
        <v>245</v>
      </c>
      <c r="D2874" s="69">
        <v>60</v>
      </c>
      <c r="E2874" s="69">
        <v>17</v>
      </c>
      <c r="F2874" s="69">
        <v>0</v>
      </c>
      <c r="G2874" s="69" t="s">
        <v>2023</v>
      </c>
      <c r="H2874" s="69" t="s">
        <v>52</v>
      </c>
      <c r="I2874" s="69" t="s">
        <v>2048</v>
      </c>
      <c r="J2874" s="69" t="s">
        <v>479</v>
      </c>
      <c r="K2874" s="69" t="s">
        <v>22</v>
      </c>
      <c r="M2874" s="69" t="s">
        <v>6</v>
      </c>
    </row>
    <row r="2875" spans="2:13">
      <c r="B2875" s="69">
        <v>2873</v>
      </c>
      <c r="C2875" s="69">
        <v>245</v>
      </c>
      <c r="D2875" s="69">
        <v>60</v>
      </c>
      <c r="E2875" s="69">
        <v>18</v>
      </c>
      <c r="F2875" s="69">
        <v>0</v>
      </c>
      <c r="G2875" s="69" t="s">
        <v>2023</v>
      </c>
      <c r="H2875" s="69" t="s">
        <v>52</v>
      </c>
      <c r="I2875" s="69" t="s">
        <v>2048</v>
      </c>
      <c r="J2875" s="69" t="s">
        <v>55</v>
      </c>
      <c r="K2875" s="69" t="s">
        <v>2025</v>
      </c>
      <c r="M2875" s="69" t="s">
        <v>6</v>
      </c>
    </row>
    <row r="2876" spans="2:13">
      <c r="B2876" s="69">
        <v>2874</v>
      </c>
      <c r="C2876" s="69">
        <v>245</v>
      </c>
      <c r="D2876" s="69">
        <v>60</v>
      </c>
      <c r="E2876" s="69">
        <v>19</v>
      </c>
      <c r="F2876" s="69">
        <v>0</v>
      </c>
      <c r="G2876" s="69" t="s">
        <v>2023</v>
      </c>
      <c r="H2876" s="69" t="s">
        <v>52</v>
      </c>
      <c r="I2876" s="69" t="s">
        <v>2048</v>
      </c>
      <c r="J2876" s="69" t="s">
        <v>55</v>
      </c>
      <c r="K2876" s="69" t="s">
        <v>2057</v>
      </c>
      <c r="M2876" s="69" t="s">
        <v>6</v>
      </c>
    </row>
    <row r="2877" spans="2:13">
      <c r="B2877" s="69">
        <v>2875</v>
      </c>
      <c r="C2877" s="69">
        <v>245</v>
      </c>
      <c r="D2877" s="69">
        <v>60</v>
      </c>
      <c r="E2877" s="69">
        <v>20</v>
      </c>
      <c r="F2877" s="69">
        <v>0</v>
      </c>
      <c r="G2877" s="69" t="s">
        <v>2023</v>
      </c>
      <c r="H2877" s="69" t="s">
        <v>52</v>
      </c>
      <c r="I2877" s="69" t="s">
        <v>2048</v>
      </c>
      <c r="J2877" s="69" t="s">
        <v>55</v>
      </c>
      <c r="K2877" s="69" t="s">
        <v>2058</v>
      </c>
      <c r="M2877" s="69" t="s">
        <v>6</v>
      </c>
    </row>
    <row r="2878" spans="2:13">
      <c r="B2878" s="69">
        <v>2876</v>
      </c>
      <c r="C2878" s="69">
        <v>245</v>
      </c>
      <c r="D2878" s="69">
        <v>60</v>
      </c>
      <c r="E2878" s="69">
        <v>21</v>
      </c>
      <c r="F2878" s="69">
        <v>0</v>
      </c>
      <c r="G2878" s="69" t="s">
        <v>2023</v>
      </c>
      <c r="H2878" s="69" t="s">
        <v>52</v>
      </c>
      <c r="I2878" s="69" t="s">
        <v>2048</v>
      </c>
      <c r="J2878" s="69" t="s">
        <v>55</v>
      </c>
      <c r="K2878" s="69" t="s">
        <v>2059</v>
      </c>
      <c r="M2878" s="69" t="s">
        <v>6</v>
      </c>
    </row>
    <row r="2879" spans="2:13">
      <c r="B2879" s="69">
        <v>2877</v>
      </c>
      <c r="C2879" s="69">
        <v>245</v>
      </c>
      <c r="D2879" s="69">
        <v>60</v>
      </c>
      <c r="E2879" s="69">
        <v>22</v>
      </c>
      <c r="F2879" s="69">
        <v>0</v>
      </c>
      <c r="G2879" s="69" t="s">
        <v>2023</v>
      </c>
      <c r="H2879" s="69" t="s">
        <v>52</v>
      </c>
      <c r="I2879" s="69" t="s">
        <v>2048</v>
      </c>
      <c r="J2879" s="69" t="s">
        <v>55</v>
      </c>
      <c r="K2879" s="69" t="s">
        <v>2060</v>
      </c>
      <c r="M2879" s="69" t="s">
        <v>6</v>
      </c>
    </row>
    <row r="2880" spans="2:13">
      <c r="B2880" s="69">
        <v>2878</v>
      </c>
      <c r="C2880" s="69">
        <v>245</v>
      </c>
      <c r="D2880" s="69">
        <v>60</v>
      </c>
      <c r="E2880" s="69">
        <v>23</v>
      </c>
      <c r="F2880" s="69">
        <v>0</v>
      </c>
      <c r="G2880" s="69" t="s">
        <v>2023</v>
      </c>
      <c r="H2880" s="69" t="s">
        <v>52</v>
      </c>
      <c r="I2880" s="69" t="s">
        <v>2048</v>
      </c>
      <c r="J2880" s="69" t="s">
        <v>55</v>
      </c>
      <c r="K2880" s="69" t="s">
        <v>2061</v>
      </c>
      <c r="M2880" s="69" t="s">
        <v>6</v>
      </c>
    </row>
    <row r="2881" spans="2:13">
      <c r="B2881" s="69">
        <v>2879</v>
      </c>
      <c r="C2881" s="69">
        <v>245</v>
      </c>
      <c r="D2881" s="69">
        <v>60</v>
      </c>
      <c r="E2881" s="69">
        <v>24</v>
      </c>
      <c r="F2881" s="69">
        <v>0</v>
      </c>
      <c r="G2881" s="69" t="s">
        <v>2023</v>
      </c>
      <c r="H2881" s="69" t="s">
        <v>52</v>
      </c>
      <c r="I2881" s="69" t="s">
        <v>2048</v>
      </c>
      <c r="J2881" s="69" t="s">
        <v>55</v>
      </c>
      <c r="K2881" s="69" t="s">
        <v>2062</v>
      </c>
      <c r="M2881" s="69" t="s">
        <v>6</v>
      </c>
    </row>
    <row r="2882" spans="2:13">
      <c r="B2882" s="69">
        <v>2880</v>
      </c>
      <c r="C2882" s="69">
        <v>245</v>
      </c>
      <c r="D2882" s="69">
        <v>60</v>
      </c>
      <c r="E2882" s="69">
        <v>25</v>
      </c>
      <c r="F2882" s="69">
        <v>0</v>
      </c>
      <c r="G2882" s="69" t="s">
        <v>2023</v>
      </c>
      <c r="H2882" s="69" t="s">
        <v>52</v>
      </c>
      <c r="I2882" s="69" t="s">
        <v>2048</v>
      </c>
      <c r="J2882" s="69" t="s">
        <v>55</v>
      </c>
      <c r="K2882" s="69" t="s">
        <v>2063</v>
      </c>
      <c r="M2882" s="69" t="s">
        <v>6</v>
      </c>
    </row>
    <row r="2883" spans="2:13">
      <c r="B2883" s="69">
        <v>2881</v>
      </c>
      <c r="C2883" s="69">
        <v>245</v>
      </c>
      <c r="D2883" s="69">
        <v>60</v>
      </c>
      <c r="E2883" s="69">
        <v>26</v>
      </c>
      <c r="F2883" s="69">
        <v>0</v>
      </c>
      <c r="G2883" s="69" t="s">
        <v>2023</v>
      </c>
      <c r="H2883" s="69" t="s">
        <v>52</v>
      </c>
      <c r="I2883" s="69" t="s">
        <v>2048</v>
      </c>
      <c r="J2883" s="69" t="s">
        <v>55</v>
      </c>
      <c r="K2883" s="69" t="s">
        <v>2064</v>
      </c>
      <c r="M2883" s="69" t="s">
        <v>6</v>
      </c>
    </row>
    <row r="2884" spans="2:13">
      <c r="B2884" s="69">
        <v>2882</v>
      </c>
      <c r="C2884" s="69">
        <v>245</v>
      </c>
      <c r="D2884" s="69">
        <v>60</v>
      </c>
      <c r="E2884" s="69">
        <v>27</v>
      </c>
      <c r="F2884" s="69">
        <v>0</v>
      </c>
      <c r="G2884" s="69" t="s">
        <v>2023</v>
      </c>
      <c r="H2884" s="69" t="s">
        <v>52</v>
      </c>
      <c r="I2884" s="69" t="s">
        <v>2048</v>
      </c>
      <c r="J2884" s="69" t="s">
        <v>437</v>
      </c>
      <c r="K2884" s="69" t="s">
        <v>438</v>
      </c>
      <c r="L2884" s="69" t="s">
        <v>439</v>
      </c>
      <c r="M2884" s="69" t="s">
        <v>6</v>
      </c>
    </row>
    <row r="2885" spans="2:13">
      <c r="B2885" s="69">
        <v>2883</v>
      </c>
      <c r="C2885" s="69">
        <v>245</v>
      </c>
      <c r="D2885" s="69">
        <v>60</v>
      </c>
      <c r="E2885" s="69">
        <v>28</v>
      </c>
      <c r="F2885" s="69">
        <v>0</v>
      </c>
      <c r="G2885" s="69" t="s">
        <v>2023</v>
      </c>
      <c r="H2885" s="69" t="s">
        <v>52</v>
      </c>
      <c r="I2885" s="69" t="s">
        <v>2048</v>
      </c>
      <c r="J2885" s="69" t="s">
        <v>55</v>
      </c>
      <c r="K2885" s="69" t="s">
        <v>2065</v>
      </c>
      <c r="M2885" s="69" t="s">
        <v>6</v>
      </c>
    </row>
    <row r="2886" spans="2:13">
      <c r="B2886" s="69">
        <v>2884</v>
      </c>
      <c r="C2886" s="69">
        <v>245</v>
      </c>
      <c r="D2886" s="69">
        <v>60</v>
      </c>
      <c r="E2886" s="69">
        <v>29</v>
      </c>
      <c r="F2886" s="69">
        <v>0</v>
      </c>
      <c r="G2886" s="69" t="s">
        <v>2023</v>
      </c>
      <c r="H2886" s="69" t="s">
        <v>52</v>
      </c>
      <c r="I2886" s="69" t="s">
        <v>2048</v>
      </c>
      <c r="J2886" s="69" t="s">
        <v>437</v>
      </c>
      <c r="K2886" s="69" t="s">
        <v>438</v>
      </c>
      <c r="L2886" s="69" t="s">
        <v>439</v>
      </c>
      <c r="M2886" s="69" t="s">
        <v>6</v>
      </c>
    </row>
    <row r="2887" spans="2:13">
      <c r="B2887" s="69">
        <v>2885</v>
      </c>
      <c r="C2887" s="69">
        <v>245</v>
      </c>
      <c r="D2887" s="69">
        <v>60</v>
      </c>
      <c r="E2887" s="69">
        <v>30</v>
      </c>
      <c r="F2887" s="69">
        <v>0</v>
      </c>
      <c r="G2887" s="69" t="s">
        <v>2023</v>
      </c>
      <c r="H2887" s="69" t="s">
        <v>52</v>
      </c>
      <c r="I2887" s="69" t="s">
        <v>2048</v>
      </c>
      <c r="J2887" s="69" t="s">
        <v>214</v>
      </c>
      <c r="K2887" s="69" t="s">
        <v>2066</v>
      </c>
      <c r="M2887" s="69" t="s">
        <v>6</v>
      </c>
    </row>
    <row r="2888" spans="2:13">
      <c r="B2888" s="69">
        <v>2886</v>
      </c>
      <c r="C2888" s="69">
        <v>245</v>
      </c>
      <c r="D2888" s="69">
        <v>60</v>
      </c>
      <c r="E2888" s="69">
        <v>31</v>
      </c>
      <c r="F2888" s="69">
        <v>0</v>
      </c>
      <c r="G2888" s="69" t="s">
        <v>2023</v>
      </c>
      <c r="H2888" s="69" t="s">
        <v>52</v>
      </c>
      <c r="I2888" s="69" t="s">
        <v>2048</v>
      </c>
      <c r="J2888" s="69" t="s">
        <v>437</v>
      </c>
      <c r="K2888" s="69" t="s">
        <v>2067</v>
      </c>
      <c r="L2888" s="69" t="s">
        <v>2040</v>
      </c>
      <c r="M2888" s="69" t="s">
        <v>6</v>
      </c>
    </row>
    <row r="2889" spans="2:13">
      <c r="B2889" s="69">
        <v>2887</v>
      </c>
      <c r="C2889" s="69">
        <v>245</v>
      </c>
      <c r="D2889" s="69">
        <v>60</v>
      </c>
      <c r="E2889" s="69">
        <v>32</v>
      </c>
      <c r="F2889" s="69">
        <v>0</v>
      </c>
      <c r="G2889" s="69" t="s">
        <v>2023</v>
      </c>
      <c r="H2889" s="69" t="s">
        <v>52</v>
      </c>
      <c r="I2889" s="69" t="s">
        <v>2048</v>
      </c>
      <c r="J2889" s="69" t="s">
        <v>437</v>
      </c>
      <c r="K2889" s="69" t="s">
        <v>2068</v>
      </c>
      <c r="L2889" s="69" t="s">
        <v>2040</v>
      </c>
      <c r="M2889" s="69" t="s">
        <v>6</v>
      </c>
    </row>
    <row r="2890" spans="2:13">
      <c r="B2890" s="69">
        <v>2888</v>
      </c>
      <c r="C2890" s="69">
        <v>245</v>
      </c>
      <c r="D2890" s="69">
        <v>60</v>
      </c>
      <c r="E2890" s="69">
        <v>33</v>
      </c>
      <c r="F2890" s="69">
        <v>0</v>
      </c>
      <c r="G2890" s="69" t="s">
        <v>2023</v>
      </c>
      <c r="H2890" s="69" t="s">
        <v>52</v>
      </c>
      <c r="I2890" s="69" t="s">
        <v>2048</v>
      </c>
      <c r="J2890" s="69" t="s">
        <v>214</v>
      </c>
      <c r="K2890" s="69" t="s">
        <v>443</v>
      </c>
      <c r="M2890" s="69" t="s">
        <v>6</v>
      </c>
    </row>
    <row r="2891" spans="2:13">
      <c r="B2891" s="69">
        <v>2889</v>
      </c>
      <c r="C2891" s="69">
        <v>245</v>
      </c>
      <c r="D2891" s="69">
        <v>60</v>
      </c>
      <c r="E2891" s="69">
        <v>34</v>
      </c>
      <c r="F2891" s="69">
        <v>0</v>
      </c>
      <c r="G2891" s="69" t="s">
        <v>2023</v>
      </c>
      <c r="H2891" s="69" t="s">
        <v>52</v>
      </c>
      <c r="I2891" s="69" t="s">
        <v>2048</v>
      </c>
      <c r="J2891" s="69" t="s">
        <v>55</v>
      </c>
      <c r="K2891" s="69" t="s">
        <v>442</v>
      </c>
      <c r="M2891" s="69" t="s">
        <v>6</v>
      </c>
    </row>
    <row r="2892" spans="2:13">
      <c r="B2892" s="69">
        <v>2890</v>
      </c>
      <c r="C2892" s="69">
        <v>245</v>
      </c>
      <c r="D2892" s="69">
        <v>60</v>
      </c>
      <c r="E2892" s="69">
        <v>35</v>
      </c>
      <c r="F2892" s="69">
        <v>0</v>
      </c>
      <c r="G2892" s="69" t="s">
        <v>2023</v>
      </c>
      <c r="H2892" s="69" t="s">
        <v>52</v>
      </c>
      <c r="I2892" s="69" t="s">
        <v>2048</v>
      </c>
      <c r="J2892" s="69" t="s">
        <v>479</v>
      </c>
      <c r="K2892" s="69" t="s">
        <v>1242</v>
      </c>
      <c r="M2892" s="69" t="s">
        <v>6</v>
      </c>
    </row>
    <row r="2893" spans="2:13">
      <c r="B2893" s="69">
        <v>2891</v>
      </c>
      <c r="C2893" s="69">
        <v>245</v>
      </c>
      <c r="D2893" s="69">
        <v>60</v>
      </c>
      <c r="E2893" s="69">
        <v>36</v>
      </c>
      <c r="F2893" s="69">
        <v>0</v>
      </c>
      <c r="G2893" s="69" t="s">
        <v>2023</v>
      </c>
      <c r="H2893" s="69" t="s">
        <v>52</v>
      </c>
      <c r="I2893" s="69" t="s">
        <v>2048</v>
      </c>
      <c r="J2893" s="69" t="s">
        <v>55</v>
      </c>
      <c r="K2893" s="69" t="s">
        <v>2025</v>
      </c>
      <c r="M2893" s="69" t="s">
        <v>6</v>
      </c>
    </row>
    <row r="2894" spans="2:13">
      <c r="B2894" s="69">
        <v>2892</v>
      </c>
      <c r="C2894" s="69">
        <v>245</v>
      </c>
      <c r="D2894" s="69">
        <v>60</v>
      </c>
      <c r="E2894" s="69">
        <v>37</v>
      </c>
      <c r="F2894" s="69">
        <v>0</v>
      </c>
      <c r="G2894" s="69" t="s">
        <v>2023</v>
      </c>
      <c r="H2894" s="69" t="s">
        <v>52</v>
      </c>
      <c r="I2894" s="69" t="s">
        <v>2048</v>
      </c>
      <c r="J2894" s="69" t="s">
        <v>55</v>
      </c>
      <c r="K2894" s="69" t="s">
        <v>2069</v>
      </c>
      <c r="M2894" s="69" t="s">
        <v>6</v>
      </c>
    </row>
    <row r="2895" spans="2:13">
      <c r="B2895" s="69">
        <v>2893</v>
      </c>
      <c r="C2895" s="69">
        <v>245</v>
      </c>
      <c r="D2895" s="69">
        <v>60</v>
      </c>
      <c r="E2895" s="69">
        <v>38</v>
      </c>
      <c r="F2895" s="69">
        <v>0</v>
      </c>
      <c r="G2895" s="69" t="s">
        <v>2023</v>
      </c>
      <c r="H2895" s="69" t="s">
        <v>52</v>
      </c>
      <c r="I2895" s="69" t="s">
        <v>2048</v>
      </c>
      <c r="J2895" s="69" t="s">
        <v>437</v>
      </c>
      <c r="K2895" s="69" t="s">
        <v>1246</v>
      </c>
      <c r="L2895" s="69" t="s">
        <v>2040</v>
      </c>
      <c r="M2895" s="69" t="s">
        <v>6</v>
      </c>
    </row>
    <row r="2896" spans="2:13">
      <c r="B2896" s="69">
        <v>2894</v>
      </c>
      <c r="C2896" s="69">
        <v>245</v>
      </c>
      <c r="D2896" s="69">
        <v>60</v>
      </c>
      <c r="E2896" s="69">
        <v>39</v>
      </c>
      <c r="F2896" s="69">
        <v>0</v>
      </c>
      <c r="G2896" s="69" t="s">
        <v>2023</v>
      </c>
      <c r="H2896" s="69" t="s">
        <v>52</v>
      </c>
      <c r="I2896" s="69" t="s">
        <v>2048</v>
      </c>
      <c r="J2896" s="69" t="s">
        <v>55</v>
      </c>
      <c r="K2896" s="69" t="s">
        <v>2070</v>
      </c>
      <c r="M2896" s="69" t="s">
        <v>6</v>
      </c>
    </row>
    <row r="2897" spans="2:13">
      <c r="B2897" s="69">
        <v>2895</v>
      </c>
      <c r="C2897" s="69">
        <v>245</v>
      </c>
      <c r="D2897" s="69">
        <v>60</v>
      </c>
      <c r="E2897" s="69">
        <v>40</v>
      </c>
      <c r="F2897" s="69">
        <v>0</v>
      </c>
      <c r="G2897" s="69" t="s">
        <v>2023</v>
      </c>
      <c r="H2897" s="69" t="s">
        <v>52</v>
      </c>
      <c r="I2897" s="69" t="s">
        <v>2048</v>
      </c>
      <c r="J2897" s="69" t="s">
        <v>55</v>
      </c>
      <c r="K2897" s="69" t="s">
        <v>1248</v>
      </c>
      <c r="M2897" s="69" t="s">
        <v>6</v>
      </c>
    </row>
    <row r="2898" spans="2:13">
      <c r="B2898" s="69">
        <v>2896</v>
      </c>
      <c r="C2898" s="69">
        <v>245</v>
      </c>
      <c r="D2898" s="69">
        <v>60</v>
      </c>
      <c r="E2898" s="69">
        <v>41</v>
      </c>
      <c r="F2898" s="69">
        <v>0</v>
      </c>
      <c r="G2898" s="69" t="s">
        <v>2023</v>
      </c>
      <c r="H2898" s="69" t="s">
        <v>52</v>
      </c>
      <c r="I2898" s="69" t="s">
        <v>2048</v>
      </c>
      <c r="J2898" s="69" t="s">
        <v>55</v>
      </c>
      <c r="K2898" s="69" t="s">
        <v>1249</v>
      </c>
      <c r="M2898" s="69" t="s">
        <v>6</v>
      </c>
    </row>
    <row r="2899" spans="2:13">
      <c r="B2899" s="69">
        <v>2897</v>
      </c>
      <c r="C2899" s="69">
        <v>245</v>
      </c>
      <c r="D2899" s="69">
        <v>60</v>
      </c>
      <c r="E2899" s="69">
        <v>42</v>
      </c>
      <c r="F2899" s="69">
        <v>0</v>
      </c>
      <c r="G2899" s="69" t="s">
        <v>2023</v>
      </c>
      <c r="H2899" s="69" t="s">
        <v>52</v>
      </c>
      <c r="I2899" s="69" t="s">
        <v>2048</v>
      </c>
      <c r="J2899" s="69" t="s">
        <v>55</v>
      </c>
      <c r="K2899" s="69" t="s">
        <v>1255</v>
      </c>
      <c r="M2899" s="69" t="s">
        <v>6</v>
      </c>
    </row>
    <row r="2900" spans="2:13">
      <c r="B2900" s="69">
        <v>2898</v>
      </c>
      <c r="C2900" s="69">
        <v>245</v>
      </c>
      <c r="D2900" s="69">
        <v>60</v>
      </c>
      <c r="E2900" s="69">
        <v>43</v>
      </c>
      <c r="F2900" s="69">
        <v>0</v>
      </c>
      <c r="G2900" s="69" t="s">
        <v>2023</v>
      </c>
      <c r="H2900" s="69" t="s">
        <v>52</v>
      </c>
      <c r="I2900" s="69" t="s">
        <v>2048</v>
      </c>
      <c r="J2900" s="69" t="s">
        <v>55</v>
      </c>
      <c r="K2900" s="69" t="s">
        <v>1250</v>
      </c>
      <c r="M2900" s="69" t="s">
        <v>6</v>
      </c>
    </row>
    <row r="2901" spans="2:13">
      <c r="B2901" s="69">
        <v>2899</v>
      </c>
      <c r="C2901" s="69">
        <v>245</v>
      </c>
      <c r="D2901" s="69">
        <v>60</v>
      </c>
      <c r="E2901" s="69">
        <v>44</v>
      </c>
      <c r="F2901" s="69">
        <v>0</v>
      </c>
      <c r="G2901" s="69" t="s">
        <v>2023</v>
      </c>
      <c r="H2901" s="69" t="s">
        <v>52</v>
      </c>
      <c r="I2901" s="69" t="s">
        <v>2048</v>
      </c>
      <c r="J2901" s="69" t="s">
        <v>55</v>
      </c>
      <c r="K2901" s="69" t="s">
        <v>1251</v>
      </c>
      <c r="M2901" s="69" t="s">
        <v>6</v>
      </c>
    </row>
    <row r="2902" spans="2:13">
      <c r="B2902" s="69">
        <v>2900</v>
      </c>
      <c r="C2902" s="69">
        <v>245</v>
      </c>
      <c r="D2902" s="69">
        <v>60</v>
      </c>
      <c r="E2902" s="69">
        <v>45</v>
      </c>
      <c r="F2902" s="69">
        <v>0</v>
      </c>
      <c r="G2902" s="69" t="s">
        <v>2023</v>
      </c>
      <c r="H2902" s="69" t="s">
        <v>52</v>
      </c>
      <c r="I2902" s="69" t="s">
        <v>2048</v>
      </c>
      <c r="J2902" s="69" t="s">
        <v>55</v>
      </c>
      <c r="K2902" s="69" t="s">
        <v>1252</v>
      </c>
      <c r="M2902" s="69" t="s">
        <v>6</v>
      </c>
    </row>
    <row r="2903" spans="2:13">
      <c r="B2903" s="69">
        <v>2901</v>
      </c>
      <c r="C2903" s="69">
        <v>245</v>
      </c>
      <c r="D2903" s="69">
        <v>60</v>
      </c>
      <c r="E2903" s="69">
        <v>46</v>
      </c>
      <c r="F2903" s="69">
        <v>0</v>
      </c>
      <c r="G2903" s="69" t="s">
        <v>2023</v>
      </c>
      <c r="H2903" s="69" t="s">
        <v>52</v>
      </c>
      <c r="I2903" s="69" t="s">
        <v>2048</v>
      </c>
      <c r="J2903" s="69" t="s">
        <v>55</v>
      </c>
      <c r="K2903" s="69" t="s">
        <v>1253</v>
      </c>
      <c r="M2903" s="69" t="s">
        <v>6</v>
      </c>
    </row>
    <row r="2904" spans="2:13">
      <c r="B2904" s="69">
        <v>2902</v>
      </c>
      <c r="C2904" s="69">
        <v>245</v>
      </c>
      <c r="D2904" s="69">
        <v>60</v>
      </c>
      <c r="E2904" s="69">
        <v>47</v>
      </c>
      <c r="F2904" s="69">
        <v>0</v>
      </c>
      <c r="G2904" s="69" t="s">
        <v>2023</v>
      </c>
      <c r="H2904" s="69" t="s">
        <v>52</v>
      </c>
      <c r="I2904" s="69" t="s">
        <v>2048</v>
      </c>
      <c r="J2904" s="69" t="s">
        <v>55</v>
      </c>
      <c r="K2904" s="69" t="s">
        <v>1254</v>
      </c>
      <c r="M2904" s="69" t="s">
        <v>6</v>
      </c>
    </row>
    <row r="2905" spans="2:13">
      <c r="B2905" s="69">
        <v>2903</v>
      </c>
      <c r="C2905" s="69">
        <v>245</v>
      </c>
      <c r="D2905" s="69">
        <v>60</v>
      </c>
      <c r="E2905" s="69">
        <v>48</v>
      </c>
      <c r="F2905" s="69">
        <v>0</v>
      </c>
      <c r="G2905" s="69" t="s">
        <v>2023</v>
      </c>
      <c r="H2905" s="69" t="s">
        <v>52</v>
      </c>
      <c r="I2905" s="69" t="s">
        <v>2048</v>
      </c>
      <c r="J2905" s="69" t="s">
        <v>55</v>
      </c>
      <c r="K2905" s="69" t="s">
        <v>1256</v>
      </c>
      <c r="M2905" s="69" t="s">
        <v>6</v>
      </c>
    </row>
    <row r="2906" spans="2:13">
      <c r="B2906" s="69">
        <v>2904</v>
      </c>
      <c r="C2906" s="69">
        <v>245</v>
      </c>
      <c r="D2906" s="69">
        <v>60</v>
      </c>
      <c r="E2906" s="69">
        <v>49</v>
      </c>
      <c r="F2906" s="69">
        <v>0</v>
      </c>
      <c r="G2906" s="69" t="s">
        <v>2023</v>
      </c>
      <c r="H2906" s="69" t="s">
        <v>52</v>
      </c>
      <c r="I2906" s="69" t="s">
        <v>2048</v>
      </c>
      <c r="J2906" s="69" t="s">
        <v>55</v>
      </c>
      <c r="K2906" s="69" t="s">
        <v>1257</v>
      </c>
      <c r="M2906" s="69" t="s">
        <v>6</v>
      </c>
    </row>
    <row r="2907" spans="2:13">
      <c r="B2907" s="69">
        <v>2905</v>
      </c>
      <c r="C2907" s="69">
        <v>245</v>
      </c>
      <c r="D2907" s="69">
        <v>60</v>
      </c>
      <c r="E2907" s="69">
        <v>50</v>
      </c>
      <c r="F2907" s="69">
        <v>0</v>
      </c>
      <c r="G2907" s="69" t="s">
        <v>2023</v>
      </c>
      <c r="H2907" s="69" t="s">
        <v>52</v>
      </c>
      <c r="I2907" s="69" t="s">
        <v>2048</v>
      </c>
      <c r="J2907" s="69" t="s">
        <v>55</v>
      </c>
      <c r="K2907" s="69" t="s">
        <v>2071</v>
      </c>
      <c r="M2907" s="69" t="s">
        <v>6</v>
      </c>
    </row>
    <row r="2908" spans="2:13">
      <c r="B2908" s="69">
        <v>2906</v>
      </c>
      <c r="C2908" s="69">
        <v>245</v>
      </c>
      <c r="D2908" s="69">
        <v>60</v>
      </c>
      <c r="E2908" s="69">
        <v>51</v>
      </c>
      <c r="F2908" s="69">
        <v>0</v>
      </c>
      <c r="G2908" s="69" t="s">
        <v>2023</v>
      </c>
      <c r="H2908" s="69" t="s">
        <v>52</v>
      </c>
      <c r="I2908" s="69" t="s">
        <v>2048</v>
      </c>
      <c r="J2908" s="69" t="s">
        <v>437</v>
      </c>
      <c r="K2908" s="69" t="s">
        <v>438</v>
      </c>
      <c r="L2908" s="69" t="s">
        <v>439</v>
      </c>
      <c r="M2908" s="69" t="s">
        <v>6</v>
      </c>
    </row>
    <row r="2909" spans="2:13">
      <c r="B2909" s="69">
        <v>2907</v>
      </c>
      <c r="C2909" s="69">
        <v>245</v>
      </c>
      <c r="D2909" s="69">
        <v>60</v>
      </c>
      <c r="E2909" s="69">
        <v>52</v>
      </c>
      <c r="F2909" s="69">
        <v>0</v>
      </c>
      <c r="G2909" s="69" t="s">
        <v>2023</v>
      </c>
      <c r="H2909" s="69" t="s">
        <v>52</v>
      </c>
      <c r="I2909" s="69" t="s">
        <v>2048</v>
      </c>
      <c r="J2909" s="69" t="s">
        <v>55</v>
      </c>
      <c r="K2909" s="69" t="s">
        <v>2072</v>
      </c>
      <c r="M2909" s="69" t="s">
        <v>6</v>
      </c>
    </row>
    <row r="2910" spans="2:13">
      <c r="B2910" s="69">
        <v>2908</v>
      </c>
      <c r="C2910" s="69">
        <v>245</v>
      </c>
      <c r="D2910" s="69">
        <v>60</v>
      </c>
      <c r="E2910" s="69">
        <v>53</v>
      </c>
      <c r="F2910" s="69">
        <v>0</v>
      </c>
      <c r="G2910" s="69" t="s">
        <v>2023</v>
      </c>
      <c r="H2910" s="69" t="s">
        <v>52</v>
      </c>
      <c r="I2910" s="69" t="s">
        <v>2048</v>
      </c>
      <c r="J2910" s="69" t="s">
        <v>437</v>
      </c>
      <c r="K2910" s="69" t="s">
        <v>438</v>
      </c>
      <c r="L2910" s="69" t="s">
        <v>439</v>
      </c>
      <c r="M2910" s="69" t="s">
        <v>6</v>
      </c>
    </row>
    <row r="2911" spans="2:13">
      <c r="B2911" s="69">
        <v>2909</v>
      </c>
      <c r="C2911" s="69">
        <v>245</v>
      </c>
      <c r="D2911" s="69">
        <v>60</v>
      </c>
      <c r="E2911" s="69">
        <v>54</v>
      </c>
      <c r="F2911" s="69">
        <v>0</v>
      </c>
      <c r="G2911" s="69" t="s">
        <v>2023</v>
      </c>
      <c r="H2911" s="69" t="s">
        <v>52</v>
      </c>
      <c r="I2911" s="69" t="s">
        <v>2048</v>
      </c>
      <c r="J2911" s="69" t="s">
        <v>214</v>
      </c>
      <c r="K2911" s="69" t="s">
        <v>443</v>
      </c>
      <c r="M2911" s="69" t="s">
        <v>6</v>
      </c>
    </row>
    <row r="2912" spans="2:13">
      <c r="B2912" s="69">
        <v>2910</v>
      </c>
      <c r="C2912" s="69">
        <v>245</v>
      </c>
      <c r="D2912" s="69">
        <v>60</v>
      </c>
      <c r="E2912" s="69">
        <v>55</v>
      </c>
      <c r="F2912" s="69">
        <v>0</v>
      </c>
      <c r="G2912" s="69" t="s">
        <v>2023</v>
      </c>
      <c r="H2912" s="69" t="s">
        <v>52</v>
      </c>
      <c r="I2912" s="69" t="s">
        <v>2048</v>
      </c>
      <c r="J2912" s="69" t="s">
        <v>55</v>
      </c>
      <c r="K2912" s="69" t="s">
        <v>442</v>
      </c>
      <c r="M2912" s="69" t="s">
        <v>6</v>
      </c>
    </row>
    <row r="2913" spans="2:13">
      <c r="B2913" s="69">
        <v>2911</v>
      </c>
      <c r="C2913" s="69">
        <v>245</v>
      </c>
      <c r="D2913" s="69">
        <v>60</v>
      </c>
      <c r="E2913" s="69">
        <v>56</v>
      </c>
      <c r="F2913" s="69">
        <v>0</v>
      </c>
      <c r="G2913" s="69" t="s">
        <v>2023</v>
      </c>
      <c r="H2913" s="69" t="s">
        <v>52</v>
      </c>
      <c r="I2913" s="69" t="s">
        <v>2048</v>
      </c>
      <c r="J2913" s="69" t="s">
        <v>479</v>
      </c>
      <c r="K2913" s="69" t="s">
        <v>2073</v>
      </c>
      <c r="M2913" s="69" t="s">
        <v>6</v>
      </c>
    </row>
    <row r="2914" spans="2:13">
      <c r="B2914" s="69">
        <v>2912</v>
      </c>
      <c r="C2914" s="69">
        <v>245</v>
      </c>
      <c r="D2914" s="69">
        <v>60</v>
      </c>
      <c r="E2914" s="69">
        <v>57</v>
      </c>
      <c r="F2914" s="69">
        <v>0</v>
      </c>
      <c r="G2914" s="69" t="s">
        <v>2023</v>
      </c>
      <c r="H2914" s="69" t="s">
        <v>52</v>
      </c>
      <c r="I2914" s="69" t="s">
        <v>2048</v>
      </c>
      <c r="J2914" s="69" t="s">
        <v>55</v>
      </c>
      <c r="K2914" s="69" t="s">
        <v>2074</v>
      </c>
      <c r="M2914" s="69" t="s">
        <v>6</v>
      </c>
    </row>
    <row r="2915" spans="2:13">
      <c r="B2915" s="69">
        <v>2913</v>
      </c>
      <c r="C2915" s="69">
        <v>245</v>
      </c>
      <c r="D2915" s="69">
        <v>60</v>
      </c>
      <c r="E2915" s="69">
        <v>58</v>
      </c>
      <c r="F2915" s="69">
        <v>0</v>
      </c>
      <c r="G2915" s="69" t="s">
        <v>2023</v>
      </c>
      <c r="H2915" s="69" t="s">
        <v>52</v>
      </c>
      <c r="I2915" s="69" t="s">
        <v>2048</v>
      </c>
      <c r="J2915" s="69" t="s">
        <v>55</v>
      </c>
      <c r="K2915" s="69" t="s">
        <v>2075</v>
      </c>
      <c r="M2915" s="69" t="s">
        <v>6</v>
      </c>
    </row>
    <row r="2916" spans="2:13">
      <c r="B2916" s="69">
        <v>2914</v>
      </c>
      <c r="C2916" s="69">
        <v>245</v>
      </c>
      <c r="D2916" s="69">
        <v>60</v>
      </c>
      <c r="E2916" s="69">
        <v>59</v>
      </c>
      <c r="F2916" s="69">
        <v>0</v>
      </c>
      <c r="G2916" s="69" t="s">
        <v>2023</v>
      </c>
      <c r="H2916" s="69" t="s">
        <v>52</v>
      </c>
      <c r="I2916" s="69" t="s">
        <v>2048</v>
      </c>
      <c r="J2916" s="69" t="s">
        <v>55</v>
      </c>
      <c r="K2916" s="69" t="s">
        <v>2076</v>
      </c>
      <c r="M2916" s="69" t="s">
        <v>6</v>
      </c>
    </row>
    <row r="2917" spans="2:13">
      <c r="B2917" s="69">
        <v>2915</v>
      </c>
      <c r="C2917" s="69">
        <v>245</v>
      </c>
      <c r="D2917" s="69">
        <v>60</v>
      </c>
      <c r="E2917" s="69">
        <v>60</v>
      </c>
      <c r="F2917" s="69">
        <v>0</v>
      </c>
      <c r="G2917" s="69" t="s">
        <v>2023</v>
      </c>
      <c r="H2917" s="69" t="s">
        <v>52</v>
      </c>
      <c r="I2917" s="69" t="s">
        <v>2048</v>
      </c>
      <c r="J2917" s="69" t="s">
        <v>437</v>
      </c>
      <c r="K2917" s="69" t="s">
        <v>438</v>
      </c>
      <c r="L2917" s="69" t="s">
        <v>439</v>
      </c>
      <c r="M2917" s="69" t="s">
        <v>6</v>
      </c>
    </row>
    <row r="2918" spans="2:13">
      <c r="B2918" s="69">
        <v>2916</v>
      </c>
      <c r="C2918" s="69">
        <v>246</v>
      </c>
      <c r="D2918" s="69">
        <v>16</v>
      </c>
      <c r="E2918" s="69">
        <v>0</v>
      </c>
      <c r="F2918" s="69">
        <v>0</v>
      </c>
      <c r="G2918" s="69" t="s">
        <v>2023</v>
      </c>
      <c r="H2918" s="69" t="s">
        <v>52</v>
      </c>
      <c r="I2918" s="69" t="s">
        <v>2077</v>
      </c>
      <c r="J2918" s="69" t="s">
        <v>478</v>
      </c>
      <c r="K2918" s="69" t="s">
        <v>2077</v>
      </c>
      <c r="M2918" s="69" t="s">
        <v>6</v>
      </c>
    </row>
    <row r="2919" spans="2:13">
      <c r="B2919" s="69">
        <v>2917</v>
      </c>
      <c r="C2919" s="69">
        <v>246</v>
      </c>
      <c r="D2919" s="69">
        <v>16</v>
      </c>
      <c r="E2919" s="69">
        <v>1</v>
      </c>
      <c r="F2919" s="69">
        <v>0</v>
      </c>
      <c r="G2919" s="69" t="s">
        <v>2023</v>
      </c>
      <c r="H2919" s="69" t="s">
        <v>52</v>
      </c>
      <c r="I2919" s="69" t="s">
        <v>2077</v>
      </c>
      <c r="J2919" s="69" t="s">
        <v>55</v>
      </c>
      <c r="K2919" s="69" t="s">
        <v>429</v>
      </c>
      <c r="M2919" s="69" t="s">
        <v>6</v>
      </c>
    </row>
    <row r="2920" spans="2:13">
      <c r="B2920" s="69">
        <v>2918</v>
      </c>
      <c r="C2920" s="69">
        <v>246</v>
      </c>
      <c r="D2920" s="69">
        <v>16</v>
      </c>
      <c r="E2920" s="69">
        <v>2</v>
      </c>
      <c r="F2920" s="69">
        <v>0</v>
      </c>
      <c r="G2920" s="69" t="s">
        <v>2023</v>
      </c>
      <c r="H2920" s="69" t="s">
        <v>52</v>
      </c>
      <c r="I2920" s="69" t="s">
        <v>2077</v>
      </c>
      <c r="J2920" s="69" t="s">
        <v>55</v>
      </c>
      <c r="K2920" s="69" t="s">
        <v>902</v>
      </c>
      <c r="M2920" s="69" t="s">
        <v>6</v>
      </c>
    </row>
    <row r="2921" spans="2:13">
      <c r="B2921" s="69">
        <v>2919</v>
      </c>
      <c r="C2921" s="69">
        <v>246</v>
      </c>
      <c r="D2921" s="69">
        <v>16</v>
      </c>
      <c r="E2921" s="69">
        <v>3</v>
      </c>
      <c r="F2921" s="69">
        <v>0</v>
      </c>
      <c r="G2921" s="69" t="s">
        <v>2023</v>
      </c>
      <c r="H2921" s="69" t="s">
        <v>52</v>
      </c>
      <c r="I2921" s="69" t="s">
        <v>2077</v>
      </c>
      <c r="J2921" s="69" t="s">
        <v>55</v>
      </c>
      <c r="K2921" s="69" t="s">
        <v>903</v>
      </c>
      <c r="L2921" s="69" t="s">
        <v>2040</v>
      </c>
      <c r="M2921" s="69" t="s">
        <v>6</v>
      </c>
    </row>
    <row r="2922" spans="2:13">
      <c r="B2922" s="69">
        <v>2920</v>
      </c>
      <c r="C2922" s="69">
        <v>246</v>
      </c>
      <c r="D2922" s="69">
        <v>16</v>
      </c>
      <c r="E2922" s="69">
        <v>4</v>
      </c>
      <c r="F2922" s="69">
        <v>0</v>
      </c>
      <c r="G2922" s="69" t="s">
        <v>2023</v>
      </c>
      <c r="H2922" s="69" t="s">
        <v>52</v>
      </c>
      <c r="I2922" s="69" t="s">
        <v>2077</v>
      </c>
      <c r="J2922" s="69" t="s">
        <v>55</v>
      </c>
      <c r="K2922" s="69" t="s">
        <v>904</v>
      </c>
      <c r="L2922" s="69" t="s">
        <v>2040</v>
      </c>
      <c r="M2922" s="69" t="s">
        <v>6</v>
      </c>
    </row>
    <row r="2923" spans="2:13">
      <c r="B2923" s="69">
        <v>2921</v>
      </c>
      <c r="C2923" s="69">
        <v>246</v>
      </c>
      <c r="D2923" s="69">
        <v>16</v>
      </c>
      <c r="E2923" s="69">
        <v>5</v>
      </c>
      <c r="F2923" s="69">
        <v>0</v>
      </c>
      <c r="G2923" s="69" t="s">
        <v>2023</v>
      </c>
      <c r="H2923" s="69" t="s">
        <v>52</v>
      </c>
      <c r="I2923" s="69" t="s">
        <v>2077</v>
      </c>
      <c r="J2923" s="69" t="s">
        <v>55</v>
      </c>
      <c r="K2923" s="69" t="s">
        <v>905</v>
      </c>
      <c r="L2923" s="69" t="s">
        <v>2040</v>
      </c>
      <c r="M2923" s="69" t="s">
        <v>6</v>
      </c>
    </row>
    <row r="2924" spans="2:13">
      <c r="B2924" s="69">
        <v>2922</v>
      </c>
      <c r="C2924" s="69">
        <v>246</v>
      </c>
      <c r="D2924" s="69">
        <v>16</v>
      </c>
      <c r="E2924" s="69">
        <v>6</v>
      </c>
      <c r="F2924" s="69">
        <v>0</v>
      </c>
      <c r="G2924" s="69" t="s">
        <v>2023</v>
      </c>
      <c r="H2924" s="69" t="s">
        <v>52</v>
      </c>
      <c r="I2924" s="69" t="s">
        <v>2077</v>
      </c>
      <c r="J2924" s="69" t="s">
        <v>55</v>
      </c>
      <c r="K2924" s="69" t="s">
        <v>906</v>
      </c>
      <c r="L2924" s="69" t="s">
        <v>2040</v>
      </c>
      <c r="M2924" s="69" t="s">
        <v>6</v>
      </c>
    </row>
    <row r="2925" spans="2:13">
      <c r="B2925" s="69">
        <v>2923</v>
      </c>
      <c r="C2925" s="69">
        <v>246</v>
      </c>
      <c r="D2925" s="69">
        <v>16</v>
      </c>
      <c r="E2925" s="69">
        <v>7</v>
      </c>
      <c r="F2925" s="69">
        <v>0</v>
      </c>
      <c r="G2925" s="69" t="s">
        <v>2023</v>
      </c>
      <c r="H2925" s="69" t="s">
        <v>52</v>
      </c>
      <c r="I2925" s="69" t="s">
        <v>2077</v>
      </c>
      <c r="J2925" s="69" t="s">
        <v>55</v>
      </c>
      <c r="K2925" s="69" t="s">
        <v>907</v>
      </c>
      <c r="L2925" s="69" t="s">
        <v>2040</v>
      </c>
      <c r="M2925" s="69" t="s">
        <v>6</v>
      </c>
    </row>
    <row r="2926" spans="2:13">
      <c r="B2926" s="69">
        <v>2924</v>
      </c>
      <c r="C2926" s="69">
        <v>246</v>
      </c>
      <c r="D2926" s="69">
        <v>16</v>
      </c>
      <c r="E2926" s="69">
        <v>8</v>
      </c>
      <c r="F2926" s="69">
        <v>0</v>
      </c>
      <c r="G2926" s="69" t="s">
        <v>2023</v>
      </c>
      <c r="H2926" s="69" t="s">
        <v>52</v>
      </c>
      <c r="I2926" s="69" t="s">
        <v>2077</v>
      </c>
      <c r="J2926" s="69" t="s">
        <v>55</v>
      </c>
      <c r="K2926" s="69" t="s">
        <v>908</v>
      </c>
      <c r="L2926" s="69" t="s">
        <v>2040</v>
      </c>
      <c r="M2926" s="69" t="s">
        <v>6</v>
      </c>
    </row>
    <row r="2927" spans="2:13">
      <c r="B2927" s="69">
        <v>2925</v>
      </c>
      <c r="C2927" s="69">
        <v>246</v>
      </c>
      <c r="D2927" s="69">
        <v>16</v>
      </c>
      <c r="E2927" s="69">
        <v>9</v>
      </c>
      <c r="F2927" s="69">
        <v>0</v>
      </c>
      <c r="G2927" s="69" t="s">
        <v>2023</v>
      </c>
      <c r="H2927" s="69" t="s">
        <v>52</v>
      </c>
      <c r="I2927" s="69" t="s">
        <v>2077</v>
      </c>
      <c r="J2927" s="69" t="s">
        <v>55</v>
      </c>
      <c r="K2927" s="69" t="s">
        <v>909</v>
      </c>
      <c r="L2927" s="69" t="s">
        <v>2040</v>
      </c>
      <c r="M2927" s="69" t="s">
        <v>6</v>
      </c>
    </row>
    <row r="2928" spans="2:13">
      <c r="B2928" s="69">
        <v>2926</v>
      </c>
      <c r="C2928" s="69">
        <v>246</v>
      </c>
      <c r="D2928" s="69">
        <v>16</v>
      </c>
      <c r="E2928" s="69">
        <v>10</v>
      </c>
      <c r="F2928" s="69">
        <v>0</v>
      </c>
      <c r="G2928" s="69" t="s">
        <v>2023</v>
      </c>
      <c r="H2928" s="69" t="s">
        <v>52</v>
      </c>
      <c r="I2928" s="69" t="s">
        <v>2077</v>
      </c>
      <c r="J2928" s="69" t="s">
        <v>55</v>
      </c>
      <c r="K2928" s="69" t="s">
        <v>910</v>
      </c>
      <c r="M2928" s="69" t="s">
        <v>6</v>
      </c>
    </row>
    <row r="2929" spans="2:13">
      <c r="B2929" s="69">
        <v>2927</v>
      </c>
      <c r="C2929" s="69">
        <v>246</v>
      </c>
      <c r="D2929" s="69">
        <v>16</v>
      </c>
      <c r="E2929" s="69">
        <v>11</v>
      </c>
      <c r="F2929" s="69">
        <v>0</v>
      </c>
      <c r="G2929" s="69" t="s">
        <v>2023</v>
      </c>
      <c r="H2929" s="69" t="s">
        <v>52</v>
      </c>
      <c r="I2929" s="69" t="s">
        <v>2077</v>
      </c>
      <c r="J2929" s="69" t="s">
        <v>55</v>
      </c>
      <c r="K2929" s="69" t="s">
        <v>911</v>
      </c>
      <c r="M2929" s="69" t="s">
        <v>6</v>
      </c>
    </row>
    <row r="2930" spans="2:13">
      <c r="B2930" s="69">
        <v>2928</v>
      </c>
      <c r="C2930" s="69">
        <v>246</v>
      </c>
      <c r="D2930" s="69">
        <v>16</v>
      </c>
      <c r="E2930" s="69">
        <v>12</v>
      </c>
      <c r="F2930" s="69">
        <v>0</v>
      </c>
      <c r="G2930" s="69" t="s">
        <v>2023</v>
      </c>
      <c r="H2930" s="69" t="s">
        <v>52</v>
      </c>
      <c r="I2930" s="69" t="s">
        <v>2077</v>
      </c>
      <c r="J2930" s="69" t="s">
        <v>55</v>
      </c>
      <c r="K2930" s="69" t="s">
        <v>912</v>
      </c>
      <c r="M2930" s="69" t="s">
        <v>6</v>
      </c>
    </row>
    <row r="2931" spans="2:13">
      <c r="B2931" s="69">
        <v>2929</v>
      </c>
      <c r="C2931" s="69">
        <v>246</v>
      </c>
      <c r="D2931" s="69">
        <v>16</v>
      </c>
      <c r="E2931" s="69">
        <v>13</v>
      </c>
      <c r="F2931" s="69">
        <v>0</v>
      </c>
      <c r="G2931" s="69" t="s">
        <v>2023</v>
      </c>
      <c r="H2931" s="69" t="s">
        <v>52</v>
      </c>
      <c r="I2931" s="69" t="s">
        <v>2077</v>
      </c>
      <c r="J2931" s="69" t="s">
        <v>55</v>
      </c>
      <c r="K2931" s="69" t="s">
        <v>913</v>
      </c>
      <c r="M2931" s="69" t="s">
        <v>6</v>
      </c>
    </row>
    <row r="2932" spans="2:13">
      <c r="B2932" s="69">
        <v>2930</v>
      </c>
      <c r="C2932" s="69">
        <v>246</v>
      </c>
      <c r="D2932" s="69">
        <v>16</v>
      </c>
      <c r="E2932" s="69">
        <v>14</v>
      </c>
      <c r="F2932" s="69">
        <v>0</v>
      </c>
      <c r="G2932" s="69" t="s">
        <v>2023</v>
      </c>
      <c r="H2932" s="69" t="s">
        <v>52</v>
      </c>
      <c r="I2932" s="69" t="s">
        <v>2077</v>
      </c>
      <c r="J2932" s="69" t="s">
        <v>55</v>
      </c>
      <c r="K2932" s="69" t="s">
        <v>914</v>
      </c>
      <c r="M2932" s="69" t="s">
        <v>6</v>
      </c>
    </row>
    <row r="2933" spans="2:13">
      <c r="B2933" s="69">
        <v>2931</v>
      </c>
      <c r="C2933" s="69">
        <v>246</v>
      </c>
      <c r="D2933" s="69">
        <v>16</v>
      </c>
      <c r="E2933" s="69">
        <v>15</v>
      </c>
      <c r="F2933" s="69">
        <v>0</v>
      </c>
      <c r="G2933" s="69" t="s">
        <v>2023</v>
      </c>
      <c r="H2933" s="69" t="s">
        <v>52</v>
      </c>
      <c r="I2933" s="69" t="s">
        <v>2077</v>
      </c>
      <c r="J2933" s="69" t="s">
        <v>55</v>
      </c>
      <c r="K2933" s="69" t="s">
        <v>915</v>
      </c>
      <c r="M2933" s="69" t="s">
        <v>6</v>
      </c>
    </row>
    <row r="2934" spans="2:13">
      <c r="B2934" s="69">
        <v>2932</v>
      </c>
      <c r="C2934" s="69">
        <v>246</v>
      </c>
      <c r="D2934" s="69">
        <v>16</v>
      </c>
      <c r="E2934" s="69">
        <v>16</v>
      </c>
      <c r="F2934" s="69">
        <v>0</v>
      </c>
      <c r="G2934" s="69" t="s">
        <v>2023</v>
      </c>
      <c r="H2934" s="69" t="s">
        <v>52</v>
      </c>
      <c r="I2934" s="69" t="s">
        <v>2077</v>
      </c>
      <c r="J2934" s="69" t="s">
        <v>55</v>
      </c>
      <c r="K2934" s="69" t="s">
        <v>916</v>
      </c>
      <c r="M2934" s="69" t="s">
        <v>6</v>
      </c>
    </row>
    <row r="2935" spans="2:13">
      <c r="B2935" s="69">
        <v>2933</v>
      </c>
      <c r="C2935" s="69">
        <v>250</v>
      </c>
      <c r="D2935" s="69">
        <v>16</v>
      </c>
      <c r="E2935" s="69">
        <v>0</v>
      </c>
      <c r="F2935" s="69">
        <v>0</v>
      </c>
      <c r="G2935" s="69" t="s">
        <v>22</v>
      </c>
      <c r="H2935" s="69" t="s">
        <v>52</v>
      </c>
      <c r="I2935" s="69" t="s">
        <v>2078</v>
      </c>
      <c r="J2935" s="69" t="s">
        <v>478</v>
      </c>
      <c r="K2935" s="69" t="s">
        <v>2078</v>
      </c>
      <c r="M2935" s="69" t="s">
        <v>6</v>
      </c>
    </row>
    <row r="2936" spans="2:13">
      <c r="B2936" s="69">
        <v>2934</v>
      </c>
      <c r="C2936" s="69">
        <v>250</v>
      </c>
      <c r="D2936" s="69">
        <v>16</v>
      </c>
      <c r="E2936" s="69">
        <v>1</v>
      </c>
      <c r="F2936" s="69">
        <v>0</v>
      </c>
      <c r="G2936" s="69" t="s">
        <v>22</v>
      </c>
      <c r="H2936" s="69" t="s">
        <v>52</v>
      </c>
      <c r="I2936" s="69" t="s">
        <v>2078</v>
      </c>
      <c r="J2936" s="69" t="s">
        <v>2079</v>
      </c>
      <c r="K2936" s="69" t="s">
        <v>2080</v>
      </c>
      <c r="M2936" s="69" t="s">
        <v>6</v>
      </c>
    </row>
    <row r="2937" spans="2:13">
      <c r="B2937" s="69">
        <v>2935</v>
      </c>
      <c r="C2937" s="69">
        <v>250</v>
      </c>
      <c r="D2937" s="69">
        <v>16</v>
      </c>
      <c r="E2937" s="69">
        <v>2</v>
      </c>
      <c r="F2937" s="69">
        <v>0</v>
      </c>
      <c r="G2937" s="69" t="s">
        <v>22</v>
      </c>
      <c r="H2937" s="69" t="s">
        <v>52</v>
      </c>
      <c r="I2937" s="69" t="s">
        <v>2078</v>
      </c>
      <c r="J2937" s="69" t="s">
        <v>420</v>
      </c>
      <c r="K2937" s="69" t="s">
        <v>2081</v>
      </c>
      <c r="M2937" s="69" t="s">
        <v>6</v>
      </c>
    </row>
    <row r="2938" spans="2:13">
      <c r="B2938" s="69">
        <v>2936</v>
      </c>
      <c r="C2938" s="69">
        <v>250</v>
      </c>
      <c r="D2938" s="69">
        <v>16</v>
      </c>
      <c r="E2938" s="69">
        <v>3</v>
      </c>
      <c r="F2938" s="69">
        <v>0</v>
      </c>
      <c r="G2938" s="69" t="s">
        <v>22</v>
      </c>
      <c r="H2938" s="69" t="s">
        <v>52</v>
      </c>
      <c r="I2938" s="69" t="s">
        <v>2078</v>
      </c>
      <c r="J2938" s="69" t="s">
        <v>55</v>
      </c>
      <c r="K2938" s="69" t="s">
        <v>2082</v>
      </c>
      <c r="M2938" s="69" t="s">
        <v>6</v>
      </c>
    </row>
    <row r="2939" spans="2:13">
      <c r="B2939" s="69">
        <v>2937</v>
      </c>
      <c r="C2939" s="69">
        <v>250</v>
      </c>
      <c r="D2939" s="69">
        <v>16</v>
      </c>
      <c r="E2939" s="69">
        <v>4</v>
      </c>
      <c r="F2939" s="69">
        <v>0</v>
      </c>
      <c r="G2939" s="69" t="s">
        <v>22</v>
      </c>
      <c r="H2939" s="69" t="s">
        <v>52</v>
      </c>
      <c r="I2939" s="69" t="s">
        <v>2078</v>
      </c>
      <c r="J2939" s="69" t="s">
        <v>55</v>
      </c>
      <c r="K2939" s="69" t="s">
        <v>2083</v>
      </c>
      <c r="M2939" s="69" t="s">
        <v>6</v>
      </c>
    </row>
    <row r="2940" spans="2:13">
      <c r="B2940" s="69">
        <v>2938</v>
      </c>
      <c r="C2940" s="69">
        <v>250</v>
      </c>
      <c r="D2940" s="69">
        <v>16</v>
      </c>
      <c r="E2940" s="69">
        <v>5</v>
      </c>
      <c r="F2940" s="69">
        <v>0</v>
      </c>
      <c r="G2940" s="69" t="s">
        <v>22</v>
      </c>
      <c r="H2940" s="69" t="s">
        <v>52</v>
      </c>
      <c r="I2940" s="69" t="s">
        <v>2078</v>
      </c>
      <c r="J2940" s="69" t="s">
        <v>55</v>
      </c>
      <c r="K2940" s="69" t="s">
        <v>2084</v>
      </c>
      <c r="M2940" s="69" t="s">
        <v>6</v>
      </c>
    </row>
    <row r="2941" spans="2:13">
      <c r="B2941" s="69">
        <v>2939</v>
      </c>
      <c r="C2941" s="69">
        <v>250</v>
      </c>
      <c r="D2941" s="69">
        <v>16</v>
      </c>
      <c r="E2941" s="69">
        <v>6</v>
      </c>
      <c r="F2941" s="69">
        <v>0</v>
      </c>
      <c r="G2941" s="69" t="s">
        <v>22</v>
      </c>
      <c r="H2941" s="69" t="s">
        <v>52</v>
      </c>
      <c r="I2941" s="69" t="s">
        <v>2078</v>
      </c>
      <c r="J2941" s="69" t="s">
        <v>55</v>
      </c>
      <c r="K2941" s="69" t="s">
        <v>2085</v>
      </c>
      <c r="M2941" s="69" t="s">
        <v>6</v>
      </c>
    </row>
    <row r="2942" spans="2:13">
      <c r="B2942" s="69">
        <v>2940</v>
      </c>
      <c r="C2942" s="69">
        <v>250</v>
      </c>
      <c r="D2942" s="69">
        <v>16</v>
      </c>
      <c r="E2942" s="69">
        <v>7</v>
      </c>
      <c r="F2942" s="69">
        <v>0</v>
      </c>
      <c r="G2942" s="69" t="s">
        <v>22</v>
      </c>
      <c r="H2942" s="69" t="s">
        <v>52</v>
      </c>
      <c r="I2942" s="69" t="s">
        <v>2078</v>
      </c>
      <c r="J2942" s="69" t="s">
        <v>55</v>
      </c>
      <c r="K2942" s="69" t="s">
        <v>2086</v>
      </c>
      <c r="M2942" s="69" t="s">
        <v>6</v>
      </c>
    </row>
    <row r="2943" spans="2:13">
      <c r="B2943" s="69">
        <v>2941</v>
      </c>
      <c r="C2943" s="69">
        <v>250</v>
      </c>
      <c r="D2943" s="69">
        <v>16</v>
      </c>
      <c r="E2943" s="69">
        <v>8</v>
      </c>
      <c r="F2943" s="69">
        <v>0</v>
      </c>
      <c r="G2943" s="69" t="s">
        <v>22</v>
      </c>
      <c r="H2943" s="69" t="s">
        <v>52</v>
      </c>
      <c r="I2943" s="69" t="s">
        <v>2078</v>
      </c>
      <c r="J2943" s="69" t="s">
        <v>55</v>
      </c>
      <c r="K2943" s="69" t="s">
        <v>2087</v>
      </c>
      <c r="M2943" s="69" t="s">
        <v>6</v>
      </c>
    </row>
    <row r="2944" spans="2:13">
      <c r="B2944" s="69">
        <v>2942</v>
      </c>
      <c r="C2944" s="69">
        <v>250</v>
      </c>
      <c r="D2944" s="69">
        <v>16</v>
      </c>
      <c r="E2944" s="69">
        <v>9</v>
      </c>
      <c r="F2944" s="69">
        <v>0</v>
      </c>
      <c r="G2944" s="69" t="s">
        <v>22</v>
      </c>
      <c r="H2944" s="69" t="s">
        <v>52</v>
      </c>
      <c r="I2944" s="69" t="s">
        <v>2078</v>
      </c>
      <c r="J2944" s="69" t="s">
        <v>55</v>
      </c>
      <c r="K2944" s="69" t="s">
        <v>2088</v>
      </c>
      <c r="M2944" s="69" t="s">
        <v>6</v>
      </c>
    </row>
    <row r="2945" spans="2:13">
      <c r="B2945" s="69">
        <v>2943</v>
      </c>
      <c r="C2945" s="69">
        <v>250</v>
      </c>
      <c r="D2945" s="69">
        <v>16</v>
      </c>
      <c r="E2945" s="69">
        <v>10</v>
      </c>
      <c r="F2945" s="69">
        <v>0</v>
      </c>
      <c r="G2945" s="69" t="s">
        <v>22</v>
      </c>
      <c r="H2945" s="69" t="s">
        <v>52</v>
      </c>
      <c r="I2945" s="69" t="s">
        <v>2078</v>
      </c>
      <c r="J2945" s="69" t="s">
        <v>55</v>
      </c>
      <c r="K2945" s="69" t="s">
        <v>2089</v>
      </c>
      <c r="M2945" s="69" t="s">
        <v>6</v>
      </c>
    </row>
    <row r="2946" spans="2:13">
      <c r="B2946" s="69">
        <v>2944</v>
      </c>
      <c r="C2946" s="69">
        <v>250</v>
      </c>
      <c r="D2946" s="69">
        <v>16</v>
      </c>
      <c r="E2946" s="69">
        <v>11</v>
      </c>
      <c r="F2946" s="69">
        <v>0</v>
      </c>
      <c r="G2946" s="69" t="s">
        <v>22</v>
      </c>
      <c r="H2946" s="69" t="s">
        <v>52</v>
      </c>
      <c r="I2946" s="69" t="s">
        <v>2078</v>
      </c>
      <c r="J2946" s="69" t="s">
        <v>55</v>
      </c>
      <c r="K2946" s="69" t="s">
        <v>2090</v>
      </c>
      <c r="M2946" s="69" t="s">
        <v>6</v>
      </c>
    </row>
    <row r="2947" spans="2:13">
      <c r="B2947" s="69">
        <v>2945</v>
      </c>
      <c r="C2947" s="69">
        <v>250</v>
      </c>
      <c r="D2947" s="69">
        <v>16</v>
      </c>
      <c r="E2947" s="69">
        <v>12</v>
      </c>
      <c r="F2947" s="69">
        <v>0</v>
      </c>
      <c r="G2947" s="69" t="s">
        <v>22</v>
      </c>
      <c r="H2947" s="69" t="s">
        <v>52</v>
      </c>
      <c r="I2947" s="69" t="s">
        <v>2078</v>
      </c>
      <c r="J2947" s="69" t="s">
        <v>55</v>
      </c>
      <c r="K2947" s="69" t="s">
        <v>2091</v>
      </c>
      <c r="M2947" s="69" t="s">
        <v>6</v>
      </c>
    </row>
    <row r="2948" spans="2:13">
      <c r="B2948" s="69">
        <v>2946</v>
      </c>
      <c r="C2948" s="69">
        <v>250</v>
      </c>
      <c r="D2948" s="69">
        <v>16</v>
      </c>
      <c r="E2948" s="69">
        <v>13</v>
      </c>
      <c r="F2948" s="69">
        <v>0</v>
      </c>
      <c r="G2948" s="69" t="s">
        <v>22</v>
      </c>
      <c r="H2948" s="69" t="s">
        <v>52</v>
      </c>
      <c r="I2948" s="69" t="s">
        <v>2078</v>
      </c>
      <c r="J2948" s="69" t="s">
        <v>55</v>
      </c>
      <c r="K2948" s="69" t="s">
        <v>2092</v>
      </c>
      <c r="M2948" s="69" t="s">
        <v>6</v>
      </c>
    </row>
    <row r="2949" spans="2:13">
      <c r="B2949" s="69">
        <v>2947</v>
      </c>
      <c r="C2949" s="69">
        <v>250</v>
      </c>
      <c r="D2949" s="69">
        <v>16</v>
      </c>
      <c r="E2949" s="69">
        <v>14</v>
      </c>
      <c r="F2949" s="69">
        <v>0</v>
      </c>
      <c r="G2949" s="69" t="s">
        <v>22</v>
      </c>
      <c r="H2949" s="69" t="s">
        <v>52</v>
      </c>
      <c r="I2949" s="69" t="s">
        <v>2078</v>
      </c>
      <c r="J2949" s="69" t="s">
        <v>55</v>
      </c>
      <c r="K2949" s="69" t="s">
        <v>2093</v>
      </c>
      <c r="M2949" s="69" t="s">
        <v>6</v>
      </c>
    </row>
    <row r="2950" spans="2:13">
      <c r="B2950" s="69">
        <v>2948</v>
      </c>
      <c r="C2950" s="69">
        <v>250</v>
      </c>
      <c r="D2950" s="69">
        <v>16</v>
      </c>
      <c r="E2950" s="69">
        <v>15</v>
      </c>
      <c r="F2950" s="69">
        <v>0</v>
      </c>
      <c r="G2950" s="69" t="s">
        <v>22</v>
      </c>
      <c r="H2950" s="69" t="s">
        <v>52</v>
      </c>
      <c r="I2950" s="69" t="s">
        <v>2078</v>
      </c>
      <c r="J2950" s="69" t="s">
        <v>55</v>
      </c>
      <c r="K2950" s="69" t="s">
        <v>2094</v>
      </c>
      <c r="M2950" s="69" t="s">
        <v>6</v>
      </c>
    </row>
    <row r="2951" spans="2:13">
      <c r="B2951" s="69">
        <v>2949</v>
      </c>
      <c r="C2951" s="69">
        <v>250</v>
      </c>
      <c r="D2951" s="69">
        <v>16</v>
      </c>
      <c r="E2951" s="69">
        <v>16</v>
      </c>
      <c r="F2951" s="69">
        <v>0</v>
      </c>
      <c r="G2951" s="69" t="s">
        <v>22</v>
      </c>
      <c r="H2951" s="69" t="s">
        <v>52</v>
      </c>
      <c r="I2951" s="69" t="s">
        <v>2078</v>
      </c>
      <c r="J2951" s="69" t="s">
        <v>2095</v>
      </c>
      <c r="K2951" s="69" t="s">
        <v>2096</v>
      </c>
      <c r="M2951" s="69" t="s">
        <v>6</v>
      </c>
    </row>
    <row r="2952" spans="2:13">
      <c r="B2952" s="69">
        <v>2950</v>
      </c>
      <c r="C2952" s="69">
        <v>251</v>
      </c>
      <c r="D2952" s="69">
        <v>25</v>
      </c>
      <c r="E2952" s="69">
        <v>0</v>
      </c>
      <c r="F2952" s="69">
        <v>0</v>
      </c>
      <c r="G2952" s="69" t="s">
        <v>18</v>
      </c>
      <c r="H2952" s="69" t="s">
        <v>9</v>
      </c>
      <c r="I2952" s="69" t="s">
        <v>2097</v>
      </c>
      <c r="J2952" s="69" t="s">
        <v>478</v>
      </c>
      <c r="K2952" s="69" t="s">
        <v>2097</v>
      </c>
      <c r="M2952" s="69" t="s">
        <v>6</v>
      </c>
    </row>
    <row r="2953" spans="2:13">
      <c r="B2953" s="69">
        <v>2951</v>
      </c>
      <c r="C2953" s="69">
        <v>251</v>
      </c>
      <c r="D2953" s="69">
        <v>25</v>
      </c>
      <c r="E2953" s="69">
        <v>1</v>
      </c>
      <c r="F2953" s="69">
        <v>0</v>
      </c>
      <c r="G2953" s="69" t="s">
        <v>18</v>
      </c>
      <c r="H2953" s="69" t="s">
        <v>9</v>
      </c>
      <c r="I2953" s="69" t="s">
        <v>2097</v>
      </c>
      <c r="J2953" s="69" t="s">
        <v>1184</v>
      </c>
      <c r="K2953" s="69" t="s">
        <v>2098</v>
      </c>
      <c r="M2953" s="69" t="s">
        <v>6</v>
      </c>
    </row>
    <row r="2954" spans="2:13">
      <c r="B2954" s="69">
        <v>2952</v>
      </c>
      <c r="C2954" s="69">
        <v>251</v>
      </c>
      <c r="D2954" s="69">
        <v>25</v>
      </c>
      <c r="E2954" s="69">
        <v>2</v>
      </c>
      <c r="F2954" s="69">
        <v>0</v>
      </c>
      <c r="G2954" s="69" t="s">
        <v>18</v>
      </c>
      <c r="H2954" s="69" t="s">
        <v>9</v>
      </c>
      <c r="I2954" s="69" t="s">
        <v>2097</v>
      </c>
      <c r="J2954" s="69" t="s">
        <v>55</v>
      </c>
      <c r="K2954" s="69" t="s">
        <v>2099</v>
      </c>
      <c r="M2954" s="69" t="s">
        <v>6</v>
      </c>
    </row>
    <row r="2955" spans="2:13">
      <c r="B2955" s="69">
        <v>2953</v>
      </c>
      <c r="C2955" s="69">
        <v>251</v>
      </c>
      <c r="D2955" s="69">
        <v>25</v>
      </c>
      <c r="E2955" s="69">
        <v>3</v>
      </c>
      <c r="F2955" s="69">
        <v>0</v>
      </c>
      <c r="G2955" s="69" t="s">
        <v>18</v>
      </c>
      <c r="H2955" s="69" t="s">
        <v>9</v>
      </c>
      <c r="I2955" s="69" t="s">
        <v>2097</v>
      </c>
      <c r="J2955" s="69" t="s">
        <v>214</v>
      </c>
      <c r="K2955" s="69" t="s">
        <v>853</v>
      </c>
      <c r="M2955" s="69" t="s">
        <v>6</v>
      </c>
    </row>
    <row r="2956" spans="2:13">
      <c r="B2956" s="69">
        <v>2954</v>
      </c>
      <c r="C2956" s="69">
        <v>251</v>
      </c>
      <c r="D2956" s="69">
        <v>25</v>
      </c>
      <c r="E2956" s="69">
        <v>4</v>
      </c>
      <c r="F2956" s="69">
        <v>0</v>
      </c>
      <c r="G2956" s="69" t="s">
        <v>18</v>
      </c>
      <c r="H2956" s="69" t="s">
        <v>9</v>
      </c>
      <c r="I2956" s="69" t="s">
        <v>2097</v>
      </c>
      <c r="J2956" s="69" t="s">
        <v>55</v>
      </c>
      <c r="K2956" s="69" t="s">
        <v>854</v>
      </c>
      <c r="M2956" s="69" t="s">
        <v>6</v>
      </c>
    </row>
    <row r="2957" spans="2:13">
      <c r="B2957" s="69">
        <v>2955</v>
      </c>
      <c r="C2957" s="69">
        <v>251</v>
      </c>
      <c r="D2957" s="69">
        <v>25</v>
      </c>
      <c r="E2957" s="69">
        <v>5</v>
      </c>
      <c r="F2957" s="69">
        <v>0</v>
      </c>
      <c r="G2957" s="69" t="s">
        <v>18</v>
      </c>
      <c r="H2957" s="69" t="s">
        <v>9</v>
      </c>
      <c r="I2957" s="69" t="s">
        <v>2097</v>
      </c>
      <c r="J2957" s="69" t="s">
        <v>99</v>
      </c>
      <c r="K2957" s="69" t="s">
        <v>2100</v>
      </c>
      <c r="M2957" s="69" t="s">
        <v>6</v>
      </c>
    </row>
    <row r="2958" spans="2:13">
      <c r="B2958" s="69">
        <v>2956</v>
      </c>
      <c r="C2958" s="69">
        <v>251</v>
      </c>
      <c r="D2958" s="69">
        <v>25</v>
      </c>
      <c r="E2958" s="69">
        <v>6</v>
      </c>
      <c r="F2958" s="69">
        <v>0</v>
      </c>
      <c r="G2958" s="69" t="s">
        <v>18</v>
      </c>
      <c r="H2958" s="69" t="s">
        <v>9</v>
      </c>
      <c r="I2958" s="69" t="s">
        <v>2097</v>
      </c>
      <c r="J2958" s="69" t="s">
        <v>55</v>
      </c>
      <c r="K2958" s="69" t="s">
        <v>2101</v>
      </c>
      <c r="M2958" s="69" t="s">
        <v>6</v>
      </c>
    </row>
    <row r="2959" spans="2:13">
      <c r="B2959" s="69">
        <v>2957</v>
      </c>
      <c r="C2959" s="69">
        <v>251</v>
      </c>
      <c r="D2959" s="69">
        <v>25</v>
      </c>
      <c r="E2959" s="69">
        <v>7</v>
      </c>
      <c r="F2959" s="69">
        <v>0</v>
      </c>
      <c r="G2959" s="69" t="s">
        <v>18</v>
      </c>
      <c r="H2959" s="69" t="s">
        <v>9</v>
      </c>
      <c r="I2959" s="69" t="s">
        <v>2097</v>
      </c>
      <c r="J2959" s="69" t="s">
        <v>55</v>
      </c>
      <c r="K2959" s="69" t="s">
        <v>2102</v>
      </c>
      <c r="M2959" s="69" t="s">
        <v>6</v>
      </c>
    </row>
    <row r="2960" spans="2:13">
      <c r="B2960" s="69">
        <v>2958</v>
      </c>
      <c r="C2960" s="69">
        <v>251</v>
      </c>
      <c r="D2960" s="69">
        <v>25</v>
      </c>
      <c r="E2960" s="69">
        <v>8</v>
      </c>
      <c r="F2960" s="69">
        <v>0</v>
      </c>
      <c r="G2960" s="69" t="s">
        <v>18</v>
      </c>
      <c r="H2960" s="69" t="s">
        <v>9</v>
      </c>
      <c r="I2960" s="69" t="s">
        <v>2097</v>
      </c>
      <c r="J2960" s="69" t="s">
        <v>55</v>
      </c>
      <c r="K2960" s="69" t="s">
        <v>2103</v>
      </c>
      <c r="M2960" s="69" t="s">
        <v>6</v>
      </c>
    </row>
    <row r="2961" spans="2:13">
      <c r="B2961" s="69">
        <v>2959</v>
      </c>
      <c r="C2961" s="69">
        <v>251</v>
      </c>
      <c r="D2961" s="69">
        <v>25</v>
      </c>
      <c r="E2961" s="69">
        <v>9</v>
      </c>
      <c r="F2961" s="69">
        <v>0</v>
      </c>
      <c r="G2961" s="69" t="s">
        <v>18</v>
      </c>
      <c r="H2961" s="69" t="s">
        <v>9</v>
      </c>
      <c r="I2961" s="69" t="s">
        <v>2097</v>
      </c>
      <c r="J2961" s="69" t="s">
        <v>55</v>
      </c>
      <c r="K2961" s="69" t="s">
        <v>2104</v>
      </c>
      <c r="M2961" s="69" t="s">
        <v>6</v>
      </c>
    </row>
    <row r="2962" spans="2:13">
      <c r="B2962" s="69">
        <v>2960</v>
      </c>
      <c r="C2962" s="69">
        <v>251</v>
      </c>
      <c r="D2962" s="69">
        <v>25</v>
      </c>
      <c r="E2962" s="69">
        <v>10</v>
      </c>
      <c r="F2962" s="69">
        <v>0</v>
      </c>
      <c r="G2962" s="69" t="s">
        <v>18</v>
      </c>
      <c r="H2962" s="69" t="s">
        <v>9</v>
      </c>
      <c r="I2962" s="69" t="s">
        <v>2097</v>
      </c>
      <c r="J2962" s="69" t="s">
        <v>55</v>
      </c>
      <c r="K2962" s="69" t="s">
        <v>2105</v>
      </c>
      <c r="M2962" s="69" t="s">
        <v>6</v>
      </c>
    </row>
    <row r="2963" spans="2:13">
      <c r="B2963" s="69">
        <v>2961</v>
      </c>
      <c r="C2963" s="69">
        <v>251</v>
      </c>
      <c r="D2963" s="69">
        <v>25</v>
      </c>
      <c r="E2963" s="69">
        <v>11</v>
      </c>
      <c r="F2963" s="69">
        <v>0</v>
      </c>
      <c r="G2963" s="69" t="s">
        <v>18</v>
      </c>
      <c r="H2963" s="69" t="s">
        <v>9</v>
      </c>
      <c r="I2963" s="69" t="s">
        <v>2097</v>
      </c>
      <c r="J2963" s="69" t="s">
        <v>64</v>
      </c>
      <c r="K2963" s="69" t="s">
        <v>94</v>
      </c>
      <c r="M2963" s="69" t="s">
        <v>6</v>
      </c>
    </row>
    <row r="2964" spans="2:13">
      <c r="B2964" s="69">
        <v>2962</v>
      </c>
      <c r="C2964" s="69">
        <v>251</v>
      </c>
      <c r="D2964" s="69">
        <v>25</v>
      </c>
      <c r="E2964" s="69">
        <v>12</v>
      </c>
      <c r="F2964" s="69">
        <v>0</v>
      </c>
      <c r="G2964" s="69" t="s">
        <v>18</v>
      </c>
      <c r="H2964" s="69" t="s">
        <v>9</v>
      </c>
      <c r="I2964" s="69" t="s">
        <v>2097</v>
      </c>
      <c r="J2964" s="69" t="s">
        <v>1184</v>
      </c>
      <c r="K2964" s="69" t="s">
        <v>2106</v>
      </c>
      <c r="M2964" s="69" t="s">
        <v>6</v>
      </c>
    </row>
    <row r="2965" spans="2:13">
      <c r="B2965" s="69">
        <v>2963</v>
      </c>
      <c r="C2965" s="69">
        <v>251</v>
      </c>
      <c r="D2965" s="69">
        <v>25</v>
      </c>
      <c r="E2965" s="69">
        <v>13</v>
      </c>
      <c r="F2965" s="69">
        <v>0</v>
      </c>
      <c r="G2965" s="69" t="s">
        <v>18</v>
      </c>
      <c r="H2965" s="69" t="s">
        <v>9</v>
      </c>
      <c r="I2965" s="69" t="s">
        <v>2097</v>
      </c>
      <c r="J2965" s="69" t="s">
        <v>55</v>
      </c>
      <c r="K2965" s="69" t="s">
        <v>2099</v>
      </c>
      <c r="M2965" s="69" t="s">
        <v>6</v>
      </c>
    </row>
    <row r="2966" spans="2:13">
      <c r="B2966" s="69">
        <v>2964</v>
      </c>
      <c r="C2966" s="69">
        <v>251</v>
      </c>
      <c r="D2966" s="69">
        <v>25</v>
      </c>
      <c r="E2966" s="69">
        <v>14</v>
      </c>
      <c r="F2966" s="69">
        <v>0</v>
      </c>
      <c r="G2966" s="69" t="s">
        <v>18</v>
      </c>
      <c r="H2966" s="69" t="s">
        <v>9</v>
      </c>
      <c r="I2966" s="69" t="s">
        <v>2097</v>
      </c>
      <c r="J2966" s="69" t="s">
        <v>214</v>
      </c>
      <c r="K2966" s="69" t="s">
        <v>853</v>
      </c>
      <c r="M2966" s="69" t="s">
        <v>6</v>
      </c>
    </row>
    <row r="2967" spans="2:13">
      <c r="B2967" s="69">
        <v>2965</v>
      </c>
      <c r="C2967" s="69">
        <v>251</v>
      </c>
      <c r="D2967" s="69">
        <v>25</v>
      </c>
      <c r="E2967" s="69">
        <v>15</v>
      </c>
      <c r="F2967" s="69">
        <v>0</v>
      </c>
      <c r="G2967" s="69" t="s">
        <v>18</v>
      </c>
      <c r="H2967" s="69" t="s">
        <v>9</v>
      </c>
      <c r="I2967" s="69" t="s">
        <v>2097</v>
      </c>
      <c r="J2967" s="69" t="s">
        <v>55</v>
      </c>
      <c r="K2967" s="69" t="s">
        <v>854</v>
      </c>
      <c r="M2967" s="69" t="s">
        <v>6</v>
      </c>
    </row>
    <row r="2968" spans="2:13">
      <c r="B2968" s="69">
        <v>2966</v>
      </c>
      <c r="C2968" s="69">
        <v>251</v>
      </c>
      <c r="D2968" s="69">
        <v>25</v>
      </c>
      <c r="E2968" s="69">
        <v>16</v>
      </c>
      <c r="F2968" s="69">
        <v>0</v>
      </c>
      <c r="G2968" s="69" t="s">
        <v>18</v>
      </c>
      <c r="H2968" s="69" t="s">
        <v>9</v>
      </c>
      <c r="I2968" s="69" t="s">
        <v>2097</v>
      </c>
      <c r="J2968" s="69" t="s">
        <v>55</v>
      </c>
      <c r="K2968" s="69" t="s">
        <v>2107</v>
      </c>
      <c r="M2968" s="69" t="s">
        <v>6</v>
      </c>
    </row>
    <row r="2969" spans="2:13">
      <c r="B2969" s="69">
        <v>2967</v>
      </c>
      <c r="C2969" s="69">
        <v>251</v>
      </c>
      <c r="D2969" s="69">
        <v>25</v>
      </c>
      <c r="E2969" s="69">
        <v>17</v>
      </c>
      <c r="F2969" s="69">
        <v>0</v>
      </c>
      <c r="G2969" s="69" t="s">
        <v>18</v>
      </c>
      <c r="H2969" s="69" t="s">
        <v>9</v>
      </c>
      <c r="I2969" s="69" t="s">
        <v>2097</v>
      </c>
      <c r="J2969" s="69" t="s">
        <v>55</v>
      </c>
      <c r="K2969" s="69" t="s">
        <v>2108</v>
      </c>
      <c r="M2969" s="69" t="s">
        <v>6</v>
      </c>
    </row>
    <row r="2970" spans="2:13">
      <c r="B2970" s="69">
        <v>2968</v>
      </c>
      <c r="C2970" s="69">
        <v>251</v>
      </c>
      <c r="D2970" s="69">
        <v>25</v>
      </c>
      <c r="E2970" s="69">
        <v>18</v>
      </c>
      <c r="F2970" s="69">
        <v>0</v>
      </c>
      <c r="G2970" s="69" t="s">
        <v>18</v>
      </c>
      <c r="H2970" s="69" t="s">
        <v>9</v>
      </c>
      <c r="I2970" s="69" t="s">
        <v>2097</v>
      </c>
      <c r="J2970" s="69" t="s">
        <v>55</v>
      </c>
      <c r="K2970" s="69" t="s">
        <v>2109</v>
      </c>
      <c r="M2970" s="69" t="s">
        <v>6</v>
      </c>
    </row>
    <row r="2971" spans="2:13">
      <c r="B2971" s="69">
        <v>2969</v>
      </c>
      <c r="C2971" s="69">
        <v>251</v>
      </c>
      <c r="D2971" s="69">
        <v>25</v>
      </c>
      <c r="E2971" s="69">
        <v>19</v>
      </c>
      <c r="F2971" s="69">
        <v>0</v>
      </c>
      <c r="G2971" s="69" t="s">
        <v>18</v>
      </c>
      <c r="H2971" s="69" t="s">
        <v>9</v>
      </c>
      <c r="I2971" s="69" t="s">
        <v>2097</v>
      </c>
      <c r="J2971" s="69" t="s">
        <v>55</v>
      </c>
      <c r="K2971" s="69" t="s">
        <v>2110</v>
      </c>
      <c r="M2971" s="69" t="s">
        <v>6</v>
      </c>
    </row>
    <row r="2972" spans="2:13">
      <c r="B2972" s="69">
        <v>2970</v>
      </c>
      <c r="C2972" s="69">
        <v>251</v>
      </c>
      <c r="D2972" s="69">
        <v>25</v>
      </c>
      <c r="E2972" s="69">
        <v>20</v>
      </c>
      <c r="F2972" s="69">
        <v>0</v>
      </c>
      <c r="G2972" s="69" t="s">
        <v>18</v>
      </c>
      <c r="H2972" s="69" t="s">
        <v>9</v>
      </c>
      <c r="I2972" s="69" t="s">
        <v>2097</v>
      </c>
      <c r="J2972" s="69" t="s">
        <v>55</v>
      </c>
      <c r="K2972" s="69" t="s">
        <v>2111</v>
      </c>
      <c r="M2972" s="69" t="s">
        <v>6</v>
      </c>
    </row>
    <row r="2973" spans="2:13">
      <c r="B2973" s="69">
        <v>2971</v>
      </c>
      <c r="C2973" s="69">
        <v>251</v>
      </c>
      <c r="D2973" s="69">
        <v>25</v>
      </c>
      <c r="E2973" s="69">
        <v>21</v>
      </c>
      <c r="F2973" s="69">
        <v>0</v>
      </c>
      <c r="G2973" s="69" t="s">
        <v>18</v>
      </c>
      <c r="H2973" s="69" t="s">
        <v>9</v>
      </c>
      <c r="I2973" s="69" t="s">
        <v>2097</v>
      </c>
      <c r="J2973" s="69" t="s">
        <v>55</v>
      </c>
      <c r="K2973" s="69" t="s">
        <v>2112</v>
      </c>
      <c r="M2973" s="69" t="s">
        <v>6</v>
      </c>
    </row>
    <row r="2974" spans="2:13">
      <c r="B2974" s="69">
        <v>2972</v>
      </c>
      <c r="C2974" s="69">
        <v>251</v>
      </c>
      <c r="D2974" s="69">
        <v>25</v>
      </c>
      <c r="E2974" s="69">
        <v>22</v>
      </c>
      <c r="F2974" s="69">
        <v>0</v>
      </c>
      <c r="G2974" s="69" t="s">
        <v>18</v>
      </c>
      <c r="H2974" s="69" t="s">
        <v>9</v>
      </c>
      <c r="I2974" s="69" t="s">
        <v>2097</v>
      </c>
      <c r="J2974" s="69" t="s">
        <v>55</v>
      </c>
      <c r="K2974" s="69" t="s">
        <v>2113</v>
      </c>
      <c r="M2974" s="69" t="s">
        <v>6</v>
      </c>
    </row>
    <row r="2975" spans="2:13">
      <c r="B2975" s="69">
        <v>2973</v>
      </c>
      <c r="C2975" s="69">
        <v>251</v>
      </c>
      <c r="D2975" s="69">
        <v>25</v>
      </c>
      <c r="E2975" s="69">
        <v>23</v>
      </c>
      <c r="F2975" s="69">
        <v>0</v>
      </c>
      <c r="G2975" s="69" t="s">
        <v>18</v>
      </c>
      <c r="H2975" s="69" t="s">
        <v>9</v>
      </c>
      <c r="I2975" s="69" t="s">
        <v>2097</v>
      </c>
      <c r="J2975" s="69" t="s">
        <v>55</v>
      </c>
      <c r="K2975" s="69" t="s">
        <v>2103</v>
      </c>
      <c r="M2975" s="69" t="s">
        <v>6</v>
      </c>
    </row>
    <row r="2976" spans="2:13">
      <c r="B2976" s="69">
        <v>2974</v>
      </c>
      <c r="C2976" s="69">
        <v>251</v>
      </c>
      <c r="D2976" s="69">
        <v>25</v>
      </c>
      <c r="E2976" s="69">
        <v>24</v>
      </c>
      <c r="F2976" s="69">
        <v>0</v>
      </c>
      <c r="G2976" s="69" t="s">
        <v>18</v>
      </c>
      <c r="H2976" s="69" t="s">
        <v>9</v>
      </c>
      <c r="I2976" s="69" t="s">
        <v>2097</v>
      </c>
      <c r="J2976" s="69" t="s">
        <v>55</v>
      </c>
      <c r="K2976" s="69" t="s">
        <v>2105</v>
      </c>
      <c r="M2976" s="69" t="s">
        <v>6</v>
      </c>
    </row>
    <row r="2977" spans="2:13">
      <c r="B2977" s="69">
        <v>2975</v>
      </c>
      <c r="C2977" s="69">
        <v>251</v>
      </c>
      <c r="D2977" s="69">
        <v>25</v>
      </c>
      <c r="E2977" s="69">
        <v>25</v>
      </c>
      <c r="F2977" s="69">
        <v>0</v>
      </c>
      <c r="G2977" s="69" t="s">
        <v>18</v>
      </c>
      <c r="H2977" s="69" t="s">
        <v>9</v>
      </c>
      <c r="I2977" s="69" t="s">
        <v>2097</v>
      </c>
      <c r="J2977" s="69" t="s">
        <v>64</v>
      </c>
      <c r="K2977" s="69" t="s">
        <v>94</v>
      </c>
      <c r="M2977" s="69" t="s">
        <v>6</v>
      </c>
    </row>
    <row r="2978" spans="2:13">
      <c r="B2978" s="69">
        <v>2976</v>
      </c>
      <c r="C2978" s="69">
        <v>252</v>
      </c>
      <c r="D2978" s="69">
        <v>19</v>
      </c>
      <c r="E2978" s="69">
        <v>0</v>
      </c>
      <c r="F2978" s="69">
        <v>0</v>
      </c>
      <c r="G2978" s="69" t="s">
        <v>917</v>
      </c>
      <c r="H2978" s="69" t="s">
        <v>918</v>
      </c>
      <c r="I2978" s="69" t="s">
        <v>2114</v>
      </c>
      <c r="J2978" s="69" t="s">
        <v>478</v>
      </c>
      <c r="K2978" s="69" t="s">
        <v>2114</v>
      </c>
      <c r="M2978" s="69" t="s">
        <v>6</v>
      </c>
    </row>
    <row r="2979" spans="2:13">
      <c r="B2979" s="69">
        <v>2977</v>
      </c>
      <c r="C2979" s="69">
        <v>252</v>
      </c>
      <c r="D2979" s="69">
        <v>19</v>
      </c>
      <c r="E2979" s="69">
        <v>1</v>
      </c>
      <c r="F2979" s="69">
        <v>0</v>
      </c>
      <c r="G2979" s="69" t="s">
        <v>917</v>
      </c>
      <c r="H2979" s="69" t="s">
        <v>918</v>
      </c>
      <c r="I2979" s="69" t="s">
        <v>2114</v>
      </c>
      <c r="J2979" s="69" t="s">
        <v>479</v>
      </c>
      <c r="K2979" s="69" t="s">
        <v>920</v>
      </c>
      <c r="M2979" s="69" t="s">
        <v>6</v>
      </c>
    </row>
    <row r="2980" spans="2:13">
      <c r="B2980" s="69">
        <v>2978</v>
      </c>
      <c r="C2980" s="69">
        <v>252</v>
      </c>
      <c r="D2980" s="69">
        <v>19</v>
      </c>
      <c r="E2980" s="69">
        <v>2</v>
      </c>
      <c r="F2980" s="69">
        <v>0</v>
      </c>
      <c r="G2980" s="69" t="s">
        <v>917</v>
      </c>
      <c r="H2980" s="69" t="s">
        <v>918</v>
      </c>
      <c r="I2980" s="69" t="s">
        <v>2114</v>
      </c>
      <c r="J2980" s="69" t="s">
        <v>722</v>
      </c>
      <c r="K2980" s="69" t="s">
        <v>978</v>
      </c>
      <c r="M2980" s="69" t="s">
        <v>6</v>
      </c>
    </row>
    <row r="2981" spans="2:13">
      <c r="B2981" s="69">
        <v>2979</v>
      </c>
      <c r="C2981" s="69">
        <v>252</v>
      </c>
      <c r="D2981" s="69">
        <v>19</v>
      </c>
      <c r="E2981" s="69">
        <v>3</v>
      </c>
      <c r="F2981" s="69">
        <v>0</v>
      </c>
      <c r="G2981" s="69" t="s">
        <v>917</v>
      </c>
      <c r="H2981" s="69" t="s">
        <v>918</v>
      </c>
      <c r="I2981" s="69" t="s">
        <v>2114</v>
      </c>
      <c r="J2981" s="69" t="s">
        <v>214</v>
      </c>
      <c r="K2981" s="69" t="s">
        <v>979</v>
      </c>
      <c r="M2981" s="69" t="s">
        <v>6</v>
      </c>
    </row>
    <row r="2982" spans="2:13">
      <c r="B2982" s="69">
        <v>2980</v>
      </c>
      <c r="C2982" s="69">
        <v>252</v>
      </c>
      <c r="D2982" s="69">
        <v>19</v>
      </c>
      <c r="E2982" s="69">
        <v>4</v>
      </c>
      <c r="F2982" s="69">
        <v>0</v>
      </c>
      <c r="G2982" s="69" t="s">
        <v>917</v>
      </c>
      <c r="H2982" s="69" t="s">
        <v>918</v>
      </c>
      <c r="I2982" s="69" t="s">
        <v>2114</v>
      </c>
      <c r="J2982" s="69" t="s">
        <v>214</v>
      </c>
      <c r="K2982" s="69" t="s">
        <v>980</v>
      </c>
      <c r="M2982" s="69" t="s">
        <v>6</v>
      </c>
    </row>
    <row r="2983" spans="2:13">
      <c r="B2983" s="69">
        <v>2981</v>
      </c>
      <c r="C2983" s="69">
        <v>252</v>
      </c>
      <c r="D2983" s="69">
        <v>19</v>
      </c>
      <c r="E2983" s="69">
        <v>5</v>
      </c>
      <c r="F2983" s="69">
        <v>0</v>
      </c>
      <c r="G2983" s="69" t="s">
        <v>917</v>
      </c>
      <c r="H2983" s="69" t="s">
        <v>918</v>
      </c>
      <c r="I2983" s="69" t="s">
        <v>2114</v>
      </c>
      <c r="J2983" s="69" t="s">
        <v>214</v>
      </c>
      <c r="K2983" s="69" t="s">
        <v>981</v>
      </c>
      <c r="M2983" s="69" t="s">
        <v>6</v>
      </c>
    </row>
    <row r="2984" spans="2:13">
      <c r="B2984" s="69">
        <v>2982</v>
      </c>
      <c r="C2984" s="69">
        <v>252</v>
      </c>
      <c r="D2984" s="69">
        <v>19</v>
      </c>
      <c r="E2984" s="69">
        <v>6</v>
      </c>
      <c r="F2984" s="69">
        <v>0</v>
      </c>
      <c r="G2984" s="69" t="s">
        <v>917</v>
      </c>
      <c r="H2984" s="69" t="s">
        <v>918</v>
      </c>
      <c r="I2984" s="69" t="s">
        <v>2114</v>
      </c>
      <c r="J2984" s="69" t="s">
        <v>214</v>
      </c>
      <c r="K2984" s="69" t="s">
        <v>982</v>
      </c>
      <c r="M2984" s="69" t="s">
        <v>6</v>
      </c>
    </row>
    <row r="2985" spans="2:13">
      <c r="B2985" s="69">
        <v>2983</v>
      </c>
      <c r="C2985" s="69">
        <v>252</v>
      </c>
      <c r="D2985" s="69">
        <v>19</v>
      </c>
      <c r="E2985" s="69">
        <v>7</v>
      </c>
      <c r="F2985" s="69">
        <v>0</v>
      </c>
      <c r="G2985" s="69" t="s">
        <v>917</v>
      </c>
      <c r="H2985" s="69" t="s">
        <v>918</v>
      </c>
      <c r="I2985" s="69" t="s">
        <v>2114</v>
      </c>
      <c r="J2985" s="69" t="s">
        <v>214</v>
      </c>
      <c r="K2985" s="69" t="s">
        <v>983</v>
      </c>
      <c r="M2985" s="69" t="s">
        <v>6</v>
      </c>
    </row>
    <row r="2986" spans="2:13">
      <c r="B2986" s="69">
        <v>2984</v>
      </c>
      <c r="C2986" s="69">
        <v>252</v>
      </c>
      <c r="D2986" s="69">
        <v>19</v>
      </c>
      <c r="E2986" s="69">
        <v>8</v>
      </c>
      <c r="F2986" s="69">
        <v>0</v>
      </c>
      <c r="G2986" s="69" t="s">
        <v>917</v>
      </c>
      <c r="H2986" s="69" t="s">
        <v>918</v>
      </c>
      <c r="I2986" s="69" t="s">
        <v>2114</v>
      </c>
      <c r="J2986" s="69" t="s">
        <v>214</v>
      </c>
      <c r="K2986" s="69" t="s">
        <v>984</v>
      </c>
      <c r="M2986" s="69" t="s">
        <v>6</v>
      </c>
    </row>
    <row r="2987" spans="2:13">
      <c r="B2987" s="69">
        <v>2985</v>
      </c>
      <c r="C2987" s="69">
        <v>252</v>
      </c>
      <c r="D2987" s="69">
        <v>19</v>
      </c>
      <c r="E2987" s="69">
        <v>9</v>
      </c>
      <c r="F2987" s="69">
        <v>0</v>
      </c>
      <c r="G2987" s="69" t="s">
        <v>917</v>
      </c>
      <c r="H2987" s="69" t="s">
        <v>918</v>
      </c>
      <c r="I2987" s="69" t="s">
        <v>2114</v>
      </c>
      <c r="J2987" s="69" t="s">
        <v>214</v>
      </c>
      <c r="K2987" s="69" t="s">
        <v>985</v>
      </c>
      <c r="M2987" s="69" t="s">
        <v>6</v>
      </c>
    </row>
    <row r="2988" spans="2:13">
      <c r="B2988" s="69">
        <v>2986</v>
      </c>
      <c r="C2988" s="69">
        <v>252</v>
      </c>
      <c r="D2988" s="69">
        <v>19</v>
      </c>
      <c r="E2988" s="69">
        <v>10</v>
      </c>
      <c r="F2988" s="69">
        <v>0</v>
      </c>
      <c r="G2988" s="69" t="s">
        <v>917</v>
      </c>
      <c r="H2988" s="69" t="s">
        <v>918</v>
      </c>
      <c r="I2988" s="69" t="s">
        <v>2114</v>
      </c>
      <c r="J2988" s="69" t="s">
        <v>55</v>
      </c>
      <c r="K2988" s="69" t="s">
        <v>969</v>
      </c>
      <c r="M2988" s="69" t="s">
        <v>6</v>
      </c>
    </row>
    <row r="2989" spans="2:13">
      <c r="B2989" s="69">
        <v>2987</v>
      </c>
      <c r="C2989" s="69">
        <v>252</v>
      </c>
      <c r="D2989" s="69">
        <v>19</v>
      </c>
      <c r="E2989" s="69">
        <v>11</v>
      </c>
      <c r="F2989" s="69">
        <v>0</v>
      </c>
      <c r="G2989" s="69" t="s">
        <v>917</v>
      </c>
      <c r="H2989" s="69" t="s">
        <v>918</v>
      </c>
      <c r="I2989" s="69" t="s">
        <v>2114</v>
      </c>
      <c r="J2989" s="69" t="s">
        <v>214</v>
      </c>
      <c r="K2989" s="69" t="s">
        <v>986</v>
      </c>
      <c r="M2989" s="69" t="s">
        <v>6</v>
      </c>
    </row>
    <row r="2990" spans="2:13">
      <c r="B2990" s="69">
        <v>2988</v>
      </c>
      <c r="C2990" s="69">
        <v>252</v>
      </c>
      <c r="D2990" s="69">
        <v>19</v>
      </c>
      <c r="E2990" s="69">
        <v>12</v>
      </c>
      <c r="F2990" s="69">
        <v>0</v>
      </c>
      <c r="G2990" s="69" t="s">
        <v>917</v>
      </c>
      <c r="H2990" s="69" t="s">
        <v>918</v>
      </c>
      <c r="I2990" s="69" t="s">
        <v>2114</v>
      </c>
      <c r="J2990" s="69" t="s">
        <v>214</v>
      </c>
      <c r="K2990" s="69" t="s">
        <v>987</v>
      </c>
      <c r="M2990" s="69" t="s">
        <v>6</v>
      </c>
    </row>
    <row r="2991" spans="2:13">
      <c r="B2991" s="69">
        <v>2989</v>
      </c>
      <c r="C2991" s="69">
        <v>252</v>
      </c>
      <c r="D2991" s="69">
        <v>19</v>
      </c>
      <c r="E2991" s="69">
        <v>13</v>
      </c>
      <c r="F2991" s="69">
        <v>0</v>
      </c>
      <c r="G2991" s="69" t="s">
        <v>917</v>
      </c>
      <c r="H2991" s="69" t="s">
        <v>918</v>
      </c>
      <c r="I2991" s="69" t="s">
        <v>2114</v>
      </c>
      <c r="J2991" s="69" t="s">
        <v>55</v>
      </c>
      <c r="K2991" s="69" t="s">
        <v>988</v>
      </c>
      <c r="M2991" s="69" t="s">
        <v>6</v>
      </c>
    </row>
    <row r="2992" spans="2:13">
      <c r="B2992" s="69">
        <v>2990</v>
      </c>
      <c r="C2992" s="69">
        <v>252</v>
      </c>
      <c r="D2992" s="69">
        <v>19</v>
      </c>
      <c r="E2992" s="69">
        <v>14</v>
      </c>
      <c r="F2992" s="69">
        <v>0</v>
      </c>
      <c r="G2992" s="69" t="s">
        <v>917</v>
      </c>
      <c r="H2992" s="69" t="s">
        <v>918</v>
      </c>
      <c r="I2992" s="69" t="s">
        <v>2114</v>
      </c>
      <c r="J2992" s="69" t="s">
        <v>479</v>
      </c>
      <c r="K2992" s="69" t="s">
        <v>970</v>
      </c>
      <c r="M2992" s="69" t="s">
        <v>6</v>
      </c>
    </row>
    <row r="2993" spans="2:13">
      <c r="B2993" s="69">
        <v>2991</v>
      </c>
      <c r="C2993" s="69">
        <v>252</v>
      </c>
      <c r="D2993" s="69">
        <v>19</v>
      </c>
      <c r="E2993" s="69">
        <v>15</v>
      </c>
      <c r="F2993" s="69">
        <v>0</v>
      </c>
      <c r="G2993" s="69" t="s">
        <v>917</v>
      </c>
      <c r="H2993" s="69" t="s">
        <v>918</v>
      </c>
      <c r="I2993" s="69" t="s">
        <v>2114</v>
      </c>
      <c r="J2993" s="69" t="s">
        <v>55</v>
      </c>
      <c r="K2993" s="69" t="s">
        <v>989</v>
      </c>
      <c r="M2993" s="69" t="s">
        <v>6</v>
      </c>
    </row>
    <row r="2994" spans="2:13">
      <c r="B2994" s="69">
        <v>2992</v>
      </c>
      <c r="C2994" s="69">
        <v>252</v>
      </c>
      <c r="D2994" s="69">
        <v>19</v>
      </c>
      <c r="E2994" s="69">
        <v>16</v>
      </c>
      <c r="F2994" s="69">
        <v>0</v>
      </c>
      <c r="G2994" s="69" t="s">
        <v>917</v>
      </c>
      <c r="H2994" s="69" t="s">
        <v>918</v>
      </c>
      <c r="I2994" s="69" t="s">
        <v>2114</v>
      </c>
      <c r="J2994" s="69" t="s">
        <v>990</v>
      </c>
      <c r="K2994" s="69" t="s">
        <v>991</v>
      </c>
      <c r="M2994" s="69" t="s">
        <v>6</v>
      </c>
    </row>
    <row r="2995" spans="2:13">
      <c r="B2995" s="69">
        <v>2993</v>
      </c>
      <c r="C2995" s="69">
        <v>252</v>
      </c>
      <c r="D2995" s="69">
        <v>19</v>
      </c>
      <c r="E2995" s="69">
        <v>17</v>
      </c>
      <c r="F2995" s="69">
        <v>0</v>
      </c>
      <c r="G2995" s="69" t="s">
        <v>917</v>
      </c>
      <c r="H2995" s="69" t="s">
        <v>918</v>
      </c>
      <c r="I2995" s="69" t="s">
        <v>2114</v>
      </c>
      <c r="J2995" s="69" t="s">
        <v>951</v>
      </c>
      <c r="K2995" s="69" t="s">
        <v>992</v>
      </c>
      <c r="M2995" s="69" t="s">
        <v>6</v>
      </c>
    </row>
    <row r="2996" spans="2:13">
      <c r="B2996" s="69">
        <v>2994</v>
      </c>
      <c r="C2996" s="69">
        <v>252</v>
      </c>
      <c r="D2996" s="69">
        <v>19</v>
      </c>
      <c r="E2996" s="69">
        <v>18</v>
      </c>
      <c r="F2996" s="69">
        <v>0</v>
      </c>
      <c r="G2996" s="69" t="s">
        <v>917</v>
      </c>
      <c r="H2996" s="69" t="s">
        <v>918</v>
      </c>
      <c r="I2996" s="69" t="s">
        <v>2114</v>
      </c>
      <c r="J2996" s="69" t="s">
        <v>214</v>
      </c>
      <c r="K2996" s="69" t="s">
        <v>993</v>
      </c>
      <c r="M2996" s="69" t="s">
        <v>6</v>
      </c>
    </row>
    <row r="2997" spans="2:13">
      <c r="B2997" s="69">
        <v>2995</v>
      </c>
      <c r="C2997" s="69">
        <v>252</v>
      </c>
      <c r="D2997" s="69">
        <v>19</v>
      </c>
      <c r="E2997" s="69">
        <v>19</v>
      </c>
      <c r="F2997" s="69">
        <v>0</v>
      </c>
      <c r="G2997" s="69" t="s">
        <v>917</v>
      </c>
      <c r="H2997" s="69" t="s">
        <v>918</v>
      </c>
      <c r="I2997" s="69" t="s">
        <v>2114</v>
      </c>
      <c r="J2997" s="69" t="s">
        <v>994</v>
      </c>
      <c r="K2997" s="69" t="s">
        <v>422</v>
      </c>
      <c r="M2997" s="69" t="s">
        <v>6</v>
      </c>
    </row>
    <row r="2998" spans="2:13">
      <c r="B2998" s="69">
        <v>2996</v>
      </c>
      <c r="C2998" s="69">
        <v>253</v>
      </c>
      <c r="D2998" s="69">
        <v>6</v>
      </c>
      <c r="E2998" s="69">
        <v>0</v>
      </c>
      <c r="F2998" s="69">
        <v>0</v>
      </c>
      <c r="G2998" s="69" t="s">
        <v>917</v>
      </c>
      <c r="H2998" s="69" t="s">
        <v>918</v>
      </c>
      <c r="I2998" s="69" t="s">
        <v>2115</v>
      </c>
      <c r="J2998" s="69" t="s">
        <v>54</v>
      </c>
      <c r="K2998" s="69" t="s">
        <v>2115</v>
      </c>
      <c r="M2998" s="69" t="s">
        <v>6</v>
      </c>
    </row>
    <row r="2999" spans="2:13">
      <c r="B2999" s="69">
        <v>2997</v>
      </c>
      <c r="C2999" s="69">
        <v>253</v>
      </c>
      <c r="D2999" s="69">
        <v>6</v>
      </c>
      <c r="E2999" s="69">
        <v>1</v>
      </c>
      <c r="F2999" s="69">
        <v>0</v>
      </c>
      <c r="G2999" s="69" t="s">
        <v>917</v>
      </c>
      <c r="H2999" s="69" t="s">
        <v>918</v>
      </c>
      <c r="I2999" s="69" t="s">
        <v>2115</v>
      </c>
      <c r="J2999" s="69" t="s">
        <v>55</v>
      </c>
      <c r="K2999" s="69" t="s">
        <v>950</v>
      </c>
      <c r="M2999" s="69" t="s">
        <v>6</v>
      </c>
    </row>
    <row r="3000" spans="2:13">
      <c r="B3000" s="69">
        <v>2998</v>
      </c>
      <c r="C3000" s="69">
        <v>253</v>
      </c>
      <c r="D3000" s="69">
        <v>6</v>
      </c>
      <c r="E3000" s="69">
        <v>2</v>
      </c>
      <c r="F3000" s="69">
        <v>0</v>
      </c>
      <c r="G3000" s="69" t="s">
        <v>917</v>
      </c>
      <c r="H3000" s="69" t="s">
        <v>918</v>
      </c>
      <c r="I3000" s="69" t="s">
        <v>2115</v>
      </c>
      <c r="J3000" s="69" t="s">
        <v>951</v>
      </c>
      <c r="K3000" s="69" t="s">
        <v>952</v>
      </c>
      <c r="M3000" s="69" t="s">
        <v>6</v>
      </c>
    </row>
    <row r="3001" spans="2:13">
      <c r="B3001" s="69">
        <v>2999</v>
      </c>
      <c r="C3001" s="69">
        <v>253</v>
      </c>
      <c r="D3001" s="69">
        <v>6</v>
      </c>
      <c r="E3001" s="69">
        <v>3</v>
      </c>
      <c r="F3001" s="69">
        <v>0</v>
      </c>
      <c r="G3001" s="69" t="s">
        <v>917</v>
      </c>
      <c r="H3001" s="69" t="s">
        <v>918</v>
      </c>
      <c r="I3001" s="69" t="s">
        <v>2115</v>
      </c>
      <c r="J3001" s="69" t="s">
        <v>951</v>
      </c>
      <c r="K3001" s="69" t="s">
        <v>953</v>
      </c>
      <c r="M3001" s="69" t="s">
        <v>6</v>
      </c>
    </row>
    <row r="3002" spans="2:13">
      <c r="B3002" s="69">
        <v>3000</v>
      </c>
      <c r="C3002" s="69">
        <v>253</v>
      </c>
      <c r="D3002" s="69">
        <v>6</v>
      </c>
      <c r="E3002" s="69">
        <v>4</v>
      </c>
      <c r="F3002" s="69">
        <v>0</v>
      </c>
      <c r="G3002" s="69" t="s">
        <v>917</v>
      </c>
      <c r="H3002" s="69" t="s">
        <v>918</v>
      </c>
      <c r="I3002" s="69" t="s">
        <v>2115</v>
      </c>
      <c r="J3002" s="69" t="s">
        <v>951</v>
      </c>
      <c r="K3002" s="69" t="s">
        <v>954</v>
      </c>
      <c r="M3002" s="69" t="s">
        <v>6</v>
      </c>
    </row>
    <row r="3003" spans="2:13">
      <c r="B3003" s="69">
        <v>3001</v>
      </c>
      <c r="C3003" s="69">
        <v>253</v>
      </c>
      <c r="D3003" s="69">
        <v>6</v>
      </c>
      <c r="E3003" s="69">
        <v>5</v>
      </c>
      <c r="F3003" s="69">
        <v>0</v>
      </c>
      <c r="G3003" s="69" t="s">
        <v>917</v>
      </c>
      <c r="H3003" s="69" t="s">
        <v>918</v>
      </c>
      <c r="I3003" s="69" t="s">
        <v>2115</v>
      </c>
      <c r="J3003" s="69" t="s">
        <v>951</v>
      </c>
      <c r="K3003" s="69" t="s">
        <v>955</v>
      </c>
      <c r="M3003" s="69" t="s">
        <v>6</v>
      </c>
    </row>
    <row r="3004" spans="2:13">
      <c r="B3004" s="69">
        <v>3002</v>
      </c>
      <c r="C3004" s="69">
        <v>253</v>
      </c>
      <c r="D3004" s="69">
        <v>6</v>
      </c>
      <c r="E3004" s="69">
        <v>6</v>
      </c>
      <c r="F3004" s="69">
        <v>0</v>
      </c>
      <c r="G3004" s="69" t="s">
        <v>917</v>
      </c>
      <c r="H3004" s="69" t="s">
        <v>918</v>
      </c>
      <c r="I3004" s="69" t="s">
        <v>2115</v>
      </c>
      <c r="J3004" s="69" t="s">
        <v>55</v>
      </c>
      <c r="K3004" s="69" t="s">
        <v>956</v>
      </c>
      <c r="M3004" s="69" t="s">
        <v>6</v>
      </c>
    </row>
    <row r="3005" spans="2:13">
      <c r="B3005" s="69">
        <v>3003</v>
      </c>
      <c r="C3005" s="69">
        <v>254</v>
      </c>
      <c r="D3005" s="69">
        <v>5</v>
      </c>
      <c r="E3005" s="69">
        <v>0</v>
      </c>
      <c r="F3005" s="69">
        <v>0</v>
      </c>
      <c r="G3005" s="69" t="s">
        <v>917</v>
      </c>
      <c r="H3005" s="69" t="s">
        <v>918</v>
      </c>
      <c r="I3005" s="69" t="s">
        <v>2116</v>
      </c>
      <c r="J3005" s="69" t="s">
        <v>54</v>
      </c>
      <c r="K3005" s="69" t="s">
        <v>2116</v>
      </c>
      <c r="M3005" s="69" t="s">
        <v>6</v>
      </c>
    </row>
    <row r="3006" spans="2:13">
      <c r="B3006" s="69">
        <v>3004</v>
      </c>
      <c r="C3006" s="69">
        <v>254</v>
      </c>
      <c r="D3006" s="69">
        <v>5</v>
      </c>
      <c r="E3006" s="69">
        <v>1</v>
      </c>
      <c r="F3006" s="69">
        <v>0</v>
      </c>
      <c r="G3006" s="69" t="s">
        <v>917</v>
      </c>
      <c r="H3006" s="69" t="s">
        <v>918</v>
      </c>
      <c r="I3006" s="69" t="s">
        <v>2116</v>
      </c>
      <c r="J3006" s="69" t="s">
        <v>55</v>
      </c>
      <c r="K3006" s="69" t="s">
        <v>974</v>
      </c>
      <c r="M3006" s="69" t="s">
        <v>6</v>
      </c>
    </row>
    <row r="3007" spans="2:13">
      <c r="B3007" s="69">
        <v>3005</v>
      </c>
      <c r="C3007" s="69">
        <v>254</v>
      </c>
      <c r="D3007" s="69">
        <v>5</v>
      </c>
      <c r="E3007" s="69">
        <v>2</v>
      </c>
      <c r="F3007" s="69">
        <v>0</v>
      </c>
      <c r="G3007" s="69" t="s">
        <v>917</v>
      </c>
      <c r="H3007" s="69" t="s">
        <v>918</v>
      </c>
      <c r="I3007" s="69" t="s">
        <v>2116</v>
      </c>
      <c r="J3007" s="69" t="s">
        <v>214</v>
      </c>
      <c r="K3007" s="69" t="s">
        <v>936</v>
      </c>
      <c r="M3007" s="69" t="s">
        <v>6</v>
      </c>
    </row>
    <row r="3008" spans="2:13">
      <c r="B3008" s="69">
        <v>3006</v>
      </c>
      <c r="C3008" s="69">
        <v>254</v>
      </c>
      <c r="D3008" s="69">
        <v>5</v>
      </c>
      <c r="E3008" s="69">
        <v>3</v>
      </c>
      <c r="F3008" s="69">
        <v>0</v>
      </c>
      <c r="G3008" s="69" t="s">
        <v>917</v>
      </c>
      <c r="H3008" s="69" t="s">
        <v>918</v>
      </c>
      <c r="I3008" s="69" t="s">
        <v>2116</v>
      </c>
      <c r="J3008" s="69" t="s">
        <v>214</v>
      </c>
      <c r="K3008" s="69" t="s">
        <v>975</v>
      </c>
      <c r="M3008" s="69" t="s">
        <v>6</v>
      </c>
    </row>
    <row r="3009" spans="2:13">
      <c r="B3009" s="69">
        <v>3007</v>
      </c>
      <c r="C3009" s="69">
        <v>254</v>
      </c>
      <c r="D3009" s="69">
        <v>5</v>
      </c>
      <c r="E3009" s="69">
        <v>4</v>
      </c>
      <c r="F3009" s="69">
        <v>0</v>
      </c>
      <c r="G3009" s="69" t="s">
        <v>917</v>
      </c>
      <c r="H3009" s="69" t="s">
        <v>918</v>
      </c>
      <c r="I3009" s="69" t="s">
        <v>2116</v>
      </c>
      <c r="J3009" s="69" t="s">
        <v>214</v>
      </c>
      <c r="K3009" s="69" t="s">
        <v>938</v>
      </c>
      <c r="M3009" s="69" t="s">
        <v>6</v>
      </c>
    </row>
    <row r="3010" spans="2:13">
      <c r="B3010" s="69">
        <v>3008</v>
      </c>
      <c r="C3010" s="69">
        <v>254</v>
      </c>
      <c r="D3010" s="69">
        <v>5</v>
      </c>
      <c r="E3010" s="69">
        <v>5</v>
      </c>
      <c r="F3010" s="69">
        <v>0</v>
      </c>
      <c r="G3010" s="69" t="s">
        <v>917</v>
      </c>
      <c r="H3010" s="69" t="s">
        <v>918</v>
      </c>
      <c r="I3010" s="69" t="s">
        <v>2116</v>
      </c>
      <c r="J3010" s="69" t="s">
        <v>64</v>
      </c>
      <c r="K3010" s="69" t="s">
        <v>976</v>
      </c>
      <c r="M3010" s="69" t="s">
        <v>6</v>
      </c>
    </row>
    <row r="3011" spans="2:13">
      <c r="B3011" s="69">
        <v>3009</v>
      </c>
      <c r="C3011" s="69">
        <v>255</v>
      </c>
      <c r="D3011" s="69">
        <v>8</v>
      </c>
      <c r="E3011" s="69">
        <v>0</v>
      </c>
      <c r="F3011" s="69">
        <v>0</v>
      </c>
      <c r="G3011" s="69" t="s">
        <v>2023</v>
      </c>
      <c r="H3011" s="69" t="s">
        <v>52</v>
      </c>
      <c r="I3011" s="69" t="s">
        <v>2117</v>
      </c>
      <c r="J3011" s="69" t="s">
        <v>478</v>
      </c>
      <c r="K3011" s="69" t="s">
        <v>2117</v>
      </c>
      <c r="M3011" s="69" t="s">
        <v>6</v>
      </c>
    </row>
    <row r="3012" spans="2:13">
      <c r="B3012" s="69">
        <v>3010</v>
      </c>
      <c r="C3012" s="69">
        <v>255</v>
      </c>
      <c r="D3012" s="69">
        <v>8</v>
      </c>
      <c r="E3012" s="69">
        <v>1</v>
      </c>
      <c r="F3012" s="69">
        <v>0</v>
      </c>
      <c r="G3012" s="69" t="s">
        <v>2023</v>
      </c>
      <c r="H3012" s="69" t="s">
        <v>52</v>
      </c>
      <c r="I3012" s="69" t="s">
        <v>2117</v>
      </c>
      <c r="J3012" s="69" t="s">
        <v>55</v>
      </c>
      <c r="K3012" s="69" t="s">
        <v>2118</v>
      </c>
      <c r="M3012" s="69" t="s">
        <v>6</v>
      </c>
    </row>
    <row r="3013" spans="2:13">
      <c r="B3013" s="69">
        <v>3011</v>
      </c>
      <c r="C3013" s="69">
        <v>255</v>
      </c>
      <c r="D3013" s="69">
        <v>8</v>
      </c>
      <c r="E3013" s="69">
        <v>2</v>
      </c>
      <c r="F3013" s="69">
        <v>0</v>
      </c>
      <c r="G3013" s="69" t="s">
        <v>2023</v>
      </c>
      <c r="H3013" s="69" t="s">
        <v>52</v>
      </c>
      <c r="I3013" s="69" t="s">
        <v>2117</v>
      </c>
      <c r="J3013" s="69" t="s">
        <v>214</v>
      </c>
      <c r="K3013" s="69" t="s">
        <v>2119</v>
      </c>
      <c r="M3013" s="69" t="s">
        <v>6</v>
      </c>
    </row>
    <row r="3014" spans="2:13">
      <c r="B3014" s="69">
        <v>3012</v>
      </c>
      <c r="C3014" s="69">
        <v>255</v>
      </c>
      <c r="D3014" s="69">
        <v>8</v>
      </c>
      <c r="E3014" s="69">
        <v>3</v>
      </c>
      <c r="F3014" s="69">
        <v>0</v>
      </c>
      <c r="G3014" s="69" t="s">
        <v>2023</v>
      </c>
      <c r="H3014" s="69" t="s">
        <v>52</v>
      </c>
      <c r="I3014" s="69" t="s">
        <v>2117</v>
      </c>
      <c r="J3014" s="69" t="s">
        <v>214</v>
      </c>
      <c r="K3014" s="69" t="s">
        <v>2120</v>
      </c>
      <c r="M3014" s="69" t="s">
        <v>6</v>
      </c>
    </row>
    <row r="3015" spans="2:13">
      <c r="B3015" s="69">
        <v>3013</v>
      </c>
      <c r="C3015" s="69">
        <v>255</v>
      </c>
      <c r="D3015" s="69">
        <v>8</v>
      </c>
      <c r="E3015" s="69">
        <v>4</v>
      </c>
      <c r="F3015" s="69">
        <v>0</v>
      </c>
      <c r="G3015" s="69" t="s">
        <v>2023</v>
      </c>
      <c r="H3015" s="69" t="s">
        <v>52</v>
      </c>
      <c r="I3015" s="69" t="s">
        <v>2117</v>
      </c>
      <c r="J3015" s="69" t="s">
        <v>55</v>
      </c>
      <c r="K3015" s="69" t="s">
        <v>2121</v>
      </c>
      <c r="M3015" s="69" t="s">
        <v>6</v>
      </c>
    </row>
    <row r="3016" spans="2:13">
      <c r="B3016" s="69">
        <v>3014</v>
      </c>
      <c r="C3016" s="69">
        <v>255</v>
      </c>
      <c r="D3016" s="69">
        <v>8</v>
      </c>
      <c r="E3016" s="69">
        <v>5</v>
      </c>
      <c r="F3016" s="69">
        <v>0</v>
      </c>
      <c r="G3016" s="69" t="s">
        <v>2023</v>
      </c>
      <c r="H3016" s="69" t="s">
        <v>52</v>
      </c>
      <c r="I3016" s="69" t="s">
        <v>2117</v>
      </c>
      <c r="J3016" s="69" t="s">
        <v>55</v>
      </c>
      <c r="K3016" s="69" t="s">
        <v>2122</v>
      </c>
      <c r="M3016" s="69" t="s">
        <v>6</v>
      </c>
    </row>
    <row r="3017" spans="2:13">
      <c r="B3017" s="69">
        <v>3015</v>
      </c>
      <c r="C3017" s="69">
        <v>255</v>
      </c>
      <c r="D3017" s="69">
        <v>8</v>
      </c>
      <c r="E3017" s="69">
        <v>6</v>
      </c>
      <c r="F3017" s="69">
        <v>0</v>
      </c>
      <c r="G3017" s="69" t="s">
        <v>2023</v>
      </c>
      <c r="H3017" s="69" t="s">
        <v>52</v>
      </c>
      <c r="I3017" s="69" t="s">
        <v>2117</v>
      </c>
      <c r="J3017" s="69" t="s">
        <v>55</v>
      </c>
      <c r="K3017" s="69" t="s">
        <v>2123</v>
      </c>
      <c r="M3017" s="69" t="s">
        <v>6</v>
      </c>
    </row>
    <row r="3018" spans="2:13">
      <c r="B3018" s="69">
        <v>3016</v>
      </c>
      <c r="C3018" s="69">
        <v>255</v>
      </c>
      <c r="D3018" s="69">
        <v>8</v>
      </c>
      <c r="E3018" s="69">
        <v>7</v>
      </c>
      <c r="F3018" s="69">
        <v>0</v>
      </c>
      <c r="G3018" s="69" t="s">
        <v>2023</v>
      </c>
      <c r="H3018" s="69" t="s">
        <v>52</v>
      </c>
      <c r="I3018" s="69" t="s">
        <v>2117</v>
      </c>
      <c r="J3018" s="69" t="s">
        <v>55</v>
      </c>
      <c r="K3018" s="69" t="s">
        <v>2124</v>
      </c>
      <c r="M3018" s="69" t="s">
        <v>6</v>
      </c>
    </row>
    <row r="3019" spans="2:13">
      <c r="B3019" s="69">
        <v>3017</v>
      </c>
      <c r="C3019" s="69">
        <v>255</v>
      </c>
      <c r="D3019" s="69">
        <v>8</v>
      </c>
      <c r="E3019" s="69">
        <v>8</v>
      </c>
      <c r="F3019" s="69">
        <v>0</v>
      </c>
      <c r="G3019" s="69" t="s">
        <v>2023</v>
      </c>
      <c r="H3019" s="69" t="s">
        <v>52</v>
      </c>
      <c r="I3019" s="69" t="s">
        <v>2117</v>
      </c>
      <c r="J3019" s="69" t="s">
        <v>64</v>
      </c>
      <c r="K3019" s="69" t="s">
        <v>2125</v>
      </c>
      <c r="M3019" s="69" t="s">
        <v>6</v>
      </c>
    </row>
    <row r="3020" spans="2:13">
      <c r="B3020" s="69">
        <v>3018</v>
      </c>
      <c r="C3020" s="69">
        <v>256</v>
      </c>
      <c r="D3020" s="69">
        <v>11</v>
      </c>
      <c r="E3020" s="69">
        <v>0</v>
      </c>
      <c r="F3020" s="69">
        <v>0</v>
      </c>
      <c r="G3020" s="69" t="s">
        <v>8</v>
      </c>
      <c r="H3020" s="69" t="s">
        <v>9</v>
      </c>
      <c r="I3020" s="69" t="s">
        <v>2126</v>
      </c>
      <c r="J3020" s="69" t="s">
        <v>54</v>
      </c>
      <c r="K3020" s="69" t="s">
        <v>2126</v>
      </c>
      <c r="M3020" s="69" t="s">
        <v>6</v>
      </c>
    </row>
    <row r="3021" spans="2:13">
      <c r="B3021" s="69">
        <v>3019</v>
      </c>
      <c r="C3021" s="69">
        <v>256</v>
      </c>
      <c r="D3021" s="69">
        <v>11</v>
      </c>
      <c r="E3021" s="69">
        <v>1</v>
      </c>
      <c r="F3021" s="69">
        <v>0</v>
      </c>
      <c r="G3021" s="69" t="s">
        <v>8</v>
      </c>
      <c r="H3021" s="69" t="s">
        <v>9</v>
      </c>
      <c r="I3021" s="69" t="s">
        <v>2126</v>
      </c>
      <c r="J3021" s="69" t="s">
        <v>55</v>
      </c>
      <c r="K3021" s="69" t="s">
        <v>127</v>
      </c>
      <c r="M3021" s="69" t="s">
        <v>6</v>
      </c>
    </row>
    <row r="3022" spans="2:13">
      <c r="B3022" s="69">
        <v>3020</v>
      </c>
      <c r="C3022" s="69">
        <v>256</v>
      </c>
      <c r="D3022" s="69">
        <v>11</v>
      </c>
      <c r="E3022" s="69">
        <v>2</v>
      </c>
      <c r="F3022" s="69">
        <v>0</v>
      </c>
      <c r="G3022" s="69" t="s">
        <v>8</v>
      </c>
      <c r="H3022" s="69" t="s">
        <v>9</v>
      </c>
      <c r="I3022" s="69" t="s">
        <v>2126</v>
      </c>
      <c r="J3022" s="69" t="s">
        <v>55</v>
      </c>
      <c r="K3022" s="69" t="s">
        <v>128</v>
      </c>
      <c r="M3022" s="69" t="s">
        <v>6</v>
      </c>
    </row>
    <row r="3023" spans="2:13">
      <c r="B3023" s="69">
        <v>3021</v>
      </c>
      <c r="C3023" s="69">
        <v>256</v>
      </c>
      <c r="D3023" s="69">
        <v>11</v>
      </c>
      <c r="E3023" s="69">
        <v>3</v>
      </c>
      <c r="F3023" s="69">
        <v>0</v>
      </c>
      <c r="G3023" s="69" t="s">
        <v>8</v>
      </c>
      <c r="H3023" s="69" t="s">
        <v>9</v>
      </c>
      <c r="I3023" s="69" t="s">
        <v>2126</v>
      </c>
      <c r="J3023" s="69" t="s">
        <v>55</v>
      </c>
      <c r="K3023" s="69" t="s">
        <v>2127</v>
      </c>
      <c r="M3023" s="69" t="s">
        <v>6</v>
      </c>
    </row>
    <row r="3024" spans="2:13">
      <c r="B3024" s="69">
        <v>3022</v>
      </c>
      <c r="C3024" s="69">
        <v>256</v>
      </c>
      <c r="D3024" s="69">
        <v>11</v>
      </c>
      <c r="E3024" s="69">
        <v>4</v>
      </c>
      <c r="F3024" s="69">
        <v>0</v>
      </c>
      <c r="G3024" s="69" t="s">
        <v>8</v>
      </c>
      <c r="H3024" s="69" t="s">
        <v>9</v>
      </c>
      <c r="I3024" s="69" t="s">
        <v>2126</v>
      </c>
      <c r="J3024" s="69" t="s">
        <v>55</v>
      </c>
      <c r="K3024" s="69" t="s">
        <v>129</v>
      </c>
      <c r="M3024" s="69" t="s">
        <v>6</v>
      </c>
    </row>
    <row r="3025" spans="2:13">
      <c r="B3025" s="69">
        <v>3023</v>
      </c>
      <c r="C3025" s="69">
        <v>256</v>
      </c>
      <c r="D3025" s="69">
        <v>11</v>
      </c>
      <c r="E3025" s="69">
        <v>5</v>
      </c>
      <c r="F3025" s="69">
        <v>0</v>
      </c>
      <c r="G3025" s="69" t="s">
        <v>8</v>
      </c>
      <c r="H3025" s="69" t="s">
        <v>9</v>
      </c>
      <c r="I3025" s="69" t="s">
        <v>2126</v>
      </c>
      <c r="J3025" s="69" t="s">
        <v>55</v>
      </c>
      <c r="K3025" s="69" t="s">
        <v>166</v>
      </c>
      <c r="M3025" s="69" t="s">
        <v>6</v>
      </c>
    </row>
    <row r="3026" spans="2:13">
      <c r="B3026" s="69">
        <v>3024</v>
      </c>
      <c r="C3026" s="69">
        <v>256</v>
      </c>
      <c r="D3026" s="69">
        <v>11</v>
      </c>
      <c r="E3026" s="69">
        <v>6</v>
      </c>
      <c r="F3026" s="69">
        <v>0</v>
      </c>
      <c r="G3026" s="69" t="s">
        <v>8</v>
      </c>
      <c r="H3026" s="69" t="s">
        <v>9</v>
      </c>
      <c r="I3026" s="69" t="s">
        <v>2126</v>
      </c>
      <c r="J3026" s="69" t="s">
        <v>55</v>
      </c>
      <c r="K3026" s="69" t="s">
        <v>2128</v>
      </c>
      <c r="M3026" s="69" t="s">
        <v>6</v>
      </c>
    </row>
    <row r="3027" spans="2:13">
      <c r="B3027" s="69">
        <v>3025</v>
      </c>
      <c r="C3027" s="69">
        <v>256</v>
      </c>
      <c r="D3027" s="69">
        <v>11</v>
      </c>
      <c r="E3027" s="69">
        <v>7</v>
      </c>
      <c r="F3027" s="69">
        <v>0</v>
      </c>
      <c r="G3027" s="69" t="s">
        <v>8</v>
      </c>
      <c r="H3027" s="69" t="s">
        <v>9</v>
      </c>
      <c r="I3027" s="69" t="s">
        <v>2126</v>
      </c>
      <c r="J3027" s="69" t="s">
        <v>55</v>
      </c>
      <c r="K3027" s="69" t="s">
        <v>174</v>
      </c>
      <c r="M3027" s="69" t="s">
        <v>6</v>
      </c>
    </row>
    <row r="3028" spans="2:13">
      <c r="B3028" s="69">
        <v>3026</v>
      </c>
      <c r="C3028" s="69">
        <v>256</v>
      </c>
      <c r="D3028" s="69">
        <v>11</v>
      </c>
      <c r="E3028" s="69">
        <v>8</v>
      </c>
      <c r="F3028" s="69">
        <v>0</v>
      </c>
      <c r="G3028" s="69" t="s">
        <v>8</v>
      </c>
      <c r="H3028" s="69" t="s">
        <v>9</v>
      </c>
      <c r="I3028" s="69" t="s">
        <v>2126</v>
      </c>
      <c r="J3028" s="69" t="s">
        <v>55</v>
      </c>
      <c r="K3028" s="69" t="s">
        <v>176</v>
      </c>
      <c r="M3028" s="69" t="s">
        <v>6</v>
      </c>
    </row>
    <row r="3029" spans="2:13">
      <c r="B3029" s="69">
        <v>3027</v>
      </c>
      <c r="C3029" s="69">
        <v>256</v>
      </c>
      <c r="D3029" s="69">
        <v>11</v>
      </c>
      <c r="E3029" s="69">
        <v>9</v>
      </c>
      <c r="F3029" s="69">
        <v>0</v>
      </c>
      <c r="G3029" s="69" t="s">
        <v>8</v>
      </c>
      <c r="H3029" s="69" t="s">
        <v>9</v>
      </c>
      <c r="I3029" s="69" t="s">
        <v>2126</v>
      </c>
      <c r="J3029" s="69" t="s">
        <v>55</v>
      </c>
      <c r="K3029" s="69" t="s">
        <v>139</v>
      </c>
      <c r="M3029" s="69" t="s">
        <v>6</v>
      </c>
    </row>
    <row r="3030" spans="2:13">
      <c r="B3030" s="69">
        <v>3028</v>
      </c>
      <c r="C3030" s="69">
        <v>256</v>
      </c>
      <c r="D3030" s="69">
        <v>11</v>
      </c>
      <c r="E3030" s="69">
        <v>10</v>
      </c>
      <c r="F3030" s="69">
        <v>0</v>
      </c>
      <c r="G3030" s="69" t="s">
        <v>8</v>
      </c>
      <c r="H3030" s="69" t="s">
        <v>9</v>
      </c>
      <c r="I3030" s="69" t="s">
        <v>2126</v>
      </c>
      <c r="J3030" s="69" t="s">
        <v>55</v>
      </c>
      <c r="K3030" s="69" t="s">
        <v>93</v>
      </c>
      <c r="M3030" s="69" t="s">
        <v>6</v>
      </c>
    </row>
    <row r="3031" spans="2:13">
      <c r="B3031" s="69">
        <v>3029</v>
      </c>
      <c r="C3031" s="69">
        <v>256</v>
      </c>
      <c r="D3031" s="69">
        <v>11</v>
      </c>
      <c r="E3031" s="69">
        <v>11</v>
      </c>
      <c r="F3031" s="69">
        <v>0</v>
      </c>
      <c r="G3031" s="69" t="s">
        <v>8</v>
      </c>
      <c r="H3031" s="69" t="s">
        <v>9</v>
      </c>
      <c r="I3031" s="69" t="s">
        <v>2126</v>
      </c>
      <c r="J3031" s="69" t="s">
        <v>64</v>
      </c>
      <c r="K3031" s="69" t="s">
        <v>94</v>
      </c>
      <c r="M3031" s="69" t="s">
        <v>6</v>
      </c>
    </row>
    <row r="3032" spans="2:13">
      <c r="B3032" s="69">
        <v>3030</v>
      </c>
      <c r="C3032" s="69">
        <v>257</v>
      </c>
      <c r="D3032" s="69">
        <v>15</v>
      </c>
      <c r="E3032" s="69">
        <v>0</v>
      </c>
      <c r="F3032" s="69">
        <v>0</v>
      </c>
      <c r="G3032" s="69" t="s">
        <v>22</v>
      </c>
      <c r="H3032" s="69" t="s">
        <v>9</v>
      </c>
      <c r="I3032" s="69" t="s">
        <v>2129</v>
      </c>
      <c r="J3032" s="69" t="s">
        <v>54</v>
      </c>
      <c r="K3032" s="69" t="s">
        <v>2129</v>
      </c>
      <c r="M3032" s="69" t="s">
        <v>6</v>
      </c>
    </row>
    <row r="3033" spans="2:13">
      <c r="B3033" s="69">
        <v>3031</v>
      </c>
      <c r="C3033" s="69">
        <v>257</v>
      </c>
      <c r="D3033" s="69">
        <v>15</v>
      </c>
      <c r="E3033" s="69">
        <v>1</v>
      </c>
      <c r="F3033" s="69">
        <v>0</v>
      </c>
      <c r="G3033" s="69" t="s">
        <v>22</v>
      </c>
      <c r="H3033" s="69" t="s">
        <v>9</v>
      </c>
      <c r="I3033" s="69" t="s">
        <v>2129</v>
      </c>
      <c r="J3033" s="69" t="s">
        <v>420</v>
      </c>
      <c r="K3033" s="69" t="s">
        <v>2081</v>
      </c>
      <c r="M3033" s="69" t="s">
        <v>6</v>
      </c>
    </row>
    <row r="3034" spans="2:13">
      <c r="B3034" s="69">
        <v>3032</v>
      </c>
      <c r="C3034" s="69">
        <v>257</v>
      </c>
      <c r="D3034" s="69">
        <v>15</v>
      </c>
      <c r="E3034" s="69">
        <v>2</v>
      </c>
      <c r="F3034" s="69">
        <v>0</v>
      </c>
      <c r="G3034" s="69" t="s">
        <v>22</v>
      </c>
      <c r="H3034" s="69" t="s">
        <v>9</v>
      </c>
      <c r="I3034" s="69" t="s">
        <v>2129</v>
      </c>
      <c r="J3034" s="69" t="s">
        <v>55</v>
      </c>
      <c r="K3034" s="69" t="s">
        <v>2082</v>
      </c>
      <c r="M3034" s="69" t="s">
        <v>6</v>
      </c>
    </row>
    <row r="3035" spans="2:13">
      <c r="B3035" s="69">
        <v>3033</v>
      </c>
      <c r="C3035" s="69">
        <v>257</v>
      </c>
      <c r="D3035" s="69">
        <v>15</v>
      </c>
      <c r="E3035" s="69">
        <v>3</v>
      </c>
      <c r="F3035" s="69">
        <v>0</v>
      </c>
      <c r="G3035" s="69" t="s">
        <v>22</v>
      </c>
      <c r="H3035" s="69" t="s">
        <v>9</v>
      </c>
      <c r="I3035" s="69" t="s">
        <v>2129</v>
      </c>
      <c r="J3035" s="69" t="s">
        <v>55</v>
      </c>
      <c r="K3035" s="69" t="s">
        <v>2083</v>
      </c>
      <c r="M3035" s="69" t="s">
        <v>6</v>
      </c>
    </row>
    <row r="3036" spans="2:13">
      <c r="B3036" s="69">
        <v>3034</v>
      </c>
      <c r="C3036" s="69">
        <v>257</v>
      </c>
      <c r="D3036" s="69">
        <v>15</v>
      </c>
      <c r="E3036" s="69">
        <v>4</v>
      </c>
      <c r="F3036" s="69">
        <v>0</v>
      </c>
      <c r="G3036" s="69" t="s">
        <v>22</v>
      </c>
      <c r="H3036" s="69" t="s">
        <v>9</v>
      </c>
      <c r="I3036" s="69" t="s">
        <v>2129</v>
      </c>
      <c r="J3036" s="69" t="s">
        <v>55</v>
      </c>
      <c r="K3036" s="69" t="s">
        <v>2084</v>
      </c>
      <c r="M3036" s="69" t="s">
        <v>6</v>
      </c>
    </row>
    <row r="3037" spans="2:13">
      <c r="B3037" s="69">
        <v>3035</v>
      </c>
      <c r="C3037" s="69">
        <v>257</v>
      </c>
      <c r="D3037" s="69">
        <v>15</v>
      </c>
      <c r="E3037" s="69">
        <v>5</v>
      </c>
      <c r="F3037" s="69">
        <v>0</v>
      </c>
      <c r="G3037" s="69" t="s">
        <v>22</v>
      </c>
      <c r="H3037" s="69" t="s">
        <v>9</v>
      </c>
      <c r="I3037" s="69" t="s">
        <v>2129</v>
      </c>
      <c r="J3037" s="69" t="s">
        <v>55</v>
      </c>
      <c r="K3037" s="69" t="s">
        <v>2085</v>
      </c>
      <c r="M3037" s="69" t="s">
        <v>6</v>
      </c>
    </row>
    <row r="3038" spans="2:13">
      <c r="B3038" s="69">
        <v>3036</v>
      </c>
      <c r="C3038" s="69">
        <v>257</v>
      </c>
      <c r="D3038" s="69">
        <v>15</v>
      </c>
      <c r="E3038" s="69">
        <v>6</v>
      </c>
      <c r="F3038" s="69">
        <v>0</v>
      </c>
      <c r="G3038" s="69" t="s">
        <v>22</v>
      </c>
      <c r="H3038" s="69" t="s">
        <v>9</v>
      </c>
      <c r="I3038" s="69" t="s">
        <v>2129</v>
      </c>
      <c r="J3038" s="69" t="s">
        <v>55</v>
      </c>
      <c r="K3038" s="69" t="s">
        <v>2086</v>
      </c>
      <c r="M3038" s="69" t="s">
        <v>6</v>
      </c>
    </row>
    <row r="3039" spans="2:13">
      <c r="B3039" s="69">
        <v>3037</v>
      </c>
      <c r="C3039" s="69">
        <v>257</v>
      </c>
      <c r="D3039" s="69">
        <v>15</v>
      </c>
      <c r="E3039" s="69">
        <v>7</v>
      </c>
      <c r="F3039" s="69">
        <v>0</v>
      </c>
      <c r="G3039" s="69" t="s">
        <v>22</v>
      </c>
      <c r="H3039" s="69" t="s">
        <v>9</v>
      </c>
      <c r="I3039" s="69" t="s">
        <v>2129</v>
      </c>
      <c r="J3039" s="69" t="s">
        <v>55</v>
      </c>
      <c r="K3039" s="69" t="s">
        <v>2087</v>
      </c>
      <c r="M3039" s="69" t="s">
        <v>6</v>
      </c>
    </row>
    <row r="3040" spans="2:13">
      <c r="B3040" s="69">
        <v>3038</v>
      </c>
      <c r="C3040" s="69">
        <v>257</v>
      </c>
      <c r="D3040" s="69">
        <v>15</v>
      </c>
      <c r="E3040" s="69">
        <v>8</v>
      </c>
      <c r="F3040" s="69">
        <v>0</v>
      </c>
      <c r="G3040" s="69" t="s">
        <v>22</v>
      </c>
      <c r="H3040" s="69" t="s">
        <v>9</v>
      </c>
      <c r="I3040" s="69" t="s">
        <v>2129</v>
      </c>
      <c r="J3040" s="69" t="s">
        <v>55</v>
      </c>
      <c r="K3040" s="69" t="s">
        <v>2088</v>
      </c>
      <c r="M3040" s="69" t="s">
        <v>6</v>
      </c>
    </row>
    <row r="3041" spans="2:13">
      <c r="B3041" s="69">
        <v>3039</v>
      </c>
      <c r="C3041" s="69">
        <v>257</v>
      </c>
      <c r="D3041" s="69">
        <v>15</v>
      </c>
      <c r="E3041" s="69">
        <v>9</v>
      </c>
      <c r="F3041" s="69">
        <v>0</v>
      </c>
      <c r="G3041" s="69" t="s">
        <v>22</v>
      </c>
      <c r="H3041" s="69" t="s">
        <v>9</v>
      </c>
      <c r="I3041" s="69" t="s">
        <v>2129</v>
      </c>
      <c r="J3041" s="69" t="s">
        <v>55</v>
      </c>
      <c r="K3041" s="69" t="s">
        <v>2089</v>
      </c>
      <c r="M3041" s="69" t="s">
        <v>6</v>
      </c>
    </row>
    <row r="3042" spans="2:13">
      <c r="B3042" s="69">
        <v>3040</v>
      </c>
      <c r="C3042" s="69">
        <v>257</v>
      </c>
      <c r="D3042" s="69">
        <v>15</v>
      </c>
      <c r="E3042" s="69">
        <v>10</v>
      </c>
      <c r="F3042" s="69">
        <v>0</v>
      </c>
      <c r="G3042" s="69" t="s">
        <v>22</v>
      </c>
      <c r="H3042" s="69" t="s">
        <v>9</v>
      </c>
      <c r="I3042" s="69" t="s">
        <v>2129</v>
      </c>
      <c r="J3042" s="69" t="s">
        <v>55</v>
      </c>
      <c r="K3042" s="69" t="s">
        <v>2090</v>
      </c>
      <c r="M3042" s="69" t="s">
        <v>6</v>
      </c>
    </row>
    <row r="3043" spans="2:13">
      <c r="B3043" s="69">
        <v>3041</v>
      </c>
      <c r="C3043" s="69">
        <v>257</v>
      </c>
      <c r="D3043" s="69">
        <v>15</v>
      </c>
      <c r="E3043" s="69">
        <v>11</v>
      </c>
      <c r="F3043" s="69">
        <v>0</v>
      </c>
      <c r="G3043" s="69" t="s">
        <v>22</v>
      </c>
      <c r="H3043" s="69" t="s">
        <v>9</v>
      </c>
      <c r="I3043" s="69" t="s">
        <v>2129</v>
      </c>
      <c r="J3043" s="69" t="s">
        <v>55</v>
      </c>
      <c r="K3043" s="69" t="s">
        <v>2091</v>
      </c>
      <c r="M3043" s="69" t="s">
        <v>6</v>
      </c>
    </row>
    <row r="3044" spans="2:13">
      <c r="B3044" s="69">
        <v>3042</v>
      </c>
      <c r="C3044" s="69">
        <v>257</v>
      </c>
      <c r="D3044" s="69">
        <v>15</v>
      </c>
      <c r="E3044" s="69">
        <v>12</v>
      </c>
      <c r="F3044" s="69">
        <v>0</v>
      </c>
      <c r="G3044" s="69" t="s">
        <v>22</v>
      </c>
      <c r="H3044" s="69" t="s">
        <v>9</v>
      </c>
      <c r="I3044" s="69" t="s">
        <v>2129</v>
      </c>
      <c r="J3044" s="69" t="s">
        <v>55</v>
      </c>
      <c r="K3044" s="69" t="s">
        <v>2092</v>
      </c>
      <c r="M3044" s="69" t="s">
        <v>6</v>
      </c>
    </row>
    <row r="3045" spans="2:13">
      <c r="B3045" s="69">
        <v>3043</v>
      </c>
      <c r="C3045" s="69">
        <v>257</v>
      </c>
      <c r="D3045" s="69">
        <v>15</v>
      </c>
      <c r="E3045" s="69">
        <v>13</v>
      </c>
      <c r="F3045" s="69">
        <v>0</v>
      </c>
      <c r="G3045" s="69" t="s">
        <v>22</v>
      </c>
      <c r="H3045" s="69" t="s">
        <v>9</v>
      </c>
      <c r="I3045" s="69" t="s">
        <v>2129</v>
      </c>
      <c r="J3045" s="69" t="s">
        <v>55</v>
      </c>
      <c r="K3045" s="69" t="s">
        <v>2093</v>
      </c>
      <c r="M3045" s="69" t="s">
        <v>6</v>
      </c>
    </row>
    <row r="3046" spans="2:13">
      <c r="B3046" s="69">
        <v>3044</v>
      </c>
      <c r="C3046" s="69">
        <v>257</v>
      </c>
      <c r="D3046" s="69">
        <v>15</v>
      </c>
      <c r="E3046" s="69">
        <v>14</v>
      </c>
      <c r="F3046" s="69">
        <v>0</v>
      </c>
      <c r="G3046" s="69" t="s">
        <v>22</v>
      </c>
      <c r="H3046" s="69" t="s">
        <v>9</v>
      </c>
      <c r="I3046" s="69" t="s">
        <v>2129</v>
      </c>
      <c r="J3046" s="69" t="s">
        <v>55</v>
      </c>
      <c r="K3046" s="69" t="s">
        <v>2094</v>
      </c>
      <c r="M3046" s="69" t="s">
        <v>6</v>
      </c>
    </row>
    <row r="3047" spans="2:13">
      <c r="B3047" s="69">
        <v>3045</v>
      </c>
      <c r="C3047" s="69">
        <v>257</v>
      </c>
      <c r="D3047" s="69">
        <v>15</v>
      </c>
      <c r="E3047" s="69">
        <v>15</v>
      </c>
      <c r="F3047" s="69">
        <v>0</v>
      </c>
      <c r="G3047" s="69" t="s">
        <v>22</v>
      </c>
      <c r="H3047" s="69" t="s">
        <v>9</v>
      </c>
      <c r="I3047" s="69" t="s">
        <v>2129</v>
      </c>
      <c r="J3047" s="69" t="s">
        <v>2095</v>
      </c>
      <c r="K3047" s="69" t="s">
        <v>2096</v>
      </c>
      <c r="M3047" s="69" t="s">
        <v>6</v>
      </c>
    </row>
    <row r="3048" spans="2:13">
      <c r="B3048" s="69">
        <v>3046</v>
      </c>
      <c r="C3048" s="69">
        <v>258</v>
      </c>
      <c r="D3048" s="69">
        <v>58</v>
      </c>
      <c r="E3048" s="69">
        <v>0</v>
      </c>
      <c r="F3048" s="69">
        <v>0</v>
      </c>
      <c r="G3048" s="69" t="s">
        <v>18</v>
      </c>
      <c r="H3048" s="69" t="s">
        <v>52</v>
      </c>
      <c r="I3048" s="69" t="s">
        <v>2130</v>
      </c>
      <c r="J3048" s="69" t="s">
        <v>478</v>
      </c>
      <c r="K3048" s="69" t="s">
        <v>2130</v>
      </c>
      <c r="M3048" s="69" t="s">
        <v>7</v>
      </c>
    </row>
    <row r="3049" spans="2:13">
      <c r="B3049" s="69">
        <v>3047</v>
      </c>
      <c r="C3049" s="69">
        <v>258</v>
      </c>
      <c r="D3049" s="69">
        <v>58</v>
      </c>
      <c r="E3049" s="69">
        <v>1</v>
      </c>
      <c r="F3049" s="69">
        <v>0</v>
      </c>
      <c r="G3049" s="69" t="s">
        <v>18</v>
      </c>
      <c r="H3049" s="69" t="s">
        <v>52</v>
      </c>
      <c r="I3049" s="69" t="s">
        <v>2130</v>
      </c>
      <c r="J3049" s="69" t="s">
        <v>479</v>
      </c>
      <c r="K3049" s="69" t="s">
        <v>1716</v>
      </c>
      <c r="M3049" s="69" t="s">
        <v>7</v>
      </c>
    </row>
    <row r="3050" spans="2:13">
      <c r="B3050" s="69">
        <v>3048</v>
      </c>
      <c r="C3050" s="69">
        <v>258</v>
      </c>
      <c r="D3050" s="69">
        <v>58</v>
      </c>
      <c r="E3050" s="69">
        <v>2</v>
      </c>
      <c r="F3050" s="69">
        <v>0</v>
      </c>
      <c r="G3050" s="69" t="s">
        <v>18</v>
      </c>
      <c r="H3050" s="69" t="s">
        <v>52</v>
      </c>
      <c r="I3050" s="69" t="s">
        <v>2130</v>
      </c>
      <c r="J3050" s="69" t="s">
        <v>55</v>
      </c>
      <c r="K3050" s="69" t="s">
        <v>1717</v>
      </c>
      <c r="M3050" s="69" t="s">
        <v>7</v>
      </c>
    </row>
    <row r="3051" spans="2:13">
      <c r="B3051" s="69">
        <v>3049</v>
      </c>
      <c r="C3051" s="69">
        <v>258</v>
      </c>
      <c r="D3051" s="69">
        <v>58</v>
      </c>
      <c r="E3051" s="69">
        <v>3</v>
      </c>
      <c r="F3051" s="69">
        <v>0</v>
      </c>
      <c r="G3051" s="69" t="s">
        <v>18</v>
      </c>
      <c r="H3051" s="69" t="s">
        <v>52</v>
      </c>
      <c r="I3051" s="69" t="s">
        <v>2130</v>
      </c>
      <c r="J3051" s="69" t="s">
        <v>214</v>
      </c>
      <c r="K3051" s="69" t="s">
        <v>1613</v>
      </c>
      <c r="M3051" s="69" t="s">
        <v>7</v>
      </c>
    </row>
    <row r="3052" spans="2:13">
      <c r="B3052" s="69">
        <v>3050</v>
      </c>
      <c r="C3052" s="69">
        <v>258</v>
      </c>
      <c r="D3052" s="69">
        <v>58</v>
      </c>
      <c r="E3052" s="69">
        <v>4</v>
      </c>
      <c r="F3052" s="69">
        <v>0</v>
      </c>
      <c r="G3052" s="69" t="s">
        <v>18</v>
      </c>
      <c r="H3052" s="69" t="s">
        <v>52</v>
      </c>
      <c r="I3052" s="69" t="s">
        <v>2130</v>
      </c>
      <c r="J3052" s="69" t="s">
        <v>214</v>
      </c>
      <c r="K3052" s="69" t="s">
        <v>1614</v>
      </c>
      <c r="M3052" s="69" t="s">
        <v>7</v>
      </c>
    </row>
    <row r="3053" spans="2:13">
      <c r="B3053" s="69">
        <v>3051</v>
      </c>
      <c r="C3053" s="69">
        <v>258</v>
      </c>
      <c r="D3053" s="69">
        <v>58</v>
      </c>
      <c r="E3053" s="69">
        <v>5</v>
      </c>
      <c r="F3053" s="69">
        <v>0</v>
      </c>
      <c r="G3053" s="69" t="s">
        <v>18</v>
      </c>
      <c r="H3053" s="69" t="s">
        <v>52</v>
      </c>
      <c r="I3053" s="69" t="s">
        <v>2130</v>
      </c>
      <c r="J3053" s="69" t="s">
        <v>55</v>
      </c>
      <c r="K3053" s="69" t="s">
        <v>1718</v>
      </c>
      <c r="M3053" s="69" t="s">
        <v>7</v>
      </c>
    </row>
    <row r="3054" spans="2:13">
      <c r="B3054" s="69">
        <v>3052</v>
      </c>
      <c r="C3054" s="69">
        <v>258</v>
      </c>
      <c r="D3054" s="69">
        <v>58</v>
      </c>
      <c r="E3054" s="69">
        <v>6</v>
      </c>
      <c r="F3054" s="69">
        <v>0</v>
      </c>
      <c r="G3054" s="69" t="s">
        <v>18</v>
      </c>
      <c r="H3054" s="69" t="s">
        <v>52</v>
      </c>
      <c r="I3054" s="69" t="s">
        <v>2130</v>
      </c>
      <c r="J3054" s="69" t="s">
        <v>479</v>
      </c>
      <c r="K3054" s="69" t="s">
        <v>2131</v>
      </c>
      <c r="M3054" s="69" t="s">
        <v>7</v>
      </c>
    </row>
    <row r="3055" spans="2:13">
      <c r="B3055" s="69">
        <v>3053</v>
      </c>
      <c r="C3055" s="69">
        <v>258</v>
      </c>
      <c r="D3055" s="69">
        <v>58</v>
      </c>
      <c r="E3055" s="69">
        <v>7</v>
      </c>
      <c r="F3055" s="69">
        <v>0</v>
      </c>
      <c r="G3055" s="69" t="s">
        <v>18</v>
      </c>
      <c r="H3055" s="69" t="s">
        <v>52</v>
      </c>
      <c r="I3055" s="69" t="s">
        <v>2130</v>
      </c>
      <c r="J3055" s="69" t="s">
        <v>55</v>
      </c>
      <c r="K3055" s="69" t="s">
        <v>62</v>
      </c>
      <c r="M3055" s="69" t="s">
        <v>7</v>
      </c>
    </row>
    <row r="3056" spans="2:13">
      <c r="B3056" s="69">
        <v>3054</v>
      </c>
      <c r="C3056" s="69">
        <v>258</v>
      </c>
      <c r="D3056" s="69">
        <v>58</v>
      </c>
      <c r="E3056" s="69">
        <v>8</v>
      </c>
      <c r="F3056" s="69">
        <v>0</v>
      </c>
      <c r="G3056" s="69" t="s">
        <v>18</v>
      </c>
      <c r="H3056" s="69" t="s">
        <v>52</v>
      </c>
      <c r="I3056" s="69" t="s">
        <v>2130</v>
      </c>
      <c r="J3056" s="69" t="s">
        <v>55</v>
      </c>
      <c r="K3056" s="69" t="s">
        <v>1577</v>
      </c>
      <c r="M3056" s="69" t="s">
        <v>7</v>
      </c>
    </row>
    <row r="3057" spans="2:13">
      <c r="B3057" s="69">
        <v>3055</v>
      </c>
      <c r="C3057" s="69">
        <v>258</v>
      </c>
      <c r="D3057" s="69">
        <v>58</v>
      </c>
      <c r="E3057" s="69">
        <v>9</v>
      </c>
      <c r="F3057" s="69">
        <v>0</v>
      </c>
      <c r="G3057" s="69" t="s">
        <v>18</v>
      </c>
      <c r="H3057" s="69" t="s">
        <v>52</v>
      </c>
      <c r="I3057" s="69" t="s">
        <v>2130</v>
      </c>
      <c r="J3057" s="69" t="s">
        <v>55</v>
      </c>
      <c r="K3057" s="69" t="s">
        <v>1578</v>
      </c>
      <c r="M3057" s="69" t="s">
        <v>7</v>
      </c>
    </row>
    <row r="3058" spans="2:13">
      <c r="B3058" s="69">
        <v>3056</v>
      </c>
      <c r="C3058" s="69">
        <v>258</v>
      </c>
      <c r="D3058" s="69">
        <v>58</v>
      </c>
      <c r="E3058" s="69">
        <v>10</v>
      </c>
      <c r="F3058" s="69">
        <v>0</v>
      </c>
      <c r="G3058" s="69" t="s">
        <v>18</v>
      </c>
      <c r="H3058" s="69" t="s">
        <v>52</v>
      </c>
      <c r="I3058" s="69" t="s">
        <v>2130</v>
      </c>
      <c r="J3058" s="69" t="s">
        <v>55</v>
      </c>
      <c r="K3058" s="69" t="s">
        <v>1579</v>
      </c>
      <c r="M3058" s="69" t="s">
        <v>7</v>
      </c>
    </row>
    <row r="3059" spans="2:13">
      <c r="B3059" s="69">
        <v>3057</v>
      </c>
      <c r="C3059" s="69">
        <v>258</v>
      </c>
      <c r="D3059" s="69">
        <v>58</v>
      </c>
      <c r="E3059" s="69">
        <v>11</v>
      </c>
      <c r="F3059" s="69">
        <v>0</v>
      </c>
      <c r="G3059" s="69" t="s">
        <v>18</v>
      </c>
      <c r="H3059" s="69" t="s">
        <v>52</v>
      </c>
      <c r="I3059" s="69" t="s">
        <v>2130</v>
      </c>
      <c r="J3059" s="69" t="s">
        <v>55</v>
      </c>
      <c r="K3059" s="69" t="s">
        <v>1580</v>
      </c>
      <c r="M3059" s="69" t="s">
        <v>7</v>
      </c>
    </row>
    <row r="3060" spans="2:13">
      <c r="B3060" s="69">
        <v>3058</v>
      </c>
      <c r="C3060" s="69">
        <v>258</v>
      </c>
      <c r="D3060" s="69">
        <v>58</v>
      </c>
      <c r="E3060" s="69">
        <v>12</v>
      </c>
      <c r="F3060" s="69">
        <v>0</v>
      </c>
      <c r="G3060" s="69" t="s">
        <v>18</v>
      </c>
      <c r="H3060" s="69" t="s">
        <v>52</v>
      </c>
      <c r="I3060" s="69" t="s">
        <v>2130</v>
      </c>
      <c r="J3060" s="69" t="s">
        <v>55</v>
      </c>
      <c r="K3060" s="69" t="s">
        <v>2132</v>
      </c>
      <c r="M3060" s="69" t="s">
        <v>7</v>
      </c>
    </row>
    <row r="3061" spans="2:13">
      <c r="B3061" s="69">
        <v>3059</v>
      </c>
      <c r="C3061" s="69">
        <v>258</v>
      </c>
      <c r="D3061" s="69">
        <v>58</v>
      </c>
      <c r="E3061" s="69">
        <v>13</v>
      </c>
      <c r="F3061" s="69">
        <v>0</v>
      </c>
      <c r="G3061" s="69" t="s">
        <v>18</v>
      </c>
      <c r="H3061" s="69" t="s">
        <v>52</v>
      </c>
      <c r="I3061" s="69" t="s">
        <v>2130</v>
      </c>
      <c r="J3061" s="69" t="s">
        <v>479</v>
      </c>
      <c r="K3061" s="69" t="s">
        <v>1719</v>
      </c>
      <c r="M3061" s="69" t="s">
        <v>7</v>
      </c>
    </row>
    <row r="3062" spans="2:13">
      <c r="B3062" s="69">
        <v>3060</v>
      </c>
      <c r="C3062" s="69">
        <v>258</v>
      </c>
      <c r="D3062" s="69">
        <v>58</v>
      </c>
      <c r="E3062" s="69">
        <v>14</v>
      </c>
      <c r="F3062" s="69">
        <v>0</v>
      </c>
      <c r="G3062" s="69" t="s">
        <v>18</v>
      </c>
      <c r="H3062" s="69" t="s">
        <v>52</v>
      </c>
      <c r="I3062" s="69" t="s">
        <v>2130</v>
      </c>
      <c r="J3062" s="69" t="s">
        <v>55</v>
      </c>
      <c r="K3062" s="69" t="s">
        <v>1720</v>
      </c>
      <c r="M3062" s="69" t="s">
        <v>7</v>
      </c>
    </row>
    <row r="3063" spans="2:13">
      <c r="B3063" s="69">
        <v>3061</v>
      </c>
      <c r="C3063" s="69">
        <v>258</v>
      </c>
      <c r="D3063" s="69">
        <v>58</v>
      </c>
      <c r="E3063" s="69">
        <v>15</v>
      </c>
      <c r="F3063" s="69">
        <v>0</v>
      </c>
      <c r="G3063" s="69" t="s">
        <v>18</v>
      </c>
      <c r="H3063" s="69" t="s">
        <v>52</v>
      </c>
      <c r="I3063" s="69" t="s">
        <v>2130</v>
      </c>
      <c r="J3063" s="69" t="s">
        <v>55</v>
      </c>
      <c r="K3063" s="69" t="s">
        <v>474</v>
      </c>
      <c r="M3063" s="69" t="s">
        <v>7</v>
      </c>
    </row>
    <row r="3064" spans="2:13">
      <c r="B3064" s="69">
        <v>3062</v>
      </c>
      <c r="C3064" s="69">
        <v>258</v>
      </c>
      <c r="D3064" s="69">
        <v>58</v>
      </c>
      <c r="E3064" s="69">
        <v>16</v>
      </c>
      <c r="F3064" s="69">
        <v>0</v>
      </c>
      <c r="G3064" s="69" t="s">
        <v>18</v>
      </c>
      <c r="H3064" s="69" t="s">
        <v>52</v>
      </c>
      <c r="I3064" s="69" t="s">
        <v>2130</v>
      </c>
      <c r="J3064" s="69" t="s">
        <v>55</v>
      </c>
      <c r="K3064" s="69" t="s">
        <v>475</v>
      </c>
      <c r="M3064" s="69" t="s">
        <v>7</v>
      </c>
    </row>
    <row r="3065" spans="2:13">
      <c r="B3065" s="69">
        <v>3063</v>
      </c>
      <c r="C3065" s="69">
        <v>258</v>
      </c>
      <c r="D3065" s="69">
        <v>58</v>
      </c>
      <c r="E3065" s="69">
        <v>17</v>
      </c>
      <c r="F3065" s="69">
        <v>0</v>
      </c>
      <c r="G3065" s="69" t="s">
        <v>18</v>
      </c>
      <c r="H3065" s="69" t="s">
        <v>52</v>
      </c>
      <c r="I3065" s="69" t="s">
        <v>2130</v>
      </c>
      <c r="J3065" s="69" t="s">
        <v>55</v>
      </c>
      <c r="K3065" s="69" t="s">
        <v>476</v>
      </c>
      <c r="M3065" s="69" t="s">
        <v>7</v>
      </c>
    </row>
    <row r="3066" spans="2:13">
      <c r="B3066" s="69">
        <v>3064</v>
      </c>
      <c r="C3066" s="69">
        <v>258</v>
      </c>
      <c r="D3066" s="69">
        <v>58</v>
      </c>
      <c r="E3066" s="69">
        <v>18</v>
      </c>
      <c r="F3066" s="69">
        <v>0</v>
      </c>
      <c r="G3066" s="69" t="s">
        <v>18</v>
      </c>
      <c r="H3066" s="69" t="s">
        <v>52</v>
      </c>
      <c r="I3066" s="69" t="s">
        <v>2130</v>
      </c>
      <c r="J3066" s="69" t="s">
        <v>479</v>
      </c>
      <c r="K3066" s="69" t="s">
        <v>1721</v>
      </c>
      <c r="M3066" s="69" t="s">
        <v>7</v>
      </c>
    </row>
    <row r="3067" spans="2:13">
      <c r="B3067" s="69">
        <v>3065</v>
      </c>
      <c r="C3067" s="69">
        <v>258</v>
      </c>
      <c r="D3067" s="69">
        <v>58</v>
      </c>
      <c r="E3067" s="69">
        <v>19</v>
      </c>
      <c r="F3067" s="69">
        <v>0</v>
      </c>
      <c r="G3067" s="69" t="s">
        <v>18</v>
      </c>
      <c r="H3067" s="69" t="s">
        <v>52</v>
      </c>
      <c r="I3067" s="69" t="s">
        <v>2130</v>
      </c>
      <c r="J3067" s="69" t="s">
        <v>55</v>
      </c>
      <c r="K3067" s="69" t="s">
        <v>1722</v>
      </c>
      <c r="M3067" s="69" t="s">
        <v>7</v>
      </c>
    </row>
    <row r="3068" spans="2:13">
      <c r="B3068" s="69">
        <v>3066</v>
      </c>
      <c r="C3068" s="69">
        <v>258</v>
      </c>
      <c r="D3068" s="69">
        <v>58</v>
      </c>
      <c r="E3068" s="69">
        <v>20</v>
      </c>
      <c r="F3068" s="69">
        <v>0</v>
      </c>
      <c r="G3068" s="69" t="s">
        <v>18</v>
      </c>
      <c r="H3068" s="69" t="s">
        <v>52</v>
      </c>
      <c r="I3068" s="69" t="s">
        <v>2130</v>
      </c>
      <c r="J3068" s="69" t="s">
        <v>55</v>
      </c>
      <c r="K3068" s="69" t="s">
        <v>1723</v>
      </c>
      <c r="M3068" s="69" t="s">
        <v>7</v>
      </c>
    </row>
    <row r="3069" spans="2:13">
      <c r="B3069" s="69">
        <v>3067</v>
      </c>
      <c r="C3069" s="69">
        <v>258</v>
      </c>
      <c r="D3069" s="69">
        <v>58</v>
      </c>
      <c r="E3069" s="69">
        <v>21</v>
      </c>
      <c r="F3069" s="69">
        <v>0</v>
      </c>
      <c r="G3069" s="69" t="s">
        <v>18</v>
      </c>
      <c r="H3069" s="69" t="s">
        <v>52</v>
      </c>
      <c r="I3069" s="69" t="s">
        <v>2130</v>
      </c>
      <c r="J3069" s="69" t="s">
        <v>55</v>
      </c>
      <c r="K3069" s="69" t="s">
        <v>1724</v>
      </c>
      <c r="M3069" s="69" t="s">
        <v>7</v>
      </c>
    </row>
    <row r="3070" spans="2:13">
      <c r="B3070" s="69">
        <v>3068</v>
      </c>
      <c r="C3070" s="69">
        <v>258</v>
      </c>
      <c r="D3070" s="69">
        <v>58</v>
      </c>
      <c r="E3070" s="69">
        <v>22</v>
      </c>
      <c r="F3070" s="69">
        <v>0</v>
      </c>
      <c r="G3070" s="69" t="s">
        <v>18</v>
      </c>
      <c r="H3070" s="69" t="s">
        <v>52</v>
      </c>
      <c r="I3070" s="69" t="s">
        <v>2130</v>
      </c>
      <c r="J3070" s="69" t="s">
        <v>55</v>
      </c>
      <c r="K3070" s="69" t="s">
        <v>1725</v>
      </c>
      <c r="M3070" s="69" t="s">
        <v>7</v>
      </c>
    </row>
    <row r="3071" spans="2:13">
      <c r="B3071" s="69">
        <v>3069</v>
      </c>
      <c r="C3071" s="69">
        <v>258</v>
      </c>
      <c r="D3071" s="69">
        <v>58</v>
      </c>
      <c r="E3071" s="69">
        <v>23</v>
      </c>
      <c r="F3071" s="69">
        <v>0</v>
      </c>
      <c r="G3071" s="69" t="s">
        <v>18</v>
      </c>
      <c r="H3071" s="69" t="s">
        <v>52</v>
      </c>
      <c r="I3071" s="69" t="s">
        <v>2130</v>
      </c>
      <c r="J3071" s="69" t="s">
        <v>55</v>
      </c>
      <c r="K3071" s="69" t="s">
        <v>1726</v>
      </c>
      <c r="M3071" s="69" t="s">
        <v>7</v>
      </c>
    </row>
    <row r="3072" spans="2:13">
      <c r="B3072" s="69">
        <v>3070</v>
      </c>
      <c r="C3072" s="69">
        <v>258</v>
      </c>
      <c r="D3072" s="69">
        <v>58</v>
      </c>
      <c r="E3072" s="69">
        <v>24</v>
      </c>
      <c r="F3072" s="69">
        <v>0</v>
      </c>
      <c r="G3072" s="69" t="s">
        <v>18</v>
      </c>
      <c r="H3072" s="69" t="s">
        <v>52</v>
      </c>
      <c r="I3072" s="69" t="s">
        <v>2130</v>
      </c>
      <c r="J3072" s="69" t="s">
        <v>99</v>
      </c>
      <c r="K3072" s="69" t="s">
        <v>1727</v>
      </c>
      <c r="M3072" s="69" t="s">
        <v>7</v>
      </c>
    </row>
    <row r="3073" spans="2:13">
      <c r="B3073" s="69">
        <v>3071</v>
      </c>
      <c r="C3073" s="69">
        <v>258</v>
      </c>
      <c r="D3073" s="69">
        <v>58</v>
      </c>
      <c r="E3073" s="69">
        <v>25</v>
      </c>
      <c r="F3073" s="69">
        <v>0</v>
      </c>
      <c r="G3073" s="69" t="s">
        <v>18</v>
      </c>
      <c r="H3073" s="69" t="s">
        <v>52</v>
      </c>
      <c r="I3073" s="69" t="s">
        <v>2130</v>
      </c>
      <c r="J3073" s="69" t="s">
        <v>99</v>
      </c>
      <c r="K3073" s="69" t="s">
        <v>1728</v>
      </c>
      <c r="M3073" s="69" t="s">
        <v>7</v>
      </c>
    </row>
    <row r="3074" spans="2:13">
      <c r="B3074" s="69">
        <v>3072</v>
      </c>
      <c r="C3074" s="69">
        <v>258</v>
      </c>
      <c r="D3074" s="69">
        <v>58</v>
      </c>
      <c r="E3074" s="69">
        <v>26</v>
      </c>
      <c r="F3074" s="69">
        <v>0</v>
      </c>
      <c r="G3074" s="69" t="s">
        <v>18</v>
      </c>
      <c r="H3074" s="69" t="s">
        <v>52</v>
      </c>
      <c r="I3074" s="69" t="s">
        <v>2130</v>
      </c>
      <c r="J3074" s="69" t="s">
        <v>55</v>
      </c>
      <c r="K3074" s="69" t="s">
        <v>1729</v>
      </c>
      <c r="M3074" s="69" t="s">
        <v>7</v>
      </c>
    </row>
    <row r="3075" spans="2:13">
      <c r="B3075" s="69">
        <v>3073</v>
      </c>
      <c r="C3075" s="69">
        <v>258</v>
      </c>
      <c r="D3075" s="69">
        <v>58</v>
      </c>
      <c r="E3075" s="69">
        <v>27</v>
      </c>
      <c r="F3075" s="69">
        <v>0</v>
      </c>
      <c r="G3075" s="69" t="s">
        <v>18</v>
      </c>
      <c r="H3075" s="69" t="s">
        <v>52</v>
      </c>
      <c r="I3075" s="69" t="s">
        <v>2130</v>
      </c>
      <c r="J3075" s="69" t="s">
        <v>55</v>
      </c>
      <c r="K3075" s="69" t="s">
        <v>1730</v>
      </c>
      <c r="M3075" s="69" t="s">
        <v>7</v>
      </c>
    </row>
    <row r="3076" spans="2:13">
      <c r="B3076" s="69">
        <v>3074</v>
      </c>
      <c r="C3076" s="69">
        <v>258</v>
      </c>
      <c r="D3076" s="69">
        <v>58</v>
      </c>
      <c r="E3076" s="69">
        <v>28</v>
      </c>
      <c r="F3076" s="69">
        <v>0</v>
      </c>
      <c r="G3076" s="69" t="s">
        <v>18</v>
      </c>
      <c r="H3076" s="69" t="s">
        <v>52</v>
      </c>
      <c r="I3076" s="69" t="s">
        <v>2130</v>
      </c>
      <c r="J3076" s="69" t="s">
        <v>55</v>
      </c>
      <c r="K3076" s="69" t="s">
        <v>1731</v>
      </c>
      <c r="M3076" s="69" t="s">
        <v>7</v>
      </c>
    </row>
    <row r="3077" spans="2:13">
      <c r="B3077" s="69">
        <v>3075</v>
      </c>
      <c r="C3077" s="69">
        <v>258</v>
      </c>
      <c r="D3077" s="69">
        <v>58</v>
      </c>
      <c r="E3077" s="69">
        <v>29</v>
      </c>
      <c r="F3077" s="69">
        <v>0</v>
      </c>
      <c r="G3077" s="69" t="s">
        <v>18</v>
      </c>
      <c r="H3077" s="69" t="s">
        <v>52</v>
      </c>
      <c r="I3077" s="69" t="s">
        <v>2130</v>
      </c>
      <c r="J3077" s="69" t="s">
        <v>55</v>
      </c>
      <c r="K3077" s="69" t="s">
        <v>1732</v>
      </c>
      <c r="M3077" s="69" t="s">
        <v>7</v>
      </c>
    </row>
    <row r="3078" spans="2:13">
      <c r="B3078" s="69">
        <v>3076</v>
      </c>
      <c r="C3078" s="69">
        <v>258</v>
      </c>
      <c r="D3078" s="69">
        <v>58</v>
      </c>
      <c r="E3078" s="69">
        <v>30</v>
      </c>
      <c r="F3078" s="69">
        <v>0</v>
      </c>
      <c r="G3078" s="69" t="s">
        <v>18</v>
      </c>
      <c r="H3078" s="69" t="s">
        <v>52</v>
      </c>
      <c r="I3078" s="69" t="s">
        <v>2130</v>
      </c>
      <c r="J3078" s="69" t="s">
        <v>55</v>
      </c>
      <c r="K3078" s="69" t="s">
        <v>1583</v>
      </c>
      <c r="M3078" s="69" t="s">
        <v>7</v>
      </c>
    </row>
    <row r="3079" spans="2:13">
      <c r="B3079" s="69">
        <v>3077</v>
      </c>
      <c r="C3079" s="69">
        <v>258</v>
      </c>
      <c r="D3079" s="69">
        <v>58</v>
      </c>
      <c r="E3079" s="69">
        <v>31</v>
      </c>
      <c r="F3079" s="69">
        <v>0</v>
      </c>
      <c r="G3079" s="69" t="s">
        <v>18</v>
      </c>
      <c r="H3079" s="69" t="s">
        <v>52</v>
      </c>
      <c r="I3079" s="69" t="s">
        <v>2130</v>
      </c>
      <c r="J3079" s="69" t="s">
        <v>55</v>
      </c>
      <c r="K3079" s="69" t="s">
        <v>1733</v>
      </c>
      <c r="M3079" s="69" t="s">
        <v>7</v>
      </c>
    </row>
    <row r="3080" spans="2:13">
      <c r="B3080" s="69">
        <v>3078</v>
      </c>
      <c r="C3080" s="69">
        <v>258</v>
      </c>
      <c r="D3080" s="69">
        <v>58</v>
      </c>
      <c r="E3080" s="69">
        <v>32</v>
      </c>
      <c r="F3080" s="69">
        <v>0</v>
      </c>
      <c r="G3080" s="69" t="s">
        <v>18</v>
      </c>
      <c r="H3080" s="69" t="s">
        <v>52</v>
      </c>
      <c r="I3080" s="69" t="s">
        <v>2130</v>
      </c>
      <c r="J3080" s="69" t="s">
        <v>479</v>
      </c>
      <c r="K3080" s="69" t="s">
        <v>1734</v>
      </c>
      <c r="M3080" s="69" t="s">
        <v>7</v>
      </c>
    </row>
    <row r="3081" spans="2:13">
      <c r="B3081" s="69">
        <v>3079</v>
      </c>
      <c r="C3081" s="69">
        <v>258</v>
      </c>
      <c r="D3081" s="69">
        <v>58</v>
      </c>
      <c r="E3081" s="69">
        <v>33</v>
      </c>
      <c r="F3081" s="69">
        <v>0</v>
      </c>
      <c r="G3081" s="69" t="s">
        <v>18</v>
      </c>
      <c r="H3081" s="69" t="s">
        <v>52</v>
      </c>
      <c r="I3081" s="69" t="s">
        <v>2130</v>
      </c>
      <c r="J3081" s="69" t="s">
        <v>55</v>
      </c>
      <c r="K3081" s="69" t="s">
        <v>1735</v>
      </c>
      <c r="M3081" s="69" t="s">
        <v>7</v>
      </c>
    </row>
    <row r="3082" spans="2:13">
      <c r="B3082" s="69">
        <v>3080</v>
      </c>
      <c r="C3082" s="69">
        <v>258</v>
      </c>
      <c r="D3082" s="69">
        <v>58</v>
      </c>
      <c r="E3082" s="69">
        <v>34</v>
      </c>
      <c r="F3082" s="69">
        <v>0</v>
      </c>
      <c r="G3082" s="69" t="s">
        <v>18</v>
      </c>
      <c r="H3082" s="69" t="s">
        <v>52</v>
      </c>
      <c r="I3082" s="69" t="s">
        <v>2130</v>
      </c>
      <c r="J3082" s="69" t="s">
        <v>55</v>
      </c>
      <c r="K3082" s="69" t="s">
        <v>1736</v>
      </c>
      <c r="M3082" s="69" t="s">
        <v>7</v>
      </c>
    </row>
    <row r="3083" spans="2:13">
      <c r="B3083" s="69">
        <v>3081</v>
      </c>
      <c r="C3083" s="69">
        <v>258</v>
      </c>
      <c r="D3083" s="69">
        <v>58</v>
      </c>
      <c r="E3083" s="69">
        <v>35</v>
      </c>
      <c r="F3083" s="69">
        <v>0</v>
      </c>
      <c r="G3083" s="69" t="s">
        <v>18</v>
      </c>
      <c r="H3083" s="69" t="s">
        <v>52</v>
      </c>
      <c r="I3083" s="69" t="s">
        <v>2130</v>
      </c>
      <c r="J3083" s="69" t="s">
        <v>55</v>
      </c>
      <c r="K3083" s="69" t="s">
        <v>1737</v>
      </c>
      <c r="M3083" s="69" t="s">
        <v>7</v>
      </c>
    </row>
    <row r="3084" spans="2:13">
      <c r="B3084" s="69">
        <v>3082</v>
      </c>
      <c r="C3084" s="69">
        <v>258</v>
      </c>
      <c r="D3084" s="69">
        <v>58</v>
      </c>
      <c r="E3084" s="69">
        <v>36</v>
      </c>
      <c r="F3084" s="69">
        <v>0</v>
      </c>
      <c r="G3084" s="69" t="s">
        <v>18</v>
      </c>
      <c r="H3084" s="69" t="s">
        <v>52</v>
      </c>
      <c r="I3084" s="69" t="s">
        <v>2130</v>
      </c>
      <c r="J3084" s="69" t="s">
        <v>55</v>
      </c>
      <c r="K3084" s="69" t="s">
        <v>1738</v>
      </c>
      <c r="M3084" s="69" t="s">
        <v>7</v>
      </c>
    </row>
    <row r="3085" spans="2:13">
      <c r="B3085" s="69">
        <v>3083</v>
      </c>
      <c r="C3085" s="69">
        <v>258</v>
      </c>
      <c r="D3085" s="69">
        <v>58</v>
      </c>
      <c r="E3085" s="69">
        <v>37</v>
      </c>
      <c r="F3085" s="69">
        <v>0</v>
      </c>
      <c r="G3085" s="69" t="s">
        <v>18</v>
      </c>
      <c r="H3085" s="69" t="s">
        <v>52</v>
      </c>
      <c r="I3085" s="69" t="s">
        <v>2130</v>
      </c>
      <c r="J3085" s="69" t="s">
        <v>479</v>
      </c>
      <c r="K3085" s="69" t="s">
        <v>1739</v>
      </c>
      <c r="M3085" s="69" t="s">
        <v>7</v>
      </c>
    </row>
    <row r="3086" spans="2:13">
      <c r="B3086" s="69">
        <v>3084</v>
      </c>
      <c r="C3086" s="69">
        <v>258</v>
      </c>
      <c r="D3086" s="69">
        <v>58</v>
      </c>
      <c r="E3086" s="69">
        <v>38</v>
      </c>
      <c r="F3086" s="69">
        <v>0</v>
      </c>
      <c r="G3086" s="69" t="s">
        <v>18</v>
      </c>
      <c r="H3086" s="69" t="s">
        <v>52</v>
      </c>
      <c r="I3086" s="69" t="s">
        <v>2130</v>
      </c>
      <c r="J3086" s="69" t="s">
        <v>55</v>
      </c>
      <c r="K3086" s="69" t="s">
        <v>1740</v>
      </c>
      <c r="M3086" s="69" t="s">
        <v>7</v>
      </c>
    </row>
    <row r="3087" spans="2:13">
      <c r="B3087" s="69">
        <v>3085</v>
      </c>
      <c r="C3087" s="69">
        <v>258</v>
      </c>
      <c r="D3087" s="69">
        <v>58</v>
      </c>
      <c r="E3087" s="69">
        <v>39</v>
      </c>
      <c r="F3087" s="69">
        <v>0</v>
      </c>
      <c r="G3087" s="69" t="s">
        <v>18</v>
      </c>
      <c r="H3087" s="69" t="s">
        <v>52</v>
      </c>
      <c r="I3087" s="69" t="s">
        <v>2130</v>
      </c>
      <c r="J3087" s="69" t="s">
        <v>214</v>
      </c>
      <c r="K3087" s="69" t="s">
        <v>1741</v>
      </c>
      <c r="M3087" s="69" t="s">
        <v>7</v>
      </c>
    </row>
    <row r="3088" spans="2:13">
      <c r="B3088" s="69">
        <v>3086</v>
      </c>
      <c r="C3088" s="69">
        <v>258</v>
      </c>
      <c r="D3088" s="69">
        <v>58</v>
      </c>
      <c r="E3088" s="69">
        <v>40</v>
      </c>
      <c r="F3088" s="69">
        <v>0</v>
      </c>
      <c r="G3088" s="69" t="s">
        <v>18</v>
      </c>
      <c r="H3088" s="69" t="s">
        <v>52</v>
      </c>
      <c r="I3088" s="69" t="s">
        <v>2130</v>
      </c>
      <c r="J3088" s="69" t="s">
        <v>214</v>
      </c>
      <c r="K3088" s="69" t="s">
        <v>1618</v>
      </c>
      <c r="M3088" s="69" t="s">
        <v>7</v>
      </c>
    </row>
    <row r="3089" spans="2:13">
      <c r="B3089" s="69">
        <v>3087</v>
      </c>
      <c r="C3089" s="69">
        <v>258</v>
      </c>
      <c r="D3089" s="69">
        <v>58</v>
      </c>
      <c r="E3089" s="69">
        <v>41</v>
      </c>
      <c r="F3089" s="69">
        <v>0</v>
      </c>
      <c r="G3089" s="69" t="s">
        <v>18</v>
      </c>
      <c r="H3089" s="69" t="s">
        <v>52</v>
      </c>
      <c r="I3089" s="69" t="s">
        <v>2130</v>
      </c>
      <c r="J3089" s="69" t="s">
        <v>214</v>
      </c>
      <c r="K3089" s="69" t="s">
        <v>1619</v>
      </c>
      <c r="M3089" s="69" t="s">
        <v>7</v>
      </c>
    </row>
    <row r="3090" spans="2:13">
      <c r="B3090" s="69">
        <v>3088</v>
      </c>
      <c r="C3090" s="69">
        <v>258</v>
      </c>
      <c r="D3090" s="69">
        <v>58</v>
      </c>
      <c r="E3090" s="69">
        <v>42</v>
      </c>
      <c r="F3090" s="69">
        <v>0</v>
      </c>
      <c r="G3090" s="69" t="s">
        <v>18</v>
      </c>
      <c r="H3090" s="69" t="s">
        <v>52</v>
      </c>
      <c r="I3090" s="69" t="s">
        <v>2130</v>
      </c>
      <c r="J3090" s="69" t="s">
        <v>214</v>
      </c>
      <c r="K3090" s="69" t="s">
        <v>1620</v>
      </c>
      <c r="M3090" s="69" t="s">
        <v>7</v>
      </c>
    </row>
    <row r="3091" spans="2:13">
      <c r="B3091" s="69">
        <v>3089</v>
      </c>
      <c r="C3091" s="69">
        <v>258</v>
      </c>
      <c r="D3091" s="69">
        <v>58</v>
      </c>
      <c r="E3091" s="69">
        <v>43</v>
      </c>
      <c r="F3091" s="69">
        <v>0</v>
      </c>
      <c r="G3091" s="69" t="s">
        <v>18</v>
      </c>
      <c r="H3091" s="69" t="s">
        <v>52</v>
      </c>
      <c r="I3091" s="69" t="s">
        <v>2130</v>
      </c>
      <c r="J3091" s="69" t="s">
        <v>437</v>
      </c>
      <c r="K3091" s="69" t="s">
        <v>1621</v>
      </c>
      <c r="M3091" s="69" t="s">
        <v>7</v>
      </c>
    </row>
    <row r="3092" spans="2:13">
      <c r="B3092" s="69">
        <v>3090</v>
      </c>
      <c r="C3092" s="69">
        <v>258</v>
      </c>
      <c r="D3092" s="69">
        <v>58</v>
      </c>
      <c r="E3092" s="69">
        <v>44</v>
      </c>
      <c r="F3092" s="69">
        <v>0</v>
      </c>
      <c r="G3092" s="69" t="s">
        <v>18</v>
      </c>
      <c r="H3092" s="69" t="s">
        <v>52</v>
      </c>
      <c r="I3092" s="69" t="s">
        <v>2130</v>
      </c>
      <c r="J3092" s="69" t="s">
        <v>55</v>
      </c>
      <c r="K3092" s="69" t="s">
        <v>1581</v>
      </c>
      <c r="M3092" s="69" t="s">
        <v>7</v>
      </c>
    </row>
    <row r="3093" spans="2:13">
      <c r="B3093" s="69">
        <v>3091</v>
      </c>
      <c r="C3093" s="69">
        <v>258</v>
      </c>
      <c r="D3093" s="69">
        <v>58</v>
      </c>
      <c r="E3093" s="69">
        <v>45</v>
      </c>
      <c r="F3093" s="69">
        <v>0</v>
      </c>
      <c r="G3093" s="69" t="s">
        <v>18</v>
      </c>
      <c r="H3093" s="69" t="s">
        <v>52</v>
      </c>
      <c r="I3093" s="69" t="s">
        <v>2130</v>
      </c>
      <c r="J3093" s="69" t="s">
        <v>55</v>
      </c>
      <c r="K3093" s="69" t="s">
        <v>1582</v>
      </c>
      <c r="M3093" s="69" t="s">
        <v>7</v>
      </c>
    </row>
    <row r="3094" spans="2:13">
      <c r="B3094" s="69">
        <v>3092</v>
      </c>
      <c r="C3094" s="69">
        <v>258</v>
      </c>
      <c r="D3094" s="69">
        <v>58</v>
      </c>
      <c r="E3094" s="69">
        <v>46</v>
      </c>
      <c r="F3094" s="69">
        <v>0</v>
      </c>
      <c r="G3094" s="69" t="s">
        <v>18</v>
      </c>
      <c r="H3094" s="69" t="s">
        <v>52</v>
      </c>
      <c r="I3094" s="69" t="s">
        <v>2130</v>
      </c>
      <c r="J3094" s="69" t="s">
        <v>479</v>
      </c>
      <c r="K3094" s="69" t="s">
        <v>1744</v>
      </c>
      <c r="M3094" s="69" t="s">
        <v>7</v>
      </c>
    </row>
    <row r="3095" spans="2:13">
      <c r="B3095" s="69">
        <v>3093</v>
      </c>
      <c r="C3095" s="69">
        <v>258</v>
      </c>
      <c r="D3095" s="69">
        <v>58</v>
      </c>
      <c r="E3095" s="69">
        <v>47</v>
      </c>
      <c r="F3095" s="69">
        <v>0</v>
      </c>
      <c r="G3095" s="69" t="s">
        <v>18</v>
      </c>
      <c r="H3095" s="69" t="s">
        <v>52</v>
      </c>
      <c r="I3095" s="69" t="s">
        <v>2130</v>
      </c>
      <c r="J3095" s="69" t="s">
        <v>55</v>
      </c>
      <c r="K3095" s="69" t="s">
        <v>1745</v>
      </c>
      <c r="M3095" s="69" t="s">
        <v>7</v>
      </c>
    </row>
    <row r="3096" spans="2:13">
      <c r="B3096" s="69">
        <v>3094</v>
      </c>
      <c r="C3096" s="69">
        <v>258</v>
      </c>
      <c r="D3096" s="69">
        <v>58</v>
      </c>
      <c r="E3096" s="69">
        <v>48</v>
      </c>
      <c r="F3096" s="69">
        <v>0</v>
      </c>
      <c r="G3096" s="69" t="s">
        <v>18</v>
      </c>
      <c r="H3096" s="69" t="s">
        <v>52</v>
      </c>
      <c r="I3096" s="69" t="s">
        <v>2130</v>
      </c>
      <c r="J3096" s="69" t="s">
        <v>55</v>
      </c>
      <c r="K3096" s="69" t="s">
        <v>1746</v>
      </c>
      <c r="M3096" s="69" t="s">
        <v>7</v>
      </c>
    </row>
    <row r="3097" spans="2:13">
      <c r="B3097" s="69">
        <v>3095</v>
      </c>
      <c r="C3097" s="69">
        <v>258</v>
      </c>
      <c r="D3097" s="69">
        <v>58</v>
      </c>
      <c r="E3097" s="69">
        <v>49</v>
      </c>
      <c r="F3097" s="69">
        <v>0</v>
      </c>
      <c r="G3097" s="69" t="s">
        <v>18</v>
      </c>
      <c r="H3097" s="69" t="s">
        <v>52</v>
      </c>
      <c r="I3097" s="69" t="s">
        <v>2130</v>
      </c>
      <c r="J3097" s="69" t="s">
        <v>437</v>
      </c>
      <c r="K3097" s="69" t="s">
        <v>1747</v>
      </c>
      <c r="M3097" s="69" t="s">
        <v>7</v>
      </c>
    </row>
    <row r="3098" spans="2:13">
      <c r="B3098" s="69">
        <v>3096</v>
      </c>
      <c r="C3098" s="69">
        <v>258</v>
      </c>
      <c r="D3098" s="69">
        <v>58</v>
      </c>
      <c r="E3098" s="69">
        <v>50</v>
      </c>
      <c r="F3098" s="69">
        <v>0</v>
      </c>
      <c r="G3098" s="69" t="s">
        <v>18</v>
      </c>
      <c r="H3098" s="69" t="s">
        <v>52</v>
      </c>
      <c r="I3098" s="69" t="s">
        <v>2130</v>
      </c>
      <c r="J3098" s="69" t="s">
        <v>55</v>
      </c>
      <c r="K3098" s="69" t="s">
        <v>1748</v>
      </c>
      <c r="M3098" s="69" t="s">
        <v>7</v>
      </c>
    </row>
    <row r="3099" spans="2:13">
      <c r="B3099" s="69">
        <v>3097</v>
      </c>
      <c r="C3099" s="69">
        <v>258</v>
      </c>
      <c r="D3099" s="69">
        <v>58</v>
      </c>
      <c r="E3099" s="69">
        <v>51</v>
      </c>
      <c r="F3099" s="69">
        <v>0</v>
      </c>
      <c r="G3099" s="69" t="s">
        <v>18</v>
      </c>
      <c r="H3099" s="69" t="s">
        <v>52</v>
      </c>
      <c r="I3099" s="69" t="s">
        <v>2130</v>
      </c>
      <c r="J3099" s="69" t="s">
        <v>55</v>
      </c>
      <c r="K3099" s="69" t="s">
        <v>1749</v>
      </c>
      <c r="M3099" s="69" t="s">
        <v>7</v>
      </c>
    </row>
    <row r="3100" spans="2:13">
      <c r="B3100" s="69">
        <v>3098</v>
      </c>
      <c r="C3100" s="69">
        <v>258</v>
      </c>
      <c r="D3100" s="69">
        <v>58</v>
      </c>
      <c r="E3100" s="69">
        <v>52</v>
      </c>
      <c r="F3100" s="69">
        <v>0</v>
      </c>
      <c r="G3100" s="69" t="s">
        <v>18</v>
      </c>
      <c r="H3100" s="69" t="s">
        <v>52</v>
      </c>
      <c r="I3100" s="69" t="s">
        <v>2130</v>
      </c>
      <c r="J3100" s="69" t="s">
        <v>55</v>
      </c>
      <c r="K3100" s="69" t="s">
        <v>1750</v>
      </c>
      <c r="M3100" s="69" t="s">
        <v>7</v>
      </c>
    </row>
    <row r="3101" spans="2:13">
      <c r="B3101" s="69">
        <v>3099</v>
      </c>
      <c r="C3101" s="69">
        <v>258</v>
      </c>
      <c r="D3101" s="69">
        <v>58</v>
      </c>
      <c r="E3101" s="69">
        <v>53</v>
      </c>
      <c r="F3101" s="69">
        <v>0</v>
      </c>
      <c r="G3101" s="69" t="s">
        <v>18</v>
      </c>
      <c r="H3101" s="69" t="s">
        <v>52</v>
      </c>
      <c r="I3101" s="69" t="s">
        <v>2130</v>
      </c>
      <c r="J3101" s="69" t="s">
        <v>479</v>
      </c>
      <c r="K3101" s="69" t="s">
        <v>1751</v>
      </c>
      <c r="M3101" s="69" t="s">
        <v>7</v>
      </c>
    </row>
    <row r="3102" spans="2:13">
      <c r="B3102" s="69">
        <v>3100</v>
      </c>
      <c r="C3102" s="69">
        <v>258</v>
      </c>
      <c r="D3102" s="69">
        <v>58</v>
      </c>
      <c r="E3102" s="69">
        <v>54</v>
      </c>
      <c r="F3102" s="69">
        <v>0</v>
      </c>
      <c r="G3102" s="69" t="s">
        <v>18</v>
      </c>
      <c r="H3102" s="69" t="s">
        <v>52</v>
      </c>
      <c r="I3102" s="69" t="s">
        <v>2130</v>
      </c>
      <c r="J3102" s="69" t="s">
        <v>55</v>
      </c>
      <c r="K3102" s="69" t="s">
        <v>1752</v>
      </c>
      <c r="M3102" s="69" t="s">
        <v>7</v>
      </c>
    </row>
    <row r="3103" spans="2:13">
      <c r="B3103" s="69">
        <v>3101</v>
      </c>
      <c r="C3103" s="69">
        <v>258</v>
      </c>
      <c r="D3103" s="69">
        <v>58</v>
      </c>
      <c r="E3103" s="69">
        <v>55</v>
      </c>
      <c r="F3103" s="69">
        <v>0</v>
      </c>
      <c r="G3103" s="69" t="s">
        <v>18</v>
      </c>
      <c r="H3103" s="69" t="s">
        <v>52</v>
      </c>
      <c r="I3103" s="69" t="s">
        <v>2130</v>
      </c>
      <c r="J3103" s="69" t="s">
        <v>64</v>
      </c>
      <c r="K3103" s="69" t="s">
        <v>1753</v>
      </c>
      <c r="M3103" s="69" t="s">
        <v>7</v>
      </c>
    </row>
    <row r="3104" spans="2:13">
      <c r="B3104" s="69">
        <v>3102</v>
      </c>
      <c r="C3104" s="69">
        <v>258</v>
      </c>
      <c r="D3104" s="69">
        <v>58</v>
      </c>
      <c r="E3104" s="69">
        <v>56</v>
      </c>
      <c r="F3104" s="69">
        <v>0</v>
      </c>
      <c r="G3104" s="69" t="s">
        <v>18</v>
      </c>
      <c r="H3104" s="69" t="s">
        <v>52</v>
      </c>
      <c r="I3104" s="69" t="s">
        <v>2130</v>
      </c>
      <c r="J3104" s="69" t="s">
        <v>55</v>
      </c>
      <c r="K3104" s="69" t="s">
        <v>1754</v>
      </c>
      <c r="M3104" s="69" t="s">
        <v>7</v>
      </c>
    </row>
    <row r="3105" spans="2:13">
      <c r="B3105" s="69">
        <v>3103</v>
      </c>
      <c r="C3105" s="69">
        <v>258</v>
      </c>
      <c r="D3105" s="69">
        <v>58</v>
      </c>
      <c r="E3105" s="69">
        <v>57</v>
      </c>
      <c r="F3105" s="69">
        <v>0</v>
      </c>
      <c r="G3105" s="69" t="s">
        <v>18</v>
      </c>
      <c r="H3105" s="69" t="s">
        <v>52</v>
      </c>
      <c r="I3105" s="69" t="s">
        <v>2130</v>
      </c>
      <c r="J3105" s="69" t="s">
        <v>55</v>
      </c>
      <c r="K3105" s="69" t="s">
        <v>93</v>
      </c>
      <c r="M3105" s="69" t="s">
        <v>7</v>
      </c>
    </row>
    <row r="3106" spans="2:13">
      <c r="B3106" s="69">
        <v>3104</v>
      </c>
      <c r="C3106" s="69">
        <v>258</v>
      </c>
      <c r="D3106" s="69">
        <v>58</v>
      </c>
      <c r="E3106" s="69">
        <v>58</v>
      </c>
      <c r="F3106" s="69">
        <v>0</v>
      </c>
      <c r="G3106" s="69" t="s">
        <v>18</v>
      </c>
      <c r="H3106" s="69" t="s">
        <v>52</v>
      </c>
      <c r="I3106" s="69" t="s">
        <v>2130</v>
      </c>
      <c r="J3106" s="69" t="s">
        <v>64</v>
      </c>
      <c r="K3106" s="69" t="s">
        <v>94</v>
      </c>
      <c r="M3106" s="69" t="s">
        <v>7</v>
      </c>
    </row>
    <row r="3107" spans="2:13">
      <c r="B3107" s="69">
        <v>3105</v>
      </c>
      <c r="C3107" s="69">
        <v>259</v>
      </c>
      <c r="D3107" s="69">
        <v>12</v>
      </c>
      <c r="E3107" s="69">
        <v>0</v>
      </c>
      <c r="F3107" s="69">
        <v>0</v>
      </c>
      <c r="G3107" s="69" t="s">
        <v>18</v>
      </c>
      <c r="H3107" s="69" t="s">
        <v>52</v>
      </c>
      <c r="I3107" s="69" t="s">
        <v>2133</v>
      </c>
      <c r="J3107" s="69" t="s">
        <v>478</v>
      </c>
      <c r="K3107" s="69" t="s">
        <v>2133</v>
      </c>
      <c r="M3107" s="69" t="s">
        <v>6</v>
      </c>
    </row>
    <row r="3108" spans="2:13">
      <c r="B3108" s="69">
        <v>3106</v>
      </c>
      <c r="C3108" s="69">
        <v>259</v>
      </c>
      <c r="D3108" s="69">
        <v>12</v>
      </c>
      <c r="E3108" s="69">
        <v>1</v>
      </c>
      <c r="F3108" s="69">
        <v>0</v>
      </c>
      <c r="G3108" s="69" t="s">
        <v>18</v>
      </c>
      <c r="H3108" s="69" t="s">
        <v>52</v>
      </c>
      <c r="I3108" s="69" t="s">
        <v>2133</v>
      </c>
      <c r="J3108" s="69" t="s">
        <v>55</v>
      </c>
      <c r="K3108" s="69" t="s">
        <v>2134</v>
      </c>
      <c r="M3108" s="69" t="s">
        <v>6</v>
      </c>
    </row>
    <row r="3109" spans="2:13">
      <c r="B3109" s="69">
        <v>3107</v>
      </c>
      <c r="C3109" s="69">
        <v>259</v>
      </c>
      <c r="D3109" s="69">
        <v>12</v>
      </c>
      <c r="E3109" s="69">
        <v>2</v>
      </c>
      <c r="F3109" s="69">
        <v>0</v>
      </c>
      <c r="G3109" s="69" t="s">
        <v>18</v>
      </c>
      <c r="H3109" s="69" t="s">
        <v>52</v>
      </c>
      <c r="I3109" s="69" t="s">
        <v>2133</v>
      </c>
      <c r="J3109" s="69" t="s">
        <v>55</v>
      </c>
      <c r="K3109" s="69" t="s">
        <v>2135</v>
      </c>
      <c r="M3109" s="69" t="s">
        <v>6</v>
      </c>
    </row>
    <row r="3110" spans="2:13">
      <c r="B3110" s="69">
        <v>3108</v>
      </c>
      <c r="C3110" s="69">
        <v>259</v>
      </c>
      <c r="D3110" s="69">
        <v>12</v>
      </c>
      <c r="E3110" s="69">
        <v>3</v>
      </c>
      <c r="F3110" s="69">
        <v>0</v>
      </c>
      <c r="G3110" s="69" t="s">
        <v>18</v>
      </c>
      <c r="H3110" s="69" t="s">
        <v>52</v>
      </c>
      <c r="I3110" s="69" t="s">
        <v>2133</v>
      </c>
      <c r="J3110" s="69" t="s">
        <v>55</v>
      </c>
      <c r="K3110" s="69" t="s">
        <v>2136</v>
      </c>
      <c r="M3110" s="69" t="s">
        <v>6</v>
      </c>
    </row>
    <row r="3111" spans="2:13">
      <c r="B3111" s="69">
        <v>3109</v>
      </c>
      <c r="C3111" s="69">
        <v>259</v>
      </c>
      <c r="D3111" s="69">
        <v>12</v>
      </c>
      <c r="E3111" s="69">
        <v>4</v>
      </c>
      <c r="F3111" s="69">
        <v>0</v>
      </c>
      <c r="G3111" s="69" t="s">
        <v>18</v>
      </c>
      <c r="H3111" s="69" t="s">
        <v>52</v>
      </c>
      <c r="I3111" s="69" t="s">
        <v>2133</v>
      </c>
      <c r="J3111" s="69" t="s">
        <v>55</v>
      </c>
      <c r="K3111" s="69" t="s">
        <v>2137</v>
      </c>
      <c r="M3111" s="69" t="s">
        <v>6</v>
      </c>
    </row>
    <row r="3112" spans="2:13">
      <c r="B3112" s="69">
        <v>3110</v>
      </c>
      <c r="C3112" s="69">
        <v>259</v>
      </c>
      <c r="D3112" s="69">
        <v>12</v>
      </c>
      <c r="E3112" s="69">
        <v>5</v>
      </c>
      <c r="F3112" s="69">
        <v>0</v>
      </c>
      <c r="G3112" s="69" t="s">
        <v>18</v>
      </c>
      <c r="H3112" s="69" t="s">
        <v>52</v>
      </c>
      <c r="I3112" s="69" t="s">
        <v>2133</v>
      </c>
      <c r="J3112" s="69" t="s">
        <v>55</v>
      </c>
      <c r="K3112" s="69" t="s">
        <v>2138</v>
      </c>
      <c r="M3112" s="69" t="s">
        <v>6</v>
      </c>
    </row>
    <row r="3113" spans="2:13">
      <c r="B3113" s="69">
        <v>3111</v>
      </c>
      <c r="C3113" s="69">
        <v>259</v>
      </c>
      <c r="D3113" s="69">
        <v>12</v>
      </c>
      <c r="E3113" s="69">
        <v>6</v>
      </c>
      <c r="F3113" s="69">
        <v>0</v>
      </c>
      <c r="G3113" s="69" t="s">
        <v>18</v>
      </c>
      <c r="H3113" s="69" t="s">
        <v>52</v>
      </c>
      <c r="I3113" s="69" t="s">
        <v>2133</v>
      </c>
      <c r="J3113" s="69" t="s">
        <v>55</v>
      </c>
      <c r="K3113" s="69" t="s">
        <v>2139</v>
      </c>
      <c r="M3113" s="69" t="s">
        <v>6</v>
      </c>
    </row>
    <row r="3114" spans="2:13">
      <c r="B3114" s="69">
        <v>3112</v>
      </c>
      <c r="C3114" s="69">
        <v>259</v>
      </c>
      <c r="D3114" s="69">
        <v>12</v>
      </c>
      <c r="E3114" s="69">
        <v>7</v>
      </c>
      <c r="F3114" s="69">
        <v>0</v>
      </c>
      <c r="G3114" s="69" t="s">
        <v>18</v>
      </c>
      <c r="H3114" s="69" t="s">
        <v>52</v>
      </c>
      <c r="I3114" s="69" t="s">
        <v>2133</v>
      </c>
      <c r="J3114" s="69" t="s">
        <v>55</v>
      </c>
      <c r="K3114" s="69" t="s">
        <v>2140</v>
      </c>
      <c r="M3114" s="69" t="s">
        <v>6</v>
      </c>
    </row>
    <row r="3115" spans="2:13">
      <c r="B3115" s="69">
        <v>3113</v>
      </c>
      <c r="C3115" s="69">
        <v>259</v>
      </c>
      <c r="D3115" s="69">
        <v>12</v>
      </c>
      <c r="E3115" s="69">
        <v>8</v>
      </c>
      <c r="F3115" s="69">
        <v>0</v>
      </c>
      <c r="G3115" s="69" t="s">
        <v>18</v>
      </c>
      <c r="H3115" s="69" t="s">
        <v>52</v>
      </c>
      <c r="I3115" s="69" t="s">
        <v>2133</v>
      </c>
      <c r="J3115" s="69" t="s">
        <v>55</v>
      </c>
      <c r="K3115" s="69" t="s">
        <v>2141</v>
      </c>
      <c r="M3115" s="69" t="s">
        <v>6</v>
      </c>
    </row>
    <row r="3116" spans="2:13">
      <c r="B3116" s="69">
        <v>3114</v>
      </c>
      <c r="C3116" s="69">
        <v>259</v>
      </c>
      <c r="D3116" s="69">
        <v>12</v>
      </c>
      <c r="E3116" s="69">
        <v>9</v>
      </c>
      <c r="F3116" s="69">
        <v>0</v>
      </c>
      <c r="G3116" s="69" t="s">
        <v>18</v>
      </c>
      <c r="H3116" s="69" t="s">
        <v>52</v>
      </c>
      <c r="I3116" s="69" t="s">
        <v>2133</v>
      </c>
      <c r="J3116" s="69" t="s">
        <v>55</v>
      </c>
      <c r="K3116" s="69" t="s">
        <v>2142</v>
      </c>
      <c r="M3116" s="69" t="s">
        <v>6</v>
      </c>
    </row>
    <row r="3117" spans="2:13">
      <c r="B3117" s="69">
        <v>3115</v>
      </c>
      <c r="C3117" s="69">
        <v>259</v>
      </c>
      <c r="D3117" s="69">
        <v>12</v>
      </c>
      <c r="E3117" s="69">
        <v>10</v>
      </c>
      <c r="F3117" s="69">
        <v>0</v>
      </c>
      <c r="G3117" s="69" t="s">
        <v>18</v>
      </c>
      <c r="H3117" s="69" t="s">
        <v>52</v>
      </c>
      <c r="I3117" s="69" t="s">
        <v>2133</v>
      </c>
      <c r="J3117" s="69" t="s">
        <v>55</v>
      </c>
      <c r="K3117" s="69" t="s">
        <v>2143</v>
      </c>
      <c r="M3117" s="69" t="s">
        <v>6</v>
      </c>
    </row>
    <row r="3118" spans="2:13">
      <c r="B3118" s="69">
        <v>3116</v>
      </c>
      <c r="C3118" s="69">
        <v>259</v>
      </c>
      <c r="D3118" s="69">
        <v>12</v>
      </c>
      <c r="E3118" s="69">
        <v>11</v>
      </c>
      <c r="F3118" s="69">
        <v>0</v>
      </c>
      <c r="G3118" s="69" t="s">
        <v>18</v>
      </c>
      <c r="H3118" s="69" t="s">
        <v>52</v>
      </c>
      <c r="I3118" s="69" t="s">
        <v>2133</v>
      </c>
      <c r="J3118" s="69" t="s">
        <v>55</v>
      </c>
      <c r="K3118" s="69" t="s">
        <v>2144</v>
      </c>
      <c r="M3118" s="69" t="s">
        <v>6</v>
      </c>
    </row>
    <row r="3119" spans="2:13">
      <c r="B3119" s="69">
        <v>3117</v>
      </c>
      <c r="C3119" s="69">
        <v>259</v>
      </c>
      <c r="D3119" s="69">
        <v>12</v>
      </c>
      <c r="E3119" s="69">
        <v>12</v>
      </c>
      <c r="F3119" s="69">
        <v>0</v>
      </c>
      <c r="G3119" s="69" t="s">
        <v>18</v>
      </c>
      <c r="H3119" s="69" t="s">
        <v>52</v>
      </c>
      <c r="I3119" s="69" t="s">
        <v>2133</v>
      </c>
      <c r="J3119" s="69" t="s">
        <v>64</v>
      </c>
      <c r="K3119" s="69" t="s">
        <v>2145</v>
      </c>
      <c r="M3119" s="69" t="s">
        <v>6</v>
      </c>
    </row>
    <row r="3120" spans="2:13">
      <c r="B3120" s="69">
        <v>3118</v>
      </c>
      <c r="C3120" s="69">
        <v>260</v>
      </c>
      <c r="D3120" s="69">
        <v>16</v>
      </c>
      <c r="E3120" s="69">
        <v>0</v>
      </c>
      <c r="F3120" s="69">
        <v>0</v>
      </c>
      <c r="G3120" s="69" t="s">
        <v>18</v>
      </c>
      <c r="H3120" s="69" t="s">
        <v>52</v>
      </c>
      <c r="I3120" s="69" t="s">
        <v>2146</v>
      </c>
      <c r="J3120" s="69" t="s">
        <v>478</v>
      </c>
      <c r="K3120" s="69" t="s">
        <v>2146</v>
      </c>
      <c r="M3120" s="69" t="s">
        <v>6</v>
      </c>
    </row>
    <row r="3121" spans="2:13">
      <c r="B3121" s="69">
        <v>3119</v>
      </c>
      <c r="C3121" s="69">
        <v>260</v>
      </c>
      <c r="D3121" s="69">
        <v>16</v>
      </c>
      <c r="E3121" s="69">
        <v>1</v>
      </c>
      <c r="F3121" s="69">
        <v>0</v>
      </c>
      <c r="G3121" s="69" t="s">
        <v>18</v>
      </c>
      <c r="H3121" s="69" t="s">
        <v>52</v>
      </c>
      <c r="I3121" s="69" t="s">
        <v>2146</v>
      </c>
      <c r="J3121" s="69" t="s">
        <v>55</v>
      </c>
      <c r="K3121" s="69" t="s">
        <v>429</v>
      </c>
      <c r="M3121" s="69" t="s">
        <v>6</v>
      </c>
    </row>
    <row r="3122" spans="2:13">
      <c r="B3122" s="69">
        <v>3120</v>
      </c>
      <c r="C3122" s="69">
        <v>260</v>
      </c>
      <c r="D3122" s="69">
        <v>16</v>
      </c>
      <c r="E3122" s="69">
        <v>2</v>
      </c>
      <c r="F3122" s="69">
        <v>0</v>
      </c>
      <c r="G3122" s="69" t="s">
        <v>18</v>
      </c>
      <c r="H3122" s="69" t="s">
        <v>52</v>
      </c>
      <c r="I3122" s="69" t="s">
        <v>2146</v>
      </c>
      <c r="J3122" s="69" t="s">
        <v>55</v>
      </c>
      <c r="K3122" s="69" t="s">
        <v>430</v>
      </c>
      <c r="M3122" s="69" t="s">
        <v>6</v>
      </c>
    </row>
    <row r="3123" spans="2:13">
      <c r="B3123" s="69">
        <v>3121</v>
      </c>
      <c r="C3123" s="69">
        <v>260</v>
      </c>
      <c r="D3123" s="69">
        <v>16</v>
      </c>
      <c r="E3123" s="69">
        <v>3</v>
      </c>
      <c r="F3123" s="69">
        <v>0</v>
      </c>
      <c r="G3123" s="69" t="s">
        <v>18</v>
      </c>
      <c r="H3123" s="69" t="s">
        <v>52</v>
      </c>
      <c r="I3123" s="69" t="s">
        <v>2146</v>
      </c>
      <c r="J3123" s="69" t="s">
        <v>55</v>
      </c>
      <c r="K3123" s="69" t="s">
        <v>2147</v>
      </c>
      <c r="M3123" s="69" t="s">
        <v>6</v>
      </c>
    </row>
    <row r="3124" spans="2:13">
      <c r="B3124" s="69">
        <v>3122</v>
      </c>
      <c r="C3124" s="69">
        <v>260</v>
      </c>
      <c r="D3124" s="69">
        <v>16</v>
      </c>
      <c r="E3124" s="69">
        <v>4</v>
      </c>
      <c r="F3124" s="69">
        <v>0</v>
      </c>
      <c r="G3124" s="69" t="s">
        <v>18</v>
      </c>
      <c r="H3124" s="69" t="s">
        <v>52</v>
      </c>
      <c r="I3124" s="69" t="s">
        <v>2146</v>
      </c>
      <c r="J3124" s="69" t="s">
        <v>55</v>
      </c>
      <c r="K3124" s="69" t="s">
        <v>2148</v>
      </c>
      <c r="M3124" s="69" t="s">
        <v>6</v>
      </c>
    </row>
    <row r="3125" spans="2:13">
      <c r="B3125" s="69">
        <v>3123</v>
      </c>
      <c r="C3125" s="69">
        <v>260</v>
      </c>
      <c r="D3125" s="69">
        <v>16</v>
      </c>
      <c r="E3125" s="69">
        <v>5</v>
      </c>
      <c r="F3125" s="69">
        <v>0</v>
      </c>
      <c r="G3125" s="69" t="s">
        <v>18</v>
      </c>
      <c r="H3125" s="69" t="s">
        <v>52</v>
      </c>
      <c r="I3125" s="69" t="s">
        <v>2146</v>
      </c>
      <c r="J3125" s="69" t="s">
        <v>55</v>
      </c>
      <c r="K3125" s="69" t="s">
        <v>2149</v>
      </c>
      <c r="M3125" s="69" t="s">
        <v>6</v>
      </c>
    </row>
    <row r="3126" spans="2:13">
      <c r="B3126" s="69">
        <v>3124</v>
      </c>
      <c r="C3126" s="69">
        <v>260</v>
      </c>
      <c r="D3126" s="69">
        <v>16</v>
      </c>
      <c r="E3126" s="69">
        <v>6</v>
      </c>
      <c r="F3126" s="69">
        <v>0</v>
      </c>
      <c r="G3126" s="69" t="s">
        <v>18</v>
      </c>
      <c r="H3126" s="69" t="s">
        <v>52</v>
      </c>
      <c r="I3126" s="69" t="s">
        <v>2146</v>
      </c>
      <c r="J3126" s="69" t="s">
        <v>55</v>
      </c>
      <c r="K3126" s="69" t="s">
        <v>2150</v>
      </c>
      <c r="M3126" s="69" t="s">
        <v>6</v>
      </c>
    </row>
    <row r="3127" spans="2:13">
      <c r="B3127" s="69">
        <v>3125</v>
      </c>
      <c r="C3127" s="69">
        <v>260</v>
      </c>
      <c r="D3127" s="69">
        <v>16</v>
      </c>
      <c r="E3127" s="69">
        <v>7</v>
      </c>
      <c r="F3127" s="69">
        <v>0</v>
      </c>
      <c r="G3127" s="69" t="s">
        <v>18</v>
      </c>
      <c r="H3127" s="69" t="s">
        <v>52</v>
      </c>
      <c r="I3127" s="69" t="s">
        <v>2146</v>
      </c>
      <c r="J3127" s="69" t="s">
        <v>55</v>
      </c>
      <c r="K3127" s="69" t="s">
        <v>2136</v>
      </c>
      <c r="M3127" s="69" t="s">
        <v>6</v>
      </c>
    </row>
    <row r="3128" spans="2:13">
      <c r="B3128" s="69">
        <v>3126</v>
      </c>
      <c r="C3128" s="69">
        <v>260</v>
      </c>
      <c r="D3128" s="69">
        <v>16</v>
      </c>
      <c r="E3128" s="69">
        <v>8</v>
      </c>
      <c r="F3128" s="69">
        <v>0</v>
      </c>
      <c r="G3128" s="69" t="s">
        <v>18</v>
      </c>
      <c r="H3128" s="69" t="s">
        <v>52</v>
      </c>
      <c r="I3128" s="69" t="s">
        <v>2146</v>
      </c>
      <c r="J3128" s="69" t="s">
        <v>55</v>
      </c>
      <c r="K3128" s="69" t="s">
        <v>2151</v>
      </c>
      <c r="M3128" s="69" t="s">
        <v>6</v>
      </c>
    </row>
    <row r="3129" spans="2:13">
      <c r="B3129" s="69">
        <v>3127</v>
      </c>
      <c r="C3129" s="69">
        <v>260</v>
      </c>
      <c r="D3129" s="69">
        <v>16</v>
      </c>
      <c r="E3129" s="69">
        <v>9</v>
      </c>
      <c r="F3129" s="69">
        <v>0</v>
      </c>
      <c r="G3129" s="69" t="s">
        <v>18</v>
      </c>
      <c r="H3129" s="69" t="s">
        <v>52</v>
      </c>
      <c r="I3129" s="69" t="s">
        <v>2146</v>
      </c>
      <c r="J3129" s="69" t="s">
        <v>55</v>
      </c>
      <c r="K3129" s="69" t="s">
        <v>2152</v>
      </c>
      <c r="M3129" s="69" t="s">
        <v>6</v>
      </c>
    </row>
    <row r="3130" spans="2:13">
      <c r="B3130" s="69">
        <v>3128</v>
      </c>
      <c r="C3130" s="69">
        <v>260</v>
      </c>
      <c r="D3130" s="69">
        <v>16</v>
      </c>
      <c r="E3130" s="69">
        <v>10</v>
      </c>
      <c r="F3130" s="69">
        <v>0</v>
      </c>
      <c r="G3130" s="69" t="s">
        <v>18</v>
      </c>
      <c r="H3130" s="69" t="s">
        <v>52</v>
      </c>
      <c r="I3130" s="69" t="s">
        <v>2146</v>
      </c>
      <c r="J3130" s="69" t="s">
        <v>55</v>
      </c>
      <c r="K3130" s="69" t="s">
        <v>2142</v>
      </c>
      <c r="M3130" s="69" t="s">
        <v>6</v>
      </c>
    </row>
    <row r="3131" spans="2:13">
      <c r="B3131" s="69">
        <v>3129</v>
      </c>
      <c r="C3131" s="69">
        <v>260</v>
      </c>
      <c r="D3131" s="69">
        <v>16</v>
      </c>
      <c r="E3131" s="69">
        <v>11</v>
      </c>
      <c r="F3131" s="69">
        <v>0</v>
      </c>
      <c r="G3131" s="69" t="s">
        <v>18</v>
      </c>
      <c r="H3131" s="69" t="s">
        <v>52</v>
      </c>
      <c r="I3131" s="69" t="s">
        <v>2146</v>
      </c>
      <c r="J3131" s="69" t="s">
        <v>55</v>
      </c>
      <c r="K3131" s="69" t="s">
        <v>2143</v>
      </c>
      <c r="M3131" s="69" t="s">
        <v>6</v>
      </c>
    </row>
    <row r="3132" spans="2:13">
      <c r="B3132" s="69">
        <v>3130</v>
      </c>
      <c r="C3132" s="69">
        <v>260</v>
      </c>
      <c r="D3132" s="69">
        <v>16</v>
      </c>
      <c r="E3132" s="69">
        <v>12</v>
      </c>
      <c r="F3132" s="69">
        <v>0</v>
      </c>
      <c r="G3132" s="69" t="s">
        <v>18</v>
      </c>
      <c r="H3132" s="69" t="s">
        <v>52</v>
      </c>
      <c r="I3132" s="69" t="s">
        <v>2146</v>
      </c>
      <c r="J3132" s="69" t="s">
        <v>55</v>
      </c>
      <c r="K3132" s="69" t="s">
        <v>2144</v>
      </c>
      <c r="M3132" s="69" t="s">
        <v>6</v>
      </c>
    </row>
    <row r="3133" spans="2:13">
      <c r="B3133" s="69">
        <v>3131</v>
      </c>
      <c r="C3133" s="69">
        <v>260</v>
      </c>
      <c r="D3133" s="69">
        <v>16</v>
      </c>
      <c r="E3133" s="69">
        <v>13</v>
      </c>
      <c r="F3133" s="69">
        <v>0</v>
      </c>
      <c r="G3133" s="69" t="s">
        <v>18</v>
      </c>
      <c r="H3133" s="69" t="s">
        <v>52</v>
      </c>
      <c r="I3133" s="69" t="s">
        <v>2146</v>
      </c>
      <c r="J3133" s="69" t="s">
        <v>55</v>
      </c>
      <c r="K3133" s="69" t="s">
        <v>2153</v>
      </c>
      <c r="M3133" s="69" t="s">
        <v>6</v>
      </c>
    </row>
    <row r="3134" spans="2:13">
      <c r="B3134" s="69">
        <v>3132</v>
      </c>
      <c r="C3134" s="69">
        <v>260</v>
      </c>
      <c r="D3134" s="69">
        <v>16</v>
      </c>
      <c r="E3134" s="69">
        <v>14</v>
      </c>
      <c r="F3134" s="69">
        <v>0</v>
      </c>
      <c r="G3134" s="69" t="s">
        <v>18</v>
      </c>
      <c r="H3134" s="69" t="s">
        <v>52</v>
      </c>
      <c r="I3134" s="69" t="s">
        <v>2146</v>
      </c>
      <c r="J3134" s="69" t="s">
        <v>55</v>
      </c>
      <c r="K3134" s="69" t="s">
        <v>441</v>
      </c>
      <c r="M3134" s="69" t="s">
        <v>6</v>
      </c>
    </row>
    <row r="3135" spans="2:13">
      <c r="B3135" s="69">
        <v>3133</v>
      </c>
      <c r="C3135" s="69">
        <v>260</v>
      </c>
      <c r="D3135" s="69">
        <v>16</v>
      </c>
      <c r="E3135" s="69">
        <v>15</v>
      </c>
      <c r="F3135" s="69">
        <v>0</v>
      </c>
      <c r="G3135" s="69" t="s">
        <v>18</v>
      </c>
      <c r="H3135" s="69" t="s">
        <v>52</v>
      </c>
      <c r="I3135" s="69" t="s">
        <v>2146</v>
      </c>
      <c r="J3135" s="69" t="s">
        <v>437</v>
      </c>
      <c r="K3135" s="69" t="s">
        <v>438</v>
      </c>
      <c r="M3135" s="69" t="s">
        <v>6</v>
      </c>
    </row>
    <row r="3136" spans="2:13">
      <c r="B3136" s="69">
        <v>3134</v>
      </c>
      <c r="C3136" s="69">
        <v>260</v>
      </c>
      <c r="D3136" s="69">
        <v>16</v>
      </c>
      <c r="E3136" s="69">
        <v>16</v>
      </c>
      <c r="F3136" s="69">
        <v>0</v>
      </c>
      <c r="G3136" s="69" t="s">
        <v>18</v>
      </c>
      <c r="H3136" s="69" t="s">
        <v>52</v>
      </c>
      <c r="I3136" s="69" t="s">
        <v>2146</v>
      </c>
      <c r="J3136" s="69" t="s">
        <v>64</v>
      </c>
      <c r="K3136" s="69" t="s">
        <v>440</v>
      </c>
      <c r="M3136" s="69" t="s">
        <v>6</v>
      </c>
    </row>
    <row r="3137" spans="2:13">
      <c r="B3137" s="69">
        <v>3135</v>
      </c>
      <c r="C3137" s="69">
        <v>261</v>
      </c>
      <c r="D3137" s="69">
        <v>40</v>
      </c>
      <c r="E3137" s="69">
        <v>0</v>
      </c>
      <c r="F3137" s="69">
        <v>0</v>
      </c>
      <c r="G3137" s="69" t="s">
        <v>2023</v>
      </c>
      <c r="H3137" s="69" t="s">
        <v>52</v>
      </c>
      <c r="I3137" s="69" t="s">
        <v>2154</v>
      </c>
      <c r="J3137" s="69" t="s">
        <v>478</v>
      </c>
      <c r="K3137" s="69" t="s">
        <v>2154</v>
      </c>
      <c r="M3137" s="69" t="s">
        <v>6</v>
      </c>
    </row>
    <row r="3138" spans="2:13">
      <c r="B3138" s="69">
        <v>3136</v>
      </c>
      <c r="C3138" s="69">
        <v>261</v>
      </c>
      <c r="D3138" s="69">
        <v>40</v>
      </c>
      <c r="E3138" s="69">
        <v>1</v>
      </c>
      <c r="F3138" s="69">
        <v>0</v>
      </c>
      <c r="G3138" s="69" t="s">
        <v>2023</v>
      </c>
      <c r="H3138" s="69" t="s">
        <v>52</v>
      </c>
      <c r="I3138" s="69" t="s">
        <v>2154</v>
      </c>
      <c r="J3138" s="69" t="s">
        <v>479</v>
      </c>
      <c r="K3138" s="69" t="s">
        <v>2155</v>
      </c>
      <c r="M3138" s="69" t="s">
        <v>6</v>
      </c>
    </row>
    <row r="3139" spans="2:13">
      <c r="B3139" s="69">
        <v>3137</v>
      </c>
      <c r="C3139" s="69">
        <v>261</v>
      </c>
      <c r="D3139" s="69">
        <v>40</v>
      </c>
      <c r="E3139" s="69">
        <v>2</v>
      </c>
      <c r="F3139" s="69">
        <v>0</v>
      </c>
      <c r="G3139" s="69" t="s">
        <v>2023</v>
      </c>
      <c r="H3139" s="69" t="s">
        <v>52</v>
      </c>
      <c r="I3139" s="69" t="s">
        <v>2154</v>
      </c>
      <c r="J3139" s="69" t="s">
        <v>55</v>
      </c>
      <c r="K3139" s="69" t="s">
        <v>429</v>
      </c>
      <c r="M3139" s="69" t="s">
        <v>6</v>
      </c>
    </row>
    <row r="3140" spans="2:13">
      <c r="B3140" s="69">
        <v>3138</v>
      </c>
      <c r="C3140" s="69">
        <v>261</v>
      </c>
      <c r="D3140" s="69">
        <v>40</v>
      </c>
      <c r="E3140" s="69">
        <v>3</v>
      </c>
      <c r="F3140" s="69">
        <v>0</v>
      </c>
      <c r="G3140" s="69" t="s">
        <v>2023</v>
      </c>
      <c r="H3140" s="69" t="s">
        <v>52</v>
      </c>
      <c r="I3140" s="69" t="s">
        <v>2154</v>
      </c>
      <c r="J3140" s="69" t="s">
        <v>55</v>
      </c>
      <c r="K3140" s="69" t="s">
        <v>430</v>
      </c>
      <c r="M3140" s="69" t="s">
        <v>6</v>
      </c>
    </row>
    <row r="3141" spans="2:13">
      <c r="B3141" s="69">
        <v>3139</v>
      </c>
      <c r="C3141" s="69">
        <v>261</v>
      </c>
      <c r="D3141" s="69">
        <v>40</v>
      </c>
      <c r="E3141" s="69">
        <v>4</v>
      </c>
      <c r="F3141" s="69">
        <v>0</v>
      </c>
      <c r="G3141" s="69" t="s">
        <v>2023</v>
      </c>
      <c r="H3141" s="69" t="s">
        <v>52</v>
      </c>
      <c r="I3141" s="69" t="s">
        <v>2154</v>
      </c>
      <c r="J3141" s="69" t="s">
        <v>55</v>
      </c>
      <c r="K3141" s="69" t="s">
        <v>2025</v>
      </c>
      <c r="M3141" s="69" t="s">
        <v>6</v>
      </c>
    </row>
    <row r="3142" spans="2:13">
      <c r="B3142" s="69">
        <v>3140</v>
      </c>
      <c r="C3142" s="69">
        <v>261</v>
      </c>
      <c r="D3142" s="69">
        <v>40</v>
      </c>
      <c r="E3142" s="69">
        <v>5</v>
      </c>
      <c r="F3142" s="69">
        <v>0</v>
      </c>
      <c r="G3142" s="69" t="s">
        <v>2023</v>
      </c>
      <c r="H3142" s="69" t="s">
        <v>52</v>
      </c>
      <c r="I3142" s="69" t="s">
        <v>2154</v>
      </c>
      <c r="J3142" s="69" t="s">
        <v>55</v>
      </c>
      <c r="K3142" s="69" t="s">
        <v>2156</v>
      </c>
      <c r="M3142" s="69" t="s">
        <v>6</v>
      </c>
    </row>
    <row r="3143" spans="2:13">
      <c r="B3143" s="69">
        <v>3141</v>
      </c>
      <c r="C3143" s="69">
        <v>261</v>
      </c>
      <c r="D3143" s="69">
        <v>40</v>
      </c>
      <c r="E3143" s="69">
        <v>6</v>
      </c>
      <c r="F3143" s="69">
        <v>0</v>
      </c>
      <c r="G3143" s="69" t="s">
        <v>2023</v>
      </c>
      <c r="H3143" s="69" t="s">
        <v>52</v>
      </c>
      <c r="I3143" s="69" t="s">
        <v>2154</v>
      </c>
      <c r="J3143" s="69" t="s">
        <v>55</v>
      </c>
      <c r="K3143" s="69" t="s">
        <v>2157</v>
      </c>
      <c r="M3143" s="69" t="s">
        <v>6</v>
      </c>
    </row>
    <row r="3144" spans="2:13">
      <c r="B3144" s="69">
        <v>3142</v>
      </c>
      <c r="C3144" s="69">
        <v>261</v>
      </c>
      <c r="D3144" s="69">
        <v>40</v>
      </c>
      <c r="E3144" s="69">
        <v>7</v>
      </c>
      <c r="F3144" s="69">
        <v>0</v>
      </c>
      <c r="G3144" s="69" t="s">
        <v>2023</v>
      </c>
      <c r="H3144" s="69" t="s">
        <v>52</v>
      </c>
      <c r="I3144" s="69" t="s">
        <v>2154</v>
      </c>
      <c r="J3144" s="69" t="s">
        <v>55</v>
      </c>
      <c r="K3144" s="69" t="s">
        <v>2158</v>
      </c>
      <c r="M3144" s="69" t="s">
        <v>6</v>
      </c>
    </row>
    <row r="3145" spans="2:13">
      <c r="B3145" s="69">
        <v>3143</v>
      </c>
      <c r="C3145" s="69">
        <v>261</v>
      </c>
      <c r="D3145" s="69">
        <v>40</v>
      </c>
      <c r="E3145" s="69">
        <v>8</v>
      </c>
      <c r="F3145" s="69">
        <v>0</v>
      </c>
      <c r="G3145" s="69" t="s">
        <v>2023</v>
      </c>
      <c r="H3145" s="69" t="s">
        <v>52</v>
      </c>
      <c r="I3145" s="69" t="s">
        <v>2154</v>
      </c>
      <c r="J3145" s="69" t="s">
        <v>55</v>
      </c>
      <c r="K3145" s="69" t="s">
        <v>2159</v>
      </c>
      <c r="M3145" s="69" t="s">
        <v>6</v>
      </c>
    </row>
    <row r="3146" spans="2:13">
      <c r="B3146" s="69">
        <v>3144</v>
      </c>
      <c r="C3146" s="69">
        <v>261</v>
      </c>
      <c r="D3146" s="69">
        <v>40</v>
      </c>
      <c r="E3146" s="69">
        <v>9</v>
      </c>
      <c r="F3146" s="69">
        <v>0</v>
      </c>
      <c r="G3146" s="69" t="s">
        <v>2023</v>
      </c>
      <c r="H3146" s="69" t="s">
        <v>52</v>
      </c>
      <c r="I3146" s="69" t="s">
        <v>2154</v>
      </c>
      <c r="J3146" s="69" t="s">
        <v>55</v>
      </c>
      <c r="K3146" s="69" t="s">
        <v>2160</v>
      </c>
      <c r="M3146" s="69" t="s">
        <v>6</v>
      </c>
    </row>
    <row r="3147" spans="2:13">
      <c r="B3147" s="69">
        <v>3145</v>
      </c>
      <c r="C3147" s="69">
        <v>261</v>
      </c>
      <c r="D3147" s="69">
        <v>40</v>
      </c>
      <c r="E3147" s="69">
        <v>10</v>
      </c>
      <c r="F3147" s="69">
        <v>0</v>
      </c>
      <c r="G3147" s="69" t="s">
        <v>2023</v>
      </c>
      <c r="H3147" s="69" t="s">
        <v>52</v>
      </c>
      <c r="I3147" s="69" t="s">
        <v>2154</v>
      </c>
      <c r="J3147" s="69" t="s">
        <v>55</v>
      </c>
      <c r="K3147" s="69" t="s">
        <v>441</v>
      </c>
      <c r="M3147" s="69" t="s">
        <v>6</v>
      </c>
    </row>
    <row r="3148" spans="2:13">
      <c r="B3148" s="69">
        <v>3146</v>
      </c>
      <c r="C3148" s="69">
        <v>261</v>
      </c>
      <c r="D3148" s="69">
        <v>40</v>
      </c>
      <c r="E3148" s="69">
        <v>11</v>
      </c>
      <c r="F3148" s="69">
        <v>0</v>
      </c>
      <c r="G3148" s="69" t="s">
        <v>2023</v>
      </c>
      <c r="H3148" s="69" t="s">
        <v>52</v>
      </c>
      <c r="I3148" s="69" t="s">
        <v>2154</v>
      </c>
      <c r="J3148" s="69" t="s">
        <v>437</v>
      </c>
      <c r="K3148" s="69" t="s">
        <v>438</v>
      </c>
      <c r="L3148" s="69" t="s">
        <v>439</v>
      </c>
      <c r="M3148" s="69" t="s">
        <v>6</v>
      </c>
    </row>
    <row r="3149" spans="2:13">
      <c r="B3149" s="69">
        <v>3147</v>
      </c>
      <c r="C3149" s="69">
        <v>261</v>
      </c>
      <c r="D3149" s="69">
        <v>40</v>
      </c>
      <c r="E3149" s="69">
        <v>12</v>
      </c>
      <c r="F3149" s="69">
        <v>0</v>
      </c>
      <c r="G3149" s="69" t="s">
        <v>2023</v>
      </c>
      <c r="H3149" s="69" t="s">
        <v>52</v>
      </c>
      <c r="I3149" s="69" t="s">
        <v>2154</v>
      </c>
      <c r="J3149" s="69" t="s">
        <v>64</v>
      </c>
      <c r="K3149" s="69" t="s">
        <v>440</v>
      </c>
      <c r="M3149" s="69" t="s">
        <v>6</v>
      </c>
    </row>
    <row r="3150" spans="2:13">
      <c r="B3150" s="69">
        <v>3148</v>
      </c>
      <c r="C3150" s="69">
        <v>261</v>
      </c>
      <c r="D3150" s="69">
        <v>40</v>
      </c>
      <c r="E3150" s="69">
        <v>13</v>
      </c>
      <c r="F3150" s="69">
        <v>0</v>
      </c>
      <c r="G3150" s="69" t="s">
        <v>2023</v>
      </c>
      <c r="H3150" s="69" t="s">
        <v>52</v>
      </c>
      <c r="I3150" s="69" t="s">
        <v>2154</v>
      </c>
      <c r="J3150" s="69" t="s">
        <v>479</v>
      </c>
      <c r="K3150" s="69" t="s">
        <v>2161</v>
      </c>
      <c r="M3150" s="69" t="s">
        <v>6</v>
      </c>
    </row>
    <row r="3151" spans="2:13">
      <c r="B3151" s="69">
        <v>3149</v>
      </c>
      <c r="C3151" s="69">
        <v>261</v>
      </c>
      <c r="D3151" s="69">
        <v>40</v>
      </c>
      <c r="E3151" s="69">
        <v>14</v>
      </c>
      <c r="F3151" s="69">
        <v>0</v>
      </c>
      <c r="G3151" s="69" t="s">
        <v>2023</v>
      </c>
      <c r="H3151" s="69" t="s">
        <v>52</v>
      </c>
      <c r="I3151" s="69" t="s">
        <v>2154</v>
      </c>
      <c r="J3151" s="69" t="s">
        <v>55</v>
      </c>
      <c r="K3151" s="69" t="s">
        <v>429</v>
      </c>
      <c r="M3151" s="69" t="s">
        <v>6</v>
      </c>
    </row>
    <row r="3152" spans="2:13">
      <c r="B3152" s="69">
        <v>3150</v>
      </c>
      <c r="C3152" s="69">
        <v>261</v>
      </c>
      <c r="D3152" s="69">
        <v>40</v>
      </c>
      <c r="E3152" s="69">
        <v>15</v>
      </c>
      <c r="F3152" s="69">
        <v>0</v>
      </c>
      <c r="G3152" s="69" t="s">
        <v>2023</v>
      </c>
      <c r="H3152" s="69" t="s">
        <v>52</v>
      </c>
      <c r="I3152" s="69" t="s">
        <v>2154</v>
      </c>
      <c r="J3152" s="69" t="s">
        <v>55</v>
      </c>
      <c r="K3152" s="69" t="s">
        <v>430</v>
      </c>
      <c r="M3152" s="69" t="s">
        <v>6</v>
      </c>
    </row>
    <row r="3153" spans="2:13">
      <c r="B3153" s="69">
        <v>3151</v>
      </c>
      <c r="C3153" s="69">
        <v>261</v>
      </c>
      <c r="D3153" s="69">
        <v>40</v>
      </c>
      <c r="E3153" s="69">
        <v>16</v>
      </c>
      <c r="F3153" s="69">
        <v>0</v>
      </c>
      <c r="G3153" s="69" t="s">
        <v>2023</v>
      </c>
      <c r="H3153" s="69" t="s">
        <v>52</v>
      </c>
      <c r="I3153" s="69" t="s">
        <v>2154</v>
      </c>
      <c r="J3153" s="69" t="s">
        <v>55</v>
      </c>
      <c r="K3153" s="69" t="s">
        <v>2025</v>
      </c>
      <c r="M3153" s="69" t="s">
        <v>6</v>
      </c>
    </row>
    <row r="3154" spans="2:13">
      <c r="B3154" s="69">
        <v>3152</v>
      </c>
      <c r="C3154" s="69">
        <v>261</v>
      </c>
      <c r="D3154" s="69">
        <v>40</v>
      </c>
      <c r="E3154" s="69">
        <v>17</v>
      </c>
      <c r="F3154" s="69">
        <v>0</v>
      </c>
      <c r="G3154" s="69" t="s">
        <v>2023</v>
      </c>
      <c r="H3154" s="69" t="s">
        <v>52</v>
      </c>
      <c r="I3154" s="69" t="s">
        <v>2154</v>
      </c>
      <c r="J3154" s="69" t="s">
        <v>55</v>
      </c>
      <c r="K3154" s="69" t="s">
        <v>2162</v>
      </c>
      <c r="M3154" s="69" t="s">
        <v>6</v>
      </c>
    </row>
    <row r="3155" spans="2:13">
      <c r="B3155" s="69">
        <v>3153</v>
      </c>
      <c r="C3155" s="69">
        <v>261</v>
      </c>
      <c r="D3155" s="69">
        <v>40</v>
      </c>
      <c r="E3155" s="69">
        <v>18</v>
      </c>
      <c r="F3155" s="69">
        <v>0</v>
      </c>
      <c r="G3155" s="69" t="s">
        <v>2023</v>
      </c>
      <c r="H3155" s="69" t="s">
        <v>52</v>
      </c>
      <c r="I3155" s="69" t="s">
        <v>2154</v>
      </c>
      <c r="J3155" s="69" t="s">
        <v>55</v>
      </c>
      <c r="K3155" s="69" t="s">
        <v>2163</v>
      </c>
      <c r="M3155" s="69" t="s">
        <v>6</v>
      </c>
    </row>
    <row r="3156" spans="2:13">
      <c r="B3156" s="69">
        <v>3154</v>
      </c>
      <c r="C3156" s="69">
        <v>261</v>
      </c>
      <c r="D3156" s="69">
        <v>40</v>
      </c>
      <c r="E3156" s="69">
        <v>19</v>
      </c>
      <c r="F3156" s="69">
        <v>0</v>
      </c>
      <c r="G3156" s="69" t="s">
        <v>2023</v>
      </c>
      <c r="H3156" s="69" t="s">
        <v>52</v>
      </c>
      <c r="I3156" s="69" t="s">
        <v>2154</v>
      </c>
      <c r="J3156" s="69" t="s">
        <v>55</v>
      </c>
      <c r="K3156" s="69" t="s">
        <v>2164</v>
      </c>
      <c r="M3156" s="69" t="s">
        <v>6</v>
      </c>
    </row>
    <row r="3157" spans="2:13">
      <c r="B3157" s="69">
        <v>3155</v>
      </c>
      <c r="C3157" s="69">
        <v>261</v>
      </c>
      <c r="D3157" s="69">
        <v>40</v>
      </c>
      <c r="E3157" s="69">
        <v>20</v>
      </c>
      <c r="F3157" s="69">
        <v>0</v>
      </c>
      <c r="G3157" s="69" t="s">
        <v>2023</v>
      </c>
      <c r="H3157" s="69" t="s">
        <v>52</v>
      </c>
      <c r="I3157" s="69" t="s">
        <v>2154</v>
      </c>
      <c r="J3157" s="69" t="s">
        <v>55</v>
      </c>
      <c r="K3157" s="69" t="s">
        <v>2165</v>
      </c>
      <c r="M3157" s="69" t="s">
        <v>6</v>
      </c>
    </row>
    <row r="3158" spans="2:13">
      <c r="B3158" s="69">
        <v>3156</v>
      </c>
      <c r="C3158" s="69">
        <v>261</v>
      </c>
      <c r="D3158" s="69">
        <v>40</v>
      </c>
      <c r="E3158" s="69">
        <v>21</v>
      </c>
      <c r="F3158" s="69">
        <v>0</v>
      </c>
      <c r="G3158" s="69" t="s">
        <v>2023</v>
      </c>
      <c r="H3158" s="69" t="s">
        <v>52</v>
      </c>
      <c r="I3158" s="69" t="s">
        <v>2154</v>
      </c>
      <c r="J3158" s="69" t="s">
        <v>55</v>
      </c>
      <c r="K3158" s="69" t="s">
        <v>2166</v>
      </c>
      <c r="M3158" s="69" t="s">
        <v>6</v>
      </c>
    </row>
    <row r="3159" spans="2:13">
      <c r="B3159" s="69">
        <v>3157</v>
      </c>
      <c r="C3159" s="69">
        <v>261</v>
      </c>
      <c r="D3159" s="69">
        <v>40</v>
      </c>
      <c r="E3159" s="69">
        <v>22</v>
      </c>
      <c r="F3159" s="69">
        <v>0</v>
      </c>
      <c r="G3159" s="69" t="s">
        <v>2023</v>
      </c>
      <c r="H3159" s="69" t="s">
        <v>52</v>
      </c>
      <c r="I3159" s="69" t="s">
        <v>2154</v>
      </c>
      <c r="J3159" s="69" t="s">
        <v>55</v>
      </c>
      <c r="K3159" s="69" t="s">
        <v>2167</v>
      </c>
      <c r="M3159" s="69" t="s">
        <v>6</v>
      </c>
    </row>
    <row r="3160" spans="2:13">
      <c r="B3160" s="69">
        <v>3158</v>
      </c>
      <c r="C3160" s="69">
        <v>261</v>
      </c>
      <c r="D3160" s="69">
        <v>40</v>
      </c>
      <c r="E3160" s="69">
        <v>23</v>
      </c>
      <c r="F3160" s="69">
        <v>0</v>
      </c>
      <c r="G3160" s="69" t="s">
        <v>2023</v>
      </c>
      <c r="H3160" s="69" t="s">
        <v>52</v>
      </c>
      <c r="I3160" s="69" t="s">
        <v>2154</v>
      </c>
      <c r="J3160" s="69" t="s">
        <v>55</v>
      </c>
      <c r="K3160" s="69" t="s">
        <v>2168</v>
      </c>
      <c r="M3160" s="69" t="s">
        <v>6</v>
      </c>
    </row>
    <row r="3161" spans="2:13">
      <c r="B3161" s="69">
        <v>3159</v>
      </c>
      <c r="C3161" s="69">
        <v>261</v>
      </c>
      <c r="D3161" s="69">
        <v>40</v>
      </c>
      <c r="E3161" s="69">
        <v>24</v>
      </c>
      <c r="F3161" s="69">
        <v>0</v>
      </c>
      <c r="G3161" s="69" t="s">
        <v>2023</v>
      </c>
      <c r="H3161" s="69" t="s">
        <v>52</v>
      </c>
      <c r="I3161" s="69" t="s">
        <v>2154</v>
      </c>
      <c r="J3161" s="69" t="s">
        <v>55</v>
      </c>
      <c r="K3161" s="69" t="s">
        <v>2169</v>
      </c>
      <c r="M3161" s="69" t="s">
        <v>6</v>
      </c>
    </row>
    <row r="3162" spans="2:13">
      <c r="B3162" s="69">
        <v>3160</v>
      </c>
      <c r="C3162" s="69">
        <v>261</v>
      </c>
      <c r="D3162" s="69">
        <v>40</v>
      </c>
      <c r="E3162" s="69">
        <v>25</v>
      </c>
      <c r="F3162" s="69">
        <v>0</v>
      </c>
      <c r="G3162" s="69" t="s">
        <v>2023</v>
      </c>
      <c r="H3162" s="69" t="s">
        <v>52</v>
      </c>
      <c r="I3162" s="69" t="s">
        <v>2154</v>
      </c>
      <c r="J3162" s="69" t="s">
        <v>55</v>
      </c>
      <c r="K3162" s="69" t="s">
        <v>2170</v>
      </c>
      <c r="M3162" s="69" t="s">
        <v>6</v>
      </c>
    </row>
    <row r="3163" spans="2:13">
      <c r="B3163" s="69">
        <v>3161</v>
      </c>
      <c r="C3163" s="69">
        <v>261</v>
      </c>
      <c r="D3163" s="69">
        <v>40</v>
      </c>
      <c r="E3163" s="69">
        <v>26</v>
      </c>
      <c r="F3163" s="69">
        <v>0</v>
      </c>
      <c r="G3163" s="69" t="s">
        <v>2023</v>
      </c>
      <c r="H3163" s="69" t="s">
        <v>52</v>
      </c>
      <c r="I3163" s="69" t="s">
        <v>2154</v>
      </c>
      <c r="J3163" s="69" t="s">
        <v>55</v>
      </c>
      <c r="K3163" s="69" t="s">
        <v>2171</v>
      </c>
      <c r="M3163" s="69" t="s">
        <v>6</v>
      </c>
    </row>
    <row r="3164" spans="2:13">
      <c r="B3164" s="69">
        <v>3162</v>
      </c>
      <c r="C3164" s="69">
        <v>261</v>
      </c>
      <c r="D3164" s="69">
        <v>40</v>
      </c>
      <c r="E3164" s="69">
        <v>27</v>
      </c>
      <c r="F3164" s="69">
        <v>0</v>
      </c>
      <c r="G3164" s="69" t="s">
        <v>2023</v>
      </c>
      <c r="H3164" s="69" t="s">
        <v>52</v>
      </c>
      <c r="I3164" s="69" t="s">
        <v>2154</v>
      </c>
      <c r="J3164" s="69" t="s">
        <v>55</v>
      </c>
      <c r="K3164" s="69" t="s">
        <v>2172</v>
      </c>
      <c r="M3164" s="69" t="s">
        <v>6</v>
      </c>
    </row>
    <row r="3165" spans="2:13">
      <c r="B3165" s="69">
        <v>3163</v>
      </c>
      <c r="C3165" s="69">
        <v>261</v>
      </c>
      <c r="D3165" s="69">
        <v>40</v>
      </c>
      <c r="E3165" s="69">
        <v>28</v>
      </c>
      <c r="F3165" s="69">
        <v>0</v>
      </c>
      <c r="G3165" s="69" t="s">
        <v>2023</v>
      </c>
      <c r="H3165" s="69" t="s">
        <v>52</v>
      </c>
      <c r="I3165" s="69" t="s">
        <v>2154</v>
      </c>
      <c r="J3165" s="69" t="s">
        <v>55</v>
      </c>
      <c r="K3165" s="69" t="s">
        <v>2173</v>
      </c>
      <c r="M3165" s="69" t="s">
        <v>6</v>
      </c>
    </row>
    <row r="3166" spans="2:13">
      <c r="B3166" s="69">
        <v>3164</v>
      </c>
      <c r="C3166" s="69">
        <v>261</v>
      </c>
      <c r="D3166" s="69">
        <v>40</v>
      </c>
      <c r="E3166" s="69">
        <v>29</v>
      </c>
      <c r="F3166" s="69">
        <v>0</v>
      </c>
      <c r="G3166" s="69" t="s">
        <v>2023</v>
      </c>
      <c r="H3166" s="69" t="s">
        <v>52</v>
      </c>
      <c r="I3166" s="69" t="s">
        <v>2154</v>
      </c>
      <c r="J3166" s="69" t="s">
        <v>55</v>
      </c>
      <c r="K3166" s="69" t="s">
        <v>2174</v>
      </c>
      <c r="M3166" s="69" t="s">
        <v>6</v>
      </c>
    </row>
    <row r="3167" spans="2:13">
      <c r="B3167" s="69">
        <v>3165</v>
      </c>
      <c r="C3167" s="69">
        <v>261</v>
      </c>
      <c r="D3167" s="69">
        <v>40</v>
      </c>
      <c r="E3167" s="69">
        <v>30</v>
      </c>
      <c r="F3167" s="69">
        <v>0</v>
      </c>
      <c r="G3167" s="69" t="s">
        <v>2023</v>
      </c>
      <c r="H3167" s="69" t="s">
        <v>52</v>
      </c>
      <c r="I3167" s="69" t="s">
        <v>2154</v>
      </c>
      <c r="J3167" s="69" t="s">
        <v>55</v>
      </c>
      <c r="K3167" s="69" t="s">
        <v>2175</v>
      </c>
      <c r="M3167" s="69" t="s">
        <v>6</v>
      </c>
    </row>
    <row r="3168" spans="2:13">
      <c r="B3168" s="69">
        <v>3166</v>
      </c>
      <c r="C3168" s="69">
        <v>261</v>
      </c>
      <c r="D3168" s="69">
        <v>40</v>
      </c>
      <c r="E3168" s="69">
        <v>31</v>
      </c>
      <c r="F3168" s="69">
        <v>0</v>
      </c>
      <c r="G3168" s="69" t="s">
        <v>2023</v>
      </c>
      <c r="H3168" s="69" t="s">
        <v>52</v>
      </c>
      <c r="I3168" s="69" t="s">
        <v>2154</v>
      </c>
      <c r="J3168" s="69" t="s">
        <v>55</v>
      </c>
      <c r="K3168" s="69" t="s">
        <v>2176</v>
      </c>
      <c r="M3168" s="69" t="s">
        <v>6</v>
      </c>
    </row>
    <row r="3169" spans="2:13">
      <c r="B3169" s="69">
        <v>3167</v>
      </c>
      <c r="C3169" s="69">
        <v>261</v>
      </c>
      <c r="D3169" s="69">
        <v>40</v>
      </c>
      <c r="E3169" s="69">
        <v>32</v>
      </c>
      <c r="F3169" s="69">
        <v>0</v>
      </c>
      <c r="G3169" s="69" t="s">
        <v>2023</v>
      </c>
      <c r="H3169" s="69" t="s">
        <v>52</v>
      </c>
      <c r="I3169" s="69" t="s">
        <v>2154</v>
      </c>
      <c r="J3169" s="69" t="s">
        <v>437</v>
      </c>
      <c r="K3169" s="69" t="s">
        <v>438</v>
      </c>
      <c r="L3169" s="69" t="s">
        <v>439</v>
      </c>
      <c r="M3169" s="69" t="s">
        <v>6</v>
      </c>
    </row>
    <row r="3170" spans="2:13">
      <c r="B3170" s="69">
        <v>3168</v>
      </c>
      <c r="C3170" s="69">
        <v>261</v>
      </c>
      <c r="D3170" s="69">
        <v>40</v>
      </c>
      <c r="E3170" s="69">
        <v>33</v>
      </c>
      <c r="F3170" s="69">
        <v>0</v>
      </c>
      <c r="G3170" s="69" t="s">
        <v>2023</v>
      </c>
      <c r="H3170" s="69" t="s">
        <v>52</v>
      </c>
      <c r="I3170" s="69" t="s">
        <v>2154</v>
      </c>
      <c r="J3170" s="69" t="s">
        <v>55</v>
      </c>
      <c r="K3170" s="69" t="s">
        <v>2177</v>
      </c>
      <c r="M3170" s="69" t="s">
        <v>6</v>
      </c>
    </row>
    <row r="3171" spans="2:13">
      <c r="B3171" s="69">
        <v>3169</v>
      </c>
      <c r="C3171" s="69">
        <v>261</v>
      </c>
      <c r="D3171" s="69">
        <v>40</v>
      </c>
      <c r="E3171" s="69">
        <v>34</v>
      </c>
      <c r="F3171" s="69">
        <v>0</v>
      </c>
      <c r="G3171" s="69" t="s">
        <v>2023</v>
      </c>
      <c r="H3171" s="69" t="s">
        <v>52</v>
      </c>
      <c r="I3171" s="69" t="s">
        <v>2154</v>
      </c>
      <c r="J3171" s="69" t="s">
        <v>437</v>
      </c>
      <c r="K3171" s="69" t="s">
        <v>438</v>
      </c>
      <c r="L3171" s="69" t="s">
        <v>439</v>
      </c>
      <c r="M3171" s="69" t="s">
        <v>6</v>
      </c>
    </row>
    <row r="3172" spans="2:13">
      <c r="B3172" s="69">
        <v>3170</v>
      </c>
      <c r="C3172" s="69">
        <v>261</v>
      </c>
      <c r="D3172" s="69">
        <v>40</v>
      </c>
      <c r="E3172" s="69">
        <v>35</v>
      </c>
      <c r="F3172" s="69">
        <v>0</v>
      </c>
      <c r="G3172" s="69" t="s">
        <v>2023</v>
      </c>
      <c r="H3172" s="69" t="s">
        <v>52</v>
      </c>
      <c r="I3172" s="69" t="s">
        <v>2154</v>
      </c>
      <c r="J3172" s="69" t="s">
        <v>55</v>
      </c>
      <c r="K3172" s="69" t="s">
        <v>2178</v>
      </c>
      <c r="M3172" s="69" t="s">
        <v>6</v>
      </c>
    </row>
    <row r="3173" spans="2:13">
      <c r="B3173" s="69">
        <v>3171</v>
      </c>
      <c r="C3173" s="69">
        <v>261</v>
      </c>
      <c r="D3173" s="69">
        <v>40</v>
      </c>
      <c r="E3173" s="69">
        <v>36</v>
      </c>
      <c r="F3173" s="69">
        <v>0</v>
      </c>
      <c r="G3173" s="69" t="s">
        <v>2023</v>
      </c>
      <c r="H3173" s="69" t="s">
        <v>52</v>
      </c>
      <c r="I3173" s="69" t="s">
        <v>2154</v>
      </c>
      <c r="J3173" s="69" t="s">
        <v>437</v>
      </c>
      <c r="K3173" s="69" t="s">
        <v>438</v>
      </c>
      <c r="L3173" s="69" t="s">
        <v>439</v>
      </c>
      <c r="M3173" s="69" t="s">
        <v>6</v>
      </c>
    </row>
    <row r="3174" spans="2:13">
      <c r="B3174" s="69">
        <v>3172</v>
      </c>
      <c r="C3174" s="69">
        <v>261</v>
      </c>
      <c r="D3174" s="69">
        <v>40</v>
      </c>
      <c r="E3174" s="69">
        <v>37</v>
      </c>
      <c r="F3174" s="69">
        <v>0</v>
      </c>
      <c r="G3174" s="69" t="s">
        <v>2023</v>
      </c>
      <c r="H3174" s="69" t="s">
        <v>52</v>
      </c>
      <c r="I3174" s="69" t="s">
        <v>2154</v>
      </c>
      <c r="J3174" s="69" t="s">
        <v>64</v>
      </c>
      <c r="K3174" s="69" t="s">
        <v>440</v>
      </c>
      <c r="M3174" s="69" t="s">
        <v>6</v>
      </c>
    </row>
    <row r="3175" spans="2:13">
      <c r="B3175" s="69">
        <v>3173</v>
      </c>
      <c r="C3175" s="69">
        <v>261</v>
      </c>
      <c r="D3175" s="69">
        <v>40</v>
      </c>
      <c r="E3175" s="69">
        <v>38</v>
      </c>
      <c r="F3175" s="69">
        <v>0</v>
      </c>
      <c r="G3175" s="69" t="s">
        <v>2023</v>
      </c>
      <c r="H3175" s="69" t="s">
        <v>52</v>
      </c>
      <c r="I3175" s="69" t="s">
        <v>2154</v>
      </c>
      <c r="J3175" s="69" t="s">
        <v>55</v>
      </c>
      <c r="K3175" s="69" t="s">
        <v>441</v>
      </c>
      <c r="M3175" s="69" t="s">
        <v>6</v>
      </c>
    </row>
    <row r="3176" spans="2:13">
      <c r="B3176" s="69">
        <v>3174</v>
      </c>
      <c r="C3176" s="69">
        <v>261</v>
      </c>
      <c r="D3176" s="69">
        <v>40</v>
      </c>
      <c r="E3176" s="69">
        <v>39</v>
      </c>
      <c r="F3176" s="69">
        <v>0</v>
      </c>
      <c r="G3176" s="69" t="s">
        <v>2023</v>
      </c>
      <c r="H3176" s="69" t="s">
        <v>52</v>
      </c>
      <c r="I3176" s="69" t="s">
        <v>2154</v>
      </c>
      <c r="J3176" s="69" t="s">
        <v>437</v>
      </c>
      <c r="K3176" s="69" t="s">
        <v>438</v>
      </c>
      <c r="L3176" s="69" t="s">
        <v>439</v>
      </c>
      <c r="M3176" s="69" t="s">
        <v>6</v>
      </c>
    </row>
    <row r="3177" spans="2:13">
      <c r="B3177" s="69">
        <v>3175</v>
      </c>
      <c r="C3177" s="69">
        <v>261</v>
      </c>
      <c r="D3177" s="69">
        <v>40</v>
      </c>
      <c r="E3177" s="69">
        <v>40</v>
      </c>
      <c r="F3177" s="69">
        <v>0</v>
      </c>
      <c r="G3177" s="69" t="s">
        <v>2023</v>
      </c>
      <c r="H3177" s="69" t="s">
        <v>52</v>
      </c>
      <c r="I3177" s="69" t="s">
        <v>2154</v>
      </c>
      <c r="J3177" s="69" t="s">
        <v>64</v>
      </c>
      <c r="K3177" s="69" t="s">
        <v>440</v>
      </c>
      <c r="M3177" s="69" t="s">
        <v>6</v>
      </c>
    </row>
    <row r="3178" spans="2:13">
      <c r="B3178" s="69">
        <v>3176</v>
      </c>
      <c r="C3178" s="69">
        <v>262</v>
      </c>
      <c r="D3178" s="69">
        <v>16</v>
      </c>
      <c r="E3178" s="69">
        <v>0</v>
      </c>
      <c r="F3178" s="69">
        <v>0</v>
      </c>
      <c r="G3178" s="69" t="s">
        <v>2023</v>
      </c>
      <c r="H3178" s="69" t="s">
        <v>52</v>
      </c>
      <c r="I3178" s="69" t="s">
        <v>2179</v>
      </c>
      <c r="J3178" s="69" t="s">
        <v>54</v>
      </c>
      <c r="K3178" s="69" t="s">
        <v>2179</v>
      </c>
      <c r="M3178" s="69" t="s">
        <v>6</v>
      </c>
    </row>
    <row r="3179" spans="2:13">
      <c r="B3179" s="69">
        <v>3177</v>
      </c>
      <c r="C3179" s="69">
        <v>262</v>
      </c>
      <c r="D3179" s="69">
        <v>16</v>
      </c>
      <c r="E3179" s="69">
        <v>1</v>
      </c>
      <c r="F3179" s="69">
        <v>0</v>
      </c>
      <c r="G3179" s="69" t="s">
        <v>2023</v>
      </c>
      <c r="H3179" s="69" t="s">
        <v>52</v>
      </c>
      <c r="I3179" s="69" t="s">
        <v>2179</v>
      </c>
      <c r="J3179" s="69" t="s">
        <v>55</v>
      </c>
      <c r="K3179" s="69" t="s">
        <v>429</v>
      </c>
      <c r="M3179" s="69" t="s">
        <v>6</v>
      </c>
    </row>
    <row r="3180" spans="2:13">
      <c r="B3180" s="69">
        <v>3178</v>
      </c>
      <c r="C3180" s="69">
        <v>262</v>
      </c>
      <c r="D3180" s="69">
        <v>16</v>
      </c>
      <c r="E3180" s="69">
        <v>2</v>
      </c>
      <c r="F3180" s="69">
        <v>0</v>
      </c>
      <c r="G3180" s="69" t="s">
        <v>2023</v>
      </c>
      <c r="H3180" s="69" t="s">
        <v>52</v>
      </c>
      <c r="I3180" s="69" t="s">
        <v>2179</v>
      </c>
      <c r="J3180" s="69" t="s">
        <v>55</v>
      </c>
      <c r="K3180" s="69" t="s">
        <v>430</v>
      </c>
      <c r="M3180" s="69" t="s">
        <v>6</v>
      </c>
    </row>
    <row r="3181" spans="2:13">
      <c r="B3181" s="69">
        <v>3179</v>
      </c>
      <c r="C3181" s="69">
        <v>262</v>
      </c>
      <c r="D3181" s="69">
        <v>16</v>
      </c>
      <c r="E3181" s="69">
        <v>3</v>
      </c>
      <c r="F3181" s="69">
        <v>0</v>
      </c>
      <c r="G3181" s="69" t="s">
        <v>2023</v>
      </c>
      <c r="H3181" s="69" t="s">
        <v>52</v>
      </c>
      <c r="I3181" s="69" t="s">
        <v>2179</v>
      </c>
      <c r="J3181" s="69" t="s">
        <v>55</v>
      </c>
      <c r="K3181" s="69" t="s">
        <v>431</v>
      </c>
      <c r="M3181" s="69" t="s">
        <v>6</v>
      </c>
    </row>
    <row r="3182" spans="2:13">
      <c r="B3182" s="69">
        <v>3180</v>
      </c>
      <c r="C3182" s="69">
        <v>262</v>
      </c>
      <c r="D3182" s="69">
        <v>16</v>
      </c>
      <c r="E3182" s="69">
        <v>4</v>
      </c>
      <c r="F3182" s="69">
        <v>0</v>
      </c>
      <c r="G3182" s="69" t="s">
        <v>2023</v>
      </c>
      <c r="H3182" s="69" t="s">
        <v>52</v>
      </c>
      <c r="I3182" s="69" t="s">
        <v>2179</v>
      </c>
      <c r="J3182" s="69" t="s">
        <v>55</v>
      </c>
      <c r="K3182" s="69" t="s">
        <v>2025</v>
      </c>
      <c r="M3182" s="69" t="s">
        <v>6</v>
      </c>
    </row>
    <row r="3183" spans="2:13">
      <c r="B3183" s="69">
        <v>3181</v>
      </c>
      <c r="C3183" s="69">
        <v>262</v>
      </c>
      <c r="D3183" s="69">
        <v>16</v>
      </c>
      <c r="E3183" s="69">
        <v>5</v>
      </c>
      <c r="F3183" s="69">
        <v>0</v>
      </c>
      <c r="G3183" s="69" t="s">
        <v>2023</v>
      </c>
      <c r="H3183" s="69" t="s">
        <v>52</v>
      </c>
      <c r="I3183" s="69" t="s">
        <v>2179</v>
      </c>
      <c r="J3183" s="69" t="s">
        <v>55</v>
      </c>
      <c r="K3183" s="69" t="s">
        <v>432</v>
      </c>
      <c r="M3183" s="69" t="s">
        <v>6</v>
      </c>
    </row>
    <row r="3184" spans="2:13">
      <c r="B3184" s="69">
        <v>3182</v>
      </c>
      <c r="C3184" s="69">
        <v>262</v>
      </c>
      <c r="D3184" s="69">
        <v>16</v>
      </c>
      <c r="E3184" s="69">
        <v>6</v>
      </c>
      <c r="F3184" s="69">
        <v>0</v>
      </c>
      <c r="G3184" s="69" t="s">
        <v>2023</v>
      </c>
      <c r="H3184" s="69" t="s">
        <v>52</v>
      </c>
      <c r="I3184" s="69" t="s">
        <v>2179</v>
      </c>
      <c r="J3184" s="69" t="s">
        <v>55</v>
      </c>
      <c r="K3184" s="69" t="s">
        <v>433</v>
      </c>
      <c r="M3184" s="69" t="s">
        <v>6</v>
      </c>
    </row>
    <row r="3185" spans="2:13">
      <c r="B3185" s="69">
        <v>3183</v>
      </c>
      <c r="C3185" s="69">
        <v>262</v>
      </c>
      <c r="D3185" s="69">
        <v>16</v>
      </c>
      <c r="E3185" s="69">
        <v>7</v>
      </c>
      <c r="F3185" s="69">
        <v>0</v>
      </c>
      <c r="G3185" s="69" t="s">
        <v>2023</v>
      </c>
      <c r="H3185" s="69" t="s">
        <v>52</v>
      </c>
      <c r="I3185" s="69" t="s">
        <v>2179</v>
      </c>
      <c r="J3185" s="69" t="s">
        <v>55</v>
      </c>
      <c r="K3185" s="69" t="s">
        <v>434</v>
      </c>
      <c r="M3185" s="69" t="s">
        <v>6</v>
      </c>
    </row>
    <row r="3186" spans="2:13">
      <c r="B3186" s="69">
        <v>3184</v>
      </c>
      <c r="C3186" s="69">
        <v>262</v>
      </c>
      <c r="D3186" s="69">
        <v>16</v>
      </c>
      <c r="E3186" s="69">
        <v>8</v>
      </c>
      <c r="F3186" s="69">
        <v>0</v>
      </c>
      <c r="G3186" s="69" t="s">
        <v>2023</v>
      </c>
      <c r="H3186" s="69" t="s">
        <v>52</v>
      </c>
      <c r="I3186" s="69" t="s">
        <v>2179</v>
      </c>
      <c r="J3186" s="69" t="s">
        <v>55</v>
      </c>
      <c r="K3186" s="69" t="s">
        <v>435</v>
      </c>
      <c r="M3186" s="69" t="s">
        <v>6</v>
      </c>
    </row>
    <row r="3187" spans="2:13">
      <c r="B3187" s="69">
        <v>3185</v>
      </c>
      <c r="C3187" s="69">
        <v>262</v>
      </c>
      <c r="D3187" s="69">
        <v>16</v>
      </c>
      <c r="E3187" s="69">
        <v>9</v>
      </c>
      <c r="F3187" s="69">
        <v>0</v>
      </c>
      <c r="G3187" s="69" t="s">
        <v>2023</v>
      </c>
      <c r="H3187" s="69" t="s">
        <v>52</v>
      </c>
      <c r="I3187" s="69" t="s">
        <v>2179</v>
      </c>
      <c r="J3187" s="69" t="s">
        <v>55</v>
      </c>
      <c r="K3187" s="69" t="s">
        <v>436</v>
      </c>
      <c r="M3187" s="69" t="s">
        <v>6</v>
      </c>
    </row>
    <row r="3188" spans="2:13">
      <c r="B3188" s="69">
        <v>3186</v>
      </c>
      <c r="C3188" s="69">
        <v>262</v>
      </c>
      <c r="D3188" s="69">
        <v>16</v>
      </c>
      <c r="E3188" s="69">
        <v>10</v>
      </c>
      <c r="F3188" s="69">
        <v>0</v>
      </c>
      <c r="G3188" s="69" t="s">
        <v>2023</v>
      </c>
      <c r="H3188" s="69" t="s">
        <v>52</v>
      </c>
      <c r="I3188" s="69" t="s">
        <v>2179</v>
      </c>
      <c r="J3188" s="69" t="s">
        <v>437</v>
      </c>
      <c r="K3188" s="69" t="s">
        <v>438</v>
      </c>
      <c r="L3188" s="69" t="s">
        <v>439</v>
      </c>
      <c r="M3188" s="69" t="s">
        <v>6</v>
      </c>
    </row>
    <row r="3189" spans="2:13">
      <c r="B3189" s="69">
        <v>3187</v>
      </c>
      <c r="C3189" s="69">
        <v>262</v>
      </c>
      <c r="D3189" s="69">
        <v>16</v>
      </c>
      <c r="E3189" s="69">
        <v>11</v>
      </c>
      <c r="F3189" s="69">
        <v>0</v>
      </c>
      <c r="G3189" s="69" t="s">
        <v>2023</v>
      </c>
      <c r="H3189" s="69" t="s">
        <v>52</v>
      </c>
      <c r="I3189" s="69" t="s">
        <v>2179</v>
      </c>
      <c r="J3189" s="69" t="s">
        <v>64</v>
      </c>
      <c r="K3189" s="69" t="s">
        <v>440</v>
      </c>
      <c r="M3189" s="69" t="s">
        <v>6</v>
      </c>
    </row>
    <row r="3190" spans="2:13">
      <c r="B3190" s="69">
        <v>3188</v>
      </c>
      <c r="C3190" s="69">
        <v>262</v>
      </c>
      <c r="D3190" s="69">
        <v>16</v>
      </c>
      <c r="E3190" s="69">
        <v>12</v>
      </c>
      <c r="F3190" s="69">
        <v>0</v>
      </c>
      <c r="G3190" s="69" t="s">
        <v>2023</v>
      </c>
      <c r="H3190" s="69" t="s">
        <v>52</v>
      </c>
      <c r="I3190" s="69" t="s">
        <v>2179</v>
      </c>
      <c r="J3190" s="69" t="s">
        <v>55</v>
      </c>
      <c r="K3190" s="69" t="s">
        <v>441</v>
      </c>
      <c r="M3190" s="69" t="s">
        <v>6</v>
      </c>
    </row>
    <row r="3191" spans="2:13">
      <c r="B3191" s="69">
        <v>3189</v>
      </c>
      <c r="C3191" s="69">
        <v>262</v>
      </c>
      <c r="D3191" s="69">
        <v>16</v>
      </c>
      <c r="E3191" s="69">
        <v>13</v>
      </c>
      <c r="F3191" s="69">
        <v>0</v>
      </c>
      <c r="G3191" s="69" t="s">
        <v>2023</v>
      </c>
      <c r="H3191" s="69" t="s">
        <v>52</v>
      </c>
      <c r="I3191" s="69" t="s">
        <v>2179</v>
      </c>
      <c r="J3191" s="69" t="s">
        <v>437</v>
      </c>
      <c r="K3191" s="69" t="s">
        <v>438</v>
      </c>
      <c r="L3191" s="69" t="s">
        <v>439</v>
      </c>
      <c r="M3191" s="69" t="s">
        <v>6</v>
      </c>
    </row>
    <row r="3192" spans="2:13">
      <c r="B3192" s="69">
        <v>3190</v>
      </c>
      <c r="C3192" s="69">
        <v>262</v>
      </c>
      <c r="D3192" s="69">
        <v>16</v>
      </c>
      <c r="E3192" s="69">
        <v>14</v>
      </c>
      <c r="F3192" s="69">
        <v>0</v>
      </c>
      <c r="G3192" s="69" t="s">
        <v>2023</v>
      </c>
      <c r="H3192" s="69" t="s">
        <v>52</v>
      </c>
      <c r="I3192" s="69" t="s">
        <v>2179</v>
      </c>
      <c r="J3192" s="69" t="s">
        <v>64</v>
      </c>
      <c r="K3192" s="69" t="s">
        <v>440</v>
      </c>
      <c r="M3192" s="69" t="s">
        <v>6</v>
      </c>
    </row>
    <row r="3193" spans="2:13">
      <c r="B3193" s="69">
        <v>3191</v>
      </c>
      <c r="C3193" s="69">
        <v>262</v>
      </c>
      <c r="D3193" s="69">
        <v>16</v>
      </c>
      <c r="E3193" s="69">
        <v>15</v>
      </c>
      <c r="F3193" s="69">
        <v>0</v>
      </c>
      <c r="G3193" s="69" t="s">
        <v>2023</v>
      </c>
      <c r="H3193" s="69" t="s">
        <v>52</v>
      </c>
      <c r="I3193" s="69" t="s">
        <v>2179</v>
      </c>
      <c r="J3193" s="69" t="s">
        <v>55</v>
      </c>
      <c r="K3193" s="69" t="s">
        <v>442</v>
      </c>
      <c r="M3193" s="69" t="s">
        <v>6</v>
      </c>
    </row>
    <row r="3194" spans="2:13">
      <c r="B3194" s="69">
        <v>3192</v>
      </c>
      <c r="C3194" s="69">
        <v>262</v>
      </c>
      <c r="D3194" s="69">
        <v>16</v>
      </c>
      <c r="E3194" s="69">
        <v>16</v>
      </c>
      <c r="F3194" s="69">
        <v>0</v>
      </c>
      <c r="G3194" s="69" t="s">
        <v>2023</v>
      </c>
      <c r="H3194" s="69" t="s">
        <v>52</v>
      </c>
      <c r="I3194" s="69" t="s">
        <v>2179</v>
      </c>
      <c r="J3194" s="69" t="s">
        <v>214</v>
      </c>
      <c r="K3194" s="69" t="s">
        <v>443</v>
      </c>
      <c r="M3194" s="69" t="s">
        <v>6</v>
      </c>
    </row>
    <row r="3195" spans="2:13">
      <c r="B3195" s="69">
        <v>3193</v>
      </c>
      <c r="C3195" s="69">
        <v>263</v>
      </c>
      <c r="D3195" s="69">
        <v>17</v>
      </c>
      <c r="E3195" s="69">
        <v>0</v>
      </c>
      <c r="F3195" s="69">
        <v>0</v>
      </c>
      <c r="G3195" s="69" t="s">
        <v>2023</v>
      </c>
      <c r="H3195" s="69" t="s">
        <v>52</v>
      </c>
      <c r="I3195" s="69" t="s">
        <v>2180</v>
      </c>
      <c r="J3195" s="69" t="s">
        <v>54</v>
      </c>
      <c r="K3195" s="69" t="s">
        <v>2180</v>
      </c>
      <c r="M3195" s="69" t="s">
        <v>6</v>
      </c>
    </row>
    <row r="3196" spans="2:13">
      <c r="B3196" s="69">
        <v>3194</v>
      </c>
      <c r="C3196" s="69">
        <v>263</v>
      </c>
      <c r="D3196" s="69">
        <v>17</v>
      </c>
      <c r="E3196" s="69">
        <v>1</v>
      </c>
      <c r="F3196" s="69">
        <v>0</v>
      </c>
      <c r="G3196" s="69" t="s">
        <v>2023</v>
      </c>
      <c r="H3196" s="69" t="s">
        <v>52</v>
      </c>
      <c r="I3196" s="69" t="s">
        <v>2180</v>
      </c>
      <c r="J3196" s="69" t="s">
        <v>55</v>
      </c>
      <c r="K3196" s="69" t="s">
        <v>2025</v>
      </c>
      <c r="M3196" s="69" t="s">
        <v>6</v>
      </c>
    </row>
    <row r="3197" spans="2:13">
      <c r="B3197" s="69">
        <v>3195</v>
      </c>
      <c r="C3197" s="69">
        <v>263</v>
      </c>
      <c r="D3197" s="69">
        <v>17</v>
      </c>
      <c r="E3197" s="69">
        <v>2</v>
      </c>
      <c r="F3197" s="69">
        <v>0</v>
      </c>
      <c r="G3197" s="69" t="s">
        <v>2023</v>
      </c>
      <c r="H3197" s="69" t="s">
        <v>52</v>
      </c>
      <c r="I3197" s="69" t="s">
        <v>2180</v>
      </c>
      <c r="J3197" s="69" t="s">
        <v>55</v>
      </c>
      <c r="K3197" s="69" t="s">
        <v>429</v>
      </c>
      <c r="M3197" s="69" t="s">
        <v>6</v>
      </c>
    </row>
    <row r="3198" spans="2:13">
      <c r="B3198" s="69">
        <v>3196</v>
      </c>
      <c r="C3198" s="69">
        <v>263</v>
      </c>
      <c r="D3198" s="69">
        <v>17</v>
      </c>
      <c r="E3198" s="69">
        <v>3</v>
      </c>
      <c r="F3198" s="69">
        <v>0</v>
      </c>
      <c r="G3198" s="69" t="s">
        <v>2023</v>
      </c>
      <c r="H3198" s="69" t="s">
        <v>52</v>
      </c>
      <c r="I3198" s="69" t="s">
        <v>2180</v>
      </c>
      <c r="J3198" s="69" t="s">
        <v>55</v>
      </c>
      <c r="K3198" s="69" t="s">
        <v>430</v>
      </c>
      <c r="M3198" s="69" t="s">
        <v>6</v>
      </c>
    </row>
    <row r="3199" spans="2:13">
      <c r="B3199" s="69">
        <v>3197</v>
      </c>
      <c r="C3199" s="69">
        <v>263</v>
      </c>
      <c r="D3199" s="69">
        <v>17</v>
      </c>
      <c r="E3199" s="69">
        <v>4</v>
      </c>
      <c r="F3199" s="69">
        <v>0</v>
      </c>
      <c r="G3199" s="69" t="s">
        <v>2023</v>
      </c>
      <c r="H3199" s="69" t="s">
        <v>52</v>
      </c>
      <c r="I3199" s="69" t="s">
        <v>2180</v>
      </c>
      <c r="J3199" s="69" t="s">
        <v>55</v>
      </c>
      <c r="K3199" s="69" t="s">
        <v>2181</v>
      </c>
      <c r="M3199" s="69" t="s">
        <v>6</v>
      </c>
    </row>
    <row r="3200" spans="2:13">
      <c r="B3200" s="69">
        <v>3198</v>
      </c>
      <c r="C3200" s="69">
        <v>263</v>
      </c>
      <c r="D3200" s="69">
        <v>17</v>
      </c>
      <c r="E3200" s="69">
        <v>5</v>
      </c>
      <c r="F3200" s="69">
        <v>0</v>
      </c>
      <c r="G3200" s="69" t="s">
        <v>2023</v>
      </c>
      <c r="H3200" s="69" t="s">
        <v>52</v>
      </c>
      <c r="I3200" s="69" t="s">
        <v>2180</v>
      </c>
      <c r="J3200" s="69" t="s">
        <v>55</v>
      </c>
      <c r="K3200" s="69" t="s">
        <v>2182</v>
      </c>
      <c r="M3200" s="69" t="s">
        <v>6</v>
      </c>
    </row>
    <row r="3201" spans="2:13">
      <c r="B3201" s="69">
        <v>3199</v>
      </c>
      <c r="C3201" s="69">
        <v>263</v>
      </c>
      <c r="D3201" s="69">
        <v>17</v>
      </c>
      <c r="E3201" s="69">
        <v>6</v>
      </c>
      <c r="F3201" s="69">
        <v>0</v>
      </c>
      <c r="G3201" s="69" t="s">
        <v>2023</v>
      </c>
      <c r="H3201" s="69" t="s">
        <v>52</v>
      </c>
      <c r="I3201" s="69" t="s">
        <v>2180</v>
      </c>
      <c r="J3201" s="69" t="s">
        <v>55</v>
      </c>
      <c r="K3201" s="69" t="s">
        <v>2183</v>
      </c>
      <c r="M3201" s="69" t="s">
        <v>6</v>
      </c>
    </row>
    <row r="3202" spans="2:13">
      <c r="B3202" s="69">
        <v>3200</v>
      </c>
      <c r="C3202" s="69">
        <v>263</v>
      </c>
      <c r="D3202" s="69">
        <v>17</v>
      </c>
      <c r="E3202" s="69">
        <v>7</v>
      </c>
      <c r="F3202" s="69">
        <v>0</v>
      </c>
      <c r="G3202" s="69" t="s">
        <v>2023</v>
      </c>
      <c r="H3202" s="69" t="s">
        <v>52</v>
      </c>
      <c r="I3202" s="69" t="s">
        <v>2180</v>
      </c>
      <c r="J3202" s="69" t="s">
        <v>55</v>
      </c>
      <c r="K3202" s="69" t="s">
        <v>2184</v>
      </c>
      <c r="M3202" s="69" t="s">
        <v>6</v>
      </c>
    </row>
    <row r="3203" spans="2:13">
      <c r="B3203" s="69">
        <v>3201</v>
      </c>
      <c r="C3203" s="69">
        <v>263</v>
      </c>
      <c r="D3203" s="69">
        <v>17</v>
      </c>
      <c r="E3203" s="69">
        <v>8</v>
      </c>
      <c r="F3203" s="69">
        <v>0</v>
      </c>
      <c r="G3203" s="69" t="s">
        <v>2023</v>
      </c>
      <c r="H3203" s="69" t="s">
        <v>52</v>
      </c>
      <c r="I3203" s="69" t="s">
        <v>2180</v>
      </c>
      <c r="J3203" s="69" t="s">
        <v>55</v>
      </c>
      <c r="K3203" s="69" t="s">
        <v>2185</v>
      </c>
      <c r="M3203" s="69" t="s">
        <v>6</v>
      </c>
    </row>
    <row r="3204" spans="2:13">
      <c r="B3204" s="69">
        <v>3202</v>
      </c>
      <c r="C3204" s="69">
        <v>263</v>
      </c>
      <c r="D3204" s="69">
        <v>17</v>
      </c>
      <c r="E3204" s="69">
        <v>9</v>
      </c>
      <c r="F3204" s="69">
        <v>0</v>
      </c>
      <c r="G3204" s="69" t="s">
        <v>2023</v>
      </c>
      <c r="H3204" s="69" t="s">
        <v>52</v>
      </c>
      <c r="I3204" s="69" t="s">
        <v>2180</v>
      </c>
      <c r="J3204" s="69" t="s">
        <v>55</v>
      </c>
      <c r="K3204" s="69" t="s">
        <v>2186</v>
      </c>
      <c r="M3204" s="69" t="s">
        <v>6</v>
      </c>
    </row>
    <row r="3205" spans="2:13">
      <c r="B3205" s="69">
        <v>3203</v>
      </c>
      <c r="C3205" s="69">
        <v>263</v>
      </c>
      <c r="D3205" s="69">
        <v>17</v>
      </c>
      <c r="E3205" s="69">
        <v>10</v>
      </c>
      <c r="F3205" s="69">
        <v>0</v>
      </c>
      <c r="G3205" s="69" t="s">
        <v>2023</v>
      </c>
      <c r="H3205" s="69" t="s">
        <v>52</v>
      </c>
      <c r="I3205" s="69" t="s">
        <v>2180</v>
      </c>
      <c r="J3205" s="69" t="s">
        <v>55</v>
      </c>
      <c r="K3205" s="69" t="s">
        <v>436</v>
      </c>
      <c r="M3205" s="69" t="s">
        <v>6</v>
      </c>
    </row>
    <row r="3206" spans="2:13">
      <c r="B3206" s="69">
        <v>3204</v>
      </c>
      <c r="C3206" s="69">
        <v>263</v>
      </c>
      <c r="D3206" s="69">
        <v>17</v>
      </c>
      <c r="E3206" s="69">
        <v>11</v>
      </c>
      <c r="F3206" s="69">
        <v>0</v>
      </c>
      <c r="G3206" s="69" t="s">
        <v>2023</v>
      </c>
      <c r="H3206" s="69" t="s">
        <v>52</v>
      </c>
      <c r="I3206" s="69" t="s">
        <v>2180</v>
      </c>
      <c r="J3206" s="69" t="s">
        <v>437</v>
      </c>
      <c r="K3206" s="69" t="s">
        <v>438</v>
      </c>
      <c r="L3206" s="69" t="s">
        <v>439</v>
      </c>
      <c r="M3206" s="69" t="s">
        <v>6</v>
      </c>
    </row>
    <row r="3207" spans="2:13">
      <c r="B3207" s="69">
        <v>3205</v>
      </c>
      <c r="C3207" s="69">
        <v>263</v>
      </c>
      <c r="D3207" s="69">
        <v>17</v>
      </c>
      <c r="E3207" s="69">
        <v>12</v>
      </c>
      <c r="F3207" s="69">
        <v>0</v>
      </c>
      <c r="G3207" s="69" t="s">
        <v>2023</v>
      </c>
      <c r="H3207" s="69" t="s">
        <v>52</v>
      </c>
      <c r="I3207" s="69" t="s">
        <v>2180</v>
      </c>
      <c r="J3207" s="69" t="s">
        <v>64</v>
      </c>
      <c r="K3207" s="69" t="s">
        <v>440</v>
      </c>
      <c r="M3207" s="69" t="s">
        <v>6</v>
      </c>
    </row>
    <row r="3208" spans="2:13">
      <c r="B3208" s="69">
        <v>3206</v>
      </c>
      <c r="C3208" s="69">
        <v>263</v>
      </c>
      <c r="D3208" s="69">
        <v>17</v>
      </c>
      <c r="E3208" s="69">
        <v>13</v>
      </c>
      <c r="F3208" s="69">
        <v>0</v>
      </c>
      <c r="G3208" s="69" t="s">
        <v>2023</v>
      </c>
      <c r="H3208" s="69" t="s">
        <v>52</v>
      </c>
      <c r="I3208" s="69" t="s">
        <v>2180</v>
      </c>
      <c r="J3208" s="69" t="s">
        <v>55</v>
      </c>
      <c r="K3208" s="69" t="s">
        <v>441</v>
      </c>
      <c r="M3208" s="69" t="s">
        <v>6</v>
      </c>
    </row>
    <row r="3209" spans="2:13">
      <c r="B3209" s="69">
        <v>3207</v>
      </c>
      <c r="C3209" s="69">
        <v>263</v>
      </c>
      <c r="D3209" s="69">
        <v>17</v>
      </c>
      <c r="E3209" s="69">
        <v>14</v>
      </c>
      <c r="F3209" s="69">
        <v>0</v>
      </c>
      <c r="G3209" s="69" t="s">
        <v>2023</v>
      </c>
      <c r="H3209" s="69" t="s">
        <v>52</v>
      </c>
      <c r="I3209" s="69" t="s">
        <v>2180</v>
      </c>
      <c r="J3209" s="69" t="s">
        <v>437</v>
      </c>
      <c r="K3209" s="69" t="s">
        <v>438</v>
      </c>
      <c r="L3209" s="69" t="s">
        <v>439</v>
      </c>
      <c r="M3209" s="69" t="s">
        <v>6</v>
      </c>
    </row>
    <row r="3210" spans="2:13">
      <c r="B3210" s="69">
        <v>3208</v>
      </c>
      <c r="C3210" s="69">
        <v>263</v>
      </c>
      <c r="D3210" s="69">
        <v>17</v>
      </c>
      <c r="E3210" s="69">
        <v>15</v>
      </c>
      <c r="F3210" s="69">
        <v>0</v>
      </c>
      <c r="G3210" s="69" t="s">
        <v>2023</v>
      </c>
      <c r="H3210" s="69" t="s">
        <v>52</v>
      </c>
      <c r="I3210" s="69" t="s">
        <v>2180</v>
      </c>
      <c r="J3210" s="69" t="s">
        <v>64</v>
      </c>
      <c r="K3210" s="69" t="s">
        <v>440</v>
      </c>
      <c r="M3210" s="69" t="s">
        <v>6</v>
      </c>
    </row>
    <row r="3211" spans="2:13">
      <c r="B3211" s="69">
        <v>3209</v>
      </c>
      <c r="C3211" s="69">
        <v>263</v>
      </c>
      <c r="D3211" s="69">
        <v>17</v>
      </c>
      <c r="E3211" s="69">
        <v>16</v>
      </c>
      <c r="F3211" s="69">
        <v>0</v>
      </c>
      <c r="G3211" s="69" t="s">
        <v>2023</v>
      </c>
      <c r="H3211" s="69" t="s">
        <v>52</v>
      </c>
      <c r="I3211" s="69" t="s">
        <v>2180</v>
      </c>
      <c r="J3211" s="69" t="s">
        <v>55</v>
      </c>
      <c r="K3211" s="69" t="s">
        <v>442</v>
      </c>
      <c r="M3211" s="69" t="s">
        <v>6</v>
      </c>
    </row>
    <row r="3212" spans="2:13">
      <c r="B3212" s="69">
        <v>3210</v>
      </c>
      <c r="C3212" s="69">
        <v>263</v>
      </c>
      <c r="D3212" s="69">
        <v>17</v>
      </c>
      <c r="E3212" s="69">
        <v>17</v>
      </c>
      <c r="F3212" s="69">
        <v>0</v>
      </c>
      <c r="G3212" s="69" t="s">
        <v>2023</v>
      </c>
      <c r="H3212" s="69" t="s">
        <v>52</v>
      </c>
      <c r="I3212" s="69" t="s">
        <v>2180</v>
      </c>
      <c r="J3212" s="69" t="s">
        <v>214</v>
      </c>
      <c r="K3212" s="69" t="s">
        <v>443</v>
      </c>
      <c r="M3212" s="69" t="s">
        <v>6</v>
      </c>
    </row>
    <row r="3213" spans="2:13">
      <c r="B3213" s="69">
        <v>3211</v>
      </c>
      <c r="C3213" s="69">
        <v>264</v>
      </c>
      <c r="D3213" s="69">
        <v>43</v>
      </c>
      <c r="E3213" s="69">
        <v>0</v>
      </c>
      <c r="F3213" s="69">
        <v>0</v>
      </c>
      <c r="G3213" s="69" t="s">
        <v>2023</v>
      </c>
      <c r="H3213" s="69" t="s">
        <v>52</v>
      </c>
      <c r="I3213" s="69" t="s">
        <v>2187</v>
      </c>
      <c r="J3213" s="69" t="s">
        <v>478</v>
      </c>
      <c r="K3213" s="69" t="s">
        <v>2187</v>
      </c>
      <c r="M3213" s="69" t="s">
        <v>6</v>
      </c>
    </row>
    <row r="3214" spans="2:13">
      <c r="B3214" s="69">
        <v>3212</v>
      </c>
      <c r="C3214" s="69">
        <v>264</v>
      </c>
      <c r="D3214" s="69">
        <v>43</v>
      </c>
      <c r="E3214" s="69">
        <v>1</v>
      </c>
      <c r="F3214" s="69">
        <v>0</v>
      </c>
      <c r="G3214" s="69" t="s">
        <v>2023</v>
      </c>
      <c r="H3214" s="69" t="s">
        <v>52</v>
      </c>
      <c r="I3214" s="69" t="s">
        <v>2187</v>
      </c>
      <c r="J3214" s="69" t="s">
        <v>479</v>
      </c>
      <c r="K3214" s="69" t="s">
        <v>2188</v>
      </c>
      <c r="M3214" s="69" t="s">
        <v>6</v>
      </c>
    </row>
    <row r="3215" spans="2:13">
      <c r="B3215" s="69">
        <v>3213</v>
      </c>
      <c r="C3215" s="69">
        <v>264</v>
      </c>
      <c r="D3215" s="69">
        <v>43</v>
      </c>
      <c r="E3215" s="69">
        <v>2</v>
      </c>
      <c r="F3215" s="69">
        <v>0</v>
      </c>
      <c r="G3215" s="69" t="s">
        <v>2023</v>
      </c>
      <c r="H3215" s="69" t="s">
        <v>52</v>
      </c>
      <c r="I3215" s="69" t="s">
        <v>2187</v>
      </c>
      <c r="J3215" s="69" t="s">
        <v>55</v>
      </c>
      <c r="K3215" s="69" t="s">
        <v>2025</v>
      </c>
      <c r="M3215" s="69" t="s">
        <v>6</v>
      </c>
    </row>
    <row r="3216" spans="2:13">
      <c r="B3216" s="69">
        <v>3214</v>
      </c>
      <c r="C3216" s="69">
        <v>264</v>
      </c>
      <c r="D3216" s="69">
        <v>43</v>
      </c>
      <c r="E3216" s="69">
        <v>3</v>
      </c>
      <c r="F3216" s="69">
        <v>0</v>
      </c>
      <c r="G3216" s="69" t="s">
        <v>2023</v>
      </c>
      <c r="H3216" s="69" t="s">
        <v>52</v>
      </c>
      <c r="I3216" s="69" t="s">
        <v>2187</v>
      </c>
      <c r="J3216" s="69" t="s">
        <v>55</v>
      </c>
      <c r="K3216" s="69" t="s">
        <v>429</v>
      </c>
      <c r="M3216" s="69" t="s">
        <v>6</v>
      </c>
    </row>
    <row r="3217" spans="2:13">
      <c r="B3217" s="69">
        <v>3215</v>
      </c>
      <c r="C3217" s="69">
        <v>264</v>
      </c>
      <c r="D3217" s="69">
        <v>43</v>
      </c>
      <c r="E3217" s="69">
        <v>4</v>
      </c>
      <c r="F3217" s="69">
        <v>0</v>
      </c>
      <c r="G3217" s="69" t="s">
        <v>2023</v>
      </c>
      <c r="H3217" s="69" t="s">
        <v>52</v>
      </c>
      <c r="I3217" s="69" t="s">
        <v>2187</v>
      </c>
      <c r="J3217" s="69" t="s">
        <v>55</v>
      </c>
      <c r="K3217" s="69" t="s">
        <v>430</v>
      </c>
      <c r="M3217" s="69" t="s">
        <v>6</v>
      </c>
    </row>
    <row r="3218" spans="2:13">
      <c r="B3218" s="69">
        <v>3216</v>
      </c>
      <c r="C3218" s="69">
        <v>264</v>
      </c>
      <c r="D3218" s="69">
        <v>43</v>
      </c>
      <c r="E3218" s="69">
        <v>5</v>
      </c>
      <c r="F3218" s="69">
        <v>0</v>
      </c>
      <c r="G3218" s="69" t="s">
        <v>2023</v>
      </c>
      <c r="H3218" s="69" t="s">
        <v>52</v>
      </c>
      <c r="I3218" s="69" t="s">
        <v>2187</v>
      </c>
      <c r="J3218" s="69" t="s">
        <v>55</v>
      </c>
      <c r="K3218" s="69" t="s">
        <v>85</v>
      </c>
      <c r="M3218" s="69" t="s">
        <v>6</v>
      </c>
    </row>
    <row r="3219" spans="2:13">
      <c r="B3219" s="69">
        <v>3217</v>
      </c>
      <c r="C3219" s="69">
        <v>264</v>
      </c>
      <c r="D3219" s="69">
        <v>43</v>
      </c>
      <c r="E3219" s="69">
        <v>6</v>
      </c>
      <c r="F3219" s="69">
        <v>0</v>
      </c>
      <c r="G3219" s="69" t="s">
        <v>2023</v>
      </c>
      <c r="H3219" s="69" t="s">
        <v>52</v>
      </c>
      <c r="I3219" s="69" t="s">
        <v>2187</v>
      </c>
      <c r="J3219" s="69" t="s">
        <v>55</v>
      </c>
      <c r="K3219" s="69" t="s">
        <v>86</v>
      </c>
      <c r="M3219" s="69" t="s">
        <v>6</v>
      </c>
    </row>
    <row r="3220" spans="2:13">
      <c r="B3220" s="69">
        <v>3218</v>
      </c>
      <c r="C3220" s="69">
        <v>264</v>
      </c>
      <c r="D3220" s="69">
        <v>43</v>
      </c>
      <c r="E3220" s="69">
        <v>7</v>
      </c>
      <c r="F3220" s="69">
        <v>0</v>
      </c>
      <c r="G3220" s="69" t="s">
        <v>2023</v>
      </c>
      <c r="H3220" s="69" t="s">
        <v>52</v>
      </c>
      <c r="I3220" s="69" t="s">
        <v>2187</v>
      </c>
      <c r="J3220" s="69" t="s">
        <v>55</v>
      </c>
      <c r="K3220" s="69" t="s">
        <v>87</v>
      </c>
      <c r="M3220" s="69" t="s">
        <v>6</v>
      </c>
    </row>
    <row r="3221" spans="2:13">
      <c r="B3221" s="69">
        <v>3219</v>
      </c>
      <c r="C3221" s="69">
        <v>264</v>
      </c>
      <c r="D3221" s="69">
        <v>43</v>
      </c>
      <c r="E3221" s="69">
        <v>8</v>
      </c>
      <c r="F3221" s="69">
        <v>0</v>
      </c>
      <c r="G3221" s="69" t="s">
        <v>2023</v>
      </c>
      <c r="H3221" s="69" t="s">
        <v>52</v>
      </c>
      <c r="I3221" s="69" t="s">
        <v>2187</v>
      </c>
      <c r="J3221" s="69" t="s">
        <v>55</v>
      </c>
      <c r="K3221" s="69" t="s">
        <v>88</v>
      </c>
      <c r="M3221" s="69" t="s">
        <v>6</v>
      </c>
    </row>
    <row r="3222" spans="2:13">
      <c r="B3222" s="69">
        <v>3220</v>
      </c>
      <c r="C3222" s="69">
        <v>264</v>
      </c>
      <c r="D3222" s="69">
        <v>43</v>
      </c>
      <c r="E3222" s="69">
        <v>9</v>
      </c>
      <c r="F3222" s="69">
        <v>0</v>
      </c>
      <c r="G3222" s="69" t="s">
        <v>2023</v>
      </c>
      <c r="H3222" s="69" t="s">
        <v>52</v>
      </c>
      <c r="I3222" s="69" t="s">
        <v>2187</v>
      </c>
      <c r="J3222" s="69" t="s">
        <v>55</v>
      </c>
      <c r="K3222" s="69" t="s">
        <v>89</v>
      </c>
      <c r="M3222" s="69" t="s">
        <v>6</v>
      </c>
    </row>
    <row r="3223" spans="2:13">
      <c r="B3223" s="69">
        <v>3221</v>
      </c>
      <c r="C3223" s="69">
        <v>264</v>
      </c>
      <c r="D3223" s="69">
        <v>43</v>
      </c>
      <c r="E3223" s="69">
        <v>10</v>
      </c>
      <c r="F3223" s="69">
        <v>0</v>
      </c>
      <c r="G3223" s="69" t="s">
        <v>2023</v>
      </c>
      <c r="H3223" s="69" t="s">
        <v>52</v>
      </c>
      <c r="I3223" s="69" t="s">
        <v>2187</v>
      </c>
      <c r="J3223" s="69" t="s">
        <v>55</v>
      </c>
      <c r="K3223" s="69" t="s">
        <v>90</v>
      </c>
      <c r="M3223" s="69" t="s">
        <v>6</v>
      </c>
    </row>
    <row r="3224" spans="2:13">
      <c r="B3224" s="69">
        <v>3222</v>
      </c>
      <c r="C3224" s="69">
        <v>264</v>
      </c>
      <c r="D3224" s="69">
        <v>43</v>
      </c>
      <c r="E3224" s="69">
        <v>11</v>
      </c>
      <c r="F3224" s="69">
        <v>0</v>
      </c>
      <c r="G3224" s="69" t="s">
        <v>2023</v>
      </c>
      <c r="H3224" s="69" t="s">
        <v>52</v>
      </c>
      <c r="I3224" s="69" t="s">
        <v>2187</v>
      </c>
      <c r="J3224" s="69" t="s">
        <v>55</v>
      </c>
      <c r="K3224" s="69" t="s">
        <v>91</v>
      </c>
      <c r="M3224" s="69" t="s">
        <v>6</v>
      </c>
    </row>
    <row r="3225" spans="2:13">
      <c r="B3225" s="69">
        <v>3223</v>
      </c>
      <c r="C3225" s="69">
        <v>264</v>
      </c>
      <c r="D3225" s="69">
        <v>43</v>
      </c>
      <c r="E3225" s="69">
        <v>12</v>
      </c>
      <c r="F3225" s="69">
        <v>0</v>
      </c>
      <c r="G3225" s="69" t="s">
        <v>2023</v>
      </c>
      <c r="H3225" s="69" t="s">
        <v>52</v>
      </c>
      <c r="I3225" s="69" t="s">
        <v>2187</v>
      </c>
      <c r="J3225" s="69" t="s">
        <v>55</v>
      </c>
      <c r="K3225" s="69" t="s">
        <v>92</v>
      </c>
      <c r="M3225" s="69" t="s">
        <v>6</v>
      </c>
    </row>
    <row r="3226" spans="2:13">
      <c r="B3226" s="69">
        <v>3224</v>
      </c>
      <c r="C3226" s="69">
        <v>264</v>
      </c>
      <c r="D3226" s="69">
        <v>43</v>
      </c>
      <c r="E3226" s="69">
        <v>13</v>
      </c>
      <c r="F3226" s="69">
        <v>0</v>
      </c>
      <c r="G3226" s="69" t="s">
        <v>2023</v>
      </c>
      <c r="H3226" s="69" t="s">
        <v>52</v>
      </c>
      <c r="I3226" s="69" t="s">
        <v>2187</v>
      </c>
      <c r="J3226" s="69" t="s">
        <v>55</v>
      </c>
      <c r="K3226" s="69" t="s">
        <v>66</v>
      </c>
      <c r="M3226" s="69" t="s">
        <v>6</v>
      </c>
    </row>
    <row r="3227" spans="2:13">
      <c r="B3227" s="69">
        <v>3225</v>
      </c>
      <c r="C3227" s="69">
        <v>264</v>
      </c>
      <c r="D3227" s="69">
        <v>43</v>
      </c>
      <c r="E3227" s="69">
        <v>14</v>
      </c>
      <c r="F3227" s="69">
        <v>0</v>
      </c>
      <c r="G3227" s="69" t="s">
        <v>2023</v>
      </c>
      <c r="H3227" s="69" t="s">
        <v>52</v>
      </c>
      <c r="I3227" s="69" t="s">
        <v>2187</v>
      </c>
      <c r="J3227" s="69" t="s">
        <v>55</v>
      </c>
      <c r="K3227" s="69" t="s">
        <v>436</v>
      </c>
      <c r="M3227" s="69" t="s">
        <v>6</v>
      </c>
    </row>
    <row r="3228" spans="2:13">
      <c r="B3228" s="69">
        <v>3226</v>
      </c>
      <c r="C3228" s="69">
        <v>264</v>
      </c>
      <c r="D3228" s="69">
        <v>43</v>
      </c>
      <c r="E3228" s="69">
        <v>15</v>
      </c>
      <c r="F3228" s="69">
        <v>0</v>
      </c>
      <c r="G3228" s="69" t="s">
        <v>2023</v>
      </c>
      <c r="H3228" s="69" t="s">
        <v>52</v>
      </c>
      <c r="I3228" s="69" t="s">
        <v>2187</v>
      </c>
      <c r="J3228" s="69" t="s">
        <v>437</v>
      </c>
      <c r="K3228" s="69" t="s">
        <v>438</v>
      </c>
      <c r="L3228" s="69" t="s">
        <v>439</v>
      </c>
      <c r="M3228" s="69" t="s">
        <v>6</v>
      </c>
    </row>
    <row r="3229" spans="2:13">
      <c r="B3229" s="69">
        <v>3227</v>
      </c>
      <c r="C3229" s="69">
        <v>264</v>
      </c>
      <c r="D3229" s="69">
        <v>43</v>
      </c>
      <c r="E3229" s="69">
        <v>16</v>
      </c>
      <c r="F3229" s="69">
        <v>0</v>
      </c>
      <c r="G3229" s="69" t="s">
        <v>2023</v>
      </c>
      <c r="H3229" s="69" t="s">
        <v>52</v>
      </c>
      <c r="I3229" s="69" t="s">
        <v>2187</v>
      </c>
      <c r="J3229" s="69" t="s">
        <v>64</v>
      </c>
      <c r="K3229" s="69" t="s">
        <v>440</v>
      </c>
      <c r="M3229" s="69" t="s">
        <v>6</v>
      </c>
    </row>
    <row r="3230" spans="2:13">
      <c r="B3230" s="69">
        <v>3228</v>
      </c>
      <c r="C3230" s="69">
        <v>264</v>
      </c>
      <c r="D3230" s="69">
        <v>43</v>
      </c>
      <c r="E3230" s="69">
        <v>17</v>
      </c>
      <c r="F3230" s="69">
        <v>0</v>
      </c>
      <c r="G3230" s="69" t="s">
        <v>2023</v>
      </c>
      <c r="H3230" s="69" t="s">
        <v>52</v>
      </c>
      <c r="I3230" s="69" t="s">
        <v>2187</v>
      </c>
      <c r="J3230" s="69" t="s">
        <v>55</v>
      </c>
      <c r="K3230" s="69" t="s">
        <v>441</v>
      </c>
      <c r="M3230" s="69" t="s">
        <v>6</v>
      </c>
    </row>
    <row r="3231" spans="2:13">
      <c r="B3231" s="69">
        <v>3229</v>
      </c>
      <c r="C3231" s="69">
        <v>264</v>
      </c>
      <c r="D3231" s="69">
        <v>43</v>
      </c>
      <c r="E3231" s="69">
        <v>18</v>
      </c>
      <c r="F3231" s="69">
        <v>0</v>
      </c>
      <c r="G3231" s="69" t="s">
        <v>2023</v>
      </c>
      <c r="H3231" s="69" t="s">
        <v>52</v>
      </c>
      <c r="I3231" s="69" t="s">
        <v>2187</v>
      </c>
      <c r="J3231" s="69" t="s">
        <v>437</v>
      </c>
      <c r="K3231" s="69" t="s">
        <v>438</v>
      </c>
      <c r="L3231" s="69" t="s">
        <v>439</v>
      </c>
      <c r="M3231" s="69" t="s">
        <v>6</v>
      </c>
    </row>
    <row r="3232" spans="2:13">
      <c r="B3232" s="69">
        <v>3230</v>
      </c>
      <c r="C3232" s="69">
        <v>264</v>
      </c>
      <c r="D3232" s="69">
        <v>43</v>
      </c>
      <c r="E3232" s="69">
        <v>19</v>
      </c>
      <c r="F3232" s="69">
        <v>0</v>
      </c>
      <c r="G3232" s="69" t="s">
        <v>2023</v>
      </c>
      <c r="H3232" s="69" t="s">
        <v>52</v>
      </c>
      <c r="I3232" s="69" t="s">
        <v>2187</v>
      </c>
      <c r="J3232" s="69" t="s">
        <v>64</v>
      </c>
      <c r="K3232" s="69" t="s">
        <v>440</v>
      </c>
      <c r="M3232" s="69" t="s">
        <v>6</v>
      </c>
    </row>
    <row r="3233" spans="2:13">
      <c r="B3233" s="69">
        <v>3231</v>
      </c>
      <c r="C3233" s="69">
        <v>264</v>
      </c>
      <c r="D3233" s="69">
        <v>43</v>
      </c>
      <c r="E3233" s="69">
        <v>20</v>
      </c>
      <c r="F3233" s="69">
        <v>0</v>
      </c>
      <c r="G3233" s="69" t="s">
        <v>2023</v>
      </c>
      <c r="H3233" s="69" t="s">
        <v>52</v>
      </c>
      <c r="I3233" s="69" t="s">
        <v>2187</v>
      </c>
      <c r="J3233" s="69" t="s">
        <v>55</v>
      </c>
      <c r="K3233" s="69" t="s">
        <v>442</v>
      </c>
      <c r="M3233" s="69" t="s">
        <v>6</v>
      </c>
    </row>
    <row r="3234" spans="2:13">
      <c r="B3234" s="69">
        <v>3232</v>
      </c>
      <c r="C3234" s="69">
        <v>264</v>
      </c>
      <c r="D3234" s="69">
        <v>43</v>
      </c>
      <c r="E3234" s="69">
        <v>21</v>
      </c>
      <c r="F3234" s="69">
        <v>0</v>
      </c>
      <c r="G3234" s="69" t="s">
        <v>2023</v>
      </c>
      <c r="H3234" s="69" t="s">
        <v>52</v>
      </c>
      <c r="I3234" s="69" t="s">
        <v>2187</v>
      </c>
      <c r="J3234" s="69" t="s">
        <v>214</v>
      </c>
      <c r="K3234" s="69" t="s">
        <v>443</v>
      </c>
      <c r="M3234" s="69" t="s">
        <v>6</v>
      </c>
    </row>
    <row r="3235" spans="2:13">
      <c r="B3235" s="69">
        <v>3233</v>
      </c>
      <c r="C3235" s="69">
        <v>264</v>
      </c>
      <c r="D3235" s="69">
        <v>43</v>
      </c>
      <c r="E3235" s="69">
        <v>22</v>
      </c>
      <c r="F3235" s="69">
        <v>0</v>
      </c>
      <c r="G3235" s="69" t="s">
        <v>2023</v>
      </c>
      <c r="H3235" s="69" t="s">
        <v>52</v>
      </c>
      <c r="I3235" s="69" t="s">
        <v>2187</v>
      </c>
      <c r="J3235" s="69" t="s">
        <v>479</v>
      </c>
      <c r="K3235" s="69" t="s">
        <v>2189</v>
      </c>
      <c r="M3235" s="69" t="s">
        <v>6</v>
      </c>
    </row>
    <row r="3236" spans="2:13">
      <c r="B3236" s="69">
        <v>3234</v>
      </c>
      <c r="C3236" s="69">
        <v>264</v>
      </c>
      <c r="D3236" s="69">
        <v>43</v>
      </c>
      <c r="E3236" s="69">
        <v>23</v>
      </c>
      <c r="F3236" s="69">
        <v>0</v>
      </c>
      <c r="G3236" s="69" t="s">
        <v>2023</v>
      </c>
      <c r="H3236" s="69" t="s">
        <v>52</v>
      </c>
      <c r="I3236" s="69" t="s">
        <v>2187</v>
      </c>
      <c r="J3236" s="69" t="s">
        <v>55</v>
      </c>
      <c r="K3236" s="69" t="s">
        <v>429</v>
      </c>
      <c r="M3236" s="69" t="s">
        <v>6</v>
      </c>
    </row>
    <row r="3237" spans="2:13">
      <c r="B3237" s="69">
        <v>3235</v>
      </c>
      <c r="C3237" s="69">
        <v>264</v>
      </c>
      <c r="D3237" s="69">
        <v>43</v>
      </c>
      <c r="E3237" s="69">
        <v>24</v>
      </c>
      <c r="F3237" s="69">
        <v>0</v>
      </c>
      <c r="G3237" s="69" t="s">
        <v>2023</v>
      </c>
      <c r="H3237" s="69" t="s">
        <v>52</v>
      </c>
      <c r="I3237" s="69" t="s">
        <v>2187</v>
      </c>
      <c r="J3237" s="69" t="s">
        <v>55</v>
      </c>
      <c r="K3237" s="69" t="s">
        <v>430</v>
      </c>
      <c r="M3237" s="69" t="s">
        <v>6</v>
      </c>
    </row>
    <row r="3238" spans="2:13">
      <c r="B3238" s="69">
        <v>3236</v>
      </c>
      <c r="C3238" s="69">
        <v>264</v>
      </c>
      <c r="D3238" s="69">
        <v>43</v>
      </c>
      <c r="E3238" s="69">
        <v>25</v>
      </c>
      <c r="F3238" s="69">
        <v>0</v>
      </c>
      <c r="G3238" s="69" t="s">
        <v>2023</v>
      </c>
      <c r="H3238" s="69" t="s">
        <v>52</v>
      </c>
      <c r="I3238" s="69" t="s">
        <v>2187</v>
      </c>
      <c r="J3238" s="69" t="s">
        <v>55</v>
      </c>
      <c r="K3238" s="69" t="s">
        <v>107</v>
      </c>
      <c r="M3238" s="69" t="s">
        <v>6</v>
      </c>
    </row>
    <row r="3239" spans="2:13">
      <c r="B3239" s="69">
        <v>3237</v>
      </c>
      <c r="C3239" s="69">
        <v>264</v>
      </c>
      <c r="D3239" s="69">
        <v>43</v>
      </c>
      <c r="E3239" s="69">
        <v>26</v>
      </c>
      <c r="F3239" s="69">
        <v>0</v>
      </c>
      <c r="G3239" s="69" t="s">
        <v>2023</v>
      </c>
      <c r="H3239" s="69" t="s">
        <v>52</v>
      </c>
      <c r="I3239" s="69" t="s">
        <v>2187</v>
      </c>
      <c r="J3239" s="69" t="s">
        <v>55</v>
      </c>
      <c r="K3239" s="69" t="s">
        <v>108</v>
      </c>
      <c r="M3239" s="69" t="s">
        <v>6</v>
      </c>
    </row>
    <row r="3240" spans="2:13">
      <c r="B3240" s="69">
        <v>3238</v>
      </c>
      <c r="C3240" s="69">
        <v>264</v>
      </c>
      <c r="D3240" s="69">
        <v>43</v>
      </c>
      <c r="E3240" s="69">
        <v>27</v>
      </c>
      <c r="F3240" s="69">
        <v>0</v>
      </c>
      <c r="G3240" s="69" t="s">
        <v>2023</v>
      </c>
      <c r="H3240" s="69" t="s">
        <v>52</v>
      </c>
      <c r="I3240" s="69" t="s">
        <v>2187</v>
      </c>
      <c r="J3240" s="69" t="s">
        <v>55</v>
      </c>
      <c r="K3240" s="69" t="s">
        <v>2190</v>
      </c>
      <c r="M3240" s="69" t="s">
        <v>6</v>
      </c>
    </row>
    <row r="3241" spans="2:13">
      <c r="B3241" s="69">
        <v>3239</v>
      </c>
      <c r="C3241" s="69">
        <v>264</v>
      </c>
      <c r="D3241" s="69">
        <v>43</v>
      </c>
      <c r="E3241" s="69">
        <v>28</v>
      </c>
      <c r="F3241" s="69">
        <v>0</v>
      </c>
      <c r="G3241" s="69" t="s">
        <v>2023</v>
      </c>
      <c r="H3241" s="69" t="s">
        <v>52</v>
      </c>
      <c r="I3241" s="69" t="s">
        <v>2187</v>
      </c>
      <c r="J3241" s="69" t="s">
        <v>55</v>
      </c>
      <c r="K3241" s="69" t="s">
        <v>115</v>
      </c>
      <c r="M3241" s="69" t="s">
        <v>6</v>
      </c>
    </row>
    <row r="3242" spans="2:13">
      <c r="B3242" s="69">
        <v>3240</v>
      </c>
      <c r="C3242" s="69">
        <v>264</v>
      </c>
      <c r="D3242" s="69">
        <v>43</v>
      </c>
      <c r="E3242" s="69">
        <v>29</v>
      </c>
      <c r="F3242" s="69">
        <v>0</v>
      </c>
      <c r="G3242" s="69" t="s">
        <v>2023</v>
      </c>
      <c r="H3242" s="69" t="s">
        <v>52</v>
      </c>
      <c r="I3242" s="69" t="s">
        <v>2187</v>
      </c>
      <c r="J3242" s="69" t="s">
        <v>55</v>
      </c>
      <c r="K3242" s="69" t="s">
        <v>116</v>
      </c>
      <c r="M3242" s="69" t="s">
        <v>6</v>
      </c>
    </row>
    <row r="3243" spans="2:13">
      <c r="B3243" s="69">
        <v>3241</v>
      </c>
      <c r="C3243" s="69">
        <v>264</v>
      </c>
      <c r="D3243" s="69">
        <v>43</v>
      </c>
      <c r="E3243" s="69">
        <v>30</v>
      </c>
      <c r="F3243" s="69">
        <v>0</v>
      </c>
      <c r="G3243" s="69" t="s">
        <v>2023</v>
      </c>
      <c r="H3243" s="69" t="s">
        <v>52</v>
      </c>
      <c r="I3243" s="69" t="s">
        <v>2187</v>
      </c>
      <c r="J3243" s="69" t="s">
        <v>55</v>
      </c>
      <c r="K3243" s="69" t="s">
        <v>2191</v>
      </c>
      <c r="M3243" s="69" t="s">
        <v>6</v>
      </c>
    </row>
    <row r="3244" spans="2:13">
      <c r="B3244" s="69">
        <v>3242</v>
      </c>
      <c r="C3244" s="69">
        <v>264</v>
      </c>
      <c r="D3244" s="69">
        <v>43</v>
      </c>
      <c r="E3244" s="69">
        <v>31</v>
      </c>
      <c r="F3244" s="69">
        <v>0</v>
      </c>
      <c r="G3244" s="69" t="s">
        <v>2023</v>
      </c>
      <c r="H3244" s="69" t="s">
        <v>52</v>
      </c>
      <c r="I3244" s="69" t="s">
        <v>2187</v>
      </c>
      <c r="J3244" s="69" t="s">
        <v>55</v>
      </c>
      <c r="K3244" s="69" t="s">
        <v>118</v>
      </c>
      <c r="M3244" s="69" t="s">
        <v>6</v>
      </c>
    </row>
    <row r="3245" spans="2:13">
      <c r="B3245" s="69">
        <v>3243</v>
      </c>
      <c r="C3245" s="69">
        <v>264</v>
      </c>
      <c r="D3245" s="69">
        <v>43</v>
      </c>
      <c r="E3245" s="69">
        <v>32</v>
      </c>
      <c r="F3245" s="69">
        <v>0</v>
      </c>
      <c r="G3245" s="69" t="s">
        <v>2023</v>
      </c>
      <c r="H3245" s="69" t="s">
        <v>52</v>
      </c>
      <c r="I3245" s="69" t="s">
        <v>2187</v>
      </c>
      <c r="J3245" s="69" t="s">
        <v>55</v>
      </c>
      <c r="K3245" s="69" t="s">
        <v>119</v>
      </c>
      <c r="M3245" s="69" t="s">
        <v>6</v>
      </c>
    </row>
    <row r="3246" spans="2:13">
      <c r="B3246" s="69">
        <v>3244</v>
      </c>
      <c r="C3246" s="69">
        <v>264</v>
      </c>
      <c r="D3246" s="69">
        <v>43</v>
      </c>
      <c r="E3246" s="69">
        <v>33</v>
      </c>
      <c r="F3246" s="69">
        <v>0</v>
      </c>
      <c r="G3246" s="69" t="s">
        <v>2023</v>
      </c>
      <c r="H3246" s="69" t="s">
        <v>52</v>
      </c>
      <c r="I3246" s="69" t="s">
        <v>2187</v>
      </c>
      <c r="J3246" s="69" t="s">
        <v>55</v>
      </c>
      <c r="K3246" s="69" t="s">
        <v>122</v>
      </c>
      <c r="M3246" s="69" t="s">
        <v>6</v>
      </c>
    </row>
    <row r="3247" spans="2:13">
      <c r="B3247" s="69">
        <v>3245</v>
      </c>
      <c r="C3247" s="69">
        <v>264</v>
      </c>
      <c r="D3247" s="69">
        <v>43</v>
      </c>
      <c r="E3247" s="69">
        <v>34</v>
      </c>
      <c r="F3247" s="69">
        <v>0</v>
      </c>
      <c r="G3247" s="69" t="s">
        <v>2023</v>
      </c>
      <c r="H3247" s="69" t="s">
        <v>52</v>
      </c>
      <c r="I3247" s="69" t="s">
        <v>2187</v>
      </c>
      <c r="J3247" s="69" t="s">
        <v>55</v>
      </c>
      <c r="K3247" s="69" t="s">
        <v>123</v>
      </c>
      <c r="M3247" s="69" t="s">
        <v>6</v>
      </c>
    </row>
    <row r="3248" spans="2:13">
      <c r="B3248" s="69">
        <v>3246</v>
      </c>
      <c r="C3248" s="69">
        <v>264</v>
      </c>
      <c r="D3248" s="69">
        <v>43</v>
      </c>
      <c r="E3248" s="69">
        <v>35</v>
      </c>
      <c r="F3248" s="69">
        <v>0</v>
      </c>
      <c r="G3248" s="69" t="s">
        <v>2023</v>
      </c>
      <c r="H3248" s="69" t="s">
        <v>52</v>
      </c>
      <c r="I3248" s="69" t="s">
        <v>2187</v>
      </c>
      <c r="J3248" s="69" t="s">
        <v>55</v>
      </c>
      <c r="K3248" s="69" t="s">
        <v>124</v>
      </c>
      <c r="M3248" s="69" t="s">
        <v>6</v>
      </c>
    </row>
    <row r="3249" spans="2:13">
      <c r="B3249" s="69">
        <v>3247</v>
      </c>
      <c r="C3249" s="69">
        <v>264</v>
      </c>
      <c r="D3249" s="69">
        <v>43</v>
      </c>
      <c r="E3249" s="69">
        <v>36</v>
      </c>
      <c r="F3249" s="69">
        <v>0</v>
      </c>
      <c r="G3249" s="69" t="s">
        <v>2023</v>
      </c>
      <c r="H3249" s="69" t="s">
        <v>52</v>
      </c>
      <c r="I3249" s="69" t="s">
        <v>2187</v>
      </c>
      <c r="J3249" s="69" t="s">
        <v>55</v>
      </c>
      <c r="K3249" s="69" t="s">
        <v>436</v>
      </c>
      <c r="M3249" s="69" t="s">
        <v>6</v>
      </c>
    </row>
    <row r="3250" spans="2:13">
      <c r="B3250" s="69">
        <v>3248</v>
      </c>
      <c r="C3250" s="69">
        <v>264</v>
      </c>
      <c r="D3250" s="69">
        <v>43</v>
      </c>
      <c r="E3250" s="69">
        <v>37</v>
      </c>
      <c r="F3250" s="69">
        <v>0</v>
      </c>
      <c r="G3250" s="69" t="s">
        <v>2023</v>
      </c>
      <c r="H3250" s="69" t="s">
        <v>52</v>
      </c>
      <c r="I3250" s="69" t="s">
        <v>2187</v>
      </c>
      <c r="J3250" s="69" t="s">
        <v>437</v>
      </c>
      <c r="K3250" s="69" t="s">
        <v>438</v>
      </c>
      <c r="L3250" s="69" t="s">
        <v>439</v>
      </c>
      <c r="M3250" s="69" t="s">
        <v>6</v>
      </c>
    </row>
    <row r="3251" spans="2:13">
      <c r="B3251" s="69">
        <v>3249</v>
      </c>
      <c r="C3251" s="69">
        <v>264</v>
      </c>
      <c r="D3251" s="69">
        <v>43</v>
      </c>
      <c r="E3251" s="69">
        <v>38</v>
      </c>
      <c r="F3251" s="69">
        <v>0</v>
      </c>
      <c r="G3251" s="69" t="s">
        <v>2023</v>
      </c>
      <c r="H3251" s="69" t="s">
        <v>52</v>
      </c>
      <c r="I3251" s="69" t="s">
        <v>2187</v>
      </c>
      <c r="J3251" s="69" t="s">
        <v>64</v>
      </c>
      <c r="K3251" s="69" t="s">
        <v>440</v>
      </c>
      <c r="M3251" s="69" t="s">
        <v>6</v>
      </c>
    </row>
    <row r="3252" spans="2:13">
      <c r="B3252" s="69">
        <v>3250</v>
      </c>
      <c r="C3252" s="69">
        <v>264</v>
      </c>
      <c r="D3252" s="69">
        <v>43</v>
      </c>
      <c r="E3252" s="69">
        <v>39</v>
      </c>
      <c r="F3252" s="69">
        <v>0</v>
      </c>
      <c r="G3252" s="69" t="s">
        <v>2023</v>
      </c>
      <c r="H3252" s="69" t="s">
        <v>52</v>
      </c>
      <c r="I3252" s="69" t="s">
        <v>2187</v>
      </c>
      <c r="J3252" s="69" t="s">
        <v>55</v>
      </c>
      <c r="K3252" s="69" t="s">
        <v>441</v>
      </c>
      <c r="M3252" s="69" t="s">
        <v>6</v>
      </c>
    </row>
    <row r="3253" spans="2:13">
      <c r="B3253" s="69">
        <v>3251</v>
      </c>
      <c r="C3253" s="69">
        <v>264</v>
      </c>
      <c r="D3253" s="69">
        <v>43</v>
      </c>
      <c r="E3253" s="69">
        <v>40</v>
      </c>
      <c r="F3253" s="69">
        <v>0</v>
      </c>
      <c r="G3253" s="69" t="s">
        <v>2023</v>
      </c>
      <c r="H3253" s="69" t="s">
        <v>52</v>
      </c>
      <c r="I3253" s="69" t="s">
        <v>2187</v>
      </c>
      <c r="J3253" s="69" t="s">
        <v>437</v>
      </c>
      <c r="K3253" s="69" t="s">
        <v>438</v>
      </c>
      <c r="L3253" s="69" t="s">
        <v>439</v>
      </c>
      <c r="M3253" s="69" t="s">
        <v>6</v>
      </c>
    </row>
    <row r="3254" spans="2:13">
      <c r="B3254" s="69">
        <v>3252</v>
      </c>
      <c r="C3254" s="69">
        <v>264</v>
      </c>
      <c r="D3254" s="69">
        <v>43</v>
      </c>
      <c r="E3254" s="69">
        <v>41</v>
      </c>
      <c r="F3254" s="69">
        <v>0</v>
      </c>
      <c r="G3254" s="69" t="s">
        <v>2023</v>
      </c>
      <c r="H3254" s="69" t="s">
        <v>52</v>
      </c>
      <c r="I3254" s="69" t="s">
        <v>2187</v>
      </c>
      <c r="J3254" s="69" t="s">
        <v>64</v>
      </c>
      <c r="K3254" s="69" t="s">
        <v>440</v>
      </c>
      <c r="M3254" s="69" t="s">
        <v>6</v>
      </c>
    </row>
    <row r="3255" spans="2:13">
      <c r="B3255" s="69">
        <v>3253</v>
      </c>
      <c r="C3255" s="69">
        <v>264</v>
      </c>
      <c r="D3255" s="69">
        <v>43</v>
      </c>
      <c r="E3255" s="69">
        <v>42</v>
      </c>
      <c r="F3255" s="69">
        <v>0</v>
      </c>
      <c r="G3255" s="69" t="s">
        <v>2023</v>
      </c>
      <c r="H3255" s="69" t="s">
        <v>52</v>
      </c>
      <c r="I3255" s="69" t="s">
        <v>2187</v>
      </c>
      <c r="J3255" s="69" t="s">
        <v>55</v>
      </c>
      <c r="K3255" s="69" t="s">
        <v>442</v>
      </c>
      <c r="M3255" s="69" t="s">
        <v>6</v>
      </c>
    </row>
    <row r="3256" spans="2:13">
      <c r="B3256" s="69">
        <v>3254</v>
      </c>
      <c r="C3256" s="69">
        <v>264</v>
      </c>
      <c r="D3256" s="69">
        <v>43</v>
      </c>
      <c r="E3256" s="69">
        <v>43</v>
      </c>
      <c r="F3256" s="69">
        <v>0</v>
      </c>
      <c r="G3256" s="69" t="s">
        <v>2023</v>
      </c>
      <c r="H3256" s="69" t="s">
        <v>52</v>
      </c>
      <c r="I3256" s="69" t="s">
        <v>2187</v>
      </c>
      <c r="J3256" s="69" t="s">
        <v>214</v>
      </c>
      <c r="K3256" s="69" t="s">
        <v>443</v>
      </c>
      <c r="M3256" s="69" t="s">
        <v>6</v>
      </c>
    </row>
    <row r="3257" spans="2:13">
      <c r="B3257" s="69">
        <v>3255</v>
      </c>
      <c r="C3257" s="69">
        <v>265</v>
      </c>
      <c r="D3257" s="69">
        <v>58</v>
      </c>
      <c r="E3257" s="69">
        <v>0</v>
      </c>
      <c r="F3257" s="69">
        <v>0</v>
      </c>
      <c r="G3257" s="69" t="s">
        <v>2023</v>
      </c>
      <c r="H3257" s="69" t="s">
        <v>52</v>
      </c>
      <c r="I3257" s="69" t="s">
        <v>2192</v>
      </c>
      <c r="J3257" s="69" t="s">
        <v>478</v>
      </c>
      <c r="K3257" s="69" t="s">
        <v>2192</v>
      </c>
      <c r="M3257" s="69" t="s">
        <v>6</v>
      </c>
    </row>
    <row r="3258" spans="2:13">
      <c r="B3258" s="69">
        <v>3256</v>
      </c>
      <c r="C3258" s="69">
        <v>265</v>
      </c>
      <c r="D3258" s="69">
        <v>58</v>
      </c>
      <c r="E3258" s="69">
        <v>1</v>
      </c>
      <c r="F3258" s="69">
        <v>0</v>
      </c>
      <c r="G3258" s="69" t="s">
        <v>2023</v>
      </c>
      <c r="H3258" s="69" t="s">
        <v>52</v>
      </c>
      <c r="I3258" s="69" t="s">
        <v>2192</v>
      </c>
      <c r="J3258" s="69" t="s">
        <v>479</v>
      </c>
      <c r="K3258" s="69" t="s">
        <v>2193</v>
      </c>
      <c r="M3258" s="69" t="s">
        <v>6</v>
      </c>
    </row>
    <row r="3259" spans="2:13">
      <c r="B3259" s="69">
        <v>3257</v>
      </c>
      <c r="C3259" s="69">
        <v>265</v>
      </c>
      <c r="D3259" s="69">
        <v>58</v>
      </c>
      <c r="E3259" s="69">
        <v>2</v>
      </c>
      <c r="F3259" s="69">
        <v>0</v>
      </c>
      <c r="G3259" s="69" t="s">
        <v>2023</v>
      </c>
      <c r="H3259" s="69" t="s">
        <v>52</v>
      </c>
      <c r="I3259" s="69" t="s">
        <v>2192</v>
      </c>
      <c r="J3259" s="69" t="s">
        <v>55</v>
      </c>
      <c r="K3259" s="69" t="s">
        <v>2025</v>
      </c>
      <c r="M3259" s="69" t="s">
        <v>6</v>
      </c>
    </row>
    <row r="3260" spans="2:13">
      <c r="B3260" s="69">
        <v>3258</v>
      </c>
      <c r="C3260" s="69">
        <v>265</v>
      </c>
      <c r="D3260" s="69">
        <v>58</v>
      </c>
      <c r="E3260" s="69">
        <v>3</v>
      </c>
      <c r="F3260" s="69">
        <v>0</v>
      </c>
      <c r="G3260" s="69" t="s">
        <v>2023</v>
      </c>
      <c r="H3260" s="69" t="s">
        <v>52</v>
      </c>
      <c r="I3260" s="69" t="s">
        <v>2192</v>
      </c>
      <c r="J3260" s="69" t="s">
        <v>55</v>
      </c>
      <c r="K3260" s="69" t="s">
        <v>429</v>
      </c>
      <c r="M3260" s="69" t="s">
        <v>6</v>
      </c>
    </row>
    <row r="3261" spans="2:13">
      <c r="B3261" s="69">
        <v>3259</v>
      </c>
      <c r="C3261" s="69">
        <v>265</v>
      </c>
      <c r="D3261" s="69">
        <v>58</v>
      </c>
      <c r="E3261" s="69">
        <v>4</v>
      </c>
      <c r="F3261" s="69">
        <v>0</v>
      </c>
      <c r="G3261" s="69" t="s">
        <v>2023</v>
      </c>
      <c r="H3261" s="69" t="s">
        <v>52</v>
      </c>
      <c r="I3261" s="69" t="s">
        <v>2192</v>
      </c>
      <c r="J3261" s="69" t="s">
        <v>55</v>
      </c>
      <c r="K3261" s="69" t="s">
        <v>430</v>
      </c>
      <c r="M3261" s="69" t="s">
        <v>6</v>
      </c>
    </row>
    <row r="3262" spans="2:13">
      <c r="B3262" s="69">
        <v>3260</v>
      </c>
      <c r="C3262" s="69">
        <v>265</v>
      </c>
      <c r="D3262" s="69">
        <v>58</v>
      </c>
      <c r="E3262" s="69">
        <v>5</v>
      </c>
      <c r="F3262" s="69">
        <v>0</v>
      </c>
      <c r="G3262" s="69" t="s">
        <v>2023</v>
      </c>
      <c r="H3262" s="69" t="s">
        <v>52</v>
      </c>
      <c r="I3262" s="69" t="s">
        <v>2192</v>
      </c>
      <c r="J3262" s="69" t="s">
        <v>55</v>
      </c>
      <c r="K3262" s="69" t="s">
        <v>2194</v>
      </c>
      <c r="M3262" s="69" t="s">
        <v>6</v>
      </c>
    </row>
    <row r="3263" spans="2:13">
      <c r="B3263" s="69">
        <v>3261</v>
      </c>
      <c r="C3263" s="69">
        <v>265</v>
      </c>
      <c r="D3263" s="69">
        <v>58</v>
      </c>
      <c r="E3263" s="69">
        <v>6</v>
      </c>
      <c r="F3263" s="69">
        <v>0</v>
      </c>
      <c r="G3263" s="69" t="s">
        <v>2023</v>
      </c>
      <c r="H3263" s="69" t="s">
        <v>52</v>
      </c>
      <c r="I3263" s="69" t="s">
        <v>2192</v>
      </c>
      <c r="J3263" s="69" t="s">
        <v>55</v>
      </c>
      <c r="K3263" s="69" t="s">
        <v>2195</v>
      </c>
      <c r="M3263" s="69" t="s">
        <v>6</v>
      </c>
    </row>
    <row r="3264" spans="2:13">
      <c r="B3264" s="69">
        <v>3262</v>
      </c>
      <c r="C3264" s="69">
        <v>265</v>
      </c>
      <c r="D3264" s="69">
        <v>58</v>
      </c>
      <c r="E3264" s="69">
        <v>7</v>
      </c>
      <c r="F3264" s="69">
        <v>0</v>
      </c>
      <c r="G3264" s="69" t="s">
        <v>2023</v>
      </c>
      <c r="H3264" s="69" t="s">
        <v>52</v>
      </c>
      <c r="I3264" s="69" t="s">
        <v>2192</v>
      </c>
      <c r="J3264" s="69" t="s">
        <v>55</v>
      </c>
      <c r="K3264" s="69" t="s">
        <v>2196</v>
      </c>
      <c r="M3264" s="69" t="s">
        <v>6</v>
      </c>
    </row>
    <row r="3265" spans="2:13">
      <c r="B3265" s="69">
        <v>3263</v>
      </c>
      <c r="C3265" s="69">
        <v>265</v>
      </c>
      <c r="D3265" s="69">
        <v>58</v>
      </c>
      <c r="E3265" s="69">
        <v>8</v>
      </c>
      <c r="F3265" s="69">
        <v>0</v>
      </c>
      <c r="G3265" s="69" t="s">
        <v>2023</v>
      </c>
      <c r="H3265" s="69" t="s">
        <v>52</v>
      </c>
      <c r="I3265" s="69" t="s">
        <v>2192</v>
      </c>
      <c r="J3265" s="69" t="s">
        <v>55</v>
      </c>
      <c r="K3265" s="69" t="s">
        <v>2197</v>
      </c>
      <c r="M3265" s="69" t="s">
        <v>6</v>
      </c>
    </row>
    <row r="3266" spans="2:13">
      <c r="B3266" s="69">
        <v>3264</v>
      </c>
      <c r="C3266" s="69">
        <v>265</v>
      </c>
      <c r="D3266" s="69">
        <v>58</v>
      </c>
      <c r="E3266" s="69">
        <v>9</v>
      </c>
      <c r="F3266" s="69">
        <v>0</v>
      </c>
      <c r="G3266" s="69" t="s">
        <v>2023</v>
      </c>
      <c r="H3266" s="69" t="s">
        <v>52</v>
      </c>
      <c r="I3266" s="69" t="s">
        <v>2192</v>
      </c>
      <c r="J3266" s="69" t="s">
        <v>55</v>
      </c>
      <c r="K3266" s="69" t="s">
        <v>2198</v>
      </c>
      <c r="M3266" s="69" t="s">
        <v>6</v>
      </c>
    </row>
    <row r="3267" spans="2:13">
      <c r="B3267" s="69">
        <v>3265</v>
      </c>
      <c r="C3267" s="69">
        <v>265</v>
      </c>
      <c r="D3267" s="69">
        <v>58</v>
      </c>
      <c r="E3267" s="69">
        <v>10</v>
      </c>
      <c r="F3267" s="69">
        <v>0</v>
      </c>
      <c r="G3267" s="69" t="s">
        <v>2023</v>
      </c>
      <c r="H3267" s="69" t="s">
        <v>52</v>
      </c>
      <c r="I3267" s="69" t="s">
        <v>2192</v>
      </c>
      <c r="J3267" s="69" t="s">
        <v>55</v>
      </c>
      <c r="K3267" s="69" t="s">
        <v>2199</v>
      </c>
      <c r="M3267" s="69" t="s">
        <v>6</v>
      </c>
    </row>
    <row r="3268" spans="2:13">
      <c r="B3268" s="69">
        <v>3266</v>
      </c>
      <c r="C3268" s="69">
        <v>265</v>
      </c>
      <c r="D3268" s="69">
        <v>58</v>
      </c>
      <c r="E3268" s="69">
        <v>11</v>
      </c>
      <c r="F3268" s="69">
        <v>0</v>
      </c>
      <c r="G3268" s="69" t="s">
        <v>2023</v>
      </c>
      <c r="H3268" s="69" t="s">
        <v>52</v>
      </c>
      <c r="I3268" s="69" t="s">
        <v>2192</v>
      </c>
      <c r="J3268" s="69" t="s">
        <v>55</v>
      </c>
      <c r="K3268" s="69" t="s">
        <v>2200</v>
      </c>
      <c r="M3268" s="69" t="s">
        <v>6</v>
      </c>
    </row>
    <row r="3269" spans="2:13">
      <c r="B3269" s="69">
        <v>3267</v>
      </c>
      <c r="C3269" s="69">
        <v>265</v>
      </c>
      <c r="D3269" s="69">
        <v>58</v>
      </c>
      <c r="E3269" s="69">
        <v>12</v>
      </c>
      <c r="F3269" s="69">
        <v>0</v>
      </c>
      <c r="G3269" s="69" t="s">
        <v>2023</v>
      </c>
      <c r="H3269" s="69" t="s">
        <v>52</v>
      </c>
      <c r="I3269" s="69" t="s">
        <v>2192</v>
      </c>
      <c r="J3269" s="69" t="s">
        <v>55</v>
      </c>
      <c r="K3269" s="69" t="s">
        <v>436</v>
      </c>
      <c r="M3269" s="69" t="s">
        <v>6</v>
      </c>
    </row>
    <row r="3270" spans="2:13">
      <c r="B3270" s="69">
        <v>3268</v>
      </c>
      <c r="C3270" s="69">
        <v>265</v>
      </c>
      <c r="D3270" s="69">
        <v>58</v>
      </c>
      <c r="E3270" s="69">
        <v>13</v>
      </c>
      <c r="F3270" s="69">
        <v>0</v>
      </c>
      <c r="G3270" s="69" t="s">
        <v>2023</v>
      </c>
      <c r="H3270" s="69" t="s">
        <v>52</v>
      </c>
      <c r="I3270" s="69" t="s">
        <v>2192</v>
      </c>
      <c r="J3270" s="69" t="s">
        <v>437</v>
      </c>
      <c r="K3270" s="69" t="s">
        <v>438</v>
      </c>
      <c r="L3270" s="69" t="s">
        <v>439</v>
      </c>
      <c r="M3270" s="69" t="s">
        <v>6</v>
      </c>
    </row>
    <row r="3271" spans="2:13">
      <c r="B3271" s="69">
        <v>3269</v>
      </c>
      <c r="C3271" s="69">
        <v>265</v>
      </c>
      <c r="D3271" s="69">
        <v>58</v>
      </c>
      <c r="E3271" s="69">
        <v>14</v>
      </c>
      <c r="F3271" s="69">
        <v>0</v>
      </c>
      <c r="G3271" s="69" t="s">
        <v>2023</v>
      </c>
      <c r="H3271" s="69" t="s">
        <v>52</v>
      </c>
      <c r="I3271" s="69" t="s">
        <v>2192</v>
      </c>
      <c r="J3271" s="69" t="s">
        <v>64</v>
      </c>
      <c r="K3271" s="69" t="s">
        <v>440</v>
      </c>
      <c r="M3271" s="69" t="s">
        <v>6</v>
      </c>
    </row>
    <row r="3272" spans="2:13">
      <c r="B3272" s="69">
        <v>3270</v>
      </c>
      <c r="C3272" s="69">
        <v>265</v>
      </c>
      <c r="D3272" s="69">
        <v>58</v>
      </c>
      <c r="E3272" s="69">
        <v>15</v>
      </c>
      <c r="F3272" s="69">
        <v>0</v>
      </c>
      <c r="G3272" s="69" t="s">
        <v>2023</v>
      </c>
      <c r="H3272" s="69" t="s">
        <v>52</v>
      </c>
      <c r="I3272" s="69" t="s">
        <v>2192</v>
      </c>
      <c r="J3272" s="69" t="s">
        <v>55</v>
      </c>
      <c r="K3272" s="69" t="s">
        <v>441</v>
      </c>
      <c r="M3272" s="69" t="s">
        <v>6</v>
      </c>
    </row>
    <row r="3273" spans="2:13">
      <c r="B3273" s="69">
        <v>3271</v>
      </c>
      <c r="C3273" s="69">
        <v>265</v>
      </c>
      <c r="D3273" s="69">
        <v>58</v>
      </c>
      <c r="E3273" s="69">
        <v>16</v>
      </c>
      <c r="F3273" s="69">
        <v>0</v>
      </c>
      <c r="G3273" s="69" t="s">
        <v>2023</v>
      </c>
      <c r="H3273" s="69" t="s">
        <v>52</v>
      </c>
      <c r="I3273" s="69" t="s">
        <v>2192</v>
      </c>
      <c r="J3273" s="69" t="s">
        <v>437</v>
      </c>
      <c r="K3273" s="69" t="s">
        <v>438</v>
      </c>
      <c r="L3273" s="69" t="s">
        <v>439</v>
      </c>
      <c r="M3273" s="69" t="s">
        <v>6</v>
      </c>
    </row>
    <row r="3274" spans="2:13">
      <c r="B3274" s="69">
        <v>3272</v>
      </c>
      <c r="C3274" s="69">
        <v>265</v>
      </c>
      <c r="D3274" s="69">
        <v>58</v>
      </c>
      <c r="E3274" s="69">
        <v>17</v>
      </c>
      <c r="F3274" s="69">
        <v>0</v>
      </c>
      <c r="G3274" s="69" t="s">
        <v>2023</v>
      </c>
      <c r="H3274" s="69" t="s">
        <v>52</v>
      </c>
      <c r="I3274" s="69" t="s">
        <v>2192</v>
      </c>
      <c r="J3274" s="69" t="s">
        <v>64</v>
      </c>
      <c r="K3274" s="69" t="s">
        <v>440</v>
      </c>
      <c r="M3274" s="69" t="s">
        <v>6</v>
      </c>
    </row>
    <row r="3275" spans="2:13">
      <c r="B3275" s="69">
        <v>3273</v>
      </c>
      <c r="C3275" s="69">
        <v>265</v>
      </c>
      <c r="D3275" s="69">
        <v>58</v>
      </c>
      <c r="E3275" s="69">
        <v>18</v>
      </c>
      <c r="F3275" s="69">
        <v>0</v>
      </c>
      <c r="G3275" s="69" t="s">
        <v>2023</v>
      </c>
      <c r="H3275" s="69" t="s">
        <v>52</v>
      </c>
      <c r="I3275" s="69" t="s">
        <v>2192</v>
      </c>
      <c r="J3275" s="69" t="s">
        <v>55</v>
      </c>
      <c r="K3275" s="69" t="s">
        <v>442</v>
      </c>
      <c r="M3275" s="69" t="s">
        <v>6</v>
      </c>
    </row>
    <row r="3276" spans="2:13">
      <c r="B3276" s="69">
        <v>3274</v>
      </c>
      <c r="C3276" s="69">
        <v>265</v>
      </c>
      <c r="D3276" s="69">
        <v>58</v>
      </c>
      <c r="E3276" s="69">
        <v>19</v>
      </c>
      <c r="F3276" s="69">
        <v>0</v>
      </c>
      <c r="G3276" s="69" t="s">
        <v>2023</v>
      </c>
      <c r="H3276" s="69" t="s">
        <v>52</v>
      </c>
      <c r="I3276" s="69" t="s">
        <v>2192</v>
      </c>
      <c r="J3276" s="69" t="s">
        <v>214</v>
      </c>
      <c r="K3276" s="69" t="s">
        <v>443</v>
      </c>
      <c r="M3276" s="69" t="s">
        <v>6</v>
      </c>
    </row>
    <row r="3277" spans="2:13">
      <c r="B3277" s="69">
        <v>3275</v>
      </c>
      <c r="C3277" s="69">
        <v>265</v>
      </c>
      <c r="D3277" s="69">
        <v>58</v>
      </c>
      <c r="E3277" s="69">
        <v>20</v>
      </c>
      <c r="F3277" s="69">
        <v>0</v>
      </c>
      <c r="G3277" s="69" t="s">
        <v>2023</v>
      </c>
      <c r="H3277" s="69" t="s">
        <v>52</v>
      </c>
      <c r="I3277" s="69" t="s">
        <v>2192</v>
      </c>
      <c r="J3277" s="69" t="s">
        <v>479</v>
      </c>
      <c r="K3277" s="69" t="s">
        <v>2201</v>
      </c>
      <c r="M3277" s="69" t="s">
        <v>6</v>
      </c>
    </row>
    <row r="3278" spans="2:13">
      <c r="B3278" s="69">
        <v>3276</v>
      </c>
      <c r="C3278" s="69">
        <v>265</v>
      </c>
      <c r="D3278" s="69">
        <v>58</v>
      </c>
      <c r="E3278" s="69">
        <v>21</v>
      </c>
      <c r="F3278" s="69">
        <v>0</v>
      </c>
      <c r="G3278" s="69" t="s">
        <v>2023</v>
      </c>
      <c r="H3278" s="69" t="s">
        <v>52</v>
      </c>
      <c r="I3278" s="69" t="s">
        <v>2192</v>
      </c>
      <c r="J3278" s="69" t="s">
        <v>55</v>
      </c>
      <c r="K3278" s="69" t="s">
        <v>2025</v>
      </c>
      <c r="M3278" s="69" t="s">
        <v>6</v>
      </c>
    </row>
    <row r="3279" spans="2:13">
      <c r="B3279" s="69">
        <v>3277</v>
      </c>
      <c r="C3279" s="69">
        <v>265</v>
      </c>
      <c r="D3279" s="69">
        <v>58</v>
      </c>
      <c r="E3279" s="69">
        <v>22</v>
      </c>
      <c r="F3279" s="69">
        <v>0</v>
      </c>
      <c r="G3279" s="69" t="s">
        <v>2023</v>
      </c>
      <c r="H3279" s="69" t="s">
        <v>52</v>
      </c>
      <c r="I3279" s="69" t="s">
        <v>2192</v>
      </c>
      <c r="J3279" s="69" t="s">
        <v>55</v>
      </c>
      <c r="K3279" s="69" t="s">
        <v>429</v>
      </c>
      <c r="M3279" s="69" t="s">
        <v>6</v>
      </c>
    </row>
    <row r="3280" spans="2:13">
      <c r="B3280" s="69">
        <v>3278</v>
      </c>
      <c r="C3280" s="69">
        <v>265</v>
      </c>
      <c r="D3280" s="69">
        <v>58</v>
      </c>
      <c r="E3280" s="69">
        <v>23</v>
      </c>
      <c r="F3280" s="69">
        <v>0</v>
      </c>
      <c r="G3280" s="69" t="s">
        <v>2023</v>
      </c>
      <c r="H3280" s="69" t="s">
        <v>52</v>
      </c>
      <c r="I3280" s="69" t="s">
        <v>2192</v>
      </c>
      <c r="J3280" s="69" t="s">
        <v>55</v>
      </c>
      <c r="K3280" s="69" t="s">
        <v>430</v>
      </c>
      <c r="M3280" s="69" t="s">
        <v>6</v>
      </c>
    </row>
    <row r="3281" spans="2:13">
      <c r="B3281" s="69">
        <v>3279</v>
      </c>
      <c r="C3281" s="69">
        <v>265</v>
      </c>
      <c r="D3281" s="69">
        <v>58</v>
      </c>
      <c r="E3281" s="69">
        <v>24</v>
      </c>
      <c r="F3281" s="69">
        <v>0</v>
      </c>
      <c r="G3281" s="69" t="s">
        <v>2023</v>
      </c>
      <c r="H3281" s="69" t="s">
        <v>52</v>
      </c>
      <c r="I3281" s="69" t="s">
        <v>2192</v>
      </c>
      <c r="J3281" s="69" t="s">
        <v>55</v>
      </c>
      <c r="K3281" s="69" t="s">
        <v>2194</v>
      </c>
      <c r="M3281" s="69" t="s">
        <v>6</v>
      </c>
    </row>
    <row r="3282" spans="2:13">
      <c r="B3282" s="69">
        <v>3280</v>
      </c>
      <c r="C3282" s="69">
        <v>265</v>
      </c>
      <c r="D3282" s="69">
        <v>58</v>
      </c>
      <c r="E3282" s="69">
        <v>25</v>
      </c>
      <c r="F3282" s="69">
        <v>0</v>
      </c>
      <c r="G3282" s="69" t="s">
        <v>2023</v>
      </c>
      <c r="H3282" s="69" t="s">
        <v>52</v>
      </c>
      <c r="I3282" s="69" t="s">
        <v>2192</v>
      </c>
      <c r="J3282" s="69" t="s">
        <v>55</v>
      </c>
      <c r="K3282" s="69" t="s">
        <v>2195</v>
      </c>
      <c r="M3282" s="69" t="s">
        <v>6</v>
      </c>
    </row>
    <row r="3283" spans="2:13">
      <c r="B3283" s="69">
        <v>3281</v>
      </c>
      <c r="C3283" s="69">
        <v>265</v>
      </c>
      <c r="D3283" s="69">
        <v>58</v>
      </c>
      <c r="E3283" s="69">
        <v>26</v>
      </c>
      <c r="F3283" s="69">
        <v>0</v>
      </c>
      <c r="G3283" s="69" t="s">
        <v>2023</v>
      </c>
      <c r="H3283" s="69" t="s">
        <v>52</v>
      </c>
      <c r="I3283" s="69" t="s">
        <v>2192</v>
      </c>
      <c r="J3283" s="69" t="s">
        <v>55</v>
      </c>
      <c r="K3283" s="69" t="s">
        <v>2196</v>
      </c>
      <c r="M3283" s="69" t="s">
        <v>6</v>
      </c>
    </row>
    <row r="3284" spans="2:13">
      <c r="B3284" s="69">
        <v>3282</v>
      </c>
      <c r="C3284" s="69">
        <v>265</v>
      </c>
      <c r="D3284" s="69">
        <v>58</v>
      </c>
      <c r="E3284" s="69">
        <v>27</v>
      </c>
      <c r="F3284" s="69">
        <v>0</v>
      </c>
      <c r="G3284" s="69" t="s">
        <v>2023</v>
      </c>
      <c r="H3284" s="69" t="s">
        <v>52</v>
      </c>
      <c r="I3284" s="69" t="s">
        <v>2192</v>
      </c>
      <c r="J3284" s="69" t="s">
        <v>55</v>
      </c>
      <c r="K3284" s="69" t="s">
        <v>2197</v>
      </c>
      <c r="M3284" s="69" t="s">
        <v>6</v>
      </c>
    </row>
    <row r="3285" spans="2:13">
      <c r="B3285" s="69">
        <v>3283</v>
      </c>
      <c r="C3285" s="69">
        <v>265</v>
      </c>
      <c r="D3285" s="69">
        <v>58</v>
      </c>
      <c r="E3285" s="69">
        <v>28</v>
      </c>
      <c r="F3285" s="69">
        <v>0</v>
      </c>
      <c r="G3285" s="69" t="s">
        <v>2023</v>
      </c>
      <c r="H3285" s="69" t="s">
        <v>52</v>
      </c>
      <c r="I3285" s="69" t="s">
        <v>2192</v>
      </c>
      <c r="J3285" s="69" t="s">
        <v>55</v>
      </c>
      <c r="K3285" s="69" t="s">
        <v>2198</v>
      </c>
      <c r="M3285" s="69" t="s">
        <v>6</v>
      </c>
    </row>
    <row r="3286" spans="2:13">
      <c r="B3286" s="69">
        <v>3284</v>
      </c>
      <c r="C3286" s="69">
        <v>265</v>
      </c>
      <c r="D3286" s="69">
        <v>58</v>
      </c>
      <c r="E3286" s="69">
        <v>29</v>
      </c>
      <c r="F3286" s="69">
        <v>0</v>
      </c>
      <c r="G3286" s="69" t="s">
        <v>2023</v>
      </c>
      <c r="H3286" s="69" t="s">
        <v>52</v>
      </c>
      <c r="I3286" s="69" t="s">
        <v>2192</v>
      </c>
      <c r="J3286" s="69" t="s">
        <v>55</v>
      </c>
      <c r="K3286" s="69" t="s">
        <v>2199</v>
      </c>
      <c r="M3286" s="69" t="s">
        <v>6</v>
      </c>
    </row>
    <row r="3287" spans="2:13">
      <c r="B3287" s="69">
        <v>3285</v>
      </c>
      <c r="C3287" s="69">
        <v>265</v>
      </c>
      <c r="D3287" s="69">
        <v>58</v>
      </c>
      <c r="E3287" s="69">
        <v>30</v>
      </c>
      <c r="F3287" s="69">
        <v>0</v>
      </c>
      <c r="G3287" s="69" t="s">
        <v>2023</v>
      </c>
      <c r="H3287" s="69" t="s">
        <v>52</v>
      </c>
      <c r="I3287" s="69" t="s">
        <v>2192</v>
      </c>
      <c r="J3287" s="69" t="s">
        <v>55</v>
      </c>
      <c r="K3287" s="69" t="s">
        <v>2200</v>
      </c>
      <c r="M3287" s="69" t="s">
        <v>6</v>
      </c>
    </row>
    <row r="3288" spans="2:13">
      <c r="B3288" s="69">
        <v>3286</v>
      </c>
      <c r="C3288" s="69">
        <v>265</v>
      </c>
      <c r="D3288" s="69">
        <v>58</v>
      </c>
      <c r="E3288" s="69">
        <v>31</v>
      </c>
      <c r="F3288" s="69">
        <v>0</v>
      </c>
      <c r="G3288" s="69" t="s">
        <v>2023</v>
      </c>
      <c r="H3288" s="69" t="s">
        <v>52</v>
      </c>
      <c r="I3288" s="69" t="s">
        <v>2192</v>
      </c>
      <c r="J3288" s="69" t="s">
        <v>55</v>
      </c>
      <c r="K3288" s="69" t="s">
        <v>436</v>
      </c>
      <c r="M3288" s="69" t="s">
        <v>6</v>
      </c>
    </row>
    <row r="3289" spans="2:13">
      <c r="B3289" s="69">
        <v>3287</v>
      </c>
      <c r="C3289" s="69">
        <v>265</v>
      </c>
      <c r="D3289" s="69">
        <v>58</v>
      </c>
      <c r="E3289" s="69">
        <v>32</v>
      </c>
      <c r="F3289" s="69">
        <v>0</v>
      </c>
      <c r="G3289" s="69" t="s">
        <v>2023</v>
      </c>
      <c r="H3289" s="69" t="s">
        <v>52</v>
      </c>
      <c r="I3289" s="69" t="s">
        <v>2192</v>
      </c>
      <c r="J3289" s="69" t="s">
        <v>437</v>
      </c>
      <c r="K3289" s="69" t="s">
        <v>438</v>
      </c>
      <c r="L3289" s="69" t="s">
        <v>439</v>
      </c>
      <c r="M3289" s="69" t="s">
        <v>6</v>
      </c>
    </row>
    <row r="3290" spans="2:13">
      <c r="B3290" s="69">
        <v>3288</v>
      </c>
      <c r="C3290" s="69">
        <v>265</v>
      </c>
      <c r="D3290" s="69">
        <v>58</v>
      </c>
      <c r="E3290" s="69">
        <v>33</v>
      </c>
      <c r="F3290" s="69">
        <v>0</v>
      </c>
      <c r="G3290" s="69" t="s">
        <v>2023</v>
      </c>
      <c r="H3290" s="69" t="s">
        <v>52</v>
      </c>
      <c r="I3290" s="69" t="s">
        <v>2192</v>
      </c>
      <c r="J3290" s="69" t="s">
        <v>64</v>
      </c>
      <c r="K3290" s="69" t="s">
        <v>440</v>
      </c>
      <c r="M3290" s="69" t="s">
        <v>6</v>
      </c>
    </row>
    <row r="3291" spans="2:13">
      <c r="B3291" s="69">
        <v>3289</v>
      </c>
      <c r="C3291" s="69">
        <v>265</v>
      </c>
      <c r="D3291" s="69">
        <v>58</v>
      </c>
      <c r="E3291" s="69">
        <v>34</v>
      </c>
      <c r="F3291" s="69">
        <v>0</v>
      </c>
      <c r="G3291" s="69" t="s">
        <v>2023</v>
      </c>
      <c r="H3291" s="69" t="s">
        <v>52</v>
      </c>
      <c r="I3291" s="69" t="s">
        <v>2192</v>
      </c>
      <c r="J3291" s="69" t="s">
        <v>55</v>
      </c>
      <c r="K3291" s="69" t="s">
        <v>441</v>
      </c>
      <c r="M3291" s="69" t="s">
        <v>6</v>
      </c>
    </row>
    <row r="3292" spans="2:13">
      <c r="B3292" s="69">
        <v>3290</v>
      </c>
      <c r="C3292" s="69">
        <v>265</v>
      </c>
      <c r="D3292" s="69">
        <v>58</v>
      </c>
      <c r="E3292" s="69">
        <v>35</v>
      </c>
      <c r="F3292" s="69">
        <v>0</v>
      </c>
      <c r="G3292" s="69" t="s">
        <v>2023</v>
      </c>
      <c r="H3292" s="69" t="s">
        <v>52</v>
      </c>
      <c r="I3292" s="69" t="s">
        <v>2192</v>
      </c>
      <c r="J3292" s="69" t="s">
        <v>437</v>
      </c>
      <c r="K3292" s="69" t="s">
        <v>438</v>
      </c>
      <c r="L3292" s="69" t="s">
        <v>439</v>
      </c>
      <c r="M3292" s="69" t="s">
        <v>6</v>
      </c>
    </row>
    <row r="3293" spans="2:13">
      <c r="B3293" s="69">
        <v>3291</v>
      </c>
      <c r="C3293" s="69">
        <v>265</v>
      </c>
      <c r="D3293" s="69">
        <v>58</v>
      </c>
      <c r="E3293" s="69">
        <v>36</v>
      </c>
      <c r="F3293" s="69">
        <v>0</v>
      </c>
      <c r="G3293" s="69" t="s">
        <v>2023</v>
      </c>
      <c r="H3293" s="69" t="s">
        <v>52</v>
      </c>
      <c r="I3293" s="69" t="s">
        <v>2192</v>
      </c>
      <c r="J3293" s="69" t="s">
        <v>64</v>
      </c>
      <c r="K3293" s="69" t="s">
        <v>440</v>
      </c>
      <c r="M3293" s="69" t="s">
        <v>6</v>
      </c>
    </row>
    <row r="3294" spans="2:13">
      <c r="B3294" s="69">
        <v>3292</v>
      </c>
      <c r="C3294" s="69">
        <v>265</v>
      </c>
      <c r="D3294" s="69">
        <v>58</v>
      </c>
      <c r="E3294" s="69">
        <v>37</v>
      </c>
      <c r="F3294" s="69">
        <v>0</v>
      </c>
      <c r="G3294" s="69" t="s">
        <v>2023</v>
      </c>
      <c r="H3294" s="69" t="s">
        <v>52</v>
      </c>
      <c r="I3294" s="69" t="s">
        <v>2192</v>
      </c>
      <c r="J3294" s="69" t="s">
        <v>55</v>
      </c>
      <c r="K3294" s="69" t="s">
        <v>442</v>
      </c>
      <c r="M3294" s="69" t="s">
        <v>6</v>
      </c>
    </row>
    <row r="3295" spans="2:13">
      <c r="B3295" s="69">
        <v>3293</v>
      </c>
      <c r="C3295" s="69">
        <v>265</v>
      </c>
      <c r="D3295" s="69">
        <v>58</v>
      </c>
      <c r="E3295" s="69">
        <v>38</v>
      </c>
      <c r="F3295" s="69">
        <v>0</v>
      </c>
      <c r="G3295" s="69" t="s">
        <v>2023</v>
      </c>
      <c r="H3295" s="69" t="s">
        <v>52</v>
      </c>
      <c r="I3295" s="69" t="s">
        <v>2192</v>
      </c>
      <c r="J3295" s="69" t="s">
        <v>214</v>
      </c>
      <c r="K3295" s="69" t="s">
        <v>443</v>
      </c>
      <c r="M3295" s="69" t="s">
        <v>6</v>
      </c>
    </row>
    <row r="3296" spans="2:13">
      <c r="B3296" s="69">
        <v>3294</v>
      </c>
      <c r="C3296" s="69">
        <v>265</v>
      </c>
      <c r="D3296" s="69">
        <v>58</v>
      </c>
      <c r="E3296" s="69">
        <v>39</v>
      </c>
      <c r="F3296" s="69">
        <v>0</v>
      </c>
      <c r="G3296" s="69" t="s">
        <v>2023</v>
      </c>
      <c r="H3296" s="69" t="s">
        <v>52</v>
      </c>
      <c r="I3296" s="69" t="s">
        <v>2192</v>
      </c>
      <c r="J3296" s="69" t="s">
        <v>479</v>
      </c>
      <c r="K3296" s="69" t="s">
        <v>2202</v>
      </c>
      <c r="M3296" s="69" t="s">
        <v>6</v>
      </c>
    </row>
    <row r="3297" spans="2:13">
      <c r="B3297" s="69">
        <v>3295</v>
      </c>
      <c r="C3297" s="69">
        <v>265</v>
      </c>
      <c r="D3297" s="69">
        <v>58</v>
      </c>
      <c r="E3297" s="69">
        <v>40</v>
      </c>
      <c r="F3297" s="69">
        <v>0</v>
      </c>
      <c r="G3297" s="69" t="s">
        <v>2023</v>
      </c>
      <c r="H3297" s="69" t="s">
        <v>52</v>
      </c>
      <c r="I3297" s="69" t="s">
        <v>2192</v>
      </c>
      <c r="J3297" s="69" t="s">
        <v>55</v>
      </c>
      <c r="K3297" s="69" t="s">
        <v>2025</v>
      </c>
      <c r="M3297" s="69" t="s">
        <v>6</v>
      </c>
    </row>
    <row r="3298" spans="2:13">
      <c r="B3298" s="69">
        <v>3296</v>
      </c>
      <c r="C3298" s="69">
        <v>265</v>
      </c>
      <c r="D3298" s="69">
        <v>58</v>
      </c>
      <c r="E3298" s="69">
        <v>41</v>
      </c>
      <c r="F3298" s="69">
        <v>0</v>
      </c>
      <c r="G3298" s="69" t="s">
        <v>2023</v>
      </c>
      <c r="H3298" s="69" t="s">
        <v>52</v>
      </c>
      <c r="I3298" s="69" t="s">
        <v>2192</v>
      </c>
      <c r="J3298" s="69" t="s">
        <v>55</v>
      </c>
      <c r="K3298" s="69" t="s">
        <v>429</v>
      </c>
      <c r="M3298" s="69" t="s">
        <v>6</v>
      </c>
    </row>
    <row r="3299" spans="2:13">
      <c r="B3299" s="69">
        <v>3297</v>
      </c>
      <c r="C3299" s="69">
        <v>265</v>
      </c>
      <c r="D3299" s="69">
        <v>58</v>
      </c>
      <c r="E3299" s="69">
        <v>42</v>
      </c>
      <c r="F3299" s="69">
        <v>0</v>
      </c>
      <c r="G3299" s="69" t="s">
        <v>2023</v>
      </c>
      <c r="H3299" s="69" t="s">
        <v>52</v>
      </c>
      <c r="I3299" s="69" t="s">
        <v>2192</v>
      </c>
      <c r="J3299" s="69" t="s">
        <v>55</v>
      </c>
      <c r="K3299" s="69" t="s">
        <v>430</v>
      </c>
      <c r="M3299" s="69" t="s">
        <v>6</v>
      </c>
    </row>
    <row r="3300" spans="2:13">
      <c r="B3300" s="69">
        <v>3298</v>
      </c>
      <c r="C3300" s="69">
        <v>265</v>
      </c>
      <c r="D3300" s="69">
        <v>58</v>
      </c>
      <c r="E3300" s="69">
        <v>43</v>
      </c>
      <c r="F3300" s="69">
        <v>0</v>
      </c>
      <c r="G3300" s="69" t="s">
        <v>2023</v>
      </c>
      <c r="H3300" s="69" t="s">
        <v>52</v>
      </c>
      <c r="I3300" s="69" t="s">
        <v>2192</v>
      </c>
      <c r="J3300" s="69" t="s">
        <v>55</v>
      </c>
      <c r="K3300" s="69" t="s">
        <v>2194</v>
      </c>
      <c r="M3300" s="69" t="s">
        <v>6</v>
      </c>
    </row>
    <row r="3301" spans="2:13">
      <c r="B3301" s="69">
        <v>3299</v>
      </c>
      <c r="C3301" s="69">
        <v>265</v>
      </c>
      <c r="D3301" s="69">
        <v>58</v>
      </c>
      <c r="E3301" s="69">
        <v>44</v>
      </c>
      <c r="F3301" s="69">
        <v>0</v>
      </c>
      <c r="G3301" s="69" t="s">
        <v>2023</v>
      </c>
      <c r="H3301" s="69" t="s">
        <v>52</v>
      </c>
      <c r="I3301" s="69" t="s">
        <v>2192</v>
      </c>
      <c r="J3301" s="69" t="s">
        <v>55</v>
      </c>
      <c r="K3301" s="69" t="s">
        <v>2195</v>
      </c>
      <c r="M3301" s="69" t="s">
        <v>6</v>
      </c>
    </row>
    <row r="3302" spans="2:13">
      <c r="B3302" s="69">
        <v>3300</v>
      </c>
      <c r="C3302" s="69">
        <v>265</v>
      </c>
      <c r="D3302" s="69">
        <v>58</v>
      </c>
      <c r="E3302" s="69">
        <v>45</v>
      </c>
      <c r="F3302" s="69">
        <v>0</v>
      </c>
      <c r="G3302" s="69" t="s">
        <v>2023</v>
      </c>
      <c r="H3302" s="69" t="s">
        <v>52</v>
      </c>
      <c r="I3302" s="69" t="s">
        <v>2192</v>
      </c>
      <c r="J3302" s="69" t="s">
        <v>55</v>
      </c>
      <c r="K3302" s="69" t="s">
        <v>2196</v>
      </c>
      <c r="M3302" s="69" t="s">
        <v>6</v>
      </c>
    </row>
    <row r="3303" spans="2:13">
      <c r="B3303" s="69">
        <v>3301</v>
      </c>
      <c r="C3303" s="69">
        <v>265</v>
      </c>
      <c r="D3303" s="69">
        <v>58</v>
      </c>
      <c r="E3303" s="69">
        <v>46</v>
      </c>
      <c r="F3303" s="69">
        <v>0</v>
      </c>
      <c r="G3303" s="69" t="s">
        <v>2023</v>
      </c>
      <c r="H3303" s="69" t="s">
        <v>52</v>
      </c>
      <c r="I3303" s="69" t="s">
        <v>2192</v>
      </c>
      <c r="J3303" s="69" t="s">
        <v>55</v>
      </c>
      <c r="K3303" s="69" t="s">
        <v>2197</v>
      </c>
      <c r="M3303" s="69" t="s">
        <v>6</v>
      </c>
    </row>
    <row r="3304" spans="2:13">
      <c r="B3304" s="69">
        <v>3302</v>
      </c>
      <c r="C3304" s="69">
        <v>265</v>
      </c>
      <c r="D3304" s="69">
        <v>58</v>
      </c>
      <c r="E3304" s="69">
        <v>47</v>
      </c>
      <c r="F3304" s="69">
        <v>0</v>
      </c>
      <c r="G3304" s="69" t="s">
        <v>2023</v>
      </c>
      <c r="H3304" s="69" t="s">
        <v>52</v>
      </c>
      <c r="I3304" s="69" t="s">
        <v>2192</v>
      </c>
      <c r="J3304" s="69" t="s">
        <v>55</v>
      </c>
      <c r="K3304" s="69" t="s">
        <v>2198</v>
      </c>
      <c r="M3304" s="69" t="s">
        <v>6</v>
      </c>
    </row>
    <row r="3305" spans="2:13">
      <c r="B3305" s="69">
        <v>3303</v>
      </c>
      <c r="C3305" s="69">
        <v>265</v>
      </c>
      <c r="D3305" s="69">
        <v>58</v>
      </c>
      <c r="E3305" s="69">
        <v>48</v>
      </c>
      <c r="F3305" s="69">
        <v>0</v>
      </c>
      <c r="G3305" s="69" t="s">
        <v>2023</v>
      </c>
      <c r="H3305" s="69" t="s">
        <v>52</v>
      </c>
      <c r="I3305" s="69" t="s">
        <v>2192</v>
      </c>
      <c r="J3305" s="69" t="s">
        <v>55</v>
      </c>
      <c r="K3305" s="69" t="s">
        <v>2199</v>
      </c>
      <c r="M3305" s="69" t="s">
        <v>6</v>
      </c>
    </row>
    <row r="3306" spans="2:13">
      <c r="B3306" s="69">
        <v>3304</v>
      </c>
      <c r="C3306" s="69">
        <v>265</v>
      </c>
      <c r="D3306" s="69">
        <v>58</v>
      </c>
      <c r="E3306" s="69">
        <v>49</v>
      </c>
      <c r="F3306" s="69">
        <v>0</v>
      </c>
      <c r="G3306" s="69" t="s">
        <v>2023</v>
      </c>
      <c r="H3306" s="69" t="s">
        <v>52</v>
      </c>
      <c r="I3306" s="69" t="s">
        <v>2192</v>
      </c>
      <c r="J3306" s="69" t="s">
        <v>55</v>
      </c>
      <c r="K3306" s="69" t="s">
        <v>2200</v>
      </c>
      <c r="M3306" s="69" t="s">
        <v>6</v>
      </c>
    </row>
    <row r="3307" spans="2:13">
      <c r="B3307" s="69">
        <v>3305</v>
      </c>
      <c r="C3307" s="69">
        <v>265</v>
      </c>
      <c r="D3307" s="69">
        <v>58</v>
      </c>
      <c r="E3307" s="69">
        <v>50</v>
      </c>
      <c r="F3307" s="69">
        <v>0</v>
      </c>
      <c r="G3307" s="69" t="s">
        <v>2023</v>
      </c>
      <c r="H3307" s="69" t="s">
        <v>52</v>
      </c>
      <c r="I3307" s="69" t="s">
        <v>2192</v>
      </c>
      <c r="J3307" s="69" t="s">
        <v>55</v>
      </c>
      <c r="K3307" s="69" t="s">
        <v>2203</v>
      </c>
      <c r="M3307" s="69" t="s">
        <v>6</v>
      </c>
    </row>
    <row r="3308" spans="2:13">
      <c r="B3308" s="69">
        <v>3306</v>
      </c>
      <c r="C3308" s="69">
        <v>265</v>
      </c>
      <c r="D3308" s="69">
        <v>58</v>
      </c>
      <c r="E3308" s="69">
        <v>51</v>
      </c>
      <c r="F3308" s="69">
        <v>0</v>
      </c>
      <c r="G3308" s="69" t="s">
        <v>2023</v>
      </c>
      <c r="H3308" s="69" t="s">
        <v>52</v>
      </c>
      <c r="I3308" s="69" t="s">
        <v>2192</v>
      </c>
      <c r="J3308" s="69" t="s">
        <v>55</v>
      </c>
      <c r="K3308" s="69" t="s">
        <v>436</v>
      </c>
      <c r="M3308" s="69" t="s">
        <v>6</v>
      </c>
    </row>
    <row r="3309" spans="2:13">
      <c r="B3309" s="69">
        <v>3307</v>
      </c>
      <c r="C3309" s="69">
        <v>265</v>
      </c>
      <c r="D3309" s="69">
        <v>58</v>
      </c>
      <c r="E3309" s="69">
        <v>52</v>
      </c>
      <c r="F3309" s="69">
        <v>0</v>
      </c>
      <c r="G3309" s="69" t="s">
        <v>2023</v>
      </c>
      <c r="H3309" s="69" t="s">
        <v>52</v>
      </c>
      <c r="I3309" s="69" t="s">
        <v>2192</v>
      </c>
      <c r="J3309" s="69" t="s">
        <v>437</v>
      </c>
      <c r="K3309" s="69" t="s">
        <v>438</v>
      </c>
      <c r="L3309" s="69" t="s">
        <v>439</v>
      </c>
      <c r="M3309" s="69" t="s">
        <v>6</v>
      </c>
    </row>
    <row r="3310" spans="2:13">
      <c r="B3310" s="69">
        <v>3308</v>
      </c>
      <c r="C3310" s="69">
        <v>265</v>
      </c>
      <c r="D3310" s="69">
        <v>58</v>
      </c>
      <c r="E3310" s="69">
        <v>53</v>
      </c>
      <c r="F3310" s="69">
        <v>0</v>
      </c>
      <c r="G3310" s="69" t="s">
        <v>2023</v>
      </c>
      <c r="H3310" s="69" t="s">
        <v>52</v>
      </c>
      <c r="I3310" s="69" t="s">
        <v>2192</v>
      </c>
      <c r="J3310" s="69" t="s">
        <v>64</v>
      </c>
      <c r="K3310" s="69" t="s">
        <v>440</v>
      </c>
      <c r="M3310" s="69" t="s">
        <v>6</v>
      </c>
    </row>
    <row r="3311" spans="2:13">
      <c r="B3311" s="69">
        <v>3309</v>
      </c>
      <c r="C3311" s="69">
        <v>265</v>
      </c>
      <c r="D3311" s="69">
        <v>58</v>
      </c>
      <c r="E3311" s="69">
        <v>54</v>
      </c>
      <c r="F3311" s="69">
        <v>0</v>
      </c>
      <c r="G3311" s="69" t="s">
        <v>2023</v>
      </c>
      <c r="H3311" s="69" t="s">
        <v>52</v>
      </c>
      <c r="I3311" s="69" t="s">
        <v>2192</v>
      </c>
      <c r="J3311" s="69" t="s">
        <v>55</v>
      </c>
      <c r="K3311" s="69" t="s">
        <v>441</v>
      </c>
      <c r="M3311" s="69" t="s">
        <v>6</v>
      </c>
    </row>
    <row r="3312" spans="2:13">
      <c r="B3312" s="69">
        <v>3310</v>
      </c>
      <c r="C3312" s="69">
        <v>265</v>
      </c>
      <c r="D3312" s="69">
        <v>58</v>
      </c>
      <c r="E3312" s="69">
        <v>55</v>
      </c>
      <c r="F3312" s="69">
        <v>0</v>
      </c>
      <c r="G3312" s="69" t="s">
        <v>2023</v>
      </c>
      <c r="H3312" s="69" t="s">
        <v>52</v>
      </c>
      <c r="I3312" s="69" t="s">
        <v>2192</v>
      </c>
      <c r="J3312" s="69" t="s">
        <v>437</v>
      </c>
      <c r="K3312" s="69" t="s">
        <v>438</v>
      </c>
      <c r="L3312" s="69" t="s">
        <v>439</v>
      </c>
      <c r="M3312" s="69" t="s">
        <v>6</v>
      </c>
    </row>
    <row r="3313" spans="2:13">
      <c r="B3313" s="69">
        <v>3311</v>
      </c>
      <c r="C3313" s="69">
        <v>265</v>
      </c>
      <c r="D3313" s="69">
        <v>58</v>
      </c>
      <c r="E3313" s="69">
        <v>56</v>
      </c>
      <c r="F3313" s="69">
        <v>0</v>
      </c>
      <c r="G3313" s="69" t="s">
        <v>2023</v>
      </c>
      <c r="H3313" s="69" t="s">
        <v>52</v>
      </c>
      <c r="I3313" s="69" t="s">
        <v>2192</v>
      </c>
      <c r="J3313" s="69" t="s">
        <v>64</v>
      </c>
      <c r="K3313" s="69" t="s">
        <v>440</v>
      </c>
      <c r="M3313" s="69" t="s">
        <v>6</v>
      </c>
    </row>
    <row r="3314" spans="2:13">
      <c r="B3314" s="69">
        <v>3312</v>
      </c>
      <c r="C3314" s="69">
        <v>265</v>
      </c>
      <c r="D3314" s="69">
        <v>58</v>
      </c>
      <c r="E3314" s="69">
        <v>57</v>
      </c>
      <c r="F3314" s="69">
        <v>0</v>
      </c>
      <c r="G3314" s="69" t="s">
        <v>2023</v>
      </c>
      <c r="H3314" s="69" t="s">
        <v>52</v>
      </c>
      <c r="I3314" s="69" t="s">
        <v>2192</v>
      </c>
      <c r="J3314" s="69" t="s">
        <v>55</v>
      </c>
      <c r="K3314" s="69" t="s">
        <v>442</v>
      </c>
      <c r="M3314" s="69" t="s">
        <v>6</v>
      </c>
    </row>
    <row r="3315" spans="2:13">
      <c r="B3315" s="69">
        <v>3313</v>
      </c>
      <c r="C3315" s="69">
        <v>265</v>
      </c>
      <c r="D3315" s="69">
        <v>58</v>
      </c>
      <c r="E3315" s="69">
        <v>58</v>
      </c>
      <c r="F3315" s="69">
        <v>0</v>
      </c>
      <c r="G3315" s="69" t="s">
        <v>2023</v>
      </c>
      <c r="H3315" s="69" t="s">
        <v>52</v>
      </c>
      <c r="I3315" s="69" t="s">
        <v>2192</v>
      </c>
      <c r="J3315" s="69" t="s">
        <v>214</v>
      </c>
      <c r="K3315" s="69" t="s">
        <v>443</v>
      </c>
      <c r="M3315" s="69" t="s">
        <v>6</v>
      </c>
    </row>
    <row r="3316" spans="2:13">
      <c r="B3316" s="69">
        <v>3314</v>
      </c>
      <c r="C3316" s="69">
        <v>266</v>
      </c>
      <c r="D3316" s="69">
        <v>34</v>
      </c>
      <c r="E3316" s="69">
        <v>0</v>
      </c>
      <c r="F3316" s="69">
        <v>0</v>
      </c>
      <c r="G3316" s="69" t="s">
        <v>2023</v>
      </c>
      <c r="H3316" s="69" t="s">
        <v>52</v>
      </c>
      <c r="I3316" s="69" t="s">
        <v>2204</v>
      </c>
      <c r="J3316" s="69" t="s">
        <v>478</v>
      </c>
      <c r="K3316" s="69" t="s">
        <v>2204</v>
      </c>
      <c r="M3316" s="69" t="s">
        <v>6</v>
      </c>
    </row>
    <row r="3317" spans="2:13">
      <c r="B3317" s="69">
        <v>3315</v>
      </c>
      <c r="C3317" s="69">
        <v>266</v>
      </c>
      <c r="D3317" s="69">
        <v>34</v>
      </c>
      <c r="E3317" s="69">
        <v>1</v>
      </c>
      <c r="F3317" s="69">
        <v>0</v>
      </c>
      <c r="G3317" s="69" t="s">
        <v>2023</v>
      </c>
      <c r="H3317" s="69" t="s">
        <v>52</v>
      </c>
      <c r="I3317" s="69" t="s">
        <v>2204</v>
      </c>
      <c r="J3317" s="69" t="s">
        <v>479</v>
      </c>
      <c r="K3317" s="69" t="s">
        <v>2205</v>
      </c>
      <c r="M3317" s="69" t="s">
        <v>6</v>
      </c>
    </row>
    <row r="3318" spans="2:13">
      <c r="B3318" s="69">
        <v>3316</v>
      </c>
      <c r="C3318" s="69">
        <v>266</v>
      </c>
      <c r="D3318" s="69">
        <v>34</v>
      </c>
      <c r="E3318" s="69">
        <v>2</v>
      </c>
      <c r="F3318" s="69">
        <v>0</v>
      </c>
      <c r="G3318" s="69" t="s">
        <v>2023</v>
      </c>
      <c r="H3318" s="69" t="s">
        <v>52</v>
      </c>
      <c r="I3318" s="69" t="s">
        <v>2204</v>
      </c>
      <c r="J3318" s="69" t="s">
        <v>55</v>
      </c>
      <c r="K3318" s="69" t="s">
        <v>2025</v>
      </c>
      <c r="M3318" s="69" t="s">
        <v>6</v>
      </c>
    </row>
    <row r="3319" spans="2:13">
      <c r="B3319" s="69">
        <v>3317</v>
      </c>
      <c r="C3319" s="69">
        <v>266</v>
      </c>
      <c r="D3319" s="69">
        <v>34</v>
      </c>
      <c r="E3319" s="69">
        <v>3</v>
      </c>
      <c r="F3319" s="69">
        <v>0</v>
      </c>
      <c r="G3319" s="69" t="s">
        <v>2023</v>
      </c>
      <c r="H3319" s="69" t="s">
        <v>52</v>
      </c>
      <c r="I3319" s="69" t="s">
        <v>2204</v>
      </c>
      <c r="J3319" s="69" t="s">
        <v>55</v>
      </c>
      <c r="K3319" s="69" t="s">
        <v>429</v>
      </c>
      <c r="M3319" s="69" t="s">
        <v>6</v>
      </c>
    </row>
    <row r="3320" spans="2:13">
      <c r="B3320" s="69">
        <v>3318</v>
      </c>
      <c r="C3320" s="69">
        <v>266</v>
      </c>
      <c r="D3320" s="69">
        <v>34</v>
      </c>
      <c r="E3320" s="69">
        <v>4</v>
      </c>
      <c r="F3320" s="69">
        <v>0</v>
      </c>
      <c r="G3320" s="69" t="s">
        <v>2023</v>
      </c>
      <c r="H3320" s="69" t="s">
        <v>52</v>
      </c>
      <c r="I3320" s="69" t="s">
        <v>2204</v>
      </c>
      <c r="J3320" s="69" t="s">
        <v>55</v>
      </c>
      <c r="K3320" s="69" t="s">
        <v>430</v>
      </c>
      <c r="M3320" s="69" t="s">
        <v>6</v>
      </c>
    </row>
    <row r="3321" spans="2:13">
      <c r="B3321" s="69">
        <v>3319</v>
      </c>
      <c r="C3321" s="69">
        <v>266</v>
      </c>
      <c r="D3321" s="69">
        <v>34</v>
      </c>
      <c r="E3321" s="69">
        <v>5</v>
      </c>
      <c r="F3321" s="69">
        <v>0</v>
      </c>
      <c r="G3321" s="69" t="s">
        <v>2023</v>
      </c>
      <c r="H3321" s="69" t="s">
        <v>52</v>
      </c>
      <c r="I3321" s="69" t="s">
        <v>2204</v>
      </c>
      <c r="J3321" s="69" t="s">
        <v>55</v>
      </c>
      <c r="K3321" s="69" t="s">
        <v>2195</v>
      </c>
      <c r="M3321" s="69" t="s">
        <v>6</v>
      </c>
    </row>
    <row r="3322" spans="2:13">
      <c r="B3322" s="69">
        <v>3320</v>
      </c>
      <c r="C3322" s="69">
        <v>266</v>
      </c>
      <c r="D3322" s="69">
        <v>34</v>
      </c>
      <c r="E3322" s="69">
        <v>6</v>
      </c>
      <c r="F3322" s="69">
        <v>0</v>
      </c>
      <c r="G3322" s="69" t="s">
        <v>2023</v>
      </c>
      <c r="H3322" s="69" t="s">
        <v>52</v>
      </c>
      <c r="I3322" s="69" t="s">
        <v>2204</v>
      </c>
      <c r="J3322" s="69" t="s">
        <v>55</v>
      </c>
      <c r="K3322" s="69" t="s">
        <v>2197</v>
      </c>
      <c r="M3322" s="69" t="s">
        <v>6</v>
      </c>
    </row>
    <row r="3323" spans="2:13">
      <c r="B3323" s="69">
        <v>3321</v>
      </c>
      <c r="C3323" s="69">
        <v>266</v>
      </c>
      <c r="D3323" s="69">
        <v>34</v>
      </c>
      <c r="E3323" s="69">
        <v>7</v>
      </c>
      <c r="F3323" s="69">
        <v>0</v>
      </c>
      <c r="G3323" s="69" t="s">
        <v>2023</v>
      </c>
      <c r="H3323" s="69" t="s">
        <v>52</v>
      </c>
      <c r="I3323" s="69" t="s">
        <v>2204</v>
      </c>
      <c r="J3323" s="69" t="s">
        <v>55</v>
      </c>
      <c r="K3323" s="69" t="s">
        <v>2206</v>
      </c>
      <c r="M3323" s="69" t="s">
        <v>6</v>
      </c>
    </row>
    <row r="3324" spans="2:13">
      <c r="B3324" s="69">
        <v>3322</v>
      </c>
      <c r="C3324" s="69">
        <v>266</v>
      </c>
      <c r="D3324" s="69">
        <v>34</v>
      </c>
      <c r="E3324" s="69">
        <v>8</v>
      </c>
      <c r="F3324" s="69">
        <v>0</v>
      </c>
      <c r="G3324" s="69" t="s">
        <v>2023</v>
      </c>
      <c r="H3324" s="69" t="s">
        <v>52</v>
      </c>
      <c r="I3324" s="69" t="s">
        <v>2204</v>
      </c>
      <c r="J3324" s="69" t="s">
        <v>55</v>
      </c>
      <c r="K3324" s="69" t="s">
        <v>2207</v>
      </c>
      <c r="M3324" s="69" t="s">
        <v>6</v>
      </c>
    </row>
    <row r="3325" spans="2:13">
      <c r="B3325" s="69">
        <v>3323</v>
      </c>
      <c r="C3325" s="69">
        <v>266</v>
      </c>
      <c r="D3325" s="69">
        <v>34</v>
      </c>
      <c r="E3325" s="69">
        <v>9</v>
      </c>
      <c r="F3325" s="69">
        <v>0</v>
      </c>
      <c r="G3325" s="69" t="s">
        <v>2023</v>
      </c>
      <c r="H3325" s="69" t="s">
        <v>52</v>
      </c>
      <c r="I3325" s="69" t="s">
        <v>2204</v>
      </c>
      <c r="J3325" s="69" t="s">
        <v>55</v>
      </c>
      <c r="K3325" s="69" t="s">
        <v>2200</v>
      </c>
      <c r="M3325" s="69" t="s">
        <v>6</v>
      </c>
    </row>
    <row r="3326" spans="2:13">
      <c r="B3326" s="69">
        <v>3324</v>
      </c>
      <c r="C3326" s="69">
        <v>266</v>
      </c>
      <c r="D3326" s="69">
        <v>34</v>
      </c>
      <c r="E3326" s="69">
        <v>10</v>
      </c>
      <c r="F3326" s="69">
        <v>0</v>
      </c>
      <c r="G3326" s="69" t="s">
        <v>2023</v>
      </c>
      <c r="H3326" s="69" t="s">
        <v>52</v>
      </c>
      <c r="I3326" s="69" t="s">
        <v>2204</v>
      </c>
      <c r="J3326" s="69" t="s">
        <v>55</v>
      </c>
      <c r="K3326" s="69" t="s">
        <v>436</v>
      </c>
      <c r="M3326" s="69" t="s">
        <v>6</v>
      </c>
    </row>
    <row r="3327" spans="2:13">
      <c r="B3327" s="69">
        <v>3325</v>
      </c>
      <c r="C3327" s="69">
        <v>266</v>
      </c>
      <c r="D3327" s="69">
        <v>34</v>
      </c>
      <c r="E3327" s="69">
        <v>11</v>
      </c>
      <c r="F3327" s="69">
        <v>0</v>
      </c>
      <c r="G3327" s="69" t="s">
        <v>2023</v>
      </c>
      <c r="H3327" s="69" t="s">
        <v>52</v>
      </c>
      <c r="I3327" s="69" t="s">
        <v>2204</v>
      </c>
      <c r="J3327" s="69" t="s">
        <v>437</v>
      </c>
      <c r="K3327" s="69" t="s">
        <v>438</v>
      </c>
      <c r="L3327" s="69" t="s">
        <v>439</v>
      </c>
      <c r="M3327" s="69" t="s">
        <v>6</v>
      </c>
    </row>
    <row r="3328" spans="2:13">
      <c r="B3328" s="69">
        <v>3326</v>
      </c>
      <c r="C3328" s="69">
        <v>266</v>
      </c>
      <c r="D3328" s="69">
        <v>34</v>
      </c>
      <c r="E3328" s="69">
        <v>12</v>
      </c>
      <c r="F3328" s="69">
        <v>0</v>
      </c>
      <c r="G3328" s="69" t="s">
        <v>2023</v>
      </c>
      <c r="H3328" s="69" t="s">
        <v>52</v>
      </c>
      <c r="I3328" s="69" t="s">
        <v>2204</v>
      </c>
      <c r="J3328" s="69" t="s">
        <v>64</v>
      </c>
      <c r="K3328" s="69" t="s">
        <v>440</v>
      </c>
      <c r="M3328" s="69" t="s">
        <v>6</v>
      </c>
    </row>
    <row r="3329" spans="2:13">
      <c r="B3329" s="69">
        <v>3327</v>
      </c>
      <c r="C3329" s="69">
        <v>266</v>
      </c>
      <c r="D3329" s="69">
        <v>34</v>
      </c>
      <c r="E3329" s="69">
        <v>13</v>
      </c>
      <c r="F3329" s="69">
        <v>0</v>
      </c>
      <c r="G3329" s="69" t="s">
        <v>2023</v>
      </c>
      <c r="H3329" s="69" t="s">
        <v>52</v>
      </c>
      <c r="I3329" s="69" t="s">
        <v>2204</v>
      </c>
      <c r="J3329" s="69" t="s">
        <v>55</v>
      </c>
      <c r="K3329" s="69" t="s">
        <v>441</v>
      </c>
      <c r="M3329" s="69" t="s">
        <v>6</v>
      </c>
    </row>
    <row r="3330" spans="2:13">
      <c r="B3330" s="69">
        <v>3328</v>
      </c>
      <c r="C3330" s="69">
        <v>266</v>
      </c>
      <c r="D3330" s="69">
        <v>34</v>
      </c>
      <c r="E3330" s="69">
        <v>14</v>
      </c>
      <c r="F3330" s="69">
        <v>0</v>
      </c>
      <c r="G3330" s="69" t="s">
        <v>2023</v>
      </c>
      <c r="H3330" s="69" t="s">
        <v>52</v>
      </c>
      <c r="I3330" s="69" t="s">
        <v>2204</v>
      </c>
      <c r="J3330" s="69" t="s">
        <v>437</v>
      </c>
      <c r="K3330" s="69" t="s">
        <v>438</v>
      </c>
      <c r="L3330" s="69" t="s">
        <v>439</v>
      </c>
      <c r="M3330" s="69" t="s">
        <v>6</v>
      </c>
    </row>
    <row r="3331" spans="2:13">
      <c r="B3331" s="69">
        <v>3329</v>
      </c>
      <c r="C3331" s="69">
        <v>266</v>
      </c>
      <c r="D3331" s="69">
        <v>34</v>
      </c>
      <c r="E3331" s="69">
        <v>15</v>
      </c>
      <c r="F3331" s="69">
        <v>0</v>
      </c>
      <c r="G3331" s="69" t="s">
        <v>2023</v>
      </c>
      <c r="H3331" s="69" t="s">
        <v>52</v>
      </c>
      <c r="I3331" s="69" t="s">
        <v>2204</v>
      </c>
      <c r="J3331" s="69" t="s">
        <v>64</v>
      </c>
      <c r="K3331" s="69" t="s">
        <v>440</v>
      </c>
      <c r="M3331" s="69" t="s">
        <v>6</v>
      </c>
    </row>
    <row r="3332" spans="2:13">
      <c r="B3332" s="69">
        <v>3330</v>
      </c>
      <c r="C3332" s="69">
        <v>266</v>
      </c>
      <c r="D3332" s="69">
        <v>34</v>
      </c>
      <c r="E3332" s="69">
        <v>16</v>
      </c>
      <c r="F3332" s="69">
        <v>0</v>
      </c>
      <c r="G3332" s="69" t="s">
        <v>2023</v>
      </c>
      <c r="H3332" s="69" t="s">
        <v>52</v>
      </c>
      <c r="I3332" s="69" t="s">
        <v>2204</v>
      </c>
      <c r="J3332" s="69" t="s">
        <v>55</v>
      </c>
      <c r="K3332" s="69" t="s">
        <v>442</v>
      </c>
      <c r="M3332" s="69" t="s">
        <v>6</v>
      </c>
    </row>
    <row r="3333" spans="2:13">
      <c r="B3333" s="69">
        <v>3331</v>
      </c>
      <c r="C3333" s="69">
        <v>266</v>
      </c>
      <c r="D3333" s="69">
        <v>34</v>
      </c>
      <c r="E3333" s="69">
        <v>17</v>
      </c>
      <c r="F3333" s="69">
        <v>0</v>
      </c>
      <c r="G3333" s="69" t="s">
        <v>2023</v>
      </c>
      <c r="H3333" s="69" t="s">
        <v>52</v>
      </c>
      <c r="I3333" s="69" t="s">
        <v>2204</v>
      </c>
      <c r="J3333" s="69" t="s">
        <v>214</v>
      </c>
      <c r="K3333" s="69" t="s">
        <v>443</v>
      </c>
      <c r="M3333" s="69" t="s">
        <v>6</v>
      </c>
    </row>
    <row r="3334" spans="2:13">
      <c r="B3334" s="69">
        <v>3332</v>
      </c>
      <c r="C3334" s="69">
        <v>266</v>
      </c>
      <c r="D3334" s="69">
        <v>34</v>
      </c>
      <c r="E3334" s="69">
        <v>18</v>
      </c>
      <c r="F3334" s="69">
        <v>0</v>
      </c>
      <c r="G3334" s="69" t="s">
        <v>2023</v>
      </c>
      <c r="H3334" s="69" t="s">
        <v>52</v>
      </c>
      <c r="I3334" s="69" t="s">
        <v>2204</v>
      </c>
      <c r="J3334" s="69" t="s">
        <v>479</v>
      </c>
      <c r="K3334" s="69" t="s">
        <v>2208</v>
      </c>
      <c r="M3334" s="69" t="s">
        <v>6</v>
      </c>
    </row>
    <row r="3335" spans="2:13">
      <c r="B3335" s="69">
        <v>3333</v>
      </c>
      <c r="C3335" s="69">
        <v>266</v>
      </c>
      <c r="D3335" s="69">
        <v>34</v>
      </c>
      <c r="E3335" s="69">
        <v>19</v>
      </c>
      <c r="F3335" s="69">
        <v>0</v>
      </c>
      <c r="G3335" s="69" t="s">
        <v>2023</v>
      </c>
      <c r="H3335" s="69" t="s">
        <v>52</v>
      </c>
      <c r="I3335" s="69" t="s">
        <v>2204</v>
      </c>
      <c r="J3335" s="69" t="s">
        <v>55</v>
      </c>
      <c r="K3335" s="69" t="s">
        <v>2025</v>
      </c>
      <c r="M3335" s="69" t="s">
        <v>6</v>
      </c>
    </row>
    <row r="3336" spans="2:13">
      <c r="B3336" s="69">
        <v>3334</v>
      </c>
      <c r="C3336" s="69">
        <v>266</v>
      </c>
      <c r="D3336" s="69">
        <v>34</v>
      </c>
      <c r="E3336" s="69">
        <v>20</v>
      </c>
      <c r="F3336" s="69">
        <v>0</v>
      </c>
      <c r="G3336" s="69" t="s">
        <v>2023</v>
      </c>
      <c r="H3336" s="69" t="s">
        <v>52</v>
      </c>
      <c r="I3336" s="69" t="s">
        <v>2204</v>
      </c>
      <c r="J3336" s="69" t="s">
        <v>55</v>
      </c>
      <c r="K3336" s="69" t="s">
        <v>429</v>
      </c>
      <c r="M3336" s="69" t="s">
        <v>6</v>
      </c>
    </row>
    <row r="3337" spans="2:13">
      <c r="B3337" s="69">
        <v>3335</v>
      </c>
      <c r="C3337" s="69">
        <v>266</v>
      </c>
      <c r="D3337" s="69">
        <v>34</v>
      </c>
      <c r="E3337" s="69">
        <v>21</v>
      </c>
      <c r="F3337" s="69">
        <v>0</v>
      </c>
      <c r="G3337" s="69" t="s">
        <v>2023</v>
      </c>
      <c r="H3337" s="69" t="s">
        <v>52</v>
      </c>
      <c r="I3337" s="69" t="s">
        <v>2204</v>
      </c>
      <c r="J3337" s="69" t="s">
        <v>55</v>
      </c>
      <c r="K3337" s="69" t="s">
        <v>430</v>
      </c>
      <c r="M3337" s="69" t="s">
        <v>6</v>
      </c>
    </row>
    <row r="3338" spans="2:13">
      <c r="B3338" s="69">
        <v>3336</v>
      </c>
      <c r="C3338" s="69">
        <v>266</v>
      </c>
      <c r="D3338" s="69">
        <v>34</v>
      </c>
      <c r="E3338" s="69">
        <v>22</v>
      </c>
      <c r="F3338" s="69">
        <v>0</v>
      </c>
      <c r="G3338" s="69" t="s">
        <v>2023</v>
      </c>
      <c r="H3338" s="69" t="s">
        <v>52</v>
      </c>
      <c r="I3338" s="69" t="s">
        <v>2204</v>
      </c>
      <c r="J3338" s="69" t="s">
        <v>55</v>
      </c>
      <c r="K3338" s="69" t="s">
        <v>2195</v>
      </c>
      <c r="M3338" s="69" t="s">
        <v>6</v>
      </c>
    </row>
    <row r="3339" spans="2:13">
      <c r="B3339" s="69">
        <v>3337</v>
      </c>
      <c r="C3339" s="69">
        <v>266</v>
      </c>
      <c r="D3339" s="69">
        <v>34</v>
      </c>
      <c r="E3339" s="69">
        <v>23</v>
      </c>
      <c r="F3339" s="69">
        <v>0</v>
      </c>
      <c r="G3339" s="69" t="s">
        <v>2023</v>
      </c>
      <c r="H3339" s="69" t="s">
        <v>52</v>
      </c>
      <c r="I3339" s="69" t="s">
        <v>2204</v>
      </c>
      <c r="J3339" s="69" t="s">
        <v>55</v>
      </c>
      <c r="K3339" s="69" t="s">
        <v>2197</v>
      </c>
      <c r="M3339" s="69" t="s">
        <v>6</v>
      </c>
    </row>
    <row r="3340" spans="2:13">
      <c r="B3340" s="69">
        <v>3338</v>
      </c>
      <c r="C3340" s="69">
        <v>266</v>
      </c>
      <c r="D3340" s="69">
        <v>34</v>
      </c>
      <c r="E3340" s="69">
        <v>24</v>
      </c>
      <c r="F3340" s="69">
        <v>0</v>
      </c>
      <c r="G3340" s="69" t="s">
        <v>2023</v>
      </c>
      <c r="H3340" s="69" t="s">
        <v>52</v>
      </c>
      <c r="I3340" s="69" t="s">
        <v>2204</v>
      </c>
      <c r="J3340" s="69" t="s">
        <v>55</v>
      </c>
      <c r="K3340" s="69" t="s">
        <v>2206</v>
      </c>
      <c r="M3340" s="69" t="s">
        <v>6</v>
      </c>
    </row>
    <row r="3341" spans="2:13">
      <c r="B3341" s="69">
        <v>3339</v>
      </c>
      <c r="C3341" s="69">
        <v>266</v>
      </c>
      <c r="D3341" s="69">
        <v>34</v>
      </c>
      <c r="E3341" s="69">
        <v>25</v>
      </c>
      <c r="F3341" s="69">
        <v>0</v>
      </c>
      <c r="G3341" s="69" t="s">
        <v>2023</v>
      </c>
      <c r="H3341" s="69" t="s">
        <v>52</v>
      </c>
      <c r="I3341" s="69" t="s">
        <v>2204</v>
      </c>
      <c r="J3341" s="69" t="s">
        <v>55</v>
      </c>
      <c r="K3341" s="69" t="s">
        <v>2209</v>
      </c>
      <c r="M3341" s="69" t="s">
        <v>6</v>
      </c>
    </row>
    <row r="3342" spans="2:13">
      <c r="B3342" s="69">
        <v>3340</v>
      </c>
      <c r="C3342" s="69">
        <v>266</v>
      </c>
      <c r="D3342" s="69">
        <v>34</v>
      </c>
      <c r="E3342" s="69">
        <v>26</v>
      </c>
      <c r="F3342" s="69">
        <v>0</v>
      </c>
      <c r="G3342" s="69" t="s">
        <v>2023</v>
      </c>
      <c r="H3342" s="69" t="s">
        <v>52</v>
      </c>
      <c r="I3342" s="69" t="s">
        <v>2204</v>
      </c>
      <c r="J3342" s="69" t="s">
        <v>55</v>
      </c>
      <c r="K3342" s="69" t="s">
        <v>2200</v>
      </c>
      <c r="M3342" s="69" t="s">
        <v>6</v>
      </c>
    </row>
    <row r="3343" spans="2:13">
      <c r="B3343" s="69">
        <v>3341</v>
      </c>
      <c r="C3343" s="69">
        <v>266</v>
      </c>
      <c r="D3343" s="69">
        <v>34</v>
      </c>
      <c r="E3343" s="69">
        <v>27</v>
      </c>
      <c r="F3343" s="69">
        <v>0</v>
      </c>
      <c r="G3343" s="69" t="s">
        <v>2023</v>
      </c>
      <c r="H3343" s="69" t="s">
        <v>52</v>
      </c>
      <c r="I3343" s="69" t="s">
        <v>2204</v>
      </c>
      <c r="J3343" s="69" t="s">
        <v>55</v>
      </c>
      <c r="K3343" s="69" t="s">
        <v>436</v>
      </c>
      <c r="M3343" s="69" t="s">
        <v>6</v>
      </c>
    </row>
    <row r="3344" spans="2:13">
      <c r="B3344" s="69">
        <v>3342</v>
      </c>
      <c r="C3344" s="69">
        <v>266</v>
      </c>
      <c r="D3344" s="69">
        <v>34</v>
      </c>
      <c r="E3344" s="69">
        <v>28</v>
      </c>
      <c r="F3344" s="69">
        <v>0</v>
      </c>
      <c r="G3344" s="69" t="s">
        <v>2023</v>
      </c>
      <c r="H3344" s="69" t="s">
        <v>52</v>
      </c>
      <c r="I3344" s="69" t="s">
        <v>2204</v>
      </c>
      <c r="J3344" s="69" t="s">
        <v>437</v>
      </c>
      <c r="K3344" s="69" t="s">
        <v>438</v>
      </c>
      <c r="L3344" s="69" t="s">
        <v>439</v>
      </c>
      <c r="M3344" s="69" t="s">
        <v>6</v>
      </c>
    </row>
    <row r="3345" spans="2:13">
      <c r="B3345" s="69">
        <v>3343</v>
      </c>
      <c r="C3345" s="69">
        <v>266</v>
      </c>
      <c r="D3345" s="69">
        <v>34</v>
      </c>
      <c r="E3345" s="69">
        <v>29</v>
      </c>
      <c r="F3345" s="69">
        <v>0</v>
      </c>
      <c r="G3345" s="69" t="s">
        <v>2023</v>
      </c>
      <c r="H3345" s="69" t="s">
        <v>52</v>
      </c>
      <c r="I3345" s="69" t="s">
        <v>2204</v>
      </c>
      <c r="J3345" s="69" t="s">
        <v>64</v>
      </c>
      <c r="K3345" s="69" t="s">
        <v>440</v>
      </c>
      <c r="M3345" s="69" t="s">
        <v>6</v>
      </c>
    </row>
    <row r="3346" spans="2:13">
      <c r="B3346" s="69">
        <v>3344</v>
      </c>
      <c r="C3346" s="69">
        <v>266</v>
      </c>
      <c r="D3346" s="69">
        <v>34</v>
      </c>
      <c r="E3346" s="69">
        <v>30</v>
      </c>
      <c r="F3346" s="69">
        <v>0</v>
      </c>
      <c r="G3346" s="69" t="s">
        <v>2023</v>
      </c>
      <c r="H3346" s="69" t="s">
        <v>52</v>
      </c>
      <c r="I3346" s="69" t="s">
        <v>2204</v>
      </c>
      <c r="J3346" s="69" t="s">
        <v>55</v>
      </c>
      <c r="K3346" s="69" t="s">
        <v>441</v>
      </c>
      <c r="M3346" s="69" t="s">
        <v>6</v>
      </c>
    </row>
    <row r="3347" spans="2:13">
      <c r="B3347" s="69">
        <v>3345</v>
      </c>
      <c r="C3347" s="69">
        <v>266</v>
      </c>
      <c r="D3347" s="69">
        <v>34</v>
      </c>
      <c r="E3347" s="69">
        <v>31</v>
      </c>
      <c r="F3347" s="69">
        <v>0</v>
      </c>
      <c r="G3347" s="69" t="s">
        <v>2023</v>
      </c>
      <c r="H3347" s="69" t="s">
        <v>52</v>
      </c>
      <c r="I3347" s="69" t="s">
        <v>2204</v>
      </c>
      <c r="J3347" s="69" t="s">
        <v>437</v>
      </c>
      <c r="K3347" s="69" t="s">
        <v>438</v>
      </c>
      <c r="L3347" s="69" t="s">
        <v>439</v>
      </c>
      <c r="M3347" s="69" t="s">
        <v>6</v>
      </c>
    </row>
    <row r="3348" spans="2:13">
      <c r="B3348" s="69">
        <v>3346</v>
      </c>
      <c r="C3348" s="69">
        <v>266</v>
      </c>
      <c r="D3348" s="69">
        <v>34</v>
      </c>
      <c r="E3348" s="69">
        <v>32</v>
      </c>
      <c r="F3348" s="69">
        <v>0</v>
      </c>
      <c r="G3348" s="69" t="s">
        <v>2023</v>
      </c>
      <c r="H3348" s="69" t="s">
        <v>52</v>
      </c>
      <c r="I3348" s="69" t="s">
        <v>2204</v>
      </c>
      <c r="J3348" s="69" t="s">
        <v>64</v>
      </c>
      <c r="K3348" s="69" t="s">
        <v>440</v>
      </c>
      <c r="M3348" s="69" t="s">
        <v>6</v>
      </c>
    </row>
    <row r="3349" spans="2:13">
      <c r="B3349" s="69">
        <v>3347</v>
      </c>
      <c r="C3349" s="69">
        <v>266</v>
      </c>
      <c r="D3349" s="69">
        <v>34</v>
      </c>
      <c r="E3349" s="69">
        <v>33</v>
      </c>
      <c r="F3349" s="69">
        <v>0</v>
      </c>
      <c r="G3349" s="69" t="s">
        <v>2023</v>
      </c>
      <c r="H3349" s="69" t="s">
        <v>52</v>
      </c>
      <c r="I3349" s="69" t="s">
        <v>2204</v>
      </c>
      <c r="J3349" s="69" t="s">
        <v>55</v>
      </c>
      <c r="K3349" s="69" t="s">
        <v>442</v>
      </c>
      <c r="M3349" s="69" t="s">
        <v>6</v>
      </c>
    </row>
    <row r="3350" spans="2:13">
      <c r="B3350" s="69">
        <v>3348</v>
      </c>
      <c r="C3350" s="69">
        <v>266</v>
      </c>
      <c r="D3350" s="69">
        <v>34</v>
      </c>
      <c r="E3350" s="69">
        <v>34</v>
      </c>
      <c r="F3350" s="69">
        <v>0</v>
      </c>
      <c r="G3350" s="69" t="s">
        <v>2023</v>
      </c>
      <c r="H3350" s="69" t="s">
        <v>52</v>
      </c>
      <c r="I3350" s="69" t="s">
        <v>2204</v>
      </c>
      <c r="J3350" s="69" t="s">
        <v>214</v>
      </c>
      <c r="K3350" s="69" t="s">
        <v>443</v>
      </c>
      <c r="M3350" s="69" t="s">
        <v>6</v>
      </c>
    </row>
    <row r="3351" spans="2:13">
      <c r="B3351" s="69">
        <v>3349</v>
      </c>
      <c r="C3351" s="69">
        <v>267</v>
      </c>
      <c r="D3351" s="69">
        <v>77</v>
      </c>
      <c r="E3351" s="69">
        <v>0</v>
      </c>
      <c r="F3351" s="69">
        <v>0</v>
      </c>
      <c r="G3351" s="69" t="s">
        <v>2023</v>
      </c>
      <c r="H3351" s="69" t="s">
        <v>52</v>
      </c>
      <c r="I3351" s="69" t="s">
        <v>2210</v>
      </c>
      <c r="J3351" s="69" t="s">
        <v>478</v>
      </c>
      <c r="K3351" s="69" t="s">
        <v>2210</v>
      </c>
      <c r="M3351" s="69" t="s">
        <v>6</v>
      </c>
    </row>
    <row r="3352" spans="2:13">
      <c r="B3352" s="69">
        <v>3350</v>
      </c>
      <c r="C3352" s="69">
        <v>267</v>
      </c>
      <c r="D3352" s="69">
        <v>77</v>
      </c>
      <c r="E3352" s="69">
        <v>1</v>
      </c>
      <c r="F3352" s="69">
        <v>0</v>
      </c>
      <c r="G3352" s="69" t="s">
        <v>2023</v>
      </c>
      <c r="H3352" s="69" t="s">
        <v>52</v>
      </c>
      <c r="I3352" s="69" t="s">
        <v>2210</v>
      </c>
      <c r="J3352" s="69" t="s">
        <v>479</v>
      </c>
      <c r="K3352" s="69" t="s">
        <v>2211</v>
      </c>
      <c r="M3352" s="69" t="s">
        <v>6</v>
      </c>
    </row>
    <row r="3353" spans="2:13">
      <c r="B3353" s="69">
        <v>3351</v>
      </c>
      <c r="C3353" s="69">
        <v>267</v>
      </c>
      <c r="D3353" s="69">
        <v>77</v>
      </c>
      <c r="E3353" s="69">
        <v>2</v>
      </c>
      <c r="F3353" s="69">
        <v>0</v>
      </c>
      <c r="G3353" s="69" t="s">
        <v>2023</v>
      </c>
      <c r="H3353" s="69" t="s">
        <v>52</v>
      </c>
      <c r="I3353" s="69" t="s">
        <v>2210</v>
      </c>
      <c r="J3353" s="69" t="s">
        <v>55</v>
      </c>
      <c r="K3353" s="69" t="s">
        <v>2025</v>
      </c>
      <c r="M3353" s="69" t="s">
        <v>6</v>
      </c>
    </row>
    <row r="3354" spans="2:13">
      <c r="B3354" s="69">
        <v>3352</v>
      </c>
      <c r="C3354" s="69">
        <v>267</v>
      </c>
      <c r="D3354" s="69">
        <v>77</v>
      </c>
      <c r="E3354" s="69">
        <v>3</v>
      </c>
      <c r="F3354" s="69">
        <v>0</v>
      </c>
      <c r="G3354" s="69" t="s">
        <v>2023</v>
      </c>
      <c r="H3354" s="69" t="s">
        <v>52</v>
      </c>
      <c r="I3354" s="69" t="s">
        <v>2210</v>
      </c>
      <c r="J3354" s="69" t="s">
        <v>55</v>
      </c>
      <c r="K3354" s="69" t="s">
        <v>429</v>
      </c>
      <c r="M3354" s="69" t="s">
        <v>6</v>
      </c>
    </row>
    <row r="3355" spans="2:13">
      <c r="B3355" s="69">
        <v>3353</v>
      </c>
      <c r="C3355" s="69">
        <v>267</v>
      </c>
      <c r="D3355" s="69">
        <v>77</v>
      </c>
      <c r="E3355" s="69">
        <v>4</v>
      </c>
      <c r="F3355" s="69">
        <v>0</v>
      </c>
      <c r="G3355" s="69" t="s">
        <v>2023</v>
      </c>
      <c r="H3355" s="69" t="s">
        <v>52</v>
      </c>
      <c r="I3355" s="69" t="s">
        <v>2210</v>
      </c>
      <c r="J3355" s="69" t="s">
        <v>55</v>
      </c>
      <c r="K3355" s="69" t="s">
        <v>430</v>
      </c>
      <c r="M3355" s="69" t="s">
        <v>6</v>
      </c>
    </row>
    <row r="3356" spans="2:13">
      <c r="B3356" s="69">
        <v>3354</v>
      </c>
      <c r="C3356" s="69">
        <v>267</v>
      </c>
      <c r="D3356" s="69">
        <v>77</v>
      </c>
      <c r="E3356" s="69">
        <v>5</v>
      </c>
      <c r="F3356" s="69">
        <v>0</v>
      </c>
      <c r="G3356" s="69" t="s">
        <v>2023</v>
      </c>
      <c r="H3356" s="69" t="s">
        <v>52</v>
      </c>
      <c r="I3356" s="69" t="s">
        <v>2210</v>
      </c>
      <c r="J3356" s="69" t="s">
        <v>55</v>
      </c>
      <c r="K3356" s="69" t="s">
        <v>2212</v>
      </c>
      <c r="M3356" s="69" t="s">
        <v>6</v>
      </c>
    </row>
    <row r="3357" spans="2:13">
      <c r="B3357" s="69">
        <v>3355</v>
      </c>
      <c r="C3357" s="69">
        <v>267</v>
      </c>
      <c r="D3357" s="69">
        <v>77</v>
      </c>
      <c r="E3357" s="69">
        <v>6</v>
      </c>
      <c r="F3357" s="69">
        <v>0</v>
      </c>
      <c r="G3357" s="69" t="s">
        <v>2023</v>
      </c>
      <c r="H3357" s="69" t="s">
        <v>52</v>
      </c>
      <c r="I3357" s="69" t="s">
        <v>2210</v>
      </c>
      <c r="J3357" s="69" t="s">
        <v>55</v>
      </c>
      <c r="K3357" s="69" t="s">
        <v>2213</v>
      </c>
      <c r="M3357" s="69" t="s">
        <v>6</v>
      </c>
    </row>
    <row r="3358" spans="2:13">
      <c r="B3358" s="69">
        <v>3356</v>
      </c>
      <c r="C3358" s="69">
        <v>267</v>
      </c>
      <c r="D3358" s="69">
        <v>77</v>
      </c>
      <c r="E3358" s="69">
        <v>7</v>
      </c>
      <c r="F3358" s="69">
        <v>0</v>
      </c>
      <c r="G3358" s="69" t="s">
        <v>2023</v>
      </c>
      <c r="H3358" s="69" t="s">
        <v>52</v>
      </c>
      <c r="I3358" s="69" t="s">
        <v>2210</v>
      </c>
      <c r="J3358" s="69" t="s">
        <v>55</v>
      </c>
      <c r="K3358" s="69" t="s">
        <v>2214</v>
      </c>
      <c r="M3358" s="69" t="s">
        <v>6</v>
      </c>
    </row>
    <row r="3359" spans="2:13">
      <c r="B3359" s="69">
        <v>3357</v>
      </c>
      <c r="C3359" s="69">
        <v>267</v>
      </c>
      <c r="D3359" s="69">
        <v>77</v>
      </c>
      <c r="E3359" s="69">
        <v>8</v>
      </c>
      <c r="F3359" s="69">
        <v>0</v>
      </c>
      <c r="G3359" s="69" t="s">
        <v>2023</v>
      </c>
      <c r="H3359" s="69" t="s">
        <v>52</v>
      </c>
      <c r="I3359" s="69" t="s">
        <v>2210</v>
      </c>
      <c r="J3359" s="69" t="s">
        <v>55</v>
      </c>
      <c r="K3359" s="69" t="s">
        <v>2215</v>
      </c>
      <c r="M3359" s="69" t="s">
        <v>6</v>
      </c>
    </row>
    <row r="3360" spans="2:13">
      <c r="B3360" s="69">
        <v>3358</v>
      </c>
      <c r="C3360" s="69">
        <v>267</v>
      </c>
      <c r="D3360" s="69">
        <v>77</v>
      </c>
      <c r="E3360" s="69">
        <v>9</v>
      </c>
      <c r="F3360" s="69">
        <v>0</v>
      </c>
      <c r="G3360" s="69" t="s">
        <v>2023</v>
      </c>
      <c r="H3360" s="69" t="s">
        <v>52</v>
      </c>
      <c r="I3360" s="69" t="s">
        <v>2210</v>
      </c>
      <c r="J3360" s="69" t="s">
        <v>55</v>
      </c>
      <c r="K3360" s="69" t="s">
        <v>2216</v>
      </c>
      <c r="M3360" s="69" t="s">
        <v>6</v>
      </c>
    </row>
    <row r="3361" spans="2:13">
      <c r="B3361" s="69">
        <v>3359</v>
      </c>
      <c r="C3361" s="69">
        <v>267</v>
      </c>
      <c r="D3361" s="69">
        <v>77</v>
      </c>
      <c r="E3361" s="69">
        <v>10</v>
      </c>
      <c r="F3361" s="69">
        <v>0</v>
      </c>
      <c r="G3361" s="69" t="s">
        <v>2023</v>
      </c>
      <c r="H3361" s="69" t="s">
        <v>52</v>
      </c>
      <c r="I3361" s="69" t="s">
        <v>2210</v>
      </c>
      <c r="J3361" s="69" t="s">
        <v>55</v>
      </c>
      <c r="K3361" s="69" t="s">
        <v>2217</v>
      </c>
      <c r="M3361" s="69" t="s">
        <v>6</v>
      </c>
    </row>
    <row r="3362" spans="2:13">
      <c r="B3362" s="69">
        <v>3360</v>
      </c>
      <c r="C3362" s="69">
        <v>267</v>
      </c>
      <c r="D3362" s="69">
        <v>77</v>
      </c>
      <c r="E3362" s="69">
        <v>11</v>
      </c>
      <c r="F3362" s="69">
        <v>0</v>
      </c>
      <c r="G3362" s="69" t="s">
        <v>2023</v>
      </c>
      <c r="H3362" s="69" t="s">
        <v>52</v>
      </c>
      <c r="I3362" s="69" t="s">
        <v>2210</v>
      </c>
      <c r="J3362" s="69" t="s">
        <v>55</v>
      </c>
      <c r="K3362" s="69" t="s">
        <v>2218</v>
      </c>
      <c r="M3362" s="69" t="s">
        <v>6</v>
      </c>
    </row>
    <row r="3363" spans="2:13">
      <c r="B3363" s="69">
        <v>3361</v>
      </c>
      <c r="C3363" s="69">
        <v>267</v>
      </c>
      <c r="D3363" s="69">
        <v>77</v>
      </c>
      <c r="E3363" s="69">
        <v>12</v>
      </c>
      <c r="F3363" s="69">
        <v>0</v>
      </c>
      <c r="G3363" s="69" t="s">
        <v>2023</v>
      </c>
      <c r="H3363" s="69" t="s">
        <v>52</v>
      </c>
      <c r="I3363" s="69" t="s">
        <v>2210</v>
      </c>
      <c r="J3363" s="69" t="s">
        <v>55</v>
      </c>
      <c r="K3363" s="69" t="s">
        <v>436</v>
      </c>
      <c r="M3363" s="69" t="s">
        <v>6</v>
      </c>
    </row>
    <row r="3364" spans="2:13">
      <c r="B3364" s="69">
        <v>3362</v>
      </c>
      <c r="C3364" s="69">
        <v>267</v>
      </c>
      <c r="D3364" s="69">
        <v>77</v>
      </c>
      <c r="E3364" s="69">
        <v>13</v>
      </c>
      <c r="F3364" s="69">
        <v>0</v>
      </c>
      <c r="G3364" s="69" t="s">
        <v>2023</v>
      </c>
      <c r="H3364" s="69" t="s">
        <v>52</v>
      </c>
      <c r="I3364" s="69" t="s">
        <v>2210</v>
      </c>
      <c r="J3364" s="69" t="s">
        <v>437</v>
      </c>
      <c r="K3364" s="69" t="s">
        <v>438</v>
      </c>
      <c r="L3364" s="69" t="s">
        <v>439</v>
      </c>
      <c r="M3364" s="69" t="s">
        <v>6</v>
      </c>
    </row>
    <row r="3365" spans="2:13">
      <c r="B3365" s="69">
        <v>3363</v>
      </c>
      <c r="C3365" s="69">
        <v>267</v>
      </c>
      <c r="D3365" s="69">
        <v>77</v>
      </c>
      <c r="E3365" s="69">
        <v>14</v>
      </c>
      <c r="F3365" s="69">
        <v>0</v>
      </c>
      <c r="G3365" s="69" t="s">
        <v>2023</v>
      </c>
      <c r="H3365" s="69" t="s">
        <v>52</v>
      </c>
      <c r="I3365" s="69" t="s">
        <v>2210</v>
      </c>
      <c r="J3365" s="69" t="s">
        <v>64</v>
      </c>
      <c r="K3365" s="69" t="s">
        <v>440</v>
      </c>
      <c r="M3365" s="69" t="s">
        <v>6</v>
      </c>
    </row>
    <row r="3366" spans="2:13">
      <c r="B3366" s="69">
        <v>3364</v>
      </c>
      <c r="C3366" s="69">
        <v>267</v>
      </c>
      <c r="D3366" s="69">
        <v>77</v>
      </c>
      <c r="E3366" s="69">
        <v>15</v>
      </c>
      <c r="F3366" s="69">
        <v>0</v>
      </c>
      <c r="G3366" s="69" t="s">
        <v>2023</v>
      </c>
      <c r="H3366" s="69" t="s">
        <v>52</v>
      </c>
      <c r="I3366" s="69" t="s">
        <v>2210</v>
      </c>
      <c r="J3366" s="69" t="s">
        <v>55</v>
      </c>
      <c r="K3366" s="69" t="s">
        <v>441</v>
      </c>
      <c r="M3366" s="69" t="s">
        <v>6</v>
      </c>
    </row>
    <row r="3367" spans="2:13">
      <c r="B3367" s="69">
        <v>3365</v>
      </c>
      <c r="C3367" s="69">
        <v>267</v>
      </c>
      <c r="D3367" s="69">
        <v>77</v>
      </c>
      <c r="E3367" s="69">
        <v>16</v>
      </c>
      <c r="F3367" s="69">
        <v>0</v>
      </c>
      <c r="G3367" s="69" t="s">
        <v>2023</v>
      </c>
      <c r="H3367" s="69" t="s">
        <v>52</v>
      </c>
      <c r="I3367" s="69" t="s">
        <v>2210</v>
      </c>
      <c r="J3367" s="69" t="s">
        <v>437</v>
      </c>
      <c r="K3367" s="69" t="s">
        <v>438</v>
      </c>
      <c r="L3367" s="69" t="s">
        <v>439</v>
      </c>
      <c r="M3367" s="69" t="s">
        <v>6</v>
      </c>
    </row>
    <row r="3368" spans="2:13">
      <c r="B3368" s="69">
        <v>3366</v>
      </c>
      <c r="C3368" s="69">
        <v>267</v>
      </c>
      <c r="D3368" s="69">
        <v>77</v>
      </c>
      <c r="E3368" s="69">
        <v>17</v>
      </c>
      <c r="F3368" s="69">
        <v>0</v>
      </c>
      <c r="G3368" s="69" t="s">
        <v>2023</v>
      </c>
      <c r="H3368" s="69" t="s">
        <v>52</v>
      </c>
      <c r="I3368" s="69" t="s">
        <v>2210</v>
      </c>
      <c r="J3368" s="69" t="s">
        <v>64</v>
      </c>
      <c r="K3368" s="69" t="s">
        <v>440</v>
      </c>
      <c r="M3368" s="69" t="s">
        <v>6</v>
      </c>
    </row>
    <row r="3369" spans="2:13">
      <c r="B3369" s="69">
        <v>3367</v>
      </c>
      <c r="C3369" s="69">
        <v>267</v>
      </c>
      <c r="D3369" s="69">
        <v>77</v>
      </c>
      <c r="E3369" s="69">
        <v>18</v>
      </c>
      <c r="F3369" s="69">
        <v>0</v>
      </c>
      <c r="G3369" s="69" t="s">
        <v>2023</v>
      </c>
      <c r="H3369" s="69" t="s">
        <v>52</v>
      </c>
      <c r="I3369" s="69" t="s">
        <v>2210</v>
      </c>
      <c r="J3369" s="69" t="s">
        <v>55</v>
      </c>
      <c r="K3369" s="69" t="s">
        <v>442</v>
      </c>
      <c r="M3369" s="69" t="s">
        <v>6</v>
      </c>
    </row>
    <row r="3370" spans="2:13">
      <c r="B3370" s="69">
        <v>3368</v>
      </c>
      <c r="C3370" s="69">
        <v>267</v>
      </c>
      <c r="D3370" s="69">
        <v>77</v>
      </c>
      <c r="E3370" s="69">
        <v>19</v>
      </c>
      <c r="F3370" s="69">
        <v>0</v>
      </c>
      <c r="G3370" s="69" t="s">
        <v>2023</v>
      </c>
      <c r="H3370" s="69" t="s">
        <v>52</v>
      </c>
      <c r="I3370" s="69" t="s">
        <v>2210</v>
      </c>
      <c r="J3370" s="69" t="s">
        <v>214</v>
      </c>
      <c r="K3370" s="69" t="s">
        <v>443</v>
      </c>
      <c r="M3370" s="69" t="s">
        <v>6</v>
      </c>
    </row>
    <row r="3371" spans="2:13">
      <c r="B3371" s="69">
        <v>3369</v>
      </c>
      <c r="C3371" s="69">
        <v>267</v>
      </c>
      <c r="D3371" s="69">
        <v>77</v>
      </c>
      <c r="E3371" s="69">
        <v>20</v>
      </c>
      <c r="F3371" s="69">
        <v>0</v>
      </c>
      <c r="G3371" s="69" t="s">
        <v>2023</v>
      </c>
      <c r="H3371" s="69" t="s">
        <v>52</v>
      </c>
      <c r="I3371" s="69" t="s">
        <v>2210</v>
      </c>
      <c r="J3371" s="69" t="s">
        <v>479</v>
      </c>
      <c r="K3371" s="69" t="s">
        <v>2219</v>
      </c>
      <c r="M3371" s="69" t="s">
        <v>6</v>
      </c>
    </row>
    <row r="3372" spans="2:13">
      <c r="B3372" s="69">
        <v>3370</v>
      </c>
      <c r="C3372" s="69">
        <v>267</v>
      </c>
      <c r="D3372" s="69">
        <v>77</v>
      </c>
      <c r="E3372" s="69">
        <v>21</v>
      </c>
      <c r="F3372" s="69">
        <v>0</v>
      </c>
      <c r="G3372" s="69" t="s">
        <v>2023</v>
      </c>
      <c r="H3372" s="69" t="s">
        <v>52</v>
      </c>
      <c r="I3372" s="69" t="s">
        <v>2210</v>
      </c>
      <c r="J3372" s="69" t="s">
        <v>55</v>
      </c>
      <c r="K3372" s="69" t="s">
        <v>2025</v>
      </c>
      <c r="M3372" s="69" t="s">
        <v>6</v>
      </c>
    </row>
    <row r="3373" spans="2:13">
      <c r="B3373" s="69">
        <v>3371</v>
      </c>
      <c r="C3373" s="69">
        <v>267</v>
      </c>
      <c r="D3373" s="69">
        <v>77</v>
      </c>
      <c r="E3373" s="69">
        <v>22</v>
      </c>
      <c r="F3373" s="69">
        <v>0</v>
      </c>
      <c r="G3373" s="69" t="s">
        <v>2023</v>
      </c>
      <c r="H3373" s="69" t="s">
        <v>52</v>
      </c>
      <c r="I3373" s="69" t="s">
        <v>2210</v>
      </c>
      <c r="J3373" s="69" t="s">
        <v>55</v>
      </c>
      <c r="K3373" s="69" t="s">
        <v>429</v>
      </c>
      <c r="M3373" s="69" t="s">
        <v>6</v>
      </c>
    </row>
    <row r="3374" spans="2:13">
      <c r="B3374" s="69">
        <v>3372</v>
      </c>
      <c r="C3374" s="69">
        <v>267</v>
      </c>
      <c r="D3374" s="69">
        <v>77</v>
      </c>
      <c r="E3374" s="69">
        <v>23</v>
      </c>
      <c r="F3374" s="69">
        <v>0</v>
      </c>
      <c r="G3374" s="69" t="s">
        <v>2023</v>
      </c>
      <c r="H3374" s="69" t="s">
        <v>52</v>
      </c>
      <c r="I3374" s="69" t="s">
        <v>2210</v>
      </c>
      <c r="J3374" s="69" t="s">
        <v>55</v>
      </c>
      <c r="K3374" s="69" t="s">
        <v>430</v>
      </c>
      <c r="M3374" s="69" t="s">
        <v>6</v>
      </c>
    </row>
    <row r="3375" spans="2:13">
      <c r="B3375" s="69">
        <v>3373</v>
      </c>
      <c r="C3375" s="69">
        <v>267</v>
      </c>
      <c r="D3375" s="69">
        <v>77</v>
      </c>
      <c r="E3375" s="69">
        <v>24</v>
      </c>
      <c r="F3375" s="69">
        <v>0</v>
      </c>
      <c r="G3375" s="69" t="s">
        <v>2023</v>
      </c>
      <c r="H3375" s="69" t="s">
        <v>52</v>
      </c>
      <c r="I3375" s="69" t="s">
        <v>2210</v>
      </c>
      <c r="J3375" s="69" t="s">
        <v>55</v>
      </c>
      <c r="K3375" s="69" t="s">
        <v>2220</v>
      </c>
      <c r="M3375" s="69" t="s">
        <v>6</v>
      </c>
    </row>
    <row r="3376" spans="2:13">
      <c r="B3376" s="69">
        <v>3374</v>
      </c>
      <c r="C3376" s="69">
        <v>267</v>
      </c>
      <c r="D3376" s="69">
        <v>77</v>
      </c>
      <c r="E3376" s="69">
        <v>25</v>
      </c>
      <c r="F3376" s="69">
        <v>0</v>
      </c>
      <c r="G3376" s="69" t="s">
        <v>2023</v>
      </c>
      <c r="H3376" s="69" t="s">
        <v>52</v>
      </c>
      <c r="I3376" s="69" t="s">
        <v>2210</v>
      </c>
      <c r="J3376" s="69" t="s">
        <v>437</v>
      </c>
      <c r="K3376" s="69" t="s">
        <v>438</v>
      </c>
      <c r="L3376" s="69" t="s">
        <v>439</v>
      </c>
      <c r="M3376" s="69" t="s">
        <v>6</v>
      </c>
    </row>
    <row r="3377" spans="2:13">
      <c r="B3377" s="69">
        <v>3375</v>
      </c>
      <c r="C3377" s="69">
        <v>267</v>
      </c>
      <c r="D3377" s="69">
        <v>77</v>
      </c>
      <c r="E3377" s="69">
        <v>26</v>
      </c>
      <c r="F3377" s="69">
        <v>0</v>
      </c>
      <c r="G3377" s="69" t="s">
        <v>2023</v>
      </c>
      <c r="H3377" s="69" t="s">
        <v>52</v>
      </c>
      <c r="I3377" s="69" t="s">
        <v>2210</v>
      </c>
      <c r="J3377" s="69" t="s">
        <v>55</v>
      </c>
      <c r="K3377" s="69" t="s">
        <v>436</v>
      </c>
      <c r="M3377" s="69" t="s">
        <v>6</v>
      </c>
    </row>
    <row r="3378" spans="2:13">
      <c r="B3378" s="69">
        <v>3376</v>
      </c>
      <c r="C3378" s="69">
        <v>267</v>
      </c>
      <c r="D3378" s="69">
        <v>77</v>
      </c>
      <c r="E3378" s="69">
        <v>27</v>
      </c>
      <c r="F3378" s="69">
        <v>0</v>
      </c>
      <c r="G3378" s="69" t="s">
        <v>2023</v>
      </c>
      <c r="H3378" s="69" t="s">
        <v>52</v>
      </c>
      <c r="I3378" s="69" t="s">
        <v>2210</v>
      </c>
      <c r="J3378" s="69" t="s">
        <v>437</v>
      </c>
      <c r="K3378" s="69" t="s">
        <v>438</v>
      </c>
      <c r="L3378" s="69" t="s">
        <v>439</v>
      </c>
      <c r="M3378" s="69" t="s">
        <v>6</v>
      </c>
    </row>
    <row r="3379" spans="2:13">
      <c r="B3379" s="69">
        <v>3377</v>
      </c>
      <c r="C3379" s="69">
        <v>267</v>
      </c>
      <c r="D3379" s="69">
        <v>77</v>
      </c>
      <c r="E3379" s="69">
        <v>28</v>
      </c>
      <c r="F3379" s="69">
        <v>0</v>
      </c>
      <c r="G3379" s="69" t="s">
        <v>2023</v>
      </c>
      <c r="H3379" s="69" t="s">
        <v>52</v>
      </c>
      <c r="I3379" s="69" t="s">
        <v>2210</v>
      </c>
      <c r="J3379" s="69" t="s">
        <v>64</v>
      </c>
      <c r="K3379" s="69" t="s">
        <v>440</v>
      </c>
      <c r="M3379" s="69" t="s">
        <v>6</v>
      </c>
    </row>
    <row r="3380" spans="2:13">
      <c r="B3380" s="69">
        <v>3378</v>
      </c>
      <c r="C3380" s="69">
        <v>267</v>
      </c>
      <c r="D3380" s="69">
        <v>77</v>
      </c>
      <c r="E3380" s="69">
        <v>29</v>
      </c>
      <c r="F3380" s="69">
        <v>0</v>
      </c>
      <c r="G3380" s="69" t="s">
        <v>2023</v>
      </c>
      <c r="H3380" s="69" t="s">
        <v>52</v>
      </c>
      <c r="I3380" s="69" t="s">
        <v>2210</v>
      </c>
      <c r="J3380" s="69" t="s">
        <v>55</v>
      </c>
      <c r="K3380" s="69" t="s">
        <v>441</v>
      </c>
      <c r="M3380" s="69" t="s">
        <v>6</v>
      </c>
    </row>
    <row r="3381" spans="2:13">
      <c r="B3381" s="69">
        <v>3379</v>
      </c>
      <c r="C3381" s="69">
        <v>267</v>
      </c>
      <c r="D3381" s="69">
        <v>77</v>
      </c>
      <c r="E3381" s="69">
        <v>30</v>
      </c>
      <c r="F3381" s="69">
        <v>0</v>
      </c>
      <c r="G3381" s="69" t="s">
        <v>2023</v>
      </c>
      <c r="H3381" s="69" t="s">
        <v>52</v>
      </c>
      <c r="I3381" s="69" t="s">
        <v>2210</v>
      </c>
      <c r="J3381" s="69" t="s">
        <v>437</v>
      </c>
      <c r="K3381" s="69" t="s">
        <v>438</v>
      </c>
      <c r="L3381" s="69" t="s">
        <v>439</v>
      </c>
      <c r="M3381" s="69" t="s">
        <v>6</v>
      </c>
    </row>
    <row r="3382" spans="2:13">
      <c r="B3382" s="69">
        <v>3380</v>
      </c>
      <c r="C3382" s="69">
        <v>267</v>
      </c>
      <c r="D3382" s="69">
        <v>77</v>
      </c>
      <c r="E3382" s="69">
        <v>31</v>
      </c>
      <c r="F3382" s="69">
        <v>0</v>
      </c>
      <c r="G3382" s="69" t="s">
        <v>2023</v>
      </c>
      <c r="H3382" s="69" t="s">
        <v>52</v>
      </c>
      <c r="I3382" s="69" t="s">
        <v>2210</v>
      </c>
      <c r="J3382" s="69" t="s">
        <v>64</v>
      </c>
      <c r="K3382" s="69" t="s">
        <v>440</v>
      </c>
      <c r="M3382" s="69" t="s">
        <v>6</v>
      </c>
    </row>
    <row r="3383" spans="2:13">
      <c r="B3383" s="69">
        <v>3381</v>
      </c>
      <c r="C3383" s="69">
        <v>267</v>
      </c>
      <c r="D3383" s="69">
        <v>77</v>
      </c>
      <c r="E3383" s="69">
        <v>32</v>
      </c>
      <c r="F3383" s="69">
        <v>0</v>
      </c>
      <c r="G3383" s="69" t="s">
        <v>2023</v>
      </c>
      <c r="H3383" s="69" t="s">
        <v>52</v>
      </c>
      <c r="I3383" s="69" t="s">
        <v>2210</v>
      </c>
      <c r="J3383" s="69" t="s">
        <v>55</v>
      </c>
      <c r="K3383" s="69" t="s">
        <v>442</v>
      </c>
      <c r="M3383" s="69" t="s">
        <v>6</v>
      </c>
    </row>
    <row r="3384" spans="2:13">
      <c r="B3384" s="69">
        <v>3382</v>
      </c>
      <c r="C3384" s="69">
        <v>267</v>
      </c>
      <c r="D3384" s="69">
        <v>77</v>
      </c>
      <c r="E3384" s="69">
        <v>33</v>
      </c>
      <c r="F3384" s="69">
        <v>0</v>
      </c>
      <c r="G3384" s="69" t="s">
        <v>2023</v>
      </c>
      <c r="H3384" s="69" t="s">
        <v>52</v>
      </c>
      <c r="I3384" s="69" t="s">
        <v>2210</v>
      </c>
      <c r="J3384" s="69" t="s">
        <v>214</v>
      </c>
      <c r="K3384" s="69" t="s">
        <v>443</v>
      </c>
      <c r="M3384" s="69" t="s">
        <v>6</v>
      </c>
    </row>
    <row r="3385" spans="2:13">
      <c r="B3385" s="69">
        <v>3383</v>
      </c>
      <c r="C3385" s="69">
        <v>267</v>
      </c>
      <c r="D3385" s="69">
        <v>77</v>
      </c>
      <c r="E3385" s="69">
        <v>34</v>
      </c>
      <c r="F3385" s="69">
        <v>0</v>
      </c>
      <c r="G3385" s="69" t="s">
        <v>2023</v>
      </c>
      <c r="H3385" s="69" t="s">
        <v>52</v>
      </c>
      <c r="I3385" s="69" t="s">
        <v>2210</v>
      </c>
      <c r="J3385" s="69" t="s">
        <v>479</v>
      </c>
      <c r="K3385" s="69" t="s">
        <v>2221</v>
      </c>
      <c r="M3385" s="69" t="s">
        <v>6</v>
      </c>
    </row>
    <row r="3386" spans="2:13">
      <c r="B3386" s="69">
        <v>3384</v>
      </c>
      <c r="C3386" s="69">
        <v>267</v>
      </c>
      <c r="D3386" s="69">
        <v>77</v>
      </c>
      <c r="E3386" s="69">
        <v>35</v>
      </c>
      <c r="F3386" s="69">
        <v>0</v>
      </c>
      <c r="G3386" s="69" t="s">
        <v>2023</v>
      </c>
      <c r="H3386" s="69" t="s">
        <v>52</v>
      </c>
      <c r="I3386" s="69" t="s">
        <v>2210</v>
      </c>
      <c r="J3386" s="69" t="s">
        <v>55</v>
      </c>
      <c r="K3386" s="69" t="s">
        <v>2025</v>
      </c>
      <c r="M3386" s="69" t="s">
        <v>6</v>
      </c>
    </row>
    <row r="3387" spans="2:13">
      <c r="B3387" s="69">
        <v>3385</v>
      </c>
      <c r="C3387" s="69">
        <v>267</v>
      </c>
      <c r="D3387" s="69">
        <v>77</v>
      </c>
      <c r="E3387" s="69">
        <v>36</v>
      </c>
      <c r="F3387" s="69">
        <v>0</v>
      </c>
      <c r="G3387" s="69" t="s">
        <v>2023</v>
      </c>
      <c r="H3387" s="69" t="s">
        <v>52</v>
      </c>
      <c r="I3387" s="69" t="s">
        <v>2210</v>
      </c>
      <c r="J3387" s="69" t="s">
        <v>55</v>
      </c>
      <c r="K3387" s="69" t="s">
        <v>429</v>
      </c>
      <c r="M3387" s="69" t="s">
        <v>6</v>
      </c>
    </row>
    <row r="3388" spans="2:13">
      <c r="B3388" s="69">
        <v>3386</v>
      </c>
      <c r="C3388" s="69">
        <v>267</v>
      </c>
      <c r="D3388" s="69">
        <v>77</v>
      </c>
      <c r="E3388" s="69">
        <v>37</v>
      </c>
      <c r="F3388" s="69">
        <v>0</v>
      </c>
      <c r="G3388" s="69" t="s">
        <v>2023</v>
      </c>
      <c r="H3388" s="69" t="s">
        <v>52</v>
      </c>
      <c r="I3388" s="69" t="s">
        <v>2210</v>
      </c>
      <c r="J3388" s="69" t="s">
        <v>55</v>
      </c>
      <c r="K3388" s="69" t="s">
        <v>430</v>
      </c>
      <c r="M3388" s="69" t="s">
        <v>6</v>
      </c>
    </row>
    <row r="3389" spans="2:13">
      <c r="B3389" s="69">
        <v>3387</v>
      </c>
      <c r="C3389" s="69">
        <v>267</v>
      </c>
      <c r="D3389" s="69">
        <v>77</v>
      </c>
      <c r="E3389" s="69">
        <v>38</v>
      </c>
      <c r="F3389" s="69">
        <v>0</v>
      </c>
      <c r="G3389" s="69" t="s">
        <v>2023</v>
      </c>
      <c r="H3389" s="69" t="s">
        <v>52</v>
      </c>
      <c r="I3389" s="69" t="s">
        <v>2210</v>
      </c>
      <c r="J3389" s="69" t="s">
        <v>55</v>
      </c>
      <c r="K3389" s="69" t="s">
        <v>2222</v>
      </c>
      <c r="M3389" s="69" t="s">
        <v>6</v>
      </c>
    </row>
    <row r="3390" spans="2:13">
      <c r="B3390" s="69">
        <v>3388</v>
      </c>
      <c r="C3390" s="69">
        <v>267</v>
      </c>
      <c r="D3390" s="69">
        <v>77</v>
      </c>
      <c r="E3390" s="69">
        <v>39</v>
      </c>
      <c r="F3390" s="69">
        <v>0</v>
      </c>
      <c r="G3390" s="69" t="s">
        <v>2023</v>
      </c>
      <c r="H3390" s="69" t="s">
        <v>52</v>
      </c>
      <c r="I3390" s="69" t="s">
        <v>2210</v>
      </c>
      <c r="J3390" s="69" t="s">
        <v>55</v>
      </c>
      <c r="K3390" s="69" t="s">
        <v>2223</v>
      </c>
      <c r="M3390" s="69" t="s">
        <v>6</v>
      </c>
    </row>
    <row r="3391" spans="2:13">
      <c r="B3391" s="69">
        <v>3389</v>
      </c>
      <c r="C3391" s="69">
        <v>267</v>
      </c>
      <c r="D3391" s="69">
        <v>77</v>
      </c>
      <c r="E3391" s="69">
        <v>40</v>
      </c>
      <c r="F3391" s="69">
        <v>0</v>
      </c>
      <c r="G3391" s="69" t="s">
        <v>2023</v>
      </c>
      <c r="H3391" s="69" t="s">
        <v>52</v>
      </c>
      <c r="I3391" s="69" t="s">
        <v>2210</v>
      </c>
      <c r="J3391" s="69" t="s">
        <v>55</v>
      </c>
      <c r="K3391" s="69" t="s">
        <v>2224</v>
      </c>
      <c r="M3391" s="69" t="s">
        <v>6</v>
      </c>
    </row>
    <row r="3392" spans="2:13">
      <c r="B3392" s="69">
        <v>3390</v>
      </c>
      <c r="C3392" s="69">
        <v>267</v>
      </c>
      <c r="D3392" s="69">
        <v>77</v>
      </c>
      <c r="E3392" s="69">
        <v>41</v>
      </c>
      <c r="F3392" s="69">
        <v>0</v>
      </c>
      <c r="G3392" s="69" t="s">
        <v>2023</v>
      </c>
      <c r="H3392" s="69" t="s">
        <v>52</v>
      </c>
      <c r="I3392" s="69" t="s">
        <v>2210</v>
      </c>
      <c r="J3392" s="69" t="s">
        <v>55</v>
      </c>
      <c r="K3392" s="69" t="s">
        <v>2225</v>
      </c>
      <c r="M3392" s="69" t="s">
        <v>6</v>
      </c>
    </row>
    <row r="3393" spans="2:13">
      <c r="B3393" s="69">
        <v>3391</v>
      </c>
      <c r="C3393" s="69">
        <v>267</v>
      </c>
      <c r="D3393" s="69">
        <v>77</v>
      </c>
      <c r="E3393" s="69">
        <v>42</v>
      </c>
      <c r="F3393" s="69">
        <v>0</v>
      </c>
      <c r="G3393" s="69" t="s">
        <v>2023</v>
      </c>
      <c r="H3393" s="69" t="s">
        <v>52</v>
      </c>
      <c r="I3393" s="69" t="s">
        <v>2210</v>
      </c>
      <c r="J3393" s="69" t="s">
        <v>55</v>
      </c>
      <c r="K3393" s="69" t="s">
        <v>436</v>
      </c>
      <c r="M3393" s="69" t="s">
        <v>6</v>
      </c>
    </row>
    <row r="3394" spans="2:13">
      <c r="B3394" s="69">
        <v>3392</v>
      </c>
      <c r="C3394" s="69">
        <v>267</v>
      </c>
      <c r="D3394" s="69">
        <v>77</v>
      </c>
      <c r="E3394" s="69">
        <v>43</v>
      </c>
      <c r="F3394" s="69">
        <v>0</v>
      </c>
      <c r="G3394" s="69" t="s">
        <v>2023</v>
      </c>
      <c r="H3394" s="69" t="s">
        <v>52</v>
      </c>
      <c r="I3394" s="69" t="s">
        <v>2210</v>
      </c>
      <c r="J3394" s="69" t="s">
        <v>437</v>
      </c>
      <c r="K3394" s="69" t="s">
        <v>438</v>
      </c>
      <c r="L3394" s="69" t="s">
        <v>439</v>
      </c>
      <c r="M3394" s="69" t="s">
        <v>6</v>
      </c>
    </row>
    <row r="3395" spans="2:13">
      <c r="B3395" s="69">
        <v>3393</v>
      </c>
      <c r="C3395" s="69">
        <v>267</v>
      </c>
      <c r="D3395" s="69">
        <v>77</v>
      </c>
      <c r="E3395" s="69">
        <v>44</v>
      </c>
      <c r="F3395" s="69">
        <v>0</v>
      </c>
      <c r="G3395" s="69" t="s">
        <v>2023</v>
      </c>
      <c r="H3395" s="69" t="s">
        <v>52</v>
      </c>
      <c r="I3395" s="69" t="s">
        <v>2210</v>
      </c>
      <c r="J3395" s="69" t="s">
        <v>64</v>
      </c>
      <c r="K3395" s="69" t="s">
        <v>440</v>
      </c>
      <c r="M3395" s="69" t="s">
        <v>6</v>
      </c>
    </row>
    <row r="3396" spans="2:13">
      <c r="B3396" s="69">
        <v>3394</v>
      </c>
      <c r="C3396" s="69">
        <v>267</v>
      </c>
      <c r="D3396" s="69">
        <v>77</v>
      </c>
      <c r="E3396" s="69">
        <v>45</v>
      </c>
      <c r="F3396" s="69">
        <v>0</v>
      </c>
      <c r="G3396" s="69" t="s">
        <v>2023</v>
      </c>
      <c r="H3396" s="69" t="s">
        <v>52</v>
      </c>
      <c r="I3396" s="69" t="s">
        <v>2210</v>
      </c>
      <c r="J3396" s="69" t="s">
        <v>55</v>
      </c>
      <c r="K3396" s="69" t="s">
        <v>441</v>
      </c>
      <c r="M3396" s="69" t="s">
        <v>6</v>
      </c>
    </row>
    <row r="3397" spans="2:13">
      <c r="B3397" s="69">
        <v>3395</v>
      </c>
      <c r="C3397" s="69">
        <v>267</v>
      </c>
      <c r="D3397" s="69">
        <v>77</v>
      </c>
      <c r="E3397" s="69">
        <v>46</v>
      </c>
      <c r="F3397" s="69">
        <v>0</v>
      </c>
      <c r="G3397" s="69" t="s">
        <v>2023</v>
      </c>
      <c r="H3397" s="69" t="s">
        <v>52</v>
      </c>
      <c r="I3397" s="69" t="s">
        <v>2210</v>
      </c>
      <c r="J3397" s="69" t="s">
        <v>437</v>
      </c>
      <c r="K3397" s="69" t="s">
        <v>438</v>
      </c>
      <c r="L3397" s="69" t="s">
        <v>439</v>
      </c>
      <c r="M3397" s="69" t="s">
        <v>6</v>
      </c>
    </row>
    <row r="3398" spans="2:13">
      <c r="B3398" s="69">
        <v>3396</v>
      </c>
      <c r="C3398" s="69">
        <v>267</v>
      </c>
      <c r="D3398" s="69">
        <v>77</v>
      </c>
      <c r="E3398" s="69">
        <v>47</v>
      </c>
      <c r="F3398" s="69">
        <v>0</v>
      </c>
      <c r="G3398" s="69" t="s">
        <v>2023</v>
      </c>
      <c r="H3398" s="69" t="s">
        <v>52</v>
      </c>
      <c r="I3398" s="69" t="s">
        <v>2210</v>
      </c>
      <c r="J3398" s="69" t="s">
        <v>64</v>
      </c>
      <c r="K3398" s="69" t="s">
        <v>440</v>
      </c>
      <c r="M3398" s="69" t="s">
        <v>6</v>
      </c>
    </row>
    <row r="3399" spans="2:13">
      <c r="B3399" s="69">
        <v>3397</v>
      </c>
      <c r="C3399" s="69">
        <v>267</v>
      </c>
      <c r="D3399" s="69">
        <v>77</v>
      </c>
      <c r="E3399" s="69">
        <v>48</v>
      </c>
      <c r="F3399" s="69">
        <v>0</v>
      </c>
      <c r="G3399" s="69" t="s">
        <v>2023</v>
      </c>
      <c r="H3399" s="69" t="s">
        <v>52</v>
      </c>
      <c r="I3399" s="69" t="s">
        <v>2210</v>
      </c>
      <c r="J3399" s="69" t="s">
        <v>55</v>
      </c>
      <c r="K3399" s="69" t="s">
        <v>442</v>
      </c>
      <c r="M3399" s="69" t="s">
        <v>6</v>
      </c>
    </row>
    <row r="3400" spans="2:13">
      <c r="B3400" s="69">
        <v>3398</v>
      </c>
      <c r="C3400" s="69">
        <v>267</v>
      </c>
      <c r="D3400" s="69">
        <v>77</v>
      </c>
      <c r="E3400" s="69">
        <v>49</v>
      </c>
      <c r="F3400" s="69">
        <v>0</v>
      </c>
      <c r="G3400" s="69" t="s">
        <v>2023</v>
      </c>
      <c r="H3400" s="69" t="s">
        <v>52</v>
      </c>
      <c r="I3400" s="69" t="s">
        <v>2210</v>
      </c>
      <c r="J3400" s="69" t="s">
        <v>214</v>
      </c>
      <c r="K3400" s="69" t="s">
        <v>443</v>
      </c>
      <c r="M3400" s="69" t="s">
        <v>6</v>
      </c>
    </row>
    <row r="3401" spans="2:13">
      <c r="B3401" s="69">
        <v>3399</v>
      </c>
      <c r="C3401" s="69">
        <v>267</v>
      </c>
      <c r="D3401" s="69">
        <v>77</v>
      </c>
      <c r="E3401" s="69">
        <v>50</v>
      </c>
      <c r="F3401" s="69">
        <v>0</v>
      </c>
      <c r="G3401" s="69" t="s">
        <v>2023</v>
      </c>
      <c r="H3401" s="69" t="s">
        <v>52</v>
      </c>
      <c r="I3401" s="69" t="s">
        <v>2210</v>
      </c>
      <c r="J3401" s="69" t="s">
        <v>479</v>
      </c>
      <c r="K3401" s="69" t="s">
        <v>2226</v>
      </c>
      <c r="M3401" s="69" t="s">
        <v>6</v>
      </c>
    </row>
    <row r="3402" spans="2:13">
      <c r="B3402" s="69">
        <v>3400</v>
      </c>
      <c r="C3402" s="69">
        <v>267</v>
      </c>
      <c r="D3402" s="69">
        <v>77</v>
      </c>
      <c r="E3402" s="69">
        <v>51</v>
      </c>
      <c r="F3402" s="69">
        <v>0</v>
      </c>
      <c r="G3402" s="69" t="s">
        <v>2023</v>
      </c>
      <c r="H3402" s="69" t="s">
        <v>52</v>
      </c>
      <c r="I3402" s="69" t="s">
        <v>2210</v>
      </c>
      <c r="J3402" s="69" t="s">
        <v>55</v>
      </c>
      <c r="K3402" s="69" t="s">
        <v>2025</v>
      </c>
      <c r="M3402" s="69" t="s">
        <v>6</v>
      </c>
    </row>
    <row r="3403" spans="2:13">
      <c r="B3403" s="69">
        <v>3401</v>
      </c>
      <c r="C3403" s="69">
        <v>267</v>
      </c>
      <c r="D3403" s="69">
        <v>77</v>
      </c>
      <c r="E3403" s="69">
        <v>52</v>
      </c>
      <c r="F3403" s="69">
        <v>0</v>
      </c>
      <c r="G3403" s="69" t="s">
        <v>2023</v>
      </c>
      <c r="H3403" s="69" t="s">
        <v>52</v>
      </c>
      <c r="I3403" s="69" t="s">
        <v>2210</v>
      </c>
      <c r="J3403" s="69" t="s">
        <v>55</v>
      </c>
      <c r="K3403" s="69" t="s">
        <v>429</v>
      </c>
      <c r="M3403" s="69" t="s">
        <v>6</v>
      </c>
    </row>
    <row r="3404" spans="2:13">
      <c r="B3404" s="69">
        <v>3402</v>
      </c>
      <c r="C3404" s="69">
        <v>267</v>
      </c>
      <c r="D3404" s="69">
        <v>77</v>
      </c>
      <c r="E3404" s="69">
        <v>53</v>
      </c>
      <c r="F3404" s="69">
        <v>0</v>
      </c>
      <c r="G3404" s="69" t="s">
        <v>2023</v>
      </c>
      <c r="H3404" s="69" t="s">
        <v>52</v>
      </c>
      <c r="I3404" s="69" t="s">
        <v>2210</v>
      </c>
      <c r="J3404" s="69" t="s">
        <v>55</v>
      </c>
      <c r="K3404" s="69" t="s">
        <v>430</v>
      </c>
      <c r="M3404" s="69" t="s">
        <v>6</v>
      </c>
    </row>
    <row r="3405" spans="2:13">
      <c r="B3405" s="69">
        <v>3403</v>
      </c>
      <c r="C3405" s="69">
        <v>267</v>
      </c>
      <c r="D3405" s="69">
        <v>77</v>
      </c>
      <c r="E3405" s="69">
        <v>54</v>
      </c>
      <c r="F3405" s="69">
        <v>0</v>
      </c>
      <c r="G3405" s="69" t="s">
        <v>2023</v>
      </c>
      <c r="H3405" s="69" t="s">
        <v>52</v>
      </c>
      <c r="I3405" s="69" t="s">
        <v>2210</v>
      </c>
      <c r="J3405" s="69" t="s">
        <v>55</v>
      </c>
      <c r="K3405" s="69" t="s">
        <v>2227</v>
      </c>
      <c r="M3405" s="69" t="s">
        <v>6</v>
      </c>
    </row>
    <row r="3406" spans="2:13">
      <c r="B3406" s="69">
        <v>3404</v>
      </c>
      <c r="C3406" s="69">
        <v>267</v>
      </c>
      <c r="D3406" s="69">
        <v>77</v>
      </c>
      <c r="E3406" s="69">
        <v>55</v>
      </c>
      <c r="F3406" s="69">
        <v>0</v>
      </c>
      <c r="G3406" s="69" t="s">
        <v>2023</v>
      </c>
      <c r="H3406" s="69" t="s">
        <v>52</v>
      </c>
      <c r="I3406" s="69" t="s">
        <v>2210</v>
      </c>
      <c r="J3406" s="69" t="s">
        <v>55</v>
      </c>
      <c r="K3406" s="69" t="s">
        <v>2228</v>
      </c>
      <c r="M3406" s="69" t="s">
        <v>6</v>
      </c>
    </row>
    <row r="3407" spans="2:13">
      <c r="B3407" s="69">
        <v>3405</v>
      </c>
      <c r="C3407" s="69">
        <v>267</v>
      </c>
      <c r="D3407" s="69">
        <v>77</v>
      </c>
      <c r="E3407" s="69">
        <v>56</v>
      </c>
      <c r="F3407" s="69">
        <v>0</v>
      </c>
      <c r="G3407" s="69" t="s">
        <v>2023</v>
      </c>
      <c r="H3407" s="69" t="s">
        <v>52</v>
      </c>
      <c r="I3407" s="69" t="s">
        <v>2210</v>
      </c>
      <c r="J3407" s="69" t="s">
        <v>55</v>
      </c>
      <c r="K3407" s="69" t="s">
        <v>436</v>
      </c>
      <c r="M3407" s="69" t="s">
        <v>6</v>
      </c>
    </row>
    <row r="3408" spans="2:13">
      <c r="B3408" s="69">
        <v>3406</v>
      </c>
      <c r="C3408" s="69">
        <v>267</v>
      </c>
      <c r="D3408" s="69">
        <v>77</v>
      </c>
      <c r="E3408" s="69">
        <v>57</v>
      </c>
      <c r="F3408" s="69">
        <v>0</v>
      </c>
      <c r="G3408" s="69" t="s">
        <v>2023</v>
      </c>
      <c r="H3408" s="69" t="s">
        <v>52</v>
      </c>
      <c r="I3408" s="69" t="s">
        <v>2210</v>
      </c>
      <c r="J3408" s="69" t="s">
        <v>437</v>
      </c>
      <c r="K3408" s="69" t="s">
        <v>438</v>
      </c>
      <c r="L3408" s="69" t="s">
        <v>439</v>
      </c>
      <c r="M3408" s="69" t="s">
        <v>6</v>
      </c>
    </row>
    <row r="3409" spans="2:13">
      <c r="B3409" s="69">
        <v>3407</v>
      </c>
      <c r="C3409" s="69">
        <v>267</v>
      </c>
      <c r="D3409" s="69">
        <v>77</v>
      </c>
      <c r="E3409" s="69">
        <v>58</v>
      </c>
      <c r="F3409" s="69">
        <v>0</v>
      </c>
      <c r="G3409" s="69" t="s">
        <v>2023</v>
      </c>
      <c r="H3409" s="69" t="s">
        <v>52</v>
      </c>
      <c r="I3409" s="69" t="s">
        <v>2210</v>
      </c>
      <c r="J3409" s="69" t="s">
        <v>64</v>
      </c>
      <c r="K3409" s="69" t="s">
        <v>440</v>
      </c>
      <c r="M3409" s="69" t="s">
        <v>6</v>
      </c>
    </row>
    <row r="3410" spans="2:13">
      <c r="B3410" s="69">
        <v>3408</v>
      </c>
      <c r="C3410" s="69">
        <v>267</v>
      </c>
      <c r="D3410" s="69">
        <v>77</v>
      </c>
      <c r="E3410" s="69">
        <v>59</v>
      </c>
      <c r="F3410" s="69">
        <v>0</v>
      </c>
      <c r="G3410" s="69" t="s">
        <v>2023</v>
      </c>
      <c r="H3410" s="69" t="s">
        <v>52</v>
      </c>
      <c r="I3410" s="69" t="s">
        <v>2210</v>
      </c>
      <c r="J3410" s="69" t="s">
        <v>55</v>
      </c>
      <c r="K3410" s="69" t="s">
        <v>441</v>
      </c>
      <c r="M3410" s="69" t="s">
        <v>6</v>
      </c>
    </row>
    <row r="3411" spans="2:13">
      <c r="B3411" s="69">
        <v>3409</v>
      </c>
      <c r="C3411" s="69">
        <v>267</v>
      </c>
      <c r="D3411" s="69">
        <v>77</v>
      </c>
      <c r="E3411" s="69">
        <v>60</v>
      </c>
      <c r="F3411" s="69">
        <v>0</v>
      </c>
      <c r="G3411" s="69" t="s">
        <v>2023</v>
      </c>
      <c r="H3411" s="69" t="s">
        <v>52</v>
      </c>
      <c r="I3411" s="69" t="s">
        <v>2210</v>
      </c>
      <c r="J3411" s="69" t="s">
        <v>437</v>
      </c>
      <c r="K3411" s="69" t="s">
        <v>438</v>
      </c>
      <c r="L3411" s="69" t="s">
        <v>439</v>
      </c>
      <c r="M3411" s="69" t="s">
        <v>6</v>
      </c>
    </row>
    <row r="3412" spans="2:13">
      <c r="B3412" s="69">
        <v>3410</v>
      </c>
      <c r="C3412" s="69">
        <v>267</v>
      </c>
      <c r="D3412" s="69">
        <v>77</v>
      </c>
      <c r="E3412" s="69">
        <v>61</v>
      </c>
      <c r="F3412" s="69">
        <v>0</v>
      </c>
      <c r="G3412" s="69" t="s">
        <v>2023</v>
      </c>
      <c r="H3412" s="69" t="s">
        <v>52</v>
      </c>
      <c r="I3412" s="69" t="s">
        <v>2210</v>
      </c>
      <c r="J3412" s="69" t="s">
        <v>64</v>
      </c>
      <c r="K3412" s="69" t="s">
        <v>440</v>
      </c>
      <c r="M3412" s="69" t="s">
        <v>6</v>
      </c>
    </row>
    <row r="3413" spans="2:13">
      <c r="B3413" s="69">
        <v>3411</v>
      </c>
      <c r="C3413" s="69">
        <v>267</v>
      </c>
      <c r="D3413" s="69">
        <v>77</v>
      </c>
      <c r="E3413" s="69">
        <v>62</v>
      </c>
      <c r="F3413" s="69">
        <v>0</v>
      </c>
      <c r="G3413" s="69" t="s">
        <v>2023</v>
      </c>
      <c r="H3413" s="69" t="s">
        <v>52</v>
      </c>
      <c r="I3413" s="69" t="s">
        <v>2210</v>
      </c>
      <c r="J3413" s="69" t="s">
        <v>55</v>
      </c>
      <c r="K3413" s="69" t="s">
        <v>442</v>
      </c>
      <c r="M3413" s="69" t="s">
        <v>6</v>
      </c>
    </row>
    <row r="3414" spans="2:13">
      <c r="B3414" s="69">
        <v>3412</v>
      </c>
      <c r="C3414" s="69">
        <v>267</v>
      </c>
      <c r="D3414" s="69">
        <v>77</v>
      </c>
      <c r="E3414" s="69">
        <v>63</v>
      </c>
      <c r="F3414" s="69">
        <v>0</v>
      </c>
      <c r="G3414" s="69" t="s">
        <v>2023</v>
      </c>
      <c r="H3414" s="69" t="s">
        <v>52</v>
      </c>
      <c r="I3414" s="69" t="s">
        <v>2210</v>
      </c>
      <c r="J3414" s="69" t="s">
        <v>214</v>
      </c>
      <c r="K3414" s="69" t="s">
        <v>443</v>
      </c>
      <c r="M3414" s="69" t="s">
        <v>6</v>
      </c>
    </row>
    <row r="3415" spans="2:13">
      <c r="B3415" s="69">
        <v>3413</v>
      </c>
      <c r="C3415" s="69">
        <v>267</v>
      </c>
      <c r="D3415" s="69">
        <v>77</v>
      </c>
      <c r="E3415" s="69">
        <v>64</v>
      </c>
      <c r="F3415" s="69">
        <v>0</v>
      </c>
      <c r="G3415" s="69" t="s">
        <v>2023</v>
      </c>
      <c r="H3415" s="69" t="s">
        <v>52</v>
      </c>
      <c r="I3415" s="69" t="s">
        <v>2210</v>
      </c>
      <c r="J3415" s="69" t="s">
        <v>479</v>
      </c>
      <c r="K3415" s="69" t="s">
        <v>2229</v>
      </c>
      <c r="M3415" s="69" t="s">
        <v>6</v>
      </c>
    </row>
    <row r="3416" spans="2:13">
      <c r="B3416" s="69">
        <v>3414</v>
      </c>
      <c r="C3416" s="69">
        <v>267</v>
      </c>
      <c r="D3416" s="69">
        <v>77</v>
      </c>
      <c r="E3416" s="69">
        <v>65</v>
      </c>
      <c r="F3416" s="69">
        <v>0</v>
      </c>
      <c r="G3416" s="69" t="s">
        <v>2023</v>
      </c>
      <c r="H3416" s="69" t="s">
        <v>52</v>
      </c>
      <c r="I3416" s="69" t="s">
        <v>2210</v>
      </c>
      <c r="J3416" s="69" t="s">
        <v>55</v>
      </c>
      <c r="K3416" s="69" t="s">
        <v>2230</v>
      </c>
      <c r="M3416" s="69" t="s">
        <v>6</v>
      </c>
    </row>
    <row r="3417" spans="2:13">
      <c r="B3417" s="69">
        <v>3415</v>
      </c>
      <c r="C3417" s="69">
        <v>267</v>
      </c>
      <c r="D3417" s="69">
        <v>77</v>
      </c>
      <c r="E3417" s="69">
        <v>66</v>
      </c>
      <c r="F3417" s="69">
        <v>0</v>
      </c>
      <c r="G3417" s="69" t="s">
        <v>2023</v>
      </c>
      <c r="H3417" s="69" t="s">
        <v>52</v>
      </c>
      <c r="I3417" s="69" t="s">
        <v>2210</v>
      </c>
      <c r="J3417" s="69" t="s">
        <v>55</v>
      </c>
      <c r="K3417" s="69" t="s">
        <v>436</v>
      </c>
      <c r="M3417" s="69" t="s">
        <v>6</v>
      </c>
    </row>
    <row r="3418" spans="2:13">
      <c r="B3418" s="69">
        <v>3416</v>
      </c>
      <c r="C3418" s="69">
        <v>267</v>
      </c>
      <c r="D3418" s="69">
        <v>77</v>
      </c>
      <c r="E3418" s="69">
        <v>67</v>
      </c>
      <c r="F3418" s="69">
        <v>0</v>
      </c>
      <c r="G3418" s="69" t="s">
        <v>2023</v>
      </c>
      <c r="H3418" s="69" t="s">
        <v>52</v>
      </c>
      <c r="I3418" s="69" t="s">
        <v>2210</v>
      </c>
      <c r="J3418" s="69" t="s">
        <v>214</v>
      </c>
      <c r="K3418" s="69" t="s">
        <v>2231</v>
      </c>
      <c r="M3418" s="69" t="s">
        <v>6</v>
      </c>
    </row>
    <row r="3419" spans="2:13">
      <c r="B3419" s="69">
        <v>3417</v>
      </c>
      <c r="C3419" s="69">
        <v>267</v>
      </c>
      <c r="D3419" s="69">
        <v>77</v>
      </c>
      <c r="E3419" s="69">
        <v>68</v>
      </c>
      <c r="F3419" s="69">
        <v>0</v>
      </c>
      <c r="G3419" s="69" t="s">
        <v>2023</v>
      </c>
      <c r="H3419" s="69" t="s">
        <v>52</v>
      </c>
      <c r="I3419" s="69" t="s">
        <v>2210</v>
      </c>
      <c r="J3419" s="69" t="s">
        <v>64</v>
      </c>
      <c r="K3419" s="69" t="s">
        <v>440</v>
      </c>
      <c r="M3419" s="69" t="s">
        <v>6</v>
      </c>
    </row>
    <row r="3420" spans="2:13">
      <c r="B3420" s="69">
        <v>3418</v>
      </c>
      <c r="C3420" s="69">
        <v>267</v>
      </c>
      <c r="D3420" s="69">
        <v>77</v>
      </c>
      <c r="E3420" s="69">
        <v>69</v>
      </c>
      <c r="F3420" s="69">
        <v>0</v>
      </c>
      <c r="G3420" s="69" t="s">
        <v>2023</v>
      </c>
      <c r="H3420" s="69" t="s">
        <v>52</v>
      </c>
      <c r="I3420" s="69" t="s">
        <v>2210</v>
      </c>
      <c r="J3420" s="69" t="s">
        <v>479</v>
      </c>
      <c r="K3420" s="69" t="s">
        <v>2232</v>
      </c>
      <c r="M3420" s="69" t="s">
        <v>6</v>
      </c>
    </row>
    <row r="3421" spans="2:13">
      <c r="B3421" s="69">
        <v>3419</v>
      </c>
      <c r="C3421" s="69">
        <v>267</v>
      </c>
      <c r="D3421" s="69">
        <v>77</v>
      </c>
      <c r="E3421" s="69">
        <v>70</v>
      </c>
      <c r="F3421" s="69">
        <v>0</v>
      </c>
      <c r="G3421" s="69" t="s">
        <v>2023</v>
      </c>
      <c r="H3421" s="69" t="s">
        <v>52</v>
      </c>
      <c r="I3421" s="69" t="s">
        <v>2210</v>
      </c>
      <c r="J3421" s="69" t="s">
        <v>55</v>
      </c>
      <c r="K3421" s="69" t="s">
        <v>2035</v>
      </c>
      <c r="M3421" s="69" t="s">
        <v>6</v>
      </c>
    </row>
    <row r="3422" spans="2:13">
      <c r="B3422" s="69">
        <v>3420</v>
      </c>
      <c r="C3422" s="69">
        <v>267</v>
      </c>
      <c r="D3422" s="69">
        <v>77</v>
      </c>
      <c r="E3422" s="69">
        <v>71</v>
      </c>
      <c r="F3422" s="69">
        <v>0</v>
      </c>
      <c r="G3422" s="69" t="s">
        <v>2023</v>
      </c>
      <c r="H3422" s="69" t="s">
        <v>52</v>
      </c>
      <c r="I3422" s="69" t="s">
        <v>2210</v>
      </c>
      <c r="J3422" s="69" t="s">
        <v>214</v>
      </c>
      <c r="K3422" s="69" t="s">
        <v>2036</v>
      </c>
      <c r="M3422" s="69" t="s">
        <v>6</v>
      </c>
    </row>
    <row r="3423" spans="2:13">
      <c r="B3423" s="69">
        <v>3421</v>
      </c>
      <c r="C3423" s="69">
        <v>267</v>
      </c>
      <c r="D3423" s="69">
        <v>77</v>
      </c>
      <c r="E3423" s="69">
        <v>72</v>
      </c>
      <c r="F3423" s="69">
        <v>0</v>
      </c>
      <c r="G3423" s="69" t="s">
        <v>2023</v>
      </c>
      <c r="H3423" s="69" t="s">
        <v>52</v>
      </c>
      <c r="I3423" s="69" t="s">
        <v>2210</v>
      </c>
      <c r="J3423" s="69" t="s">
        <v>214</v>
      </c>
      <c r="K3423" s="69" t="s">
        <v>1618</v>
      </c>
      <c r="M3423" s="69" t="s">
        <v>6</v>
      </c>
    </row>
    <row r="3424" spans="2:13">
      <c r="B3424" s="69">
        <v>3422</v>
      </c>
      <c r="C3424" s="69">
        <v>267</v>
      </c>
      <c r="D3424" s="69">
        <v>77</v>
      </c>
      <c r="E3424" s="69">
        <v>73</v>
      </c>
      <c r="F3424" s="69">
        <v>0</v>
      </c>
      <c r="G3424" s="69" t="s">
        <v>2023</v>
      </c>
      <c r="H3424" s="69" t="s">
        <v>52</v>
      </c>
      <c r="I3424" s="69" t="s">
        <v>2210</v>
      </c>
      <c r="J3424" s="69" t="s">
        <v>214</v>
      </c>
      <c r="K3424" s="69" t="s">
        <v>1619</v>
      </c>
      <c r="M3424" s="69" t="s">
        <v>6</v>
      </c>
    </row>
    <row r="3425" spans="2:13">
      <c r="B3425" s="69">
        <v>3423</v>
      </c>
      <c r="C3425" s="69">
        <v>267</v>
      </c>
      <c r="D3425" s="69">
        <v>77</v>
      </c>
      <c r="E3425" s="69">
        <v>74</v>
      </c>
      <c r="F3425" s="69">
        <v>0</v>
      </c>
      <c r="G3425" s="69" t="s">
        <v>2023</v>
      </c>
      <c r="H3425" s="69" t="s">
        <v>52</v>
      </c>
      <c r="I3425" s="69" t="s">
        <v>2210</v>
      </c>
      <c r="J3425" s="69" t="s">
        <v>214</v>
      </c>
      <c r="K3425" s="69" t="s">
        <v>1620</v>
      </c>
      <c r="M3425" s="69" t="s">
        <v>6</v>
      </c>
    </row>
    <row r="3426" spans="2:13">
      <c r="B3426" s="69">
        <v>3424</v>
      </c>
      <c r="C3426" s="69">
        <v>267</v>
      </c>
      <c r="D3426" s="69">
        <v>77</v>
      </c>
      <c r="E3426" s="69">
        <v>75</v>
      </c>
      <c r="F3426" s="69">
        <v>0</v>
      </c>
      <c r="G3426" s="69" t="s">
        <v>2023</v>
      </c>
      <c r="H3426" s="69" t="s">
        <v>52</v>
      </c>
      <c r="I3426" s="69" t="s">
        <v>2210</v>
      </c>
      <c r="J3426" s="69" t="s">
        <v>55</v>
      </c>
      <c r="K3426" s="69" t="s">
        <v>1581</v>
      </c>
      <c r="M3426" s="69" t="s">
        <v>6</v>
      </c>
    </row>
    <row r="3427" spans="2:13">
      <c r="B3427" s="69">
        <v>3425</v>
      </c>
      <c r="C3427" s="69">
        <v>267</v>
      </c>
      <c r="D3427" s="69">
        <v>77</v>
      </c>
      <c r="E3427" s="69">
        <v>76</v>
      </c>
      <c r="F3427" s="69">
        <v>0</v>
      </c>
      <c r="G3427" s="69" t="s">
        <v>2023</v>
      </c>
      <c r="H3427" s="69" t="s">
        <v>52</v>
      </c>
      <c r="I3427" s="69" t="s">
        <v>2210</v>
      </c>
      <c r="J3427" s="69" t="s">
        <v>55</v>
      </c>
      <c r="K3427" s="69" t="s">
        <v>1582</v>
      </c>
      <c r="M3427" s="69" t="s">
        <v>6</v>
      </c>
    </row>
    <row r="3428" spans="2:13">
      <c r="B3428" s="69">
        <v>3426</v>
      </c>
      <c r="C3428" s="69">
        <v>267</v>
      </c>
      <c r="D3428" s="69">
        <v>77</v>
      </c>
      <c r="E3428" s="69">
        <v>77</v>
      </c>
      <c r="F3428" s="69">
        <v>0</v>
      </c>
      <c r="G3428" s="69" t="s">
        <v>2023</v>
      </c>
      <c r="H3428" s="69" t="s">
        <v>52</v>
      </c>
      <c r="I3428" s="69" t="s">
        <v>2210</v>
      </c>
      <c r="J3428" s="69" t="s">
        <v>55</v>
      </c>
      <c r="K3428" s="69" t="s">
        <v>1583</v>
      </c>
      <c r="M3428" s="69" t="s">
        <v>6</v>
      </c>
    </row>
    <row r="3429" spans="2:13">
      <c r="B3429" s="69">
        <v>3427</v>
      </c>
      <c r="C3429" s="69">
        <v>268</v>
      </c>
      <c r="D3429" s="69">
        <v>77</v>
      </c>
      <c r="E3429" s="69">
        <v>0</v>
      </c>
      <c r="F3429" s="69">
        <v>0</v>
      </c>
      <c r="G3429" s="69" t="s">
        <v>2023</v>
      </c>
      <c r="H3429" s="69" t="s">
        <v>52</v>
      </c>
      <c r="I3429" s="69" t="s">
        <v>2233</v>
      </c>
      <c r="J3429" s="69" t="s">
        <v>478</v>
      </c>
      <c r="K3429" s="69" t="s">
        <v>2233</v>
      </c>
      <c r="M3429" s="69" t="s">
        <v>6</v>
      </c>
    </row>
    <row r="3430" spans="2:13">
      <c r="B3430" s="69">
        <v>3428</v>
      </c>
      <c r="C3430" s="69">
        <v>268</v>
      </c>
      <c r="D3430" s="69">
        <v>77</v>
      </c>
      <c r="E3430" s="69">
        <v>1</v>
      </c>
      <c r="F3430" s="69">
        <v>0</v>
      </c>
      <c r="G3430" s="69" t="s">
        <v>2023</v>
      </c>
      <c r="H3430" s="69" t="s">
        <v>52</v>
      </c>
      <c r="I3430" s="69" t="s">
        <v>2233</v>
      </c>
      <c r="J3430" s="69" t="s">
        <v>479</v>
      </c>
      <c r="K3430" s="69" t="s">
        <v>2234</v>
      </c>
      <c r="M3430" s="69" t="s">
        <v>6</v>
      </c>
    </row>
    <row r="3431" spans="2:13">
      <c r="B3431" s="69">
        <v>3429</v>
      </c>
      <c r="C3431" s="69">
        <v>268</v>
      </c>
      <c r="D3431" s="69">
        <v>77</v>
      </c>
      <c r="E3431" s="69">
        <v>2</v>
      </c>
      <c r="F3431" s="69">
        <v>0</v>
      </c>
      <c r="G3431" s="69" t="s">
        <v>2023</v>
      </c>
      <c r="H3431" s="69" t="s">
        <v>52</v>
      </c>
      <c r="I3431" s="69" t="s">
        <v>2233</v>
      </c>
      <c r="J3431" s="69" t="s">
        <v>55</v>
      </c>
      <c r="K3431" s="69" t="s">
        <v>2025</v>
      </c>
      <c r="M3431" s="69" t="s">
        <v>6</v>
      </c>
    </row>
    <row r="3432" spans="2:13">
      <c r="B3432" s="69">
        <v>3430</v>
      </c>
      <c r="C3432" s="69">
        <v>268</v>
      </c>
      <c r="D3432" s="69">
        <v>77</v>
      </c>
      <c r="E3432" s="69">
        <v>3</v>
      </c>
      <c r="F3432" s="69">
        <v>0</v>
      </c>
      <c r="G3432" s="69" t="s">
        <v>2023</v>
      </c>
      <c r="H3432" s="69" t="s">
        <v>52</v>
      </c>
      <c r="I3432" s="69" t="s">
        <v>2233</v>
      </c>
      <c r="J3432" s="69" t="s">
        <v>55</v>
      </c>
      <c r="K3432" s="69" t="s">
        <v>429</v>
      </c>
      <c r="M3432" s="69" t="s">
        <v>6</v>
      </c>
    </row>
    <row r="3433" spans="2:13">
      <c r="B3433" s="69">
        <v>3431</v>
      </c>
      <c r="C3433" s="69">
        <v>268</v>
      </c>
      <c r="D3433" s="69">
        <v>77</v>
      </c>
      <c r="E3433" s="69">
        <v>4</v>
      </c>
      <c r="F3433" s="69">
        <v>0</v>
      </c>
      <c r="G3433" s="69" t="s">
        <v>2023</v>
      </c>
      <c r="H3433" s="69" t="s">
        <v>52</v>
      </c>
      <c r="I3433" s="69" t="s">
        <v>2233</v>
      </c>
      <c r="J3433" s="69" t="s">
        <v>55</v>
      </c>
      <c r="K3433" s="69" t="s">
        <v>430</v>
      </c>
      <c r="M3433" s="69" t="s">
        <v>6</v>
      </c>
    </row>
    <row r="3434" spans="2:13">
      <c r="B3434" s="69">
        <v>3432</v>
      </c>
      <c r="C3434" s="69">
        <v>268</v>
      </c>
      <c r="D3434" s="69">
        <v>77</v>
      </c>
      <c r="E3434" s="69">
        <v>5</v>
      </c>
      <c r="F3434" s="69">
        <v>0</v>
      </c>
      <c r="G3434" s="69" t="s">
        <v>2023</v>
      </c>
      <c r="H3434" s="69" t="s">
        <v>52</v>
      </c>
      <c r="I3434" s="69" t="s">
        <v>2233</v>
      </c>
      <c r="J3434" s="69" t="s">
        <v>437</v>
      </c>
      <c r="K3434" s="69" t="s">
        <v>2235</v>
      </c>
      <c r="L3434" s="69" t="s">
        <v>2236</v>
      </c>
      <c r="M3434" s="69" t="s">
        <v>6</v>
      </c>
    </row>
    <row r="3435" spans="2:13">
      <c r="B3435" s="69">
        <v>3433</v>
      </c>
      <c r="C3435" s="69">
        <v>268</v>
      </c>
      <c r="D3435" s="69">
        <v>77</v>
      </c>
      <c r="E3435" s="69">
        <v>6</v>
      </c>
      <c r="F3435" s="69">
        <v>0</v>
      </c>
      <c r="G3435" s="69" t="s">
        <v>2023</v>
      </c>
      <c r="H3435" s="69" t="s">
        <v>52</v>
      </c>
      <c r="I3435" s="69" t="s">
        <v>2233</v>
      </c>
      <c r="J3435" s="69" t="s">
        <v>214</v>
      </c>
      <c r="K3435" s="69" t="s">
        <v>2237</v>
      </c>
      <c r="M3435" s="69" t="s">
        <v>6</v>
      </c>
    </row>
    <row r="3436" spans="2:13">
      <c r="B3436" s="69">
        <v>3434</v>
      </c>
      <c r="C3436" s="69">
        <v>268</v>
      </c>
      <c r="D3436" s="69">
        <v>77</v>
      </c>
      <c r="E3436" s="69">
        <v>7</v>
      </c>
      <c r="F3436" s="69">
        <v>0</v>
      </c>
      <c r="G3436" s="69" t="s">
        <v>2023</v>
      </c>
      <c r="H3436" s="69" t="s">
        <v>52</v>
      </c>
      <c r="I3436" s="69" t="s">
        <v>2233</v>
      </c>
      <c r="J3436" s="69" t="s">
        <v>55</v>
      </c>
      <c r="K3436" s="69" t="s">
        <v>2238</v>
      </c>
      <c r="M3436" s="69" t="s">
        <v>6</v>
      </c>
    </row>
    <row r="3437" spans="2:13">
      <c r="B3437" s="69">
        <v>3435</v>
      </c>
      <c r="C3437" s="69">
        <v>268</v>
      </c>
      <c r="D3437" s="69">
        <v>77</v>
      </c>
      <c r="E3437" s="69">
        <v>8</v>
      </c>
      <c r="F3437" s="69">
        <v>0</v>
      </c>
      <c r="G3437" s="69" t="s">
        <v>2023</v>
      </c>
      <c r="H3437" s="69" t="s">
        <v>52</v>
      </c>
      <c r="I3437" s="69" t="s">
        <v>2233</v>
      </c>
      <c r="J3437" s="69" t="s">
        <v>437</v>
      </c>
      <c r="K3437" s="69" t="s">
        <v>2239</v>
      </c>
      <c r="L3437" s="69" t="s">
        <v>2240</v>
      </c>
      <c r="M3437" s="69" t="s">
        <v>6</v>
      </c>
    </row>
    <row r="3438" spans="2:13">
      <c r="B3438" s="69">
        <v>3436</v>
      </c>
      <c r="C3438" s="69">
        <v>268</v>
      </c>
      <c r="D3438" s="69">
        <v>77</v>
      </c>
      <c r="E3438" s="69">
        <v>9</v>
      </c>
      <c r="F3438" s="69">
        <v>0</v>
      </c>
      <c r="G3438" s="69" t="s">
        <v>2023</v>
      </c>
      <c r="H3438" s="69" t="s">
        <v>52</v>
      </c>
      <c r="I3438" s="69" t="s">
        <v>2233</v>
      </c>
      <c r="J3438" s="69" t="s">
        <v>437</v>
      </c>
      <c r="K3438" s="69" t="s">
        <v>2241</v>
      </c>
      <c r="L3438" s="69" t="s">
        <v>2240</v>
      </c>
      <c r="M3438" s="69" t="s">
        <v>6</v>
      </c>
    </row>
    <row r="3439" spans="2:13">
      <c r="B3439" s="69">
        <v>3437</v>
      </c>
      <c r="C3439" s="69">
        <v>268</v>
      </c>
      <c r="D3439" s="69">
        <v>77</v>
      </c>
      <c r="E3439" s="69">
        <v>10</v>
      </c>
      <c r="F3439" s="69">
        <v>0</v>
      </c>
      <c r="G3439" s="69" t="s">
        <v>2023</v>
      </c>
      <c r="H3439" s="69" t="s">
        <v>52</v>
      </c>
      <c r="I3439" s="69" t="s">
        <v>2233</v>
      </c>
      <c r="J3439" s="69" t="s">
        <v>479</v>
      </c>
      <c r="K3439" s="69" t="s">
        <v>2242</v>
      </c>
      <c r="M3439" s="69" t="s">
        <v>6</v>
      </c>
    </row>
    <row r="3440" spans="2:13">
      <c r="B3440" s="69">
        <v>3438</v>
      </c>
      <c r="C3440" s="69">
        <v>268</v>
      </c>
      <c r="D3440" s="69">
        <v>77</v>
      </c>
      <c r="E3440" s="69">
        <v>11</v>
      </c>
      <c r="F3440" s="69">
        <v>0</v>
      </c>
      <c r="G3440" s="69" t="s">
        <v>2023</v>
      </c>
      <c r="H3440" s="69" t="s">
        <v>52</v>
      </c>
      <c r="I3440" s="69" t="s">
        <v>2233</v>
      </c>
      <c r="J3440" s="69" t="s">
        <v>55</v>
      </c>
      <c r="K3440" s="69" t="s">
        <v>2025</v>
      </c>
      <c r="M3440" s="69" t="s">
        <v>6</v>
      </c>
    </row>
    <row r="3441" spans="2:13">
      <c r="B3441" s="69">
        <v>3439</v>
      </c>
      <c r="C3441" s="69">
        <v>268</v>
      </c>
      <c r="D3441" s="69">
        <v>77</v>
      </c>
      <c r="E3441" s="69">
        <v>12</v>
      </c>
      <c r="F3441" s="69">
        <v>0</v>
      </c>
      <c r="G3441" s="69" t="s">
        <v>2023</v>
      </c>
      <c r="H3441" s="69" t="s">
        <v>52</v>
      </c>
      <c r="I3441" s="69" t="s">
        <v>2233</v>
      </c>
      <c r="J3441" s="69" t="s">
        <v>55</v>
      </c>
      <c r="K3441" s="69" t="s">
        <v>429</v>
      </c>
      <c r="M3441" s="69" t="s">
        <v>6</v>
      </c>
    </row>
    <row r="3442" spans="2:13">
      <c r="B3442" s="69">
        <v>3440</v>
      </c>
      <c r="C3442" s="69">
        <v>268</v>
      </c>
      <c r="D3442" s="69">
        <v>77</v>
      </c>
      <c r="E3442" s="69">
        <v>13</v>
      </c>
      <c r="F3442" s="69">
        <v>0</v>
      </c>
      <c r="G3442" s="69" t="s">
        <v>2023</v>
      </c>
      <c r="H3442" s="69" t="s">
        <v>52</v>
      </c>
      <c r="I3442" s="69" t="s">
        <v>2233</v>
      </c>
      <c r="J3442" s="69" t="s">
        <v>55</v>
      </c>
      <c r="K3442" s="69" t="s">
        <v>430</v>
      </c>
      <c r="M3442" s="69" t="s">
        <v>6</v>
      </c>
    </row>
    <row r="3443" spans="2:13">
      <c r="B3443" s="69">
        <v>3441</v>
      </c>
      <c r="C3443" s="69">
        <v>268</v>
      </c>
      <c r="D3443" s="69">
        <v>77</v>
      </c>
      <c r="E3443" s="69">
        <v>14</v>
      </c>
      <c r="F3443" s="69">
        <v>0</v>
      </c>
      <c r="G3443" s="69" t="s">
        <v>2023</v>
      </c>
      <c r="H3443" s="69" t="s">
        <v>52</v>
      </c>
      <c r="I3443" s="69" t="s">
        <v>2233</v>
      </c>
      <c r="J3443" s="69" t="s">
        <v>55</v>
      </c>
      <c r="K3443" s="69" t="s">
        <v>2243</v>
      </c>
      <c r="M3443" s="69" t="s">
        <v>6</v>
      </c>
    </row>
    <row r="3444" spans="2:13">
      <c r="B3444" s="69">
        <v>3442</v>
      </c>
      <c r="C3444" s="69">
        <v>268</v>
      </c>
      <c r="D3444" s="69">
        <v>77</v>
      </c>
      <c r="E3444" s="69">
        <v>15</v>
      </c>
      <c r="F3444" s="69">
        <v>0</v>
      </c>
      <c r="G3444" s="69" t="s">
        <v>2023</v>
      </c>
      <c r="H3444" s="69" t="s">
        <v>52</v>
      </c>
      <c r="I3444" s="69" t="s">
        <v>2233</v>
      </c>
      <c r="J3444" s="69" t="s">
        <v>55</v>
      </c>
      <c r="K3444" s="69" t="s">
        <v>2244</v>
      </c>
      <c r="M3444" s="69" t="s">
        <v>6</v>
      </c>
    </row>
    <row r="3445" spans="2:13">
      <c r="B3445" s="69">
        <v>3443</v>
      </c>
      <c r="C3445" s="69">
        <v>268</v>
      </c>
      <c r="D3445" s="69">
        <v>77</v>
      </c>
      <c r="E3445" s="69">
        <v>16</v>
      </c>
      <c r="F3445" s="69">
        <v>0</v>
      </c>
      <c r="G3445" s="69" t="s">
        <v>2023</v>
      </c>
      <c r="H3445" s="69" t="s">
        <v>52</v>
      </c>
      <c r="I3445" s="69" t="s">
        <v>2233</v>
      </c>
      <c r="J3445" s="69" t="s">
        <v>55</v>
      </c>
      <c r="K3445" s="69" t="s">
        <v>2212</v>
      </c>
      <c r="M3445" s="69" t="s">
        <v>6</v>
      </c>
    </row>
    <row r="3446" spans="2:13">
      <c r="B3446" s="69">
        <v>3444</v>
      </c>
      <c r="C3446" s="69">
        <v>268</v>
      </c>
      <c r="D3446" s="69">
        <v>77</v>
      </c>
      <c r="E3446" s="69">
        <v>17</v>
      </c>
      <c r="F3446" s="69">
        <v>0</v>
      </c>
      <c r="G3446" s="69" t="s">
        <v>2023</v>
      </c>
      <c r="H3446" s="69" t="s">
        <v>52</v>
      </c>
      <c r="I3446" s="69" t="s">
        <v>2233</v>
      </c>
      <c r="J3446" s="69" t="s">
        <v>55</v>
      </c>
      <c r="K3446" s="69" t="s">
        <v>2245</v>
      </c>
      <c r="M3446" s="69" t="s">
        <v>6</v>
      </c>
    </row>
    <row r="3447" spans="2:13">
      <c r="B3447" s="69">
        <v>3445</v>
      </c>
      <c r="C3447" s="69">
        <v>268</v>
      </c>
      <c r="D3447" s="69">
        <v>77</v>
      </c>
      <c r="E3447" s="69">
        <v>18</v>
      </c>
      <c r="F3447" s="69">
        <v>0</v>
      </c>
      <c r="G3447" s="69" t="s">
        <v>2023</v>
      </c>
      <c r="H3447" s="69" t="s">
        <v>52</v>
      </c>
      <c r="I3447" s="69" t="s">
        <v>2233</v>
      </c>
      <c r="J3447" s="69" t="s">
        <v>55</v>
      </c>
      <c r="K3447" s="69" t="s">
        <v>2246</v>
      </c>
      <c r="M3447" s="69" t="s">
        <v>6</v>
      </c>
    </row>
    <row r="3448" spans="2:13">
      <c r="B3448" s="69">
        <v>3446</v>
      </c>
      <c r="C3448" s="69">
        <v>268</v>
      </c>
      <c r="D3448" s="69">
        <v>77</v>
      </c>
      <c r="E3448" s="69">
        <v>19</v>
      </c>
      <c r="F3448" s="69">
        <v>0</v>
      </c>
      <c r="G3448" s="69" t="s">
        <v>2023</v>
      </c>
      <c r="H3448" s="69" t="s">
        <v>52</v>
      </c>
      <c r="I3448" s="69" t="s">
        <v>2233</v>
      </c>
      <c r="J3448" s="69" t="s">
        <v>55</v>
      </c>
      <c r="K3448" s="69" t="s">
        <v>2247</v>
      </c>
      <c r="M3448" s="69" t="s">
        <v>6</v>
      </c>
    </row>
    <row r="3449" spans="2:13">
      <c r="B3449" s="69">
        <v>3447</v>
      </c>
      <c r="C3449" s="69">
        <v>268</v>
      </c>
      <c r="D3449" s="69">
        <v>77</v>
      </c>
      <c r="E3449" s="69">
        <v>20</v>
      </c>
      <c r="F3449" s="69">
        <v>0</v>
      </c>
      <c r="G3449" s="69" t="s">
        <v>2023</v>
      </c>
      <c r="H3449" s="69" t="s">
        <v>52</v>
      </c>
      <c r="I3449" s="69" t="s">
        <v>2233</v>
      </c>
      <c r="J3449" s="69" t="s">
        <v>55</v>
      </c>
      <c r="K3449" s="69" t="s">
        <v>2248</v>
      </c>
      <c r="M3449" s="69" t="s">
        <v>6</v>
      </c>
    </row>
    <row r="3450" spans="2:13">
      <c r="B3450" s="69">
        <v>3448</v>
      </c>
      <c r="C3450" s="69">
        <v>268</v>
      </c>
      <c r="D3450" s="69">
        <v>77</v>
      </c>
      <c r="E3450" s="69">
        <v>21</v>
      </c>
      <c r="F3450" s="69">
        <v>0</v>
      </c>
      <c r="G3450" s="69" t="s">
        <v>2023</v>
      </c>
      <c r="H3450" s="69" t="s">
        <v>52</v>
      </c>
      <c r="I3450" s="69" t="s">
        <v>2233</v>
      </c>
      <c r="J3450" s="69" t="s">
        <v>55</v>
      </c>
      <c r="K3450" s="69" t="s">
        <v>2249</v>
      </c>
      <c r="M3450" s="69" t="s">
        <v>6</v>
      </c>
    </row>
    <row r="3451" spans="2:13">
      <c r="B3451" s="69">
        <v>3449</v>
      </c>
      <c r="C3451" s="69">
        <v>268</v>
      </c>
      <c r="D3451" s="69">
        <v>77</v>
      </c>
      <c r="E3451" s="69">
        <v>22</v>
      </c>
      <c r="F3451" s="69">
        <v>0</v>
      </c>
      <c r="G3451" s="69" t="s">
        <v>2023</v>
      </c>
      <c r="H3451" s="69" t="s">
        <v>52</v>
      </c>
      <c r="I3451" s="69" t="s">
        <v>2233</v>
      </c>
      <c r="J3451" s="69" t="s">
        <v>437</v>
      </c>
      <c r="K3451" s="69" t="s">
        <v>438</v>
      </c>
      <c r="L3451" s="69" t="s">
        <v>439</v>
      </c>
      <c r="M3451" s="69" t="s">
        <v>6</v>
      </c>
    </row>
    <row r="3452" spans="2:13">
      <c r="B3452" s="69">
        <v>3450</v>
      </c>
      <c r="C3452" s="69">
        <v>268</v>
      </c>
      <c r="D3452" s="69">
        <v>77</v>
      </c>
      <c r="E3452" s="69">
        <v>23</v>
      </c>
      <c r="F3452" s="69">
        <v>0</v>
      </c>
      <c r="G3452" s="69" t="s">
        <v>2023</v>
      </c>
      <c r="H3452" s="69" t="s">
        <v>52</v>
      </c>
      <c r="I3452" s="69" t="s">
        <v>2233</v>
      </c>
      <c r="J3452" s="69" t="s">
        <v>64</v>
      </c>
      <c r="K3452" s="69" t="s">
        <v>440</v>
      </c>
      <c r="M3452" s="69" t="s">
        <v>6</v>
      </c>
    </row>
    <row r="3453" spans="2:13">
      <c r="B3453" s="69">
        <v>3451</v>
      </c>
      <c r="C3453" s="69">
        <v>268</v>
      </c>
      <c r="D3453" s="69">
        <v>77</v>
      </c>
      <c r="E3453" s="69">
        <v>24</v>
      </c>
      <c r="F3453" s="69">
        <v>0</v>
      </c>
      <c r="G3453" s="69" t="s">
        <v>2023</v>
      </c>
      <c r="H3453" s="69" t="s">
        <v>52</v>
      </c>
      <c r="I3453" s="69" t="s">
        <v>2233</v>
      </c>
      <c r="J3453" s="69" t="s">
        <v>55</v>
      </c>
      <c r="K3453" s="69" t="s">
        <v>442</v>
      </c>
      <c r="M3453" s="69" t="s">
        <v>6</v>
      </c>
    </row>
    <row r="3454" spans="2:13">
      <c r="B3454" s="69">
        <v>3452</v>
      </c>
      <c r="C3454" s="69">
        <v>268</v>
      </c>
      <c r="D3454" s="69">
        <v>77</v>
      </c>
      <c r="E3454" s="69">
        <v>25</v>
      </c>
      <c r="F3454" s="69">
        <v>0</v>
      </c>
      <c r="G3454" s="69" t="s">
        <v>2023</v>
      </c>
      <c r="H3454" s="69" t="s">
        <v>52</v>
      </c>
      <c r="I3454" s="69" t="s">
        <v>2233</v>
      </c>
      <c r="J3454" s="69" t="s">
        <v>214</v>
      </c>
      <c r="K3454" s="69" t="s">
        <v>443</v>
      </c>
      <c r="M3454" s="69" t="s">
        <v>6</v>
      </c>
    </row>
    <row r="3455" spans="2:13">
      <c r="B3455" s="69">
        <v>3453</v>
      </c>
      <c r="C3455" s="69">
        <v>268</v>
      </c>
      <c r="D3455" s="69">
        <v>77</v>
      </c>
      <c r="E3455" s="69">
        <v>26</v>
      </c>
      <c r="F3455" s="69">
        <v>0</v>
      </c>
      <c r="G3455" s="69" t="s">
        <v>2023</v>
      </c>
      <c r="H3455" s="69" t="s">
        <v>52</v>
      </c>
      <c r="I3455" s="69" t="s">
        <v>2233</v>
      </c>
      <c r="J3455" s="69" t="s">
        <v>479</v>
      </c>
      <c r="K3455" s="69" t="s">
        <v>2250</v>
      </c>
      <c r="M3455" s="69" t="s">
        <v>6</v>
      </c>
    </row>
    <row r="3456" spans="2:13">
      <c r="B3456" s="69">
        <v>3454</v>
      </c>
      <c r="C3456" s="69">
        <v>268</v>
      </c>
      <c r="D3456" s="69">
        <v>77</v>
      </c>
      <c r="E3456" s="69">
        <v>27</v>
      </c>
      <c r="F3456" s="69">
        <v>0</v>
      </c>
      <c r="G3456" s="69" t="s">
        <v>2023</v>
      </c>
      <c r="H3456" s="69" t="s">
        <v>52</v>
      </c>
      <c r="I3456" s="69" t="s">
        <v>2233</v>
      </c>
      <c r="J3456" s="69" t="s">
        <v>55</v>
      </c>
      <c r="K3456" s="69" t="s">
        <v>2025</v>
      </c>
      <c r="M3456" s="69" t="s">
        <v>6</v>
      </c>
    </row>
    <row r="3457" spans="2:13">
      <c r="B3457" s="69">
        <v>3455</v>
      </c>
      <c r="C3457" s="69">
        <v>268</v>
      </c>
      <c r="D3457" s="69">
        <v>77</v>
      </c>
      <c r="E3457" s="69">
        <v>28</v>
      </c>
      <c r="F3457" s="69">
        <v>0</v>
      </c>
      <c r="G3457" s="69" t="s">
        <v>2023</v>
      </c>
      <c r="H3457" s="69" t="s">
        <v>52</v>
      </c>
      <c r="I3457" s="69" t="s">
        <v>2233</v>
      </c>
      <c r="J3457" s="69" t="s">
        <v>55</v>
      </c>
      <c r="K3457" s="69" t="s">
        <v>429</v>
      </c>
      <c r="M3457" s="69" t="s">
        <v>6</v>
      </c>
    </row>
    <row r="3458" spans="2:13">
      <c r="B3458" s="69">
        <v>3456</v>
      </c>
      <c r="C3458" s="69">
        <v>268</v>
      </c>
      <c r="D3458" s="69">
        <v>77</v>
      </c>
      <c r="E3458" s="69">
        <v>29</v>
      </c>
      <c r="F3458" s="69">
        <v>0</v>
      </c>
      <c r="G3458" s="69" t="s">
        <v>2023</v>
      </c>
      <c r="H3458" s="69" t="s">
        <v>52</v>
      </c>
      <c r="I3458" s="69" t="s">
        <v>2233</v>
      </c>
      <c r="J3458" s="69" t="s">
        <v>55</v>
      </c>
      <c r="K3458" s="69" t="s">
        <v>430</v>
      </c>
      <c r="M3458" s="69" t="s">
        <v>6</v>
      </c>
    </row>
    <row r="3459" spans="2:13">
      <c r="B3459" s="69">
        <v>3457</v>
      </c>
      <c r="C3459" s="69">
        <v>268</v>
      </c>
      <c r="D3459" s="69">
        <v>77</v>
      </c>
      <c r="E3459" s="69">
        <v>30</v>
      </c>
      <c r="F3459" s="69">
        <v>0</v>
      </c>
      <c r="G3459" s="69" t="s">
        <v>2023</v>
      </c>
      <c r="H3459" s="69" t="s">
        <v>52</v>
      </c>
      <c r="I3459" s="69" t="s">
        <v>2233</v>
      </c>
      <c r="J3459" s="69" t="s">
        <v>55</v>
      </c>
      <c r="K3459" s="69" t="s">
        <v>2251</v>
      </c>
      <c r="M3459" s="69" t="s">
        <v>6</v>
      </c>
    </row>
    <row r="3460" spans="2:13">
      <c r="B3460" s="69">
        <v>3458</v>
      </c>
      <c r="C3460" s="69">
        <v>268</v>
      </c>
      <c r="D3460" s="69">
        <v>77</v>
      </c>
      <c r="E3460" s="69">
        <v>31</v>
      </c>
      <c r="F3460" s="69">
        <v>0</v>
      </c>
      <c r="G3460" s="69" t="s">
        <v>2023</v>
      </c>
      <c r="H3460" s="69" t="s">
        <v>52</v>
      </c>
      <c r="I3460" s="69" t="s">
        <v>2233</v>
      </c>
      <c r="J3460" s="69" t="s">
        <v>55</v>
      </c>
      <c r="K3460" s="69" t="s">
        <v>2252</v>
      </c>
      <c r="M3460" s="69" t="s">
        <v>6</v>
      </c>
    </row>
    <row r="3461" spans="2:13">
      <c r="B3461" s="69">
        <v>3459</v>
      </c>
      <c r="C3461" s="69">
        <v>268</v>
      </c>
      <c r="D3461" s="69">
        <v>77</v>
      </c>
      <c r="E3461" s="69">
        <v>32</v>
      </c>
      <c r="F3461" s="69">
        <v>0</v>
      </c>
      <c r="G3461" s="69" t="s">
        <v>2023</v>
      </c>
      <c r="H3461" s="69" t="s">
        <v>52</v>
      </c>
      <c r="I3461" s="69" t="s">
        <v>2233</v>
      </c>
      <c r="J3461" s="69" t="s">
        <v>55</v>
      </c>
      <c r="K3461" s="69" t="s">
        <v>2253</v>
      </c>
      <c r="M3461" s="69" t="s">
        <v>6</v>
      </c>
    </row>
    <row r="3462" spans="2:13">
      <c r="B3462" s="69">
        <v>3460</v>
      </c>
      <c r="C3462" s="69">
        <v>268</v>
      </c>
      <c r="D3462" s="69">
        <v>77</v>
      </c>
      <c r="E3462" s="69">
        <v>33</v>
      </c>
      <c r="F3462" s="69">
        <v>0</v>
      </c>
      <c r="G3462" s="69" t="s">
        <v>2023</v>
      </c>
      <c r="H3462" s="69" t="s">
        <v>52</v>
      </c>
      <c r="I3462" s="69" t="s">
        <v>2233</v>
      </c>
      <c r="J3462" s="69" t="s">
        <v>55</v>
      </c>
      <c r="K3462" s="69" t="s">
        <v>2254</v>
      </c>
      <c r="M3462" s="69" t="s">
        <v>6</v>
      </c>
    </row>
    <row r="3463" spans="2:13">
      <c r="B3463" s="69">
        <v>3461</v>
      </c>
      <c r="C3463" s="69">
        <v>268</v>
      </c>
      <c r="D3463" s="69">
        <v>77</v>
      </c>
      <c r="E3463" s="69">
        <v>34</v>
      </c>
      <c r="F3463" s="69">
        <v>0</v>
      </c>
      <c r="G3463" s="69" t="s">
        <v>2023</v>
      </c>
      <c r="H3463" s="69" t="s">
        <v>52</v>
      </c>
      <c r="I3463" s="69" t="s">
        <v>2233</v>
      </c>
      <c r="J3463" s="69" t="s">
        <v>55</v>
      </c>
      <c r="K3463" s="69" t="s">
        <v>2255</v>
      </c>
      <c r="M3463" s="69" t="s">
        <v>6</v>
      </c>
    </row>
    <row r="3464" spans="2:13">
      <c r="B3464" s="69">
        <v>3462</v>
      </c>
      <c r="C3464" s="69">
        <v>268</v>
      </c>
      <c r="D3464" s="69">
        <v>77</v>
      </c>
      <c r="E3464" s="69">
        <v>35</v>
      </c>
      <c r="F3464" s="69">
        <v>0</v>
      </c>
      <c r="G3464" s="69" t="s">
        <v>2023</v>
      </c>
      <c r="H3464" s="69" t="s">
        <v>52</v>
      </c>
      <c r="I3464" s="69" t="s">
        <v>2233</v>
      </c>
      <c r="J3464" s="69" t="s">
        <v>55</v>
      </c>
      <c r="K3464" s="69" t="s">
        <v>2256</v>
      </c>
      <c r="M3464" s="69" t="s">
        <v>6</v>
      </c>
    </row>
    <row r="3465" spans="2:13">
      <c r="B3465" s="69">
        <v>3463</v>
      </c>
      <c r="C3465" s="69">
        <v>268</v>
      </c>
      <c r="D3465" s="69">
        <v>77</v>
      </c>
      <c r="E3465" s="69">
        <v>36</v>
      </c>
      <c r="F3465" s="69">
        <v>0</v>
      </c>
      <c r="G3465" s="69" t="s">
        <v>2023</v>
      </c>
      <c r="H3465" s="69" t="s">
        <v>52</v>
      </c>
      <c r="I3465" s="69" t="s">
        <v>2233</v>
      </c>
      <c r="J3465" s="69" t="s">
        <v>55</v>
      </c>
      <c r="K3465" s="69" t="s">
        <v>2257</v>
      </c>
      <c r="M3465" s="69" t="s">
        <v>6</v>
      </c>
    </row>
    <row r="3466" spans="2:13">
      <c r="B3466" s="69">
        <v>3464</v>
      </c>
      <c r="C3466" s="69">
        <v>268</v>
      </c>
      <c r="D3466" s="69">
        <v>77</v>
      </c>
      <c r="E3466" s="69">
        <v>37</v>
      </c>
      <c r="F3466" s="69">
        <v>0</v>
      </c>
      <c r="G3466" s="69" t="s">
        <v>2023</v>
      </c>
      <c r="H3466" s="69" t="s">
        <v>52</v>
      </c>
      <c r="I3466" s="69" t="s">
        <v>2233</v>
      </c>
      <c r="J3466" s="69" t="s">
        <v>55</v>
      </c>
      <c r="K3466" s="69" t="s">
        <v>2247</v>
      </c>
      <c r="M3466" s="69" t="s">
        <v>6</v>
      </c>
    </row>
    <row r="3467" spans="2:13">
      <c r="B3467" s="69">
        <v>3465</v>
      </c>
      <c r="C3467" s="69">
        <v>268</v>
      </c>
      <c r="D3467" s="69">
        <v>77</v>
      </c>
      <c r="E3467" s="69">
        <v>38</v>
      </c>
      <c r="F3467" s="69">
        <v>0</v>
      </c>
      <c r="G3467" s="69" t="s">
        <v>2023</v>
      </c>
      <c r="H3467" s="69" t="s">
        <v>52</v>
      </c>
      <c r="I3467" s="69" t="s">
        <v>2233</v>
      </c>
      <c r="J3467" s="69" t="s">
        <v>55</v>
      </c>
      <c r="K3467" s="69" t="s">
        <v>2248</v>
      </c>
      <c r="M3467" s="69" t="s">
        <v>6</v>
      </c>
    </row>
    <row r="3468" spans="2:13">
      <c r="B3468" s="69">
        <v>3466</v>
      </c>
      <c r="C3468" s="69">
        <v>268</v>
      </c>
      <c r="D3468" s="69">
        <v>77</v>
      </c>
      <c r="E3468" s="69">
        <v>39</v>
      </c>
      <c r="F3468" s="69">
        <v>0</v>
      </c>
      <c r="G3468" s="69" t="s">
        <v>2023</v>
      </c>
      <c r="H3468" s="69" t="s">
        <v>52</v>
      </c>
      <c r="I3468" s="69" t="s">
        <v>2233</v>
      </c>
      <c r="J3468" s="69" t="s">
        <v>55</v>
      </c>
      <c r="K3468" s="69" t="s">
        <v>2249</v>
      </c>
      <c r="M3468" s="69" t="s">
        <v>6</v>
      </c>
    </row>
    <row r="3469" spans="2:13">
      <c r="B3469" s="69">
        <v>3467</v>
      </c>
      <c r="C3469" s="69">
        <v>268</v>
      </c>
      <c r="D3469" s="69">
        <v>77</v>
      </c>
      <c r="E3469" s="69">
        <v>40</v>
      </c>
      <c r="F3469" s="69">
        <v>0</v>
      </c>
      <c r="G3469" s="69" t="s">
        <v>2023</v>
      </c>
      <c r="H3469" s="69" t="s">
        <v>52</v>
      </c>
      <c r="I3469" s="69" t="s">
        <v>2233</v>
      </c>
      <c r="J3469" s="69" t="s">
        <v>437</v>
      </c>
      <c r="K3469" s="69" t="s">
        <v>438</v>
      </c>
      <c r="L3469" s="69" t="s">
        <v>439</v>
      </c>
      <c r="M3469" s="69" t="s">
        <v>6</v>
      </c>
    </row>
    <row r="3470" spans="2:13">
      <c r="B3470" s="69">
        <v>3468</v>
      </c>
      <c r="C3470" s="69">
        <v>268</v>
      </c>
      <c r="D3470" s="69">
        <v>77</v>
      </c>
      <c r="E3470" s="69">
        <v>41</v>
      </c>
      <c r="F3470" s="69">
        <v>0</v>
      </c>
      <c r="G3470" s="69" t="s">
        <v>2023</v>
      </c>
      <c r="H3470" s="69" t="s">
        <v>52</v>
      </c>
      <c r="I3470" s="69" t="s">
        <v>2233</v>
      </c>
      <c r="J3470" s="69" t="s">
        <v>64</v>
      </c>
      <c r="K3470" s="69" t="s">
        <v>440</v>
      </c>
      <c r="M3470" s="69" t="s">
        <v>6</v>
      </c>
    </row>
    <row r="3471" spans="2:13">
      <c r="B3471" s="69">
        <v>3469</v>
      </c>
      <c r="C3471" s="69">
        <v>268</v>
      </c>
      <c r="D3471" s="69">
        <v>77</v>
      </c>
      <c r="E3471" s="69">
        <v>42</v>
      </c>
      <c r="F3471" s="69">
        <v>0</v>
      </c>
      <c r="G3471" s="69" t="s">
        <v>2023</v>
      </c>
      <c r="H3471" s="69" t="s">
        <v>52</v>
      </c>
      <c r="I3471" s="69" t="s">
        <v>2233</v>
      </c>
      <c r="J3471" s="69" t="s">
        <v>55</v>
      </c>
      <c r="K3471" s="69" t="s">
        <v>442</v>
      </c>
      <c r="M3471" s="69" t="s">
        <v>6</v>
      </c>
    </row>
    <row r="3472" spans="2:13">
      <c r="B3472" s="69">
        <v>3470</v>
      </c>
      <c r="C3472" s="69">
        <v>268</v>
      </c>
      <c r="D3472" s="69">
        <v>77</v>
      </c>
      <c r="E3472" s="69">
        <v>43</v>
      </c>
      <c r="F3472" s="69">
        <v>0</v>
      </c>
      <c r="G3472" s="69" t="s">
        <v>2023</v>
      </c>
      <c r="H3472" s="69" t="s">
        <v>52</v>
      </c>
      <c r="I3472" s="69" t="s">
        <v>2233</v>
      </c>
      <c r="J3472" s="69" t="s">
        <v>214</v>
      </c>
      <c r="K3472" s="69" t="s">
        <v>443</v>
      </c>
      <c r="M3472" s="69" t="s">
        <v>6</v>
      </c>
    </row>
    <row r="3473" spans="2:13">
      <c r="B3473" s="69">
        <v>3471</v>
      </c>
      <c r="C3473" s="69">
        <v>268</v>
      </c>
      <c r="D3473" s="69">
        <v>77</v>
      </c>
      <c r="E3473" s="69">
        <v>44</v>
      </c>
      <c r="F3473" s="69">
        <v>0</v>
      </c>
      <c r="G3473" s="69" t="s">
        <v>2023</v>
      </c>
      <c r="H3473" s="69" t="s">
        <v>52</v>
      </c>
      <c r="I3473" s="69" t="s">
        <v>2233</v>
      </c>
      <c r="J3473" s="69" t="s">
        <v>479</v>
      </c>
      <c r="K3473" s="69" t="s">
        <v>2034</v>
      </c>
      <c r="M3473" s="69" t="s">
        <v>6</v>
      </c>
    </row>
    <row r="3474" spans="2:13">
      <c r="B3474" s="69">
        <v>3472</v>
      </c>
      <c r="C3474" s="69">
        <v>268</v>
      </c>
      <c r="D3474" s="69">
        <v>77</v>
      </c>
      <c r="E3474" s="69">
        <v>45</v>
      </c>
      <c r="F3474" s="69">
        <v>0</v>
      </c>
      <c r="G3474" s="69" t="s">
        <v>2023</v>
      </c>
      <c r="H3474" s="69" t="s">
        <v>52</v>
      </c>
      <c r="I3474" s="69" t="s">
        <v>2233</v>
      </c>
      <c r="J3474" s="69" t="s">
        <v>55</v>
      </c>
      <c r="K3474" s="69" t="s">
        <v>2035</v>
      </c>
      <c r="M3474" s="69" t="s">
        <v>6</v>
      </c>
    </row>
    <row r="3475" spans="2:13">
      <c r="B3475" s="69">
        <v>3473</v>
      </c>
      <c r="C3475" s="69">
        <v>268</v>
      </c>
      <c r="D3475" s="69">
        <v>77</v>
      </c>
      <c r="E3475" s="69">
        <v>46</v>
      </c>
      <c r="F3475" s="69">
        <v>0</v>
      </c>
      <c r="G3475" s="69" t="s">
        <v>2023</v>
      </c>
      <c r="H3475" s="69" t="s">
        <v>52</v>
      </c>
      <c r="I3475" s="69" t="s">
        <v>2233</v>
      </c>
      <c r="J3475" s="69" t="s">
        <v>214</v>
      </c>
      <c r="K3475" s="69" t="s">
        <v>2036</v>
      </c>
      <c r="M3475" s="69" t="s">
        <v>6</v>
      </c>
    </row>
    <row r="3476" spans="2:13">
      <c r="B3476" s="69">
        <v>3474</v>
      </c>
      <c r="C3476" s="69">
        <v>268</v>
      </c>
      <c r="D3476" s="69">
        <v>77</v>
      </c>
      <c r="E3476" s="69">
        <v>47</v>
      </c>
      <c r="F3476" s="69">
        <v>0</v>
      </c>
      <c r="G3476" s="69" t="s">
        <v>2023</v>
      </c>
      <c r="H3476" s="69" t="s">
        <v>52</v>
      </c>
      <c r="I3476" s="69" t="s">
        <v>2233</v>
      </c>
      <c r="J3476" s="69" t="s">
        <v>214</v>
      </c>
      <c r="K3476" s="69" t="s">
        <v>1618</v>
      </c>
      <c r="M3476" s="69" t="s">
        <v>6</v>
      </c>
    </row>
    <row r="3477" spans="2:13">
      <c r="B3477" s="69">
        <v>3475</v>
      </c>
      <c r="C3477" s="69">
        <v>268</v>
      </c>
      <c r="D3477" s="69">
        <v>77</v>
      </c>
      <c r="E3477" s="69">
        <v>48</v>
      </c>
      <c r="F3477" s="69">
        <v>0</v>
      </c>
      <c r="G3477" s="69" t="s">
        <v>2023</v>
      </c>
      <c r="H3477" s="69" t="s">
        <v>52</v>
      </c>
      <c r="I3477" s="69" t="s">
        <v>2233</v>
      </c>
      <c r="J3477" s="69" t="s">
        <v>214</v>
      </c>
      <c r="K3477" s="69" t="s">
        <v>1619</v>
      </c>
      <c r="M3477" s="69" t="s">
        <v>6</v>
      </c>
    </row>
    <row r="3478" spans="2:13">
      <c r="B3478" s="69">
        <v>3476</v>
      </c>
      <c r="C3478" s="69">
        <v>268</v>
      </c>
      <c r="D3478" s="69">
        <v>77</v>
      </c>
      <c r="E3478" s="69">
        <v>49</v>
      </c>
      <c r="F3478" s="69">
        <v>0</v>
      </c>
      <c r="G3478" s="69" t="s">
        <v>2023</v>
      </c>
      <c r="H3478" s="69" t="s">
        <v>52</v>
      </c>
      <c r="I3478" s="69" t="s">
        <v>2233</v>
      </c>
      <c r="J3478" s="69" t="s">
        <v>214</v>
      </c>
      <c r="K3478" s="69" t="s">
        <v>1620</v>
      </c>
      <c r="M3478" s="69" t="s">
        <v>6</v>
      </c>
    </row>
    <row r="3479" spans="2:13">
      <c r="B3479" s="69">
        <v>3477</v>
      </c>
      <c r="C3479" s="69">
        <v>268</v>
      </c>
      <c r="D3479" s="69">
        <v>77</v>
      </c>
      <c r="E3479" s="69">
        <v>50</v>
      </c>
      <c r="F3479" s="69">
        <v>0</v>
      </c>
      <c r="G3479" s="69" t="s">
        <v>2023</v>
      </c>
      <c r="H3479" s="69" t="s">
        <v>52</v>
      </c>
      <c r="I3479" s="69" t="s">
        <v>2233</v>
      </c>
      <c r="J3479" s="69" t="s">
        <v>55</v>
      </c>
      <c r="K3479" s="69" t="s">
        <v>442</v>
      </c>
      <c r="M3479" s="69" t="s">
        <v>6</v>
      </c>
    </row>
    <row r="3480" spans="2:13">
      <c r="B3480" s="69">
        <v>3478</v>
      </c>
      <c r="C3480" s="69">
        <v>268</v>
      </c>
      <c r="D3480" s="69">
        <v>77</v>
      </c>
      <c r="E3480" s="69">
        <v>51</v>
      </c>
      <c r="F3480" s="69">
        <v>0</v>
      </c>
      <c r="G3480" s="69" t="s">
        <v>2023</v>
      </c>
      <c r="H3480" s="69" t="s">
        <v>52</v>
      </c>
      <c r="I3480" s="69" t="s">
        <v>2233</v>
      </c>
      <c r="J3480" s="69" t="s">
        <v>214</v>
      </c>
      <c r="K3480" s="69" t="s">
        <v>443</v>
      </c>
      <c r="M3480" s="69" t="s">
        <v>6</v>
      </c>
    </row>
    <row r="3481" spans="2:13">
      <c r="B3481" s="69">
        <v>3479</v>
      </c>
      <c r="C3481" s="69">
        <v>268</v>
      </c>
      <c r="D3481" s="69">
        <v>77</v>
      </c>
      <c r="E3481" s="69">
        <v>52</v>
      </c>
      <c r="F3481" s="69">
        <v>0</v>
      </c>
      <c r="G3481" s="69" t="s">
        <v>2023</v>
      </c>
      <c r="H3481" s="69" t="s">
        <v>52</v>
      </c>
      <c r="I3481" s="69" t="s">
        <v>2233</v>
      </c>
      <c r="J3481" s="69" t="s">
        <v>479</v>
      </c>
      <c r="K3481" s="69" t="s">
        <v>2037</v>
      </c>
      <c r="M3481" s="69" t="s">
        <v>6</v>
      </c>
    </row>
    <row r="3482" spans="2:13">
      <c r="B3482" s="69">
        <v>3480</v>
      </c>
      <c r="C3482" s="69">
        <v>268</v>
      </c>
      <c r="D3482" s="69">
        <v>77</v>
      </c>
      <c r="E3482" s="69">
        <v>53</v>
      </c>
      <c r="F3482" s="69">
        <v>0</v>
      </c>
      <c r="G3482" s="69" t="s">
        <v>2023</v>
      </c>
      <c r="H3482" s="69" t="s">
        <v>52</v>
      </c>
      <c r="I3482" s="69" t="s">
        <v>2233</v>
      </c>
      <c r="J3482" s="69" t="s">
        <v>55</v>
      </c>
      <c r="K3482" s="69" t="s">
        <v>2025</v>
      </c>
      <c r="M3482" s="69" t="s">
        <v>6</v>
      </c>
    </row>
    <row r="3483" spans="2:13">
      <c r="B3483" s="69">
        <v>3481</v>
      </c>
      <c r="C3483" s="69">
        <v>268</v>
      </c>
      <c r="D3483" s="69">
        <v>77</v>
      </c>
      <c r="E3483" s="69">
        <v>54</v>
      </c>
      <c r="F3483" s="69">
        <v>0</v>
      </c>
      <c r="G3483" s="69" t="s">
        <v>2023</v>
      </c>
      <c r="H3483" s="69" t="s">
        <v>52</v>
      </c>
      <c r="I3483" s="69" t="s">
        <v>2233</v>
      </c>
      <c r="J3483" s="69" t="s">
        <v>55</v>
      </c>
      <c r="K3483" s="69" t="s">
        <v>429</v>
      </c>
      <c r="M3483" s="69" t="s">
        <v>6</v>
      </c>
    </row>
    <row r="3484" spans="2:13">
      <c r="B3484" s="69">
        <v>3482</v>
      </c>
      <c r="C3484" s="69">
        <v>268</v>
      </c>
      <c r="D3484" s="69">
        <v>77</v>
      </c>
      <c r="E3484" s="69">
        <v>55</v>
      </c>
      <c r="F3484" s="69">
        <v>0</v>
      </c>
      <c r="G3484" s="69" t="s">
        <v>2023</v>
      </c>
      <c r="H3484" s="69" t="s">
        <v>52</v>
      </c>
      <c r="I3484" s="69" t="s">
        <v>2233</v>
      </c>
      <c r="J3484" s="69" t="s">
        <v>55</v>
      </c>
      <c r="K3484" s="69" t="s">
        <v>430</v>
      </c>
      <c r="M3484" s="69" t="s">
        <v>6</v>
      </c>
    </row>
    <row r="3485" spans="2:13">
      <c r="B3485" s="69">
        <v>3483</v>
      </c>
      <c r="C3485" s="69">
        <v>268</v>
      </c>
      <c r="D3485" s="69">
        <v>77</v>
      </c>
      <c r="E3485" s="69">
        <v>56</v>
      </c>
      <c r="F3485" s="69">
        <v>0</v>
      </c>
      <c r="G3485" s="69" t="s">
        <v>2023</v>
      </c>
      <c r="H3485" s="69" t="s">
        <v>52</v>
      </c>
      <c r="I3485" s="69" t="s">
        <v>2233</v>
      </c>
      <c r="J3485" s="69" t="s">
        <v>55</v>
      </c>
      <c r="K3485" s="69" t="s">
        <v>2038</v>
      </c>
      <c r="M3485" s="69" t="s">
        <v>6</v>
      </c>
    </row>
    <row r="3486" spans="2:13">
      <c r="B3486" s="69">
        <v>3484</v>
      </c>
      <c r="C3486" s="69">
        <v>268</v>
      </c>
      <c r="D3486" s="69">
        <v>77</v>
      </c>
      <c r="E3486" s="69">
        <v>57</v>
      </c>
      <c r="F3486" s="69">
        <v>0</v>
      </c>
      <c r="G3486" s="69" t="s">
        <v>2023</v>
      </c>
      <c r="H3486" s="69" t="s">
        <v>52</v>
      </c>
      <c r="I3486" s="69" t="s">
        <v>2233</v>
      </c>
      <c r="J3486" s="69" t="s">
        <v>437</v>
      </c>
      <c r="K3486" s="69" t="s">
        <v>2039</v>
      </c>
      <c r="L3486" s="69" t="s">
        <v>2040</v>
      </c>
      <c r="M3486" s="69" t="s">
        <v>6</v>
      </c>
    </row>
    <row r="3487" spans="2:13">
      <c r="B3487" s="69">
        <v>3485</v>
      </c>
      <c r="C3487" s="69">
        <v>268</v>
      </c>
      <c r="D3487" s="69">
        <v>77</v>
      </c>
      <c r="E3487" s="69">
        <v>58</v>
      </c>
      <c r="F3487" s="69">
        <v>0</v>
      </c>
      <c r="G3487" s="69" t="s">
        <v>2023</v>
      </c>
      <c r="H3487" s="69" t="s">
        <v>52</v>
      </c>
      <c r="I3487" s="69" t="s">
        <v>2233</v>
      </c>
      <c r="J3487" s="69" t="s">
        <v>437</v>
      </c>
      <c r="K3487" s="69" t="s">
        <v>2041</v>
      </c>
      <c r="L3487" s="69" t="s">
        <v>2040</v>
      </c>
      <c r="M3487" s="69" t="s">
        <v>6</v>
      </c>
    </row>
    <row r="3488" spans="2:13">
      <c r="B3488" s="69">
        <v>3486</v>
      </c>
      <c r="C3488" s="69">
        <v>268</v>
      </c>
      <c r="D3488" s="69">
        <v>77</v>
      </c>
      <c r="E3488" s="69">
        <v>59</v>
      </c>
      <c r="F3488" s="69">
        <v>0</v>
      </c>
      <c r="G3488" s="69" t="s">
        <v>2023</v>
      </c>
      <c r="H3488" s="69" t="s">
        <v>52</v>
      </c>
      <c r="I3488" s="69" t="s">
        <v>2233</v>
      </c>
      <c r="J3488" s="69" t="s">
        <v>437</v>
      </c>
      <c r="K3488" s="69" t="s">
        <v>2042</v>
      </c>
      <c r="L3488" s="69" t="s">
        <v>2040</v>
      </c>
      <c r="M3488" s="69" t="s">
        <v>6</v>
      </c>
    </row>
    <row r="3489" spans="2:13">
      <c r="B3489" s="69">
        <v>3487</v>
      </c>
      <c r="C3489" s="69">
        <v>268</v>
      </c>
      <c r="D3489" s="69">
        <v>77</v>
      </c>
      <c r="E3489" s="69">
        <v>60</v>
      </c>
      <c r="F3489" s="69">
        <v>0</v>
      </c>
      <c r="G3489" s="69" t="s">
        <v>2023</v>
      </c>
      <c r="H3489" s="69" t="s">
        <v>52</v>
      </c>
      <c r="I3489" s="69" t="s">
        <v>2233</v>
      </c>
      <c r="J3489" s="69" t="s">
        <v>437</v>
      </c>
      <c r="K3489" s="69" t="s">
        <v>2258</v>
      </c>
      <c r="L3489" s="69" t="s">
        <v>2040</v>
      </c>
      <c r="M3489" s="69" t="s">
        <v>6</v>
      </c>
    </row>
    <row r="3490" spans="2:13">
      <c r="B3490" s="69">
        <v>3488</v>
      </c>
      <c r="C3490" s="69">
        <v>268</v>
      </c>
      <c r="D3490" s="69">
        <v>77</v>
      </c>
      <c r="E3490" s="69">
        <v>61</v>
      </c>
      <c r="F3490" s="69">
        <v>0</v>
      </c>
      <c r="G3490" s="69" t="s">
        <v>2023</v>
      </c>
      <c r="H3490" s="69" t="s">
        <v>52</v>
      </c>
      <c r="I3490" s="69" t="s">
        <v>2233</v>
      </c>
      <c r="J3490" s="69" t="s">
        <v>437</v>
      </c>
      <c r="K3490" s="69" t="s">
        <v>2044</v>
      </c>
      <c r="L3490" s="69" t="s">
        <v>2040</v>
      </c>
      <c r="M3490" s="69" t="s">
        <v>6</v>
      </c>
    </row>
    <row r="3491" spans="2:13">
      <c r="B3491" s="69">
        <v>3489</v>
      </c>
      <c r="C3491" s="69">
        <v>268</v>
      </c>
      <c r="D3491" s="69">
        <v>77</v>
      </c>
      <c r="E3491" s="69">
        <v>62</v>
      </c>
      <c r="F3491" s="69">
        <v>0</v>
      </c>
      <c r="G3491" s="69" t="s">
        <v>2023</v>
      </c>
      <c r="H3491" s="69" t="s">
        <v>52</v>
      </c>
      <c r="I3491" s="69" t="s">
        <v>2233</v>
      </c>
      <c r="J3491" s="69" t="s">
        <v>55</v>
      </c>
      <c r="K3491" s="69" t="s">
        <v>2045</v>
      </c>
      <c r="M3491" s="69" t="s">
        <v>6</v>
      </c>
    </row>
    <row r="3492" spans="2:13">
      <c r="B3492" s="69">
        <v>3490</v>
      </c>
      <c r="C3492" s="69">
        <v>268</v>
      </c>
      <c r="D3492" s="69">
        <v>77</v>
      </c>
      <c r="E3492" s="69">
        <v>63</v>
      </c>
      <c r="F3492" s="69">
        <v>0</v>
      </c>
      <c r="G3492" s="69" t="s">
        <v>2023</v>
      </c>
      <c r="H3492" s="69" t="s">
        <v>52</v>
      </c>
      <c r="I3492" s="69" t="s">
        <v>2233</v>
      </c>
      <c r="J3492" s="69" t="s">
        <v>437</v>
      </c>
      <c r="K3492" s="69" t="s">
        <v>438</v>
      </c>
      <c r="L3492" s="69" t="s">
        <v>439</v>
      </c>
      <c r="M3492" s="69" t="s">
        <v>6</v>
      </c>
    </row>
    <row r="3493" spans="2:13">
      <c r="B3493" s="69">
        <v>3491</v>
      </c>
      <c r="C3493" s="69">
        <v>268</v>
      </c>
      <c r="D3493" s="69">
        <v>77</v>
      </c>
      <c r="E3493" s="69">
        <v>64</v>
      </c>
      <c r="F3493" s="69">
        <v>0</v>
      </c>
      <c r="G3493" s="69" t="s">
        <v>2023</v>
      </c>
      <c r="H3493" s="69" t="s">
        <v>52</v>
      </c>
      <c r="I3493" s="69" t="s">
        <v>2233</v>
      </c>
      <c r="J3493" s="69" t="s">
        <v>64</v>
      </c>
      <c r="K3493" s="69" t="s">
        <v>440</v>
      </c>
      <c r="M3493" s="69" t="s">
        <v>6</v>
      </c>
    </row>
    <row r="3494" spans="2:13">
      <c r="B3494" s="69">
        <v>3492</v>
      </c>
      <c r="C3494" s="69">
        <v>268</v>
      </c>
      <c r="D3494" s="69">
        <v>77</v>
      </c>
      <c r="E3494" s="69">
        <v>65</v>
      </c>
      <c r="F3494" s="69">
        <v>0</v>
      </c>
      <c r="G3494" s="69" t="s">
        <v>2023</v>
      </c>
      <c r="H3494" s="69" t="s">
        <v>52</v>
      </c>
      <c r="I3494" s="69" t="s">
        <v>2233</v>
      </c>
      <c r="J3494" s="69" t="s">
        <v>55</v>
      </c>
      <c r="K3494" s="69" t="s">
        <v>442</v>
      </c>
      <c r="M3494" s="69" t="s">
        <v>6</v>
      </c>
    </row>
    <row r="3495" spans="2:13">
      <c r="B3495" s="69">
        <v>3493</v>
      </c>
      <c r="C3495" s="69">
        <v>268</v>
      </c>
      <c r="D3495" s="69">
        <v>77</v>
      </c>
      <c r="E3495" s="69">
        <v>66</v>
      </c>
      <c r="F3495" s="69">
        <v>0</v>
      </c>
      <c r="G3495" s="69" t="s">
        <v>2023</v>
      </c>
      <c r="H3495" s="69" t="s">
        <v>52</v>
      </c>
      <c r="I3495" s="69" t="s">
        <v>2233</v>
      </c>
      <c r="J3495" s="69" t="s">
        <v>214</v>
      </c>
      <c r="K3495" s="69" t="s">
        <v>443</v>
      </c>
      <c r="M3495" s="69" t="s">
        <v>6</v>
      </c>
    </row>
    <row r="3496" spans="2:13">
      <c r="B3496" s="69">
        <v>3494</v>
      </c>
      <c r="C3496" s="69">
        <v>268</v>
      </c>
      <c r="D3496" s="69">
        <v>77</v>
      </c>
      <c r="E3496" s="69">
        <v>67</v>
      </c>
      <c r="F3496" s="69">
        <v>0</v>
      </c>
      <c r="G3496" s="69" t="s">
        <v>2023</v>
      </c>
      <c r="H3496" s="69" t="s">
        <v>52</v>
      </c>
      <c r="I3496" s="69" t="s">
        <v>2233</v>
      </c>
      <c r="J3496" s="69" t="s">
        <v>479</v>
      </c>
      <c r="K3496" s="69" t="s">
        <v>2259</v>
      </c>
      <c r="M3496" s="69" t="s">
        <v>6</v>
      </c>
    </row>
    <row r="3497" spans="2:13">
      <c r="B3497" s="69">
        <v>3495</v>
      </c>
      <c r="C3497" s="69">
        <v>268</v>
      </c>
      <c r="D3497" s="69">
        <v>77</v>
      </c>
      <c r="E3497" s="69">
        <v>68</v>
      </c>
      <c r="F3497" s="69">
        <v>0</v>
      </c>
      <c r="G3497" s="69" t="s">
        <v>2023</v>
      </c>
      <c r="H3497" s="69" t="s">
        <v>52</v>
      </c>
      <c r="I3497" s="69" t="s">
        <v>2233</v>
      </c>
      <c r="J3497" s="69" t="s">
        <v>55</v>
      </c>
      <c r="K3497" s="69" t="s">
        <v>2025</v>
      </c>
      <c r="M3497" s="69" t="s">
        <v>6</v>
      </c>
    </row>
    <row r="3498" spans="2:13">
      <c r="B3498" s="69">
        <v>3496</v>
      </c>
      <c r="C3498" s="69">
        <v>268</v>
      </c>
      <c r="D3498" s="69">
        <v>77</v>
      </c>
      <c r="E3498" s="69">
        <v>69</v>
      </c>
      <c r="F3498" s="69">
        <v>0</v>
      </c>
      <c r="G3498" s="69" t="s">
        <v>2023</v>
      </c>
      <c r="H3498" s="69" t="s">
        <v>52</v>
      </c>
      <c r="I3498" s="69" t="s">
        <v>2233</v>
      </c>
      <c r="J3498" s="69" t="s">
        <v>55</v>
      </c>
      <c r="K3498" s="69" t="s">
        <v>2260</v>
      </c>
      <c r="M3498" s="69" t="s">
        <v>6</v>
      </c>
    </row>
    <row r="3499" spans="2:13">
      <c r="B3499" s="69">
        <v>3497</v>
      </c>
      <c r="C3499" s="69">
        <v>268</v>
      </c>
      <c r="D3499" s="69">
        <v>77</v>
      </c>
      <c r="E3499" s="69">
        <v>70</v>
      </c>
      <c r="F3499" s="69">
        <v>0</v>
      </c>
      <c r="G3499" s="69" t="s">
        <v>2023</v>
      </c>
      <c r="H3499" s="69" t="s">
        <v>52</v>
      </c>
      <c r="I3499" s="69" t="s">
        <v>2233</v>
      </c>
      <c r="J3499" s="69" t="s">
        <v>55</v>
      </c>
      <c r="K3499" s="69" t="s">
        <v>2261</v>
      </c>
      <c r="M3499" s="69" t="s">
        <v>6</v>
      </c>
    </row>
    <row r="3500" spans="2:13">
      <c r="B3500" s="69">
        <v>3498</v>
      </c>
      <c r="C3500" s="69">
        <v>268</v>
      </c>
      <c r="D3500" s="69">
        <v>77</v>
      </c>
      <c r="E3500" s="69">
        <v>71</v>
      </c>
      <c r="F3500" s="69">
        <v>0</v>
      </c>
      <c r="G3500" s="69" t="s">
        <v>2023</v>
      </c>
      <c r="H3500" s="69" t="s">
        <v>52</v>
      </c>
      <c r="I3500" s="69" t="s">
        <v>2233</v>
      </c>
      <c r="J3500" s="69" t="s">
        <v>55</v>
      </c>
      <c r="K3500" s="69" t="s">
        <v>2262</v>
      </c>
      <c r="M3500" s="69" t="s">
        <v>6</v>
      </c>
    </row>
    <row r="3501" spans="2:13">
      <c r="B3501" s="69">
        <v>3499</v>
      </c>
      <c r="C3501" s="69">
        <v>268</v>
      </c>
      <c r="D3501" s="69">
        <v>77</v>
      </c>
      <c r="E3501" s="69">
        <v>72</v>
      </c>
      <c r="F3501" s="69">
        <v>0</v>
      </c>
      <c r="G3501" s="69" t="s">
        <v>2023</v>
      </c>
      <c r="H3501" s="69" t="s">
        <v>52</v>
      </c>
      <c r="I3501" s="69" t="s">
        <v>2233</v>
      </c>
      <c r="J3501" s="69" t="s">
        <v>55</v>
      </c>
      <c r="K3501" s="69" t="s">
        <v>2263</v>
      </c>
      <c r="M3501" s="69" t="s">
        <v>6</v>
      </c>
    </row>
    <row r="3502" spans="2:13">
      <c r="B3502" s="69">
        <v>3500</v>
      </c>
      <c r="C3502" s="69">
        <v>268</v>
      </c>
      <c r="D3502" s="69">
        <v>77</v>
      </c>
      <c r="E3502" s="69">
        <v>73</v>
      </c>
      <c r="F3502" s="69">
        <v>0</v>
      </c>
      <c r="G3502" s="69" t="s">
        <v>2023</v>
      </c>
      <c r="H3502" s="69" t="s">
        <v>52</v>
      </c>
      <c r="I3502" s="69" t="s">
        <v>2233</v>
      </c>
      <c r="J3502" s="69" t="s">
        <v>55</v>
      </c>
      <c r="K3502" s="69" t="s">
        <v>2045</v>
      </c>
      <c r="M3502" s="69" t="s">
        <v>6</v>
      </c>
    </row>
    <row r="3503" spans="2:13">
      <c r="B3503" s="69">
        <v>3501</v>
      </c>
      <c r="C3503" s="69">
        <v>268</v>
      </c>
      <c r="D3503" s="69">
        <v>77</v>
      </c>
      <c r="E3503" s="69">
        <v>74</v>
      </c>
      <c r="F3503" s="69">
        <v>0</v>
      </c>
      <c r="G3503" s="69" t="s">
        <v>2023</v>
      </c>
      <c r="H3503" s="69" t="s">
        <v>52</v>
      </c>
      <c r="I3503" s="69" t="s">
        <v>2233</v>
      </c>
      <c r="J3503" s="69" t="s">
        <v>437</v>
      </c>
      <c r="K3503" s="69" t="s">
        <v>438</v>
      </c>
      <c r="L3503" s="69" t="s">
        <v>439</v>
      </c>
      <c r="M3503" s="69" t="s">
        <v>6</v>
      </c>
    </row>
    <row r="3504" spans="2:13">
      <c r="B3504" s="69">
        <v>3502</v>
      </c>
      <c r="C3504" s="69">
        <v>268</v>
      </c>
      <c r="D3504" s="69">
        <v>77</v>
      </c>
      <c r="E3504" s="69">
        <v>75</v>
      </c>
      <c r="F3504" s="69">
        <v>0</v>
      </c>
      <c r="G3504" s="69" t="s">
        <v>2023</v>
      </c>
      <c r="H3504" s="69" t="s">
        <v>52</v>
      </c>
      <c r="I3504" s="69" t="s">
        <v>2233</v>
      </c>
      <c r="J3504" s="69" t="s">
        <v>64</v>
      </c>
      <c r="K3504" s="69" t="s">
        <v>440</v>
      </c>
      <c r="M3504" s="69" t="s">
        <v>6</v>
      </c>
    </row>
    <row r="3505" spans="2:13">
      <c r="B3505" s="69">
        <v>3503</v>
      </c>
      <c r="C3505" s="69">
        <v>268</v>
      </c>
      <c r="D3505" s="69">
        <v>77</v>
      </c>
      <c r="E3505" s="69">
        <v>76</v>
      </c>
      <c r="F3505" s="69">
        <v>0</v>
      </c>
      <c r="G3505" s="69" t="s">
        <v>2023</v>
      </c>
      <c r="H3505" s="69" t="s">
        <v>52</v>
      </c>
      <c r="I3505" s="69" t="s">
        <v>2233</v>
      </c>
      <c r="J3505" s="69" t="s">
        <v>55</v>
      </c>
      <c r="K3505" s="69" t="s">
        <v>442</v>
      </c>
      <c r="M3505" s="69" t="s">
        <v>6</v>
      </c>
    </row>
    <row r="3506" spans="2:13">
      <c r="B3506" s="69">
        <v>3504</v>
      </c>
      <c r="C3506" s="69">
        <v>268</v>
      </c>
      <c r="D3506" s="69">
        <v>77</v>
      </c>
      <c r="E3506" s="69">
        <v>77</v>
      </c>
      <c r="F3506" s="69">
        <v>0</v>
      </c>
      <c r="G3506" s="69" t="s">
        <v>2023</v>
      </c>
      <c r="H3506" s="69" t="s">
        <v>52</v>
      </c>
      <c r="I3506" s="69" t="s">
        <v>2233</v>
      </c>
      <c r="J3506" s="69" t="s">
        <v>214</v>
      </c>
      <c r="K3506" s="69" t="s">
        <v>443</v>
      </c>
      <c r="M3506" s="69" t="s">
        <v>6</v>
      </c>
    </row>
    <row r="3507" spans="2:13">
      <c r="B3507" s="69">
        <v>3505</v>
      </c>
      <c r="C3507" s="69">
        <v>269</v>
      </c>
      <c r="D3507" s="69">
        <v>30</v>
      </c>
      <c r="E3507" s="69">
        <v>0</v>
      </c>
      <c r="F3507" s="69">
        <v>0</v>
      </c>
      <c r="G3507" s="69" t="s">
        <v>2023</v>
      </c>
      <c r="H3507" s="69" t="s">
        <v>52</v>
      </c>
      <c r="I3507" s="69" t="s">
        <v>2264</v>
      </c>
      <c r="J3507" s="69" t="s">
        <v>478</v>
      </c>
      <c r="K3507" s="69" t="s">
        <v>2264</v>
      </c>
      <c r="M3507" s="69" t="s">
        <v>6</v>
      </c>
    </row>
    <row r="3508" spans="2:13">
      <c r="B3508" s="69">
        <v>3506</v>
      </c>
      <c r="C3508" s="69">
        <v>269</v>
      </c>
      <c r="D3508" s="69">
        <v>30</v>
      </c>
      <c r="E3508" s="69">
        <v>1</v>
      </c>
      <c r="F3508" s="69">
        <v>0</v>
      </c>
      <c r="G3508" s="69" t="s">
        <v>2023</v>
      </c>
      <c r="H3508" s="69" t="s">
        <v>52</v>
      </c>
      <c r="I3508" s="69" t="s">
        <v>2264</v>
      </c>
      <c r="J3508" s="69" t="s">
        <v>479</v>
      </c>
      <c r="K3508" s="69" t="s">
        <v>2265</v>
      </c>
      <c r="M3508" s="69" t="s">
        <v>6</v>
      </c>
    </row>
    <row r="3509" spans="2:13">
      <c r="B3509" s="69">
        <v>3507</v>
      </c>
      <c r="C3509" s="69">
        <v>269</v>
      </c>
      <c r="D3509" s="69">
        <v>30</v>
      </c>
      <c r="E3509" s="69">
        <v>2</v>
      </c>
      <c r="F3509" s="69">
        <v>0</v>
      </c>
      <c r="G3509" s="69" t="s">
        <v>2023</v>
      </c>
      <c r="H3509" s="69" t="s">
        <v>52</v>
      </c>
      <c r="I3509" s="69" t="s">
        <v>2264</v>
      </c>
      <c r="J3509" s="69" t="s">
        <v>55</v>
      </c>
      <c r="K3509" s="69" t="s">
        <v>2025</v>
      </c>
      <c r="M3509" s="69" t="s">
        <v>6</v>
      </c>
    </row>
    <row r="3510" spans="2:13">
      <c r="B3510" s="69">
        <v>3508</v>
      </c>
      <c r="C3510" s="69">
        <v>269</v>
      </c>
      <c r="D3510" s="69">
        <v>30</v>
      </c>
      <c r="E3510" s="69">
        <v>3</v>
      </c>
      <c r="F3510" s="69">
        <v>0</v>
      </c>
      <c r="G3510" s="69" t="s">
        <v>2023</v>
      </c>
      <c r="H3510" s="69" t="s">
        <v>52</v>
      </c>
      <c r="I3510" s="69" t="s">
        <v>2264</v>
      </c>
      <c r="J3510" s="69" t="s">
        <v>55</v>
      </c>
      <c r="K3510" s="69" t="s">
        <v>429</v>
      </c>
      <c r="M3510" s="69" t="s">
        <v>6</v>
      </c>
    </row>
    <row r="3511" spans="2:13">
      <c r="B3511" s="69">
        <v>3509</v>
      </c>
      <c r="C3511" s="69">
        <v>269</v>
      </c>
      <c r="D3511" s="69">
        <v>30</v>
      </c>
      <c r="E3511" s="69">
        <v>4</v>
      </c>
      <c r="F3511" s="69">
        <v>0</v>
      </c>
      <c r="G3511" s="69" t="s">
        <v>2023</v>
      </c>
      <c r="H3511" s="69" t="s">
        <v>52</v>
      </c>
      <c r="I3511" s="69" t="s">
        <v>2264</v>
      </c>
      <c r="J3511" s="69" t="s">
        <v>55</v>
      </c>
      <c r="K3511" s="69" t="s">
        <v>430</v>
      </c>
      <c r="M3511" s="69" t="s">
        <v>6</v>
      </c>
    </row>
    <row r="3512" spans="2:13">
      <c r="B3512" s="69">
        <v>3510</v>
      </c>
      <c r="C3512" s="69">
        <v>269</v>
      </c>
      <c r="D3512" s="69">
        <v>30</v>
      </c>
      <c r="E3512" s="69">
        <v>5</v>
      </c>
      <c r="F3512" s="69">
        <v>0</v>
      </c>
      <c r="G3512" s="69" t="s">
        <v>2023</v>
      </c>
      <c r="H3512" s="69" t="s">
        <v>52</v>
      </c>
      <c r="I3512" s="69" t="s">
        <v>2264</v>
      </c>
      <c r="J3512" s="69" t="s">
        <v>55</v>
      </c>
      <c r="K3512" s="69" t="s">
        <v>2266</v>
      </c>
      <c r="M3512" s="69" t="s">
        <v>6</v>
      </c>
    </row>
    <row r="3513" spans="2:13">
      <c r="B3513" s="69">
        <v>3511</v>
      </c>
      <c r="C3513" s="69">
        <v>269</v>
      </c>
      <c r="D3513" s="69">
        <v>30</v>
      </c>
      <c r="E3513" s="69">
        <v>6</v>
      </c>
      <c r="F3513" s="69">
        <v>0</v>
      </c>
      <c r="G3513" s="69" t="s">
        <v>2023</v>
      </c>
      <c r="H3513" s="69" t="s">
        <v>52</v>
      </c>
      <c r="I3513" s="69" t="s">
        <v>2264</v>
      </c>
      <c r="J3513" s="69" t="s">
        <v>437</v>
      </c>
      <c r="K3513" s="69" t="s">
        <v>2267</v>
      </c>
      <c r="L3513" s="69" t="s">
        <v>2268</v>
      </c>
      <c r="M3513" s="69" t="s">
        <v>6</v>
      </c>
    </row>
    <row r="3514" spans="2:13">
      <c r="B3514" s="69">
        <v>3512</v>
      </c>
      <c r="C3514" s="69">
        <v>269</v>
      </c>
      <c r="D3514" s="69">
        <v>30</v>
      </c>
      <c r="E3514" s="69">
        <v>7</v>
      </c>
      <c r="F3514" s="69">
        <v>0</v>
      </c>
      <c r="G3514" s="69" t="s">
        <v>2023</v>
      </c>
      <c r="H3514" s="69" t="s">
        <v>52</v>
      </c>
      <c r="I3514" s="69" t="s">
        <v>2264</v>
      </c>
      <c r="J3514" s="69" t="s">
        <v>55</v>
      </c>
      <c r="K3514" s="69" t="s">
        <v>2269</v>
      </c>
      <c r="M3514" s="69" t="s">
        <v>6</v>
      </c>
    </row>
    <row r="3515" spans="2:13">
      <c r="B3515" s="69">
        <v>3513</v>
      </c>
      <c r="C3515" s="69">
        <v>269</v>
      </c>
      <c r="D3515" s="69">
        <v>30</v>
      </c>
      <c r="E3515" s="69">
        <v>8</v>
      </c>
      <c r="F3515" s="69">
        <v>0</v>
      </c>
      <c r="G3515" s="69" t="s">
        <v>2023</v>
      </c>
      <c r="H3515" s="69" t="s">
        <v>52</v>
      </c>
      <c r="I3515" s="69" t="s">
        <v>2264</v>
      </c>
      <c r="J3515" s="69" t="s">
        <v>55</v>
      </c>
      <c r="K3515" s="69" t="s">
        <v>1953</v>
      </c>
      <c r="M3515" s="69" t="s">
        <v>6</v>
      </c>
    </row>
    <row r="3516" spans="2:13">
      <c r="B3516" s="69">
        <v>3514</v>
      </c>
      <c r="C3516" s="69">
        <v>269</v>
      </c>
      <c r="D3516" s="69">
        <v>30</v>
      </c>
      <c r="E3516" s="69">
        <v>9</v>
      </c>
      <c r="F3516" s="69">
        <v>0</v>
      </c>
      <c r="G3516" s="69" t="s">
        <v>2023</v>
      </c>
      <c r="H3516" s="69" t="s">
        <v>52</v>
      </c>
      <c r="I3516" s="69" t="s">
        <v>2264</v>
      </c>
      <c r="J3516" s="69" t="s">
        <v>55</v>
      </c>
      <c r="K3516" s="69" t="s">
        <v>1958</v>
      </c>
      <c r="M3516" s="69" t="s">
        <v>6</v>
      </c>
    </row>
    <row r="3517" spans="2:13">
      <c r="B3517" s="69">
        <v>3515</v>
      </c>
      <c r="C3517" s="69">
        <v>269</v>
      </c>
      <c r="D3517" s="69">
        <v>30</v>
      </c>
      <c r="E3517" s="69">
        <v>10</v>
      </c>
      <c r="F3517" s="69">
        <v>0</v>
      </c>
      <c r="G3517" s="69" t="s">
        <v>2023</v>
      </c>
      <c r="H3517" s="69" t="s">
        <v>52</v>
      </c>
      <c r="I3517" s="69" t="s">
        <v>2264</v>
      </c>
      <c r="J3517" s="69" t="s">
        <v>55</v>
      </c>
      <c r="K3517" s="69" t="s">
        <v>2270</v>
      </c>
      <c r="M3517" s="69" t="s">
        <v>6</v>
      </c>
    </row>
    <row r="3518" spans="2:13">
      <c r="B3518" s="69">
        <v>3516</v>
      </c>
      <c r="C3518" s="69">
        <v>269</v>
      </c>
      <c r="D3518" s="69">
        <v>30</v>
      </c>
      <c r="E3518" s="69">
        <v>11</v>
      </c>
      <c r="F3518" s="69">
        <v>0</v>
      </c>
      <c r="G3518" s="69" t="s">
        <v>2023</v>
      </c>
      <c r="H3518" s="69" t="s">
        <v>52</v>
      </c>
      <c r="I3518" s="69" t="s">
        <v>2264</v>
      </c>
      <c r="J3518" s="69" t="s">
        <v>437</v>
      </c>
      <c r="K3518" s="69" t="s">
        <v>2271</v>
      </c>
      <c r="L3518" s="69" t="s">
        <v>2040</v>
      </c>
      <c r="M3518" s="69" t="s">
        <v>6</v>
      </c>
    </row>
    <row r="3519" spans="2:13">
      <c r="B3519" s="69">
        <v>3517</v>
      </c>
      <c r="C3519" s="69">
        <v>269</v>
      </c>
      <c r="D3519" s="69">
        <v>30</v>
      </c>
      <c r="E3519" s="69">
        <v>12</v>
      </c>
      <c r="F3519" s="69">
        <v>0</v>
      </c>
      <c r="G3519" s="69" t="s">
        <v>2023</v>
      </c>
      <c r="H3519" s="69" t="s">
        <v>52</v>
      </c>
      <c r="I3519" s="69" t="s">
        <v>2264</v>
      </c>
      <c r="J3519" s="69" t="s">
        <v>437</v>
      </c>
      <c r="K3519" s="69" t="s">
        <v>2272</v>
      </c>
      <c r="L3519" s="69" t="s">
        <v>2040</v>
      </c>
      <c r="M3519" s="69" t="s">
        <v>6</v>
      </c>
    </row>
    <row r="3520" spans="2:13">
      <c r="B3520" s="69">
        <v>3518</v>
      </c>
      <c r="C3520" s="69">
        <v>269</v>
      </c>
      <c r="D3520" s="69">
        <v>30</v>
      </c>
      <c r="E3520" s="69">
        <v>13</v>
      </c>
      <c r="F3520" s="69">
        <v>0</v>
      </c>
      <c r="G3520" s="69" t="s">
        <v>2023</v>
      </c>
      <c r="H3520" s="69" t="s">
        <v>52</v>
      </c>
      <c r="I3520" s="69" t="s">
        <v>2264</v>
      </c>
      <c r="J3520" s="69" t="s">
        <v>55</v>
      </c>
      <c r="K3520" s="69" t="s">
        <v>2273</v>
      </c>
      <c r="M3520" s="69" t="s">
        <v>6</v>
      </c>
    </row>
    <row r="3521" spans="2:13">
      <c r="B3521" s="69">
        <v>3519</v>
      </c>
      <c r="C3521" s="69">
        <v>269</v>
      </c>
      <c r="D3521" s="69">
        <v>30</v>
      </c>
      <c r="E3521" s="69">
        <v>14</v>
      </c>
      <c r="F3521" s="69">
        <v>0</v>
      </c>
      <c r="G3521" s="69" t="s">
        <v>2023</v>
      </c>
      <c r="H3521" s="69" t="s">
        <v>52</v>
      </c>
      <c r="I3521" s="69" t="s">
        <v>2264</v>
      </c>
      <c r="J3521" s="69" t="s">
        <v>55</v>
      </c>
      <c r="K3521" s="69" t="s">
        <v>2274</v>
      </c>
      <c r="M3521" s="69" t="s">
        <v>6</v>
      </c>
    </row>
    <row r="3522" spans="2:13">
      <c r="B3522" s="69">
        <v>3520</v>
      </c>
      <c r="C3522" s="69">
        <v>269</v>
      </c>
      <c r="D3522" s="69">
        <v>30</v>
      </c>
      <c r="E3522" s="69">
        <v>15</v>
      </c>
      <c r="F3522" s="69">
        <v>0</v>
      </c>
      <c r="G3522" s="69" t="s">
        <v>2023</v>
      </c>
      <c r="H3522" s="69" t="s">
        <v>52</v>
      </c>
      <c r="I3522" s="69" t="s">
        <v>2264</v>
      </c>
      <c r="J3522" s="69" t="s">
        <v>55</v>
      </c>
      <c r="K3522" s="69" t="s">
        <v>2045</v>
      </c>
      <c r="M3522" s="69" t="s">
        <v>6</v>
      </c>
    </row>
    <row r="3523" spans="2:13">
      <c r="B3523" s="69">
        <v>3521</v>
      </c>
      <c r="C3523" s="69">
        <v>269</v>
      </c>
      <c r="D3523" s="69">
        <v>30</v>
      </c>
      <c r="E3523" s="69">
        <v>16</v>
      </c>
      <c r="F3523" s="69">
        <v>0</v>
      </c>
      <c r="G3523" s="69" t="s">
        <v>2023</v>
      </c>
      <c r="H3523" s="69" t="s">
        <v>52</v>
      </c>
      <c r="I3523" s="69" t="s">
        <v>2264</v>
      </c>
      <c r="J3523" s="69" t="s">
        <v>437</v>
      </c>
      <c r="K3523" s="69" t="s">
        <v>438</v>
      </c>
      <c r="L3523" s="69" t="s">
        <v>439</v>
      </c>
      <c r="M3523" s="69" t="s">
        <v>6</v>
      </c>
    </row>
    <row r="3524" spans="2:13">
      <c r="B3524" s="69">
        <v>3522</v>
      </c>
      <c r="C3524" s="69">
        <v>269</v>
      </c>
      <c r="D3524" s="69">
        <v>30</v>
      </c>
      <c r="E3524" s="69">
        <v>17</v>
      </c>
      <c r="F3524" s="69">
        <v>0</v>
      </c>
      <c r="G3524" s="69" t="s">
        <v>2023</v>
      </c>
      <c r="H3524" s="69" t="s">
        <v>52</v>
      </c>
      <c r="I3524" s="69" t="s">
        <v>2264</v>
      </c>
      <c r="J3524" s="69" t="s">
        <v>64</v>
      </c>
      <c r="K3524" s="69" t="s">
        <v>440</v>
      </c>
      <c r="M3524" s="69" t="s">
        <v>6</v>
      </c>
    </row>
    <row r="3525" spans="2:13">
      <c r="B3525" s="69">
        <v>3523</v>
      </c>
      <c r="C3525" s="69">
        <v>269</v>
      </c>
      <c r="D3525" s="69">
        <v>30</v>
      </c>
      <c r="E3525" s="69">
        <v>18</v>
      </c>
      <c r="F3525" s="69">
        <v>0</v>
      </c>
      <c r="G3525" s="69" t="s">
        <v>2023</v>
      </c>
      <c r="H3525" s="69" t="s">
        <v>52</v>
      </c>
      <c r="I3525" s="69" t="s">
        <v>2264</v>
      </c>
      <c r="J3525" s="69" t="s">
        <v>55</v>
      </c>
      <c r="K3525" s="69" t="s">
        <v>442</v>
      </c>
      <c r="M3525" s="69" t="s">
        <v>6</v>
      </c>
    </row>
    <row r="3526" spans="2:13">
      <c r="B3526" s="69">
        <v>3524</v>
      </c>
      <c r="C3526" s="69">
        <v>269</v>
      </c>
      <c r="D3526" s="69">
        <v>30</v>
      </c>
      <c r="E3526" s="69">
        <v>19</v>
      </c>
      <c r="F3526" s="69">
        <v>0</v>
      </c>
      <c r="G3526" s="69" t="s">
        <v>2023</v>
      </c>
      <c r="H3526" s="69" t="s">
        <v>52</v>
      </c>
      <c r="I3526" s="69" t="s">
        <v>2264</v>
      </c>
      <c r="J3526" s="69" t="s">
        <v>214</v>
      </c>
      <c r="K3526" s="69" t="s">
        <v>443</v>
      </c>
      <c r="M3526" s="69" t="s">
        <v>6</v>
      </c>
    </row>
    <row r="3527" spans="2:13">
      <c r="B3527" s="69">
        <v>3525</v>
      </c>
      <c r="C3527" s="69">
        <v>269</v>
      </c>
      <c r="D3527" s="69">
        <v>30</v>
      </c>
      <c r="E3527" s="69">
        <v>20</v>
      </c>
      <c r="F3527" s="69">
        <v>0</v>
      </c>
      <c r="G3527" s="69" t="s">
        <v>2023</v>
      </c>
      <c r="H3527" s="69" t="s">
        <v>52</v>
      </c>
      <c r="I3527" s="69" t="s">
        <v>2264</v>
      </c>
      <c r="J3527" s="69" t="s">
        <v>479</v>
      </c>
      <c r="K3527" s="69" t="s">
        <v>2275</v>
      </c>
      <c r="M3527" s="69" t="s">
        <v>6</v>
      </c>
    </row>
    <row r="3528" spans="2:13">
      <c r="B3528" s="69">
        <v>3526</v>
      </c>
      <c r="C3528" s="69">
        <v>269</v>
      </c>
      <c r="D3528" s="69">
        <v>30</v>
      </c>
      <c r="E3528" s="69">
        <v>21</v>
      </c>
      <c r="F3528" s="69">
        <v>0</v>
      </c>
      <c r="G3528" s="69" t="s">
        <v>2023</v>
      </c>
      <c r="H3528" s="69" t="s">
        <v>52</v>
      </c>
      <c r="I3528" s="69" t="s">
        <v>2264</v>
      </c>
      <c r="J3528" s="69" t="s">
        <v>55</v>
      </c>
      <c r="K3528" s="69" t="s">
        <v>2276</v>
      </c>
      <c r="M3528" s="69" t="s">
        <v>6</v>
      </c>
    </row>
    <row r="3529" spans="2:13">
      <c r="B3529" s="69">
        <v>3527</v>
      </c>
      <c r="C3529" s="69">
        <v>269</v>
      </c>
      <c r="D3529" s="69">
        <v>30</v>
      </c>
      <c r="E3529" s="69">
        <v>22</v>
      </c>
      <c r="F3529" s="69">
        <v>0</v>
      </c>
      <c r="G3529" s="69" t="s">
        <v>2023</v>
      </c>
      <c r="H3529" s="69" t="s">
        <v>52</v>
      </c>
      <c r="I3529" s="69" t="s">
        <v>2264</v>
      </c>
      <c r="J3529" s="69" t="s">
        <v>55</v>
      </c>
      <c r="K3529" s="69" t="s">
        <v>2277</v>
      </c>
      <c r="M3529" s="69" t="s">
        <v>6</v>
      </c>
    </row>
    <row r="3530" spans="2:13">
      <c r="B3530" s="69">
        <v>3528</v>
      </c>
      <c r="C3530" s="69">
        <v>269</v>
      </c>
      <c r="D3530" s="69">
        <v>30</v>
      </c>
      <c r="E3530" s="69">
        <v>23</v>
      </c>
      <c r="F3530" s="69">
        <v>0</v>
      </c>
      <c r="G3530" s="69" t="s">
        <v>2023</v>
      </c>
      <c r="H3530" s="69" t="s">
        <v>52</v>
      </c>
      <c r="I3530" s="69" t="s">
        <v>2264</v>
      </c>
      <c r="J3530" s="69" t="s">
        <v>55</v>
      </c>
      <c r="K3530" s="69" t="s">
        <v>2278</v>
      </c>
      <c r="M3530" s="69" t="s">
        <v>6</v>
      </c>
    </row>
    <row r="3531" spans="2:13">
      <c r="B3531" s="69">
        <v>3529</v>
      </c>
      <c r="C3531" s="69">
        <v>269</v>
      </c>
      <c r="D3531" s="69">
        <v>30</v>
      </c>
      <c r="E3531" s="69">
        <v>24</v>
      </c>
      <c r="F3531" s="69">
        <v>0</v>
      </c>
      <c r="G3531" s="69" t="s">
        <v>2023</v>
      </c>
      <c r="H3531" s="69" t="s">
        <v>52</v>
      </c>
      <c r="I3531" s="69" t="s">
        <v>2264</v>
      </c>
      <c r="J3531" s="69" t="s">
        <v>55</v>
      </c>
      <c r="K3531" s="69" t="s">
        <v>2279</v>
      </c>
      <c r="M3531" s="69" t="s">
        <v>6</v>
      </c>
    </row>
    <row r="3532" spans="2:13">
      <c r="B3532" s="69">
        <v>3530</v>
      </c>
      <c r="C3532" s="69">
        <v>269</v>
      </c>
      <c r="D3532" s="69">
        <v>30</v>
      </c>
      <c r="E3532" s="69">
        <v>25</v>
      </c>
      <c r="F3532" s="69">
        <v>0</v>
      </c>
      <c r="G3532" s="69" t="s">
        <v>2023</v>
      </c>
      <c r="H3532" s="69" t="s">
        <v>52</v>
      </c>
      <c r="I3532" s="69" t="s">
        <v>2264</v>
      </c>
      <c r="J3532" s="69" t="s">
        <v>55</v>
      </c>
      <c r="K3532" s="69" t="s">
        <v>2280</v>
      </c>
      <c r="M3532" s="69" t="s">
        <v>6</v>
      </c>
    </row>
    <row r="3533" spans="2:13">
      <c r="B3533" s="69">
        <v>3531</v>
      </c>
      <c r="C3533" s="69">
        <v>269</v>
      </c>
      <c r="D3533" s="69">
        <v>30</v>
      </c>
      <c r="E3533" s="69">
        <v>26</v>
      </c>
      <c r="F3533" s="69">
        <v>0</v>
      </c>
      <c r="G3533" s="69" t="s">
        <v>2023</v>
      </c>
      <c r="H3533" s="69" t="s">
        <v>52</v>
      </c>
      <c r="I3533" s="69" t="s">
        <v>2264</v>
      </c>
      <c r="J3533" s="69" t="s">
        <v>55</v>
      </c>
      <c r="K3533" s="69" t="s">
        <v>2281</v>
      </c>
      <c r="M3533" s="69" t="s">
        <v>6</v>
      </c>
    </row>
    <row r="3534" spans="2:13">
      <c r="B3534" s="69">
        <v>3532</v>
      </c>
      <c r="C3534" s="69">
        <v>269</v>
      </c>
      <c r="D3534" s="69">
        <v>30</v>
      </c>
      <c r="E3534" s="69">
        <v>27</v>
      </c>
      <c r="F3534" s="69">
        <v>0</v>
      </c>
      <c r="G3534" s="69" t="s">
        <v>2023</v>
      </c>
      <c r="H3534" s="69" t="s">
        <v>52</v>
      </c>
      <c r="I3534" s="69" t="s">
        <v>2264</v>
      </c>
      <c r="J3534" s="69" t="s">
        <v>55</v>
      </c>
      <c r="K3534" s="69" t="s">
        <v>2282</v>
      </c>
      <c r="M3534" s="69" t="s">
        <v>6</v>
      </c>
    </row>
    <row r="3535" spans="2:13">
      <c r="B3535" s="69">
        <v>3533</v>
      </c>
      <c r="C3535" s="69">
        <v>269</v>
      </c>
      <c r="D3535" s="69">
        <v>30</v>
      </c>
      <c r="E3535" s="69">
        <v>28</v>
      </c>
      <c r="F3535" s="69">
        <v>0</v>
      </c>
      <c r="G3535" s="69" t="s">
        <v>2023</v>
      </c>
      <c r="H3535" s="69" t="s">
        <v>52</v>
      </c>
      <c r="I3535" s="69" t="s">
        <v>2264</v>
      </c>
      <c r="J3535" s="69" t="s">
        <v>55</v>
      </c>
      <c r="K3535" s="69" t="s">
        <v>2283</v>
      </c>
      <c r="M3535" s="69" t="s">
        <v>6</v>
      </c>
    </row>
    <row r="3536" spans="2:13">
      <c r="B3536" s="69">
        <v>3534</v>
      </c>
      <c r="C3536" s="69">
        <v>269</v>
      </c>
      <c r="D3536" s="69">
        <v>30</v>
      </c>
      <c r="E3536" s="69">
        <v>29</v>
      </c>
      <c r="F3536" s="69">
        <v>0</v>
      </c>
      <c r="G3536" s="69" t="s">
        <v>2023</v>
      </c>
      <c r="H3536" s="69" t="s">
        <v>52</v>
      </c>
      <c r="I3536" s="69" t="s">
        <v>2264</v>
      </c>
      <c r="J3536" s="69" t="s">
        <v>55</v>
      </c>
      <c r="K3536" s="69" t="s">
        <v>2284</v>
      </c>
      <c r="M3536" s="69" t="s">
        <v>6</v>
      </c>
    </row>
    <row r="3537" spans="2:13">
      <c r="B3537" s="69">
        <v>3535</v>
      </c>
      <c r="C3537" s="69">
        <v>269</v>
      </c>
      <c r="D3537" s="69">
        <v>30</v>
      </c>
      <c r="E3537" s="69">
        <v>30</v>
      </c>
      <c r="F3537" s="69">
        <v>0</v>
      </c>
      <c r="G3537" s="69" t="s">
        <v>2023</v>
      </c>
      <c r="H3537" s="69" t="s">
        <v>52</v>
      </c>
      <c r="I3537" s="69" t="s">
        <v>2264</v>
      </c>
      <c r="J3537" s="69" t="s">
        <v>64</v>
      </c>
      <c r="K3537" s="69" t="s">
        <v>440</v>
      </c>
      <c r="M3537" s="69" t="s">
        <v>6</v>
      </c>
    </row>
    <row r="3538" spans="2:13">
      <c r="B3538" s="69">
        <v>3536</v>
      </c>
      <c r="C3538" s="69">
        <v>270</v>
      </c>
      <c r="D3538" s="69">
        <v>36</v>
      </c>
      <c r="E3538" s="69">
        <v>0</v>
      </c>
      <c r="F3538" s="69">
        <v>0</v>
      </c>
      <c r="G3538" s="69" t="s">
        <v>2023</v>
      </c>
      <c r="H3538" s="69" t="s">
        <v>52</v>
      </c>
      <c r="I3538" s="69" t="s">
        <v>2285</v>
      </c>
      <c r="J3538" s="69" t="s">
        <v>478</v>
      </c>
      <c r="K3538" s="69" t="s">
        <v>2285</v>
      </c>
      <c r="M3538" s="69" t="s">
        <v>6</v>
      </c>
    </row>
    <row r="3539" spans="2:13">
      <c r="B3539" s="69">
        <v>3537</v>
      </c>
      <c r="C3539" s="69">
        <v>270</v>
      </c>
      <c r="D3539" s="69">
        <v>36</v>
      </c>
      <c r="E3539" s="69">
        <v>1</v>
      </c>
      <c r="F3539" s="69">
        <v>0</v>
      </c>
      <c r="G3539" s="69" t="s">
        <v>2023</v>
      </c>
      <c r="H3539" s="69" t="s">
        <v>52</v>
      </c>
      <c r="I3539" s="69" t="s">
        <v>2285</v>
      </c>
      <c r="J3539" s="69" t="s">
        <v>479</v>
      </c>
      <c r="K3539" s="69" t="s">
        <v>1242</v>
      </c>
      <c r="M3539" s="69" t="s">
        <v>6</v>
      </c>
    </row>
    <row r="3540" spans="2:13">
      <c r="B3540" s="69">
        <v>3538</v>
      </c>
      <c r="C3540" s="69">
        <v>270</v>
      </c>
      <c r="D3540" s="69">
        <v>36</v>
      </c>
      <c r="E3540" s="69">
        <v>2</v>
      </c>
      <c r="F3540" s="69">
        <v>0</v>
      </c>
      <c r="G3540" s="69" t="s">
        <v>2023</v>
      </c>
      <c r="H3540" s="69" t="s">
        <v>52</v>
      </c>
      <c r="I3540" s="69" t="s">
        <v>2285</v>
      </c>
      <c r="J3540" s="69" t="s">
        <v>55</v>
      </c>
      <c r="K3540" s="69" t="s">
        <v>2025</v>
      </c>
      <c r="M3540" s="69" t="s">
        <v>6</v>
      </c>
    </row>
    <row r="3541" spans="2:13">
      <c r="B3541" s="69">
        <v>3539</v>
      </c>
      <c r="C3541" s="69">
        <v>270</v>
      </c>
      <c r="D3541" s="69">
        <v>36</v>
      </c>
      <c r="E3541" s="69">
        <v>3</v>
      </c>
      <c r="F3541" s="69">
        <v>0</v>
      </c>
      <c r="G3541" s="69" t="s">
        <v>2023</v>
      </c>
      <c r="H3541" s="69" t="s">
        <v>52</v>
      </c>
      <c r="I3541" s="69" t="s">
        <v>2285</v>
      </c>
      <c r="J3541" s="69" t="s">
        <v>55</v>
      </c>
      <c r="K3541" s="69" t="s">
        <v>429</v>
      </c>
      <c r="M3541" s="69" t="s">
        <v>6</v>
      </c>
    </row>
    <row r="3542" spans="2:13">
      <c r="B3542" s="69">
        <v>3540</v>
      </c>
      <c r="C3542" s="69">
        <v>270</v>
      </c>
      <c r="D3542" s="69">
        <v>36</v>
      </c>
      <c r="E3542" s="69">
        <v>4</v>
      </c>
      <c r="F3542" s="69">
        <v>0</v>
      </c>
      <c r="G3542" s="69" t="s">
        <v>2023</v>
      </c>
      <c r="H3542" s="69" t="s">
        <v>52</v>
      </c>
      <c r="I3542" s="69" t="s">
        <v>2285</v>
      </c>
      <c r="J3542" s="69" t="s">
        <v>55</v>
      </c>
      <c r="K3542" s="69" t="s">
        <v>430</v>
      </c>
      <c r="M3542" s="69" t="s">
        <v>6</v>
      </c>
    </row>
    <row r="3543" spans="2:13">
      <c r="B3543" s="69">
        <v>3541</v>
      </c>
      <c r="C3543" s="69">
        <v>270</v>
      </c>
      <c r="D3543" s="69">
        <v>36</v>
      </c>
      <c r="E3543" s="69">
        <v>5</v>
      </c>
      <c r="F3543" s="69">
        <v>0</v>
      </c>
      <c r="G3543" s="69" t="s">
        <v>2023</v>
      </c>
      <c r="H3543" s="69" t="s">
        <v>52</v>
      </c>
      <c r="I3543" s="69" t="s">
        <v>2285</v>
      </c>
      <c r="J3543" s="69" t="s">
        <v>55</v>
      </c>
      <c r="K3543" s="69" t="s">
        <v>2069</v>
      </c>
      <c r="M3543" s="69" t="s">
        <v>6</v>
      </c>
    </row>
    <row r="3544" spans="2:13">
      <c r="B3544" s="69">
        <v>3542</v>
      </c>
      <c r="C3544" s="69">
        <v>270</v>
      </c>
      <c r="D3544" s="69">
        <v>36</v>
      </c>
      <c r="E3544" s="69">
        <v>6</v>
      </c>
      <c r="F3544" s="69">
        <v>0</v>
      </c>
      <c r="G3544" s="69" t="s">
        <v>2023</v>
      </c>
      <c r="H3544" s="69" t="s">
        <v>52</v>
      </c>
      <c r="I3544" s="69" t="s">
        <v>2285</v>
      </c>
      <c r="J3544" s="69" t="s">
        <v>55</v>
      </c>
      <c r="K3544" s="69" t="s">
        <v>2286</v>
      </c>
      <c r="M3544" s="69" t="s">
        <v>6</v>
      </c>
    </row>
    <row r="3545" spans="2:13">
      <c r="B3545" s="69">
        <v>3543</v>
      </c>
      <c r="C3545" s="69">
        <v>270</v>
      </c>
      <c r="D3545" s="69">
        <v>36</v>
      </c>
      <c r="E3545" s="69">
        <v>7</v>
      </c>
      <c r="F3545" s="69">
        <v>0</v>
      </c>
      <c r="G3545" s="69" t="s">
        <v>2023</v>
      </c>
      <c r="H3545" s="69" t="s">
        <v>52</v>
      </c>
      <c r="I3545" s="69" t="s">
        <v>2285</v>
      </c>
      <c r="J3545" s="69" t="s">
        <v>55</v>
      </c>
      <c r="K3545" s="69" t="s">
        <v>2287</v>
      </c>
      <c r="M3545" s="69" t="s">
        <v>6</v>
      </c>
    </row>
    <row r="3546" spans="2:13">
      <c r="B3546" s="69">
        <v>3544</v>
      </c>
      <c r="C3546" s="69">
        <v>270</v>
      </c>
      <c r="D3546" s="69">
        <v>36</v>
      </c>
      <c r="E3546" s="69">
        <v>8</v>
      </c>
      <c r="F3546" s="69">
        <v>0</v>
      </c>
      <c r="G3546" s="69" t="s">
        <v>2023</v>
      </c>
      <c r="H3546" s="69" t="s">
        <v>52</v>
      </c>
      <c r="I3546" s="69" t="s">
        <v>2285</v>
      </c>
      <c r="J3546" s="69" t="s">
        <v>55</v>
      </c>
      <c r="K3546" s="69" t="s">
        <v>1248</v>
      </c>
      <c r="M3546" s="69" t="s">
        <v>6</v>
      </c>
    </row>
    <row r="3547" spans="2:13">
      <c r="B3547" s="69">
        <v>3545</v>
      </c>
      <c r="C3547" s="69">
        <v>270</v>
      </c>
      <c r="D3547" s="69">
        <v>36</v>
      </c>
      <c r="E3547" s="69">
        <v>9</v>
      </c>
      <c r="F3547" s="69">
        <v>0</v>
      </c>
      <c r="G3547" s="69" t="s">
        <v>2023</v>
      </c>
      <c r="H3547" s="69" t="s">
        <v>52</v>
      </c>
      <c r="I3547" s="69" t="s">
        <v>2285</v>
      </c>
      <c r="J3547" s="69" t="s">
        <v>55</v>
      </c>
      <c r="K3547" s="69" t="s">
        <v>1249</v>
      </c>
      <c r="M3547" s="69" t="s">
        <v>6</v>
      </c>
    </row>
    <row r="3548" spans="2:13">
      <c r="B3548" s="69">
        <v>3546</v>
      </c>
      <c r="C3548" s="69">
        <v>270</v>
      </c>
      <c r="D3548" s="69">
        <v>36</v>
      </c>
      <c r="E3548" s="69">
        <v>10</v>
      </c>
      <c r="F3548" s="69">
        <v>0</v>
      </c>
      <c r="G3548" s="69" t="s">
        <v>2023</v>
      </c>
      <c r="H3548" s="69" t="s">
        <v>52</v>
      </c>
      <c r="I3548" s="69" t="s">
        <v>2285</v>
      </c>
      <c r="J3548" s="69" t="s">
        <v>55</v>
      </c>
      <c r="K3548" s="69" t="s">
        <v>1255</v>
      </c>
      <c r="M3548" s="69" t="s">
        <v>6</v>
      </c>
    </row>
    <row r="3549" spans="2:13">
      <c r="B3549" s="69">
        <v>3547</v>
      </c>
      <c r="C3549" s="69">
        <v>270</v>
      </c>
      <c r="D3549" s="69">
        <v>36</v>
      </c>
      <c r="E3549" s="69">
        <v>11</v>
      </c>
      <c r="F3549" s="69">
        <v>0</v>
      </c>
      <c r="G3549" s="69" t="s">
        <v>2023</v>
      </c>
      <c r="H3549" s="69" t="s">
        <v>52</v>
      </c>
      <c r="I3549" s="69" t="s">
        <v>2285</v>
      </c>
      <c r="J3549" s="69" t="s">
        <v>55</v>
      </c>
      <c r="K3549" s="69" t="s">
        <v>1250</v>
      </c>
      <c r="M3549" s="69" t="s">
        <v>6</v>
      </c>
    </row>
    <row r="3550" spans="2:13">
      <c r="B3550" s="69">
        <v>3548</v>
      </c>
      <c r="C3550" s="69">
        <v>270</v>
      </c>
      <c r="D3550" s="69">
        <v>36</v>
      </c>
      <c r="E3550" s="69">
        <v>12</v>
      </c>
      <c r="F3550" s="69">
        <v>0</v>
      </c>
      <c r="G3550" s="69" t="s">
        <v>2023</v>
      </c>
      <c r="H3550" s="69" t="s">
        <v>52</v>
      </c>
      <c r="I3550" s="69" t="s">
        <v>2285</v>
      </c>
      <c r="J3550" s="69" t="s">
        <v>55</v>
      </c>
      <c r="K3550" s="69" t="s">
        <v>1251</v>
      </c>
      <c r="M3550" s="69" t="s">
        <v>6</v>
      </c>
    </row>
    <row r="3551" spans="2:13">
      <c r="B3551" s="69">
        <v>3549</v>
      </c>
      <c r="C3551" s="69">
        <v>270</v>
      </c>
      <c r="D3551" s="69">
        <v>36</v>
      </c>
      <c r="E3551" s="69">
        <v>13</v>
      </c>
      <c r="F3551" s="69">
        <v>0</v>
      </c>
      <c r="G3551" s="69" t="s">
        <v>2023</v>
      </c>
      <c r="H3551" s="69" t="s">
        <v>52</v>
      </c>
      <c r="I3551" s="69" t="s">
        <v>2285</v>
      </c>
      <c r="J3551" s="69" t="s">
        <v>55</v>
      </c>
      <c r="K3551" s="69" t="s">
        <v>1252</v>
      </c>
      <c r="M3551" s="69" t="s">
        <v>6</v>
      </c>
    </row>
    <row r="3552" spans="2:13">
      <c r="B3552" s="69">
        <v>3550</v>
      </c>
      <c r="C3552" s="69">
        <v>270</v>
      </c>
      <c r="D3552" s="69">
        <v>36</v>
      </c>
      <c r="E3552" s="69">
        <v>14</v>
      </c>
      <c r="F3552" s="69">
        <v>0</v>
      </c>
      <c r="G3552" s="69" t="s">
        <v>2023</v>
      </c>
      <c r="H3552" s="69" t="s">
        <v>52</v>
      </c>
      <c r="I3552" s="69" t="s">
        <v>2285</v>
      </c>
      <c r="J3552" s="69" t="s">
        <v>55</v>
      </c>
      <c r="K3552" s="69" t="s">
        <v>1253</v>
      </c>
      <c r="M3552" s="69" t="s">
        <v>6</v>
      </c>
    </row>
    <row r="3553" spans="2:13">
      <c r="B3553" s="69">
        <v>3551</v>
      </c>
      <c r="C3553" s="69">
        <v>270</v>
      </c>
      <c r="D3553" s="69">
        <v>36</v>
      </c>
      <c r="E3553" s="69">
        <v>15</v>
      </c>
      <c r="F3553" s="69">
        <v>0</v>
      </c>
      <c r="G3553" s="69" t="s">
        <v>2023</v>
      </c>
      <c r="H3553" s="69" t="s">
        <v>52</v>
      </c>
      <c r="I3553" s="69" t="s">
        <v>2285</v>
      </c>
      <c r="J3553" s="69" t="s">
        <v>55</v>
      </c>
      <c r="K3553" s="69" t="s">
        <v>1254</v>
      </c>
      <c r="M3553" s="69" t="s">
        <v>6</v>
      </c>
    </row>
    <row r="3554" spans="2:13">
      <c r="B3554" s="69">
        <v>3552</v>
      </c>
      <c r="C3554" s="69">
        <v>270</v>
      </c>
      <c r="D3554" s="69">
        <v>36</v>
      </c>
      <c r="E3554" s="69">
        <v>16</v>
      </c>
      <c r="F3554" s="69">
        <v>0</v>
      </c>
      <c r="G3554" s="69" t="s">
        <v>2023</v>
      </c>
      <c r="H3554" s="69" t="s">
        <v>52</v>
      </c>
      <c r="I3554" s="69" t="s">
        <v>2285</v>
      </c>
      <c r="J3554" s="69" t="s">
        <v>64</v>
      </c>
      <c r="K3554" s="69" t="s">
        <v>1256</v>
      </c>
      <c r="M3554" s="69" t="s">
        <v>6</v>
      </c>
    </row>
    <row r="3555" spans="2:13">
      <c r="B3555" s="69">
        <v>3553</v>
      </c>
      <c r="C3555" s="69">
        <v>270</v>
      </c>
      <c r="D3555" s="69">
        <v>36</v>
      </c>
      <c r="E3555" s="69">
        <v>17</v>
      </c>
      <c r="F3555" s="69">
        <v>0</v>
      </c>
      <c r="G3555" s="69" t="s">
        <v>2023</v>
      </c>
      <c r="H3555" s="69" t="s">
        <v>52</v>
      </c>
      <c r="I3555" s="69" t="s">
        <v>2285</v>
      </c>
      <c r="J3555" s="69" t="s">
        <v>55</v>
      </c>
      <c r="K3555" s="69" t="s">
        <v>1257</v>
      </c>
      <c r="M3555" s="69" t="s">
        <v>6</v>
      </c>
    </row>
    <row r="3556" spans="2:13">
      <c r="B3556" s="69">
        <v>3554</v>
      </c>
      <c r="C3556" s="69">
        <v>270</v>
      </c>
      <c r="D3556" s="69">
        <v>36</v>
      </c>
      <c r="E3556" s="69">
        <v>18</v>
      </c>
      <c r="F3556" s="69">
        <v>0</v>
      </c>
      <c r="G3556" s="69" t="s">
        <v>2023</v>
      </c>
      <c r="H3556" s="69" t="s">
        <v>52</v>
      </c>
      <c r="I3556" s="69" t="s">
        <v>2285</v>
      </c>
      <c r="J3556" s="69" t="s">
        <v>55</v>
      </c>
      <c r="K3556" s="69" t="s">
        <v>2071</v>
      </c>
      <c r="M3556" s="69" t="s">
        <v>6</v>
      </c>
    </row>
    <row r="3557" spans="2:13">
      <c r="B3557" s="69">
        <v>3555</v>
      </c>
      <c r="C3557" s="69">
        <v>270</v>
      </c>
      <c r="D3557" s="69">
        <v>36</v>
      </c>
      <c r="E3557" s="69">
        <v>19</v>
      </c>
      <c r="F3557" s="69">
        <v>0</v>
      </c>
      <c r="G3557" s="69" t="s">
        <v>2023</v>
      </c>
      <c r="H3557" s="69" t="s">
        <v>52</v>
      </c>
      <c r="I3557" s="69" t="s">
        <v>2285</v>
      </c>
      <c r="J3557" s="69" t="s">
        <v>437</v>
      </c>
      <c r="K3557" s="69" t="s">
        <v>438</v>
      </c>
      <c r="L3557" s="69" t="s">
        <v>439</v>
      </c>
      <c r="M3557" s="69" t="s">
        <v>6</v>
      </c>
    </row>
    <row r="3558" spans="2:13">
      <c r="B3558" s="69">
        <v>3556</v>
      </c>
      <c r="C3558" s="69">
        <v>270</v>
      </c>
      <c r="D3558" s="69">
        <v>36</v>
      </c>
      <c r="E3558" s="69">
        <v>20</v>
      </c>
      <c r="F3558" s="69">
        <v>0</v>
      </c>
      <c r="G3558" s="69" t="s">
        <v>2023</v>
      </c>
      <c r="H3558" s="69" t="s">
        <v>52</v>
      </c>
      <c r="I3558" s="69" t="s">
        <v>2285</v>
      </c>
      <c r="J3558" s="69" t="s">
        <v>64</v>
      </c>
      <c r="K3558" s="69" t="s">
        <v>2072</v>
      </c>
      <c r="M3558" s="69" t="s">
        <v>6</v>
      </c>
    </row>
    <row r="3559" spans="2:13">
      <c r="B3559" s="69">
        <v>3557</v>
      </c>
      <c r="C3559" s="69">
        <v>270</v>
      </c>
      <c r="D3559" s="69">
        <v>36</v>
      </c>
      <c r="E3559" s="69">
        <v>21</v>
      </c>
      <c r="F3559" s="69">
        <v>0</v>
      </c>
      <c r="G3559" s="69" t="s">
        <v>2023</v>
      </c>
      <c r="H3559" s="69" t="s">
        <v>52</v>
      </c>
      <c r="I3559" s="69" t="s">
        <v>2285</v>
      </c>
      <c r="J3559" s="69" t="s">
        <v>437</v>
      </c>
      <c r="K3559" s="69" t="s">
        <v>438</v>
      </c>
      <c r="L3559" s="69" t="s">
        <v>439</v>
      </c>
      <c r="M3559" s="69" t="s">
        <v>6</v>
      </c>
    </row>
    <row r="3560" spans="2:13">
      <c r="B3560" s="69">
        <v>3558</v>
      </c>
      <c r="C3560" s="69">
        <v>270</v>
      </c>
      <c r="D3560" s="69">
        <v>36</v>
      </c>
      <c r="E3560" s="69">
        <v>22</v>
      </c>
      <c r="F3560" s="69">
        <v>0</v>
      </c>
      <c r="G3560" s="69" t="s">
        <v>2023</v>
      </c>
      <c r="H3560" s="69" t="s">
        <v>52</v>
      </c>
      <c r="I3560" s="69" t="s">
        <v>2285</v>
      </c>
      <c r="J3560" s="69" t="s">
        <v>214</v>
      </c>
      <c r="K3560" s="69" t="s">
        <v>443</v>
      </c>
      <c r="M3560" s="69" t="s">
        <v>6</v>
      </c>
    </row>
    <row r="3561" spans="2:13">
      <c r="B3561" s="69">
        <v>3559</v>
      </c>
      <c r="C3561" s="69">
        <v>270</v>
      </c>
      <c r="D3561" s="69">
        <v>36</v>
      </c>
      <c r="E3561" s="69">
        <v>23</v>
      </c>
      <c r="F3561" s="69">
        <v>0</v>
      </c>
      <c r="G3561" s="69" t="s">
        <v>2023</v>
      </c>
      <c r="H3561" s="69" t="s">
        <v>52</v>
      </c>
      <c r="I3561" s="69" t="s">
        <v>2285</v>
      </c>
      <c r="J3561" s="69" t="s">
        <v>55</v>
      </c>
      <c r="K3561" s="69" t="s">
        <v>442</v>
      </c>
      <c r="M3561" s="69" t="s">
        <v>6</v>
      </c>
    </row>
    <row r="3562" spans="2:13">
      <c r="B3562" s="69">
        <v>3560</v>
      </c>
      <c r="C3562" s="69">
        <v>270</v>
      </c>
      <c r="D3562" s="69">
        <v>36</v>
      </c>
      <c r="E3562" s="69">
        <v>24</v>
      </c>
      <c r="F3562" s="69">
        <v>0</v>
      </c>
      <c r="G3562" s="69" t="s">
        <v>2023</v>
      </c>
      <c r="H3562" s="69" t="s">
        <v>52</v>
      </c>
      <c r="I3562" s="69" t="s">
        <v>2285</v>
      </c>
      <c r="J3562" s="69" t="s">
        <v>479</v>
      </c>
      <c r="K3562" s="69" t="s">
        <v>2073</v>
      </c>
      <c r="M3562" s="69" t="s">
        <v>6</v>
      </c>
    </row>
    <row r="3563" spans="2:13">
      <c r="B3563" s="69">
        <v>3561</v>
      </c>
      <c r="C3563" s="69">
        <v>270</v>
      </c>
      <c r="D3563" s="69">
        <v>36</v>
      </c>
      <c r="E3563" s="69">
        <v>25</v>
      </c>
      <c r="F3563" s="69">
        <v>0</v>
      </c>
      <c r="G3563" s="69" t="s">
        <v>2023</v>
      </c>
      <c r="H3563" s="69" t="s">
        <v>52</v>
      </c>
      <c r="I3563" s="69" t="s">
        <v>2285</v>
      </c>
      <c r="J3563" s="69" t="s">
        <v>55</v>
      </c>
      <c r="K3563" s="69" t="s">
        <v>429</v>
      </c>
      <c r="M3563" s="69" t="s">
        <v>6</v>
      </c>
    </row>
    <row r="3564" spans="2:13">
      <c r="B3564" s="69">
        <v>3562</v>
      </c>
      <c r="C3564" s="69">
        <v>270</v>
      </c>
      <c r="D3564" s="69">
        <v>36</v>
      </c>
      <c r="E3564" s="69">
        <v>26</v>
      </c>
      <c r="F3564" s="69">
        <v>0</v>
      </c>
      <c r="G3564" s="69" t="s">
        <v>2023</v>
      </c>
      <c r="H3564" s="69" t="s">
        <v>52</v>
      </c>
      <c r="I3564" s="69" t="s">
        <v>2285</v>
      </c>
      <c r="J3564" s="69" t="s">
        <v>55</v>
      </c>
      <c r="K3564" s="69" t="s">
        <v>430</v>
      </c>
      <c r="M3564" s="69" t="s">
        <v>6</v>
      </c>
    </row>
    <row r="3565" spans="2:13">
      <c r="B3565" s="69">
        <v>3563</v>
      </c>
      <c r="C3565" s="69">
        <v>270</v>
      </c>
      <c r="D3565" s="69">
        <v>36</v>
      </c>
      <c r="E3565" s="69">
        <v>27</v>
      </c>
      <c r="F3565" s="69">
        <v>0</v>
      </c>
      <c r="G3565" s="69" t="s">
        <v>2023</v>
      </c>
      <c r="H3565" s="69" t="s">
        <v>52</v>
      </c>
      <c r="I3565" s="69" t="s">
        <v>2285</v>
      </c>
      <c r="J3565" s="69" t="s">
        <v>55</v>
      </c>
      <c r="K3565" s="69" t="s">
        <v>2074</v>
      </c>
      <c r="M3565" s="69" t="s">
        <v>6</v>
      </c>
    </row>
    <row r="3566" spans="2:13">
      <c r="B3566" s="69">
        <v>3564</v>
      </c>
      <c r="C3566" s="69">
        <v>270</v>
      </c>
      <c r="D3566" s="69">
        <v>36</v>
      </c>
      <c r="E3566" s="69">
        <v>28</v>
      </c>
      <c r="F3566" s="69">
        <v>0</v>
      </c>
      <c r="G3566" s="69" t="s">
        <v>2023</v>
      </c>
      <c r="H3566" s="69" t="s">
        <v>52</v>
      </c>
      <c r="I3566" s="69" t="s">
        <v>2285</v>
      </c>
      <c r="J3566" s="69" t="s">
        <v>55</v>
      </c>
      <c r="K3566" s="69" t="s">
        <v>2288</v>
      </c>
      <c r="M3566" s="69" t="s">
        <v>6</v>
      </c>
    </row>
    <row r="3567" spans="2:13">
      <c r="B3567" s="69">
        <v>3565</v>
      </c>
      <c r="C3567" s="69">
        <v>270</v>
      </c>
      <c r="D3567" s="69">
        <v>36</v>
      </c>
      <c r="E3567" s="69">
        <v>29</v>
      </c>
      <c r="F3567" s="69">
        <v>0</v>
      </c>
      <c r="G3567" s="69" t="s">
        <v>2023</v>
      </c>
      <c r="H3567" s="69" t="s">
        <v>52</v>
      </c>
      <c r="I3567" s="69" t="s">
        <v>2285</v>
      </c>
      <c r="J3567" s="69" t="s">
        <v>55</v>
      </c>
      <c r="K3567" s="69" t="s">
        <v>1111</v>
      </c>
      <c r="M3567" s="69" t="s">
        <v>6</v>
      </c>
    </row>
    <row r="3568" spans="2:13">
      <c r="B3568" s="69">
        <v>3566</v>
      </c>
      <c r="C3568" s="69">
        <v>270</v>
      </c>
      <c r="D3568" s="69">
        <v>36</v>
      </c>
      <c r="E3568" s="69">
        <v>30</v>
      </c>
      <c r="F3568" s="69">
        <v>0</v>
      </c>
      <c r="G3568" s="69" t="s">
        <v>2023</v>
      </c>
      <c r="H3568" s="69" t="s">
        <v>52</v>
      </c>
      <c r="I3568" s="69" t="s">
        <v>2285</v>
      </c>
      <c r="J3568" s="69" t="s">
        <v>55</v>
      </c>
      <c r="K3568" s="69" t="s">
        <v>2289</v>
      </c>
      <c r="M3568" s="69" t="s">
        <v>6</v>
      </c>
    </row>
    <row r="3569" spans="2:13">
      <c r="B3569" s="69">
        <v>3567</v>
      </c>
      <c r="C3569" s="69">
        <v>270</v>
      </c>
      <c r="D3569" s="69">
        <v>36</v>
      </c>
      <c r="E3569" s="69">
        <v>31</v>
      </c>
      <c r="F3569" s="69">
        <v>0</v>
      </c>
      <c r="G3569" s="69" t="s">
        <v>2023</v>
      </c>
      <c r="H3569" s="69" t="s">
        <v>52</v>
      </c>
      <c r="I3569" s="69" t="s">
        <v>2285</v>
      </c>
      <c r="J3569" s="69" t="s">
        <v>55</v>
      </c>
      <c r="K3569" s="69" t="s">
        <v>2290</v>
      </c>
      <c r="M3569" s="69" t="s">
        <v>6</v>
      </c>
    </row>
    <row r="3570" spans="2:13">
      <c r="B3570" s="69">
        <v>3568</v>
      </c>
      <c r="C3570" s="69">
        <v>270</v>
      </c>
      <c r="D3570" s="69">
        <v>36</v>
      </c>
      <c r="E3570" s="69">
        <v>32</v>
      </c>
      <c r="F3570" s="69">
        <v>0</v>
      </c>
      <c r="G3570" s="69" t="s">
        <v>2023</v>
      </c>
      <c r="H3570" s="69" t="s">
        <v>52</v>
      </c>
      <c r="I3570" s="69" t="s">
        <v>2285</v>
      </c>
      <c r="J3570" s="69" t="s">
        <v>55</v>
      </c>
      <c r="K3570" s="69" t="s">
        <v>2291</v>
      </c>
      <c r="M3570" s="69" t="s">
        <v>6</v>
      </c>
    </row>
    <row r="3571" spans="2:13">
      <c r="B3571" s="69">
        <v>3569</v>
      </c>
      <c r="C3571" s="69">
        <v>270</v>
      </c>
      <c r="D3571" s="69">
        <v>36</v>
      </c>
      <c r="E3571" s="69">
        <v>33</v>
      </c>
      <c r="F3571" s="69">
        <v>0</v>
      </c>
      <c r="G3571" s="69" t="s">
        <v>2023</v>
      </c>
      <c r="H3571" s="69" t="s">
        <v>52</v>
      </c>
      <c r="I3571" s="69" t="s">
        <v>2285</v>
      </c>
      <c r="J3571" s="69" t="s">
        <v>55</v>
      </c>
      <c r="K3571" s="69" t="s">
        <v>1119</v>
      </c>
      <c r="M3571" s="69" t="s">
        <v>6</v>
      </c>
    </row>
    <row r="3572" spans="2:13">
      <c r="B3572" s="69">
        <v>3570</v>
      </c>
      <c r="C3572" s="69">
        <v>270</v>
      </c>
      <c r="D3572" s="69">
        <v>36</v>
      </c>
      <c r="E3572" s="69">
        <v>34</v>
      </c>
      <c r="F3572" s="69">
        <v>0</v>
      </c>
      <c r="G3572" s="69" t="s">
        <v>2023</v>
      </c>
      <c r="H3572" s="69" t="s">
        <v>52</v>
      </c>
      <c r="I3572" s="69" t="s">
        <v>2285</v>
      </c>
      <c r="J3572" s="69" t="s">
        <v>55</v>
      </c>
      <c r="K3572" s="69" t="s">
        <v>2076</v>
      </c>
      <c r="M3572" s="69" t="s">
        <v>6</v>
      </c>
    </row>
    <row r="3573" spans="2:13">
      <c r="B3573" s="69">
        <v>3571</v>
      </c>
      <c r="C3573" s="69">
        <v>270</v>
      </c>
      <c r="D3573" s="69">
        <v>36</v>
      </c>
      <c r="E3573" s="69">
        <v>35</v>
      </c>
      <c r="F3573" s="69">
        <v>0</v>
      </c>
      <c r="G3573" s="69" t="s">
        <v>2023</v>
      </c>
      <c r="H3573" s="69" t="s">
        <v>52</v>
      </c>
      <c r="I3573" s="69" t="s">
        <v>2285</v>
      </c>
      <c r="J3573" s="69" t="s">
        <v>437</v>
      </c>
      <c r="K3573" s="69" t="s">
        <v>438</v>
      </c>
      <c r="L3573" s="69" t="s">
        <v>439</v>
      </c>
      <c r="M3573" s="69" t="s">
        <v>6</v>
      </c>
    </row>
    <row r="3574" spans="2:13">
      <c r="B3574" s="69">
        <v>3572</v>
      </c>
      <c r="C3574" s="69">
        <v>270</v>
      </c>
      <c r="D3574" s="69">
        <v>36</v>
      </c>
      <c r="E3574" s="69">
        <v>36</v>
      </c>
      <c r="F3574" s="69">
        <v>0</v>
      </c>
      <c r="G3574" s="69" t="s">
        <v>2023</v>
      </c>
      <c r="H3574" s="69" t="s">
        <v>52</v>
      </c>
      <c r="I3574" s="69" t="s">
        <v>2285</v>
      </c>
      <c r="J3574" s="69" t="s">
        <v>64</v>
      </c>
      <c r="K3574" s="69" t="s">
        <v>440</v>
      </c>
      <c r="M3574" s="69" t="s">
        <v>6</v>
      </c>
    </row>
    <row r="3575" spans="2:13">
      <c r="B3575" s="69">
        <v>3573</v>
      </c>
      <c r="C3575" s="69">
        <v>271</v>
      </c>
      <c r="D3575" s="69">
        <v>16</v>
      </c>
      <c r="E3575" s="69">
        <v>0</v>
      </c>
      <c r="F3575" s="69">
        <v>0</v>
      </c>
      <c r="G3575" s="69" t="s">
        <v>2023</v>
      </c>
      <c r="H3575" s="69" t="s">
        <v>52</v>
      </c>
      <c r="I3575" s="69" t="s">
        <v>2292</v>
      </c>
      <c r="J3575" s="69" t="s">
        <v>54</v>
      </c>
      <c r="K3575" s="69" t="s">
        <v>2292</v>
      </c>
      <c r="M3575" s="69" t="s">
        <v>6</v>
      </c>
    </row>
    <row r="3576" spans="2:13">
      <c r="B3576" s="69">
        <v>3574</v>
      </c>
      <c r="C3576" s="69">
        <v>271</v>
      </c>
      <c r="D3576" s="69">
        <v>16</v>
      </c>
      <c r="E3576" s="69">
        <v>1</v>
      </c>
      <c r="F3576" s="69">
        <v>0</v>
      </c>
      <c r="G3576" s="69" t="s">
        <v>2023</v>
      </c>
      <c r="H3576" s="69" t="s">
        <v>52</v>
      </c>
      <c r="I3576" s="69" t="s">
        <v>2292</v>
      </c>
      <c r="J3576" s="69" t="s">
        <v>55</v>
      </c>
      <c r="K3576" s="69" t="s">
        <v>2025</v>
      </c>
      <c r="M3576" s="69" t="s">
        <v>6</v>
      </c>
    </row>
    <row r="3577" spans="2:13">
      <c r="B3577" s="69">
        <v>3575</v>
      </c>
      <c r="C3577" s="69">
        <v>271</v>
      </c>
      <c r="D3577" s="69">
        <v>16</v>
      </c>
      <c r="E3577" s="69">
        <v>2</v>
      </c>
      <c r="F3577" s="69">
        <v>0</v>
      </c>
      <c r="G3577" s="69" t="s">
        <v>2023</v>
      </c>
      <c r="H3577" s="69" t="s">
        <v>52</v>
      </c>
      <c r="I3577" s="69" t="s">
        <v>2292</v>
      </c>
      <c r="J3577" s="69" t="s">
        <v>55</v>
      </c>
      <c r="K3577" s="69" t="s">
        <v>429</v>
      </c>
      <c r="M3577" s="69" t="s">
        <v>6</v>
      </c>
    </row>
    <row r="3578" spans="2:13">
      <c r="B3578" s="69">
        <v>3576</v>
      </c>
      <c r="C3578" s="69">
        <v>271</v>
      </c>
      <c r="D3578" s="69">
        <v>16</v>
      </c>
      <c r="E3578" s="69">
        <v>3</v>
      </c>
      <c r="F3578" s="69">
        <v>0</v>
      </c>
      <c r="G3578" s="69" t="s">
        <v>2023</v>
      </c>
      <c r="H3578" s="69" t="s">
        <v>52</v>
      </c>
      <c r="I3578" s="69" t="s">
        <v>2292</v>
      </c>
      <c r="J3578" s="69" t="s">
        <v>55</v>
      </c>
      <c r="K3578" s="69" t="s">
        <v>430</v>
      </c>
      <c r="M3578" s="69" t="s">
        <v>6</v>
      </c>
    </row>
    <row r="3579" spans="2:13">
      <c r="B3579" s="69">
        <v>3577</v>
      </c>
      <c r="C3579" s="69">
        <v>271</v>
      </c>
      <c r="D3579" s="69">
        <v>16</v>
      </c>
      <c r="E3579" s="69">
        <v>4</v>
      </c>
      <c r="F3579" s="69">
        <v>0</v>
      </c>
      <c r="G3579" s="69" t="s">
        <v>2023</v>
      </c>
      <c r="H3579" s="69" t="s">
        <v>52</v>
      </c>
      <c r="I3579" s="69" t="s">
        <v>2292</v>
      </c>
      <c r="J3579" s="69" t="s">
        <v>55</v>
      </c>
      <c r="K3579" s="69" t="s">
        <v>2053</v>
      </c>
      <c r="M3579" s="69" t="s">
        <v>6</v>
      </c>
    </row>
    <row r="3580" spans="2:13">
      <c r="B3580" s="69">
        <v>3578</v>
      </c>
      <c r="C3580" s="69">
        <v>271</v>
      </c>
      <c r="D3580" s="69">
        <v>16</v>
      </c>
      <c r="E3580" s="69">
        <v>5</v>
      </c>
      <c r="F3580" s="69">
        <v>0</v>
      </c>
      <c r="G3580" s="69" t="s">
        <v>2023</v>
      </c>
      <c r="H3580" s="69" t="s">
        <v>52</v>
      </c>
      <c r="I3580" s="69" t="s">
        <v>2292</v>
      </c>
      <c r="J3580" s="69" t="s">
        <v>55</v>
      </c>
      <c r="K3580" s="69" t="s">
        <v>2150</v>
      </c>
      <c r="M3580" s="69" t="s">
        <v>6</v>
      </c>
    </row>
    <row r="3581" spans="2:13">
      <c r="B3581" s="69">
        <v>3579</v>
      </c>
      <c r="C3581" s="69">
        <v>271</v>
      </c>
      <c r="D3581" s="69">
        <v>16</v>
      </c>
      <c r="E3581" s="69">
        <v>6</v>
      </c>
      <c r="F3581" s="69">
        <v>0</v>
      </c>
      <c r="G3581" s="69" t="s">
        <v>2023</v>
      </c>
      <c r="H3581" s="69" t="s">
        <v>52</v>
      </c>
      <c r="I3581" s="69" t="s">
        <v>2292</v>
      </c>
      <c r="J3581" s="69" t="s">
        <v>55</v>
      </c>
      <c r="K3581" s="69" t="s">
        <v>2054</v>
      </c>
      <c r="M3581" s="69" t="s">
        <v>6</v>
      </c>
    </row>
    <row r="3582" spans="2:13">
      <c r="B3582" s="69">
        <v>3580</v>
      </c>
      <c r="C3582" s="69">
        <v>271</v>
      </c>
      <c r="D3582" s="69">
        <v>16</v>
      </c>
      <c r="E3582" s="69">
        <v>7</v>
      </c>
      <c r="F3582" s="69">
        <v>0</v>
      </c>
      <c r="G3582" s="69" t="s">
        <v>2023</v>
      </c>
      <c r="H3582" s="69" t="s">
        <v>52</v>
      </c>
      <c r="I3582" s="69" t="s">
        <v>2292</v>
      </c>
      <c r="J3582" s="69" t="s">
        <v>55</v>
      </c>
      <c r="K3582" s="69" t="s">
        <v>2055</v>
      </c>
      <c r="M3582" s="69" t="s">
        <v>6</v>
      </c>
    </row>
    <row r="3583" spans="2:13">
      <c r="B3583" s="69">
        <v>3581</v>
      </c>
      <c r="C3583" s="69">
        <v>271</v>
      </c>
      <c r="D3583" s="69">
        <v>16</v>
      </c>
      <c r="E3583" s="69">
        <v>8</v>
      </c>
      <c r="F3583" s="69">
        <v>0</v>
      </c>
      <c r="G3583" s="69" t="s">
        <v>2023</v>
      </c>
      <c r="H3583" s="69" t="s">
        <v>52</v>
      </c>
      <c r="I3583" s="69" t="s">
        <v>2292</v>
      </c>
      <c r="J3583" s="69" t="s">
        <v>55</v>
      </c>
      <c r="K3583" s="69" t="s">
        <v>2056</v>
      </c>
      <c r="M3583" s="69" t="s">
        <v>6</v>
      </c>
    </row>
    <row r="3584" spans="2:13">
      <c r="B3584" s="69">
        <v>3582</v>
      </c>
      <c r="C3584" s="69">
        <v>271</v>
      </c>
      <c r="D3584" s="69">
        <v>16</v>
      </c>
      <c r="E3584" s="69">
        <v>9</v>
      </c>
      <c r="F3584" s="69">
        <v>0</v>
      </c>
      <c r="G3584" s="69" t="s">
        <v>2023</v>
      </c>
      <c r="H3584" s="69" t="s">
        <v>52</v>
      </c>
      <c r="I3584" s="69" t="s">
        <v>2292</v>
      </c>
      <c r="J3584" s="69" t="s">
        <v>55</v>
      </c>
      <c r="K3584" s="69" t="s">
        <v>436</v>
      </c>
      <c r="M3584" s="69" t="s">
        <v>6</v>
      </c>
    </row>
    <row r="3585" spans="2:13">
      <c r="B3585" s="69">
        <v>3583</v>
      </c>
      <c r="C3585" s="69">
        <v>271</v>
      </c>
      <c r="D3585" s="69">
        <v>16</v>
      </c>
      <c r="E3585" s="69">
        <v>10</v>
      </c>
      <c r="F3585" s="69">
        <v>0</v>
      </c>
      <c r="G3585" s="69" t="s">
        <v>2023</v>
      </c>
      <c r="H3585" s="69" t="s">
        <v>52</v>
      </c>
      <c r="I3585" s="69" t="s">
        <v>2292</v>
      </c>
      <c r="J3585" s="69" t="s">
        <v>437</v>
      </c>
      <c r="K3585" s="69" t="s">
        <v>438</v>
      </c>
      <c r="L3585" s="69" t="s">
        <v>439</v>
      </c>
      <c r="M3585" s="69" t="s">
        <v>6</v>
      </c>
    </row>
    <row r="3586" spans="2:13">
      <c r="B3586" s="69">
        <v>3584</v>
      </c>
      <c r="C3586" s="69">
        <v>271</v>
      </c>
      <c r="D3586" s="69">
        <v>16</v>
      </c>
      <c r="E3586" s="69">
        <v>11</v>
      </c>
      <c r="F3586" s="69">
        <v>0</v>
      </c>
      <c r="G3586" s="69" t="s">
        <v>2023</v>
      </c>
      <c r="H3586" s="69" t="s">
        <v>52</v>
      </c>
      <c r="I3586" s="69" t="s">
        <v>2292</v>
      </c>
      <c r="J3586" s="69" t="s">
        <v>64</v>
      </c>
      <c r="K3586" s="69" t="s">
        <v>440</v>
      </c>
      <c r="M3586" s="69" t="s">
        <v>6</v>
      </c>
    </row>
    <row r="3587" spans="2:13">
      <c r="B3587" s="69">
        <v>3585</v>
      </c>
      <c r="C3587" s="69">
        <v>271</v>
      </c>
      <c r="D3587" s="69">
        <v>16</v>
      </c>
      <c r="E3587" s="69">
        <v>12</v>
      </c>
      <c r="F3587" s="69">
        <v>0</v>
      </c>
      <c r="G3587" s="69" t="s">
        <v>2023</v>
      </c>
      <c r="H3587" s="69" t="s">
        <v>52</v>
      </c>
      <c r="I3587" s="69" t="s">
        <v>2292</v>
      </c>
      <c r="J3587" s="69" t="s">
        <v>55</v>
      </c>
      <c r="K3587" s="69" t="s">
        <v>441</v>
      </c>
      <c r="M3587" s="69" t="s">
        <v>6</v>
      </c>
    </row>
    <row r="3588" spans="2:13">
      <c r="B3588" s="69">
        <v>3586</v>
      </c>
      <c r="C3588" s="69">
        <v>271</v>
      </c>
      <c r="D3588" s="69">
        <v>16</v>
      </c>
      <c r="E3588" s="69">
        <v>13</v>
      </c>
      <c r="F3588" s="69">
        <v>0</v>
      </c>
      <c r="G3588" s="69" t="s">
        <v>2023</v>
      </c>
      <c r="H3588" s="69" t="s">
        <v>52</v>
      </c>
      <c r="I3588" s="69" t="s">
        <v>2292</v>
      </c>
      <c r="J3588" s="69" t="s">
        <v>437</v>
      </c>
      <c r="K3588" s="69" t="s">
        <v>438</v>
      </c>
      <c r="L3588" s="69" t="s">
        <v>439</v>
      </c>
      <c r="M3588" s="69" t="s">
        <v>6</v>
      </c>
    </row>
    <row r="3589" spans="2:13">
      <c r="B3589" s="69">
        <v>3587</v>
      </c>
      <c r="C3589" s="69">
        <v>271</v>
      </c>
      <c r="D3589" s="69">
        <v>16</v>
      </c>
      <c r="E3589" s="69">
        <v>14</v>
      </c>
      <c r="F3589" s="69">
        <v>0</v>
      </c>
      <c r="G3589" s="69" t="s">
        <v>2023</v>
      </c>
      <c r="H3589" s="69" t="s">
        <v>52</v>
      </c>
      <c r="I3589" s="69" t="s">
        <v>2292</v>
      </c>
      <c r="J3589" s="69" t="s">
        <v>64</v>
      </c>
      <c r="K3589" s="69" t="s">
        <v>440</v>
      </c>
      <c r="M3589" s="69" t="s">
        <v>6</v>
      </c>
    </row>
    <row r="3590" spans="2:13">
      <c r="B3590" s="69">
        <v>3588</v>
      </c>
      <c r="C3590" s="69">
        <v>271</v>
      </c>
      <c r="D3590" s="69">
        <v>16</v>
      </c>
      <c r="E3590" s="69">
        <v>15</v>
      </c>
      <c r="F3590" s="69">
        <v>0</v>
      </c>
      <c r="G3590" s="69" t="s">
        <v>2023</v>
      </c>
      <c r="H3590" s="69" t="s">
        <v>52</v>
      </c>
      <c r="I3590" s="69" t="s">
        <v>2292</v>
      </c>
      <c r="J3590" s="69" t="s">
        <v>55</v>
      </c>
      <c r="K3590" s="69" t="s">
        <v>442</v>
      </c>
      <c r="M3590" s="69" t="s">
        <v>6</v>
      </c>
    </row>
    <row r="3591" spans="2:13">
      <c r="B3591" s="69">
        <v>3589</v>
      </c>
      <c r="C3591" s="69">
        <v>271</v>
      </c>
      <c r="D3591" s="69">
        <v>16</v>
      </c>
      <c r="E3591" s="69">
        <v>16</v>
      </c>
      <c r="F3591" s="69">
        <v>0</v>
      </c>
      <c r="G3591" s="69" t="s">
        <v>2023</v>
      </c>
      <c r="H3591" s="69" t="s">
        <v>52</v>
      </c>
      <c r="I3591" s="69" t="s">
        <v>2292</v>
      </c>
      <c r="J3591" s="69" t="s">
        <v>214</v>
      </c>
      <c r="K3591" s="69" t="s">
        <v>443</v>
      </c>
      <c r="M3591" s="69" t="s">
        <v>6</v>
      </c>
    </row>
    <row r="3592" spans="2:13">
      <c r="B3592" s="69">
        <v>3590</v>
      </c>
      <c r="C3592" s="69">
        <v>272</v>
      </c>
      <c r="D3592" s="69">
        <v>12</v>
      </c>
      <c r="E3592" s="69">
        <v>0</v>
      </c>
      <c r="F3592" s="69">
        <v>0</v>
      </c>
      <c r="G3592" s="69" t="s">
        <v>18</v>
      </c>
      <c r="H3592" s="69" t="s">
        <v>9</v>
      </c>
      <c r="I3592" s="69" t="s">
        <v>2133</v>
      </c>
      <c r="J3592" s="69" t="s">
        <v>478</v>
      </c>
      <c r="K3592" s="69" t="s">
        <v>2133</v>
      </c>
      <c r="M3592" s="69" t="s">
        <v>6</v>
      </c>
    </row>
    <row r="3593" spans="2:13">
      <c r="B3593" s="69">
        <v>3591</v>
      </c>
      <c r="C3593" s="69">
        <v>272</v>
      </c>
      <c r="D3593" s="69">
        <v>12</v>
      </c>
      <c r="E3593" s="69">
        <v>1</v>
      </c>
      <c r="F3593" s="69">
        <v>0</v>
      </c>
      <c r="G3593" s="69" t="s">
        <v>18</v>
      </c>
      <c r="H3593" s="69" t="s">
        <v>9</v>
      </c>
      <c r="I3593" s="69" t="s">
        <v>2133</v>
      </c>
      <c r="J3593" s="69" t="s">
        <v>55</v>
      </c>
      <c r="K3593" s="69" t="s">
        <v>2134</v>
      </c>
      <c r="M3593" s="69" t="s">
        <v>6</v>
      </c>
    </row>
    <row r="3594" spans="2:13">
      <c r="B3594" s="69">
        <v>3592</v>
      </c>
      <c r="C3594" s="69">
        <v>272</v>
      </c>
      <c r="D3594" s="69">
        <v>12</v>
      </c>
      <c r="E3594" s="69">
        <v>2</v>
      </c>
      <c r="F3594" s="69">
        <v>0</v>
      </c>
      <c r="G3594" s="69" t="s">
        <v>18</v>
      </c>
      <c r="H3594" s="69" t="s">
        <v>9</v>
      </c>
      <c r="I3594" s="69" t="s">
        <v>2133</v>
      </c>
      <c r="J3594" s="69" t="s">
        <v>55</v>
      </c>
      <c r="K3594" s="69" t="s">
        <v>2135</v>
      </c>
      <c r="M3594" s="69" t="s">
        <v>6</v>
      </c>
    </row>
    <row r="3595" spans="2:13">
      <c r="B3595" s="69">
        <v>3593</v>
      </c>
      <c r="C3595" s="69">
        <v>272</v>
      </c>
      <c r="D3595" s="69">
        <v>12</v>
      </c>
      <c r="E3595" s="69">
        <v>3</v>
      </c>
      <c r="F3595" s="69">
        <v>0</v>
      </c>
      <c r="G3595" s="69" t="s">
        <v>18</v>
      </c>
      <c r="H3595" s="69" t="s">
        <v>9</v>
      </c>
      <c r="I3595" s="69" t="s">
        <v>2133</v>
      </c>
      <c r="J3595" s="69" t="s">
        <v>55</v>
      </c>
      <c r="K3595" s="69" t="s">
        <v>2136</v>
      </c>
      <c r="M3595" s="69" t="s">
        <v>6</v>
      </c>
    </row>
    <row r="3596" spans="2:13">
      <c r="B3596" s="69">
        <v>3594</v>
      </c>
      <c r="C3596" s="69">
        <v>272</v>
      </c>
      <c r="D3596" s="69">
        <v>12</v>
      </c>
      <c r="E3596" s="69">
        <v>4</v>
      </c>
      <c r="F3596" s="69">
        <v>0</v>
      </c>
      <c r="G3596" s="69" t="s">
        <v>18</v>
      </c>
      <c r="H3596" s="69" t="s">
        <v>9</v>
      </c>
      <c r="I3596" s="69" t="s">
        <v>2133</v>
      </c>
      <c r="J3596" s="69" t="s">
        <v>55</v>
      </c>
      <c r="K3596" s="69" t="s">
        <v>2137</v>
      </c>
      <c r="M3596" s="69" t="s">
        <v>6</v>
      </c>
    </row>
    <row r="3597" spans="2:13">
      <c r="B3597" s="69">
        <v>3595</v>
      </c>
      <c r="C3597" s="69">
        <v>272</v>
      </c>
      <c r="D3597" s="69">
        <v>12</v>
      </c>
      <c r="E3597" s="69">
        <v>5</v>
      </c>
      <c r="F3597" s="69">
        <v>0</v>
      </c>
      <c r="G3597" s="69" t="s">
        <v>18</v>
      </c>
      <c r="H3597" s="69" t="s">
        <v>9</v>
      </c>
      <c r="I3597" s="69" t="s">
        <v>2133</v>
      </c>
      <c r="J3597" s="69" t="s">
        <v>55</v>
      </c>
      <c r="K3597" s="69" t="s">
        <v>2138</v>
      </c>
      <c r="M3597" s="69" t="s">
        <v>6</v>
      </c>
    </row>
    <row r="3598" spans="2:13">
      <c r="B3598" s="69">
        <v>3596</v>
      </c>
      <c r="C3598" s="69">
        <v>272</v>
      </c>
      <c r="D3598" s="69">
        <v>12</v>
      </c>
      <c r="E3598" s="69">
        <v>6</v>
      </c>
      <c r="F3598" s="69">
        <v>0</v>
      </c>
      <c r="G3598" s="69" t="s">
        <v>18</v>
      </c>
      <c r="H3598" s="69" t="s">
        <v>9</v>
      </c>
      <c r="I3598" s="69" t="s">
        <v>2133</v>
      </c>
      <c r="J3598" s="69" t="s">
        <v>55</v>
      </c>
      <c r="K3598" s="69" t="s">
        <v>2139</v>
      </c>
      <c r="M3598" s="69" t="s">
        <v>6</v>
      </c>
    </row>
    <row r="3599" spans="2:13">
      <c r="B3599" s="69">
        <v>3597</v>
      </c>
      <c r="C3599" s="69">
        <v>272</v>
      </c>
      <c r="D3599" s="69">
        <v>12</v>
      </c>
      <c r="E3599" s="69">
        <v>7</v>
      </c>
      <c r="F3599" s="69">
        <v>0</v>
      </c>
      <c r="G3599" s="69" t="s">
        <v>18</v>
      </c>
      <c r="H3599" s="69" t="s">
        <v>9</v>
      </c>
      <c r="I3599" s="69" t="s">
        <v>2133</v>
      </c>
      <c r="J3599" s="69" t="s">
        <v>55</v>
      </c>
      <c r="K3599" s="69" t="s">
        <v>2140</v>
      </c>
      <c r="M3599" s="69" t="s">
        <v>6</v>
      </c>
    </row>
    <row r="3600" spans="2:13">
      <c r="B3600" s="69">
        <v>3598</v>
      </c>
      <c r="C3600" s="69">
        <v>272</v>
      </c>
      <c r="D3600" s="69">
        <v>12</v>
      </c>
      <c r="E3600" s="69">
        <v>8</v>
      </c>
      <c r="F3600" s="69">
        <v>0</v>
      </c>
      <c r="G3600" s="69" t="s">
        <v>18</v>
      </c>
      <c r="H3600" s="69" t="s">
        <v>9</v>
      </c>
      <c r="I3600" s="69" t="s">
        <v>2133</v>
      </c>
      <c r="J3600" s="69" t="s">
        <v>55</v>
      </c>
      <c r="K3600" s="69" t="s">
        <v>2141</v>
      </c>
      <c r="M3600" s="69" t="s">
        <v>6</v>
      </c>
    </row>
    <row r="3601" spans="2:13">
      <c r="B3601" s="69">
        <v>3599</v>
      </c>
      <c r="C3601" s="69">
        <v>272</v>
      </c>
      <c r="D3601" s="69">
        <v>12</v>
      </c>
      <c r="E3601" s="69">
        <v>9</v>
      </c>
      <c r="F3601" s="69">
        <v>0</v>
      </c>
      <c r="G3601" s="69" t="s">
        <v>18</v>
      </c>
      <c r="H3601" s="69" t="s">
        <v>9</v>
      </c>
      <c r="I3601" s="69" t="s">
        <v>2133</v>
      </c>
      <c r="J3601" s="69" t="s">
        <v>55</v>
      </c>
      <c r="K3601" s="69" t="s">
        <v>2142</v>
      </c>
      <c r="M3601" s="69" t="s">
        <v>6</v>
      </c>
    </row>
    <row r="3602" spans="2:13">
      <c r="B3602" s="69">
        <v>3600</v>
      </c>
      <c r="C3602" s="69">
        <v>272</v>
      </c>
      <c r="D3602" s="69">
        <v>12</v>
      </c>
      <c r="E3602" s="69">
        <v>10</v>
      </c>
      <c r="F3602" s="69">
        <v>0</v>
      </c>
      <c r="G3602" s="69" t="s">
        <v>18</v>
      </c>
      <c r="H3602" s="69" t="s">
        <v>9</v>
      </c>
      <c r="I3602" s="69" t="s">
        <v>2133</v>
      </c>
      <c r="J3602" s="69" t="s">
        <v>55</v>
      </c>
      <c r="K3602" s="69" t="s">
        <v>2143</v>
      </c>
      <c r="M3602" s="69" t="s">
        <v>6</v>
      </c>
    </row>
    <row r="3603" spans="2:13">
      <c r="B3603" s="69">
        <v>3601</v>
      </c>
      <c r="C3603" s="69">
        <v>272</v>
      </c>
      <c r="D3603" s="69">
        <v>12</v>
      </c>
      <c r="E3603" s="69">
        <v>11</v>
      </c>
      <c r="F3603" s="69">
        <v>0</v>
      </c>
      <c r="G3603" s="69" t="s">
        <v>18</v>
      </c>
      <c r="H3603" s="69" t="s">
        <v>9</v>
      </c>
      <c r="I3603" s="69" t="s">
        <v>2133</v>
      </c>
      <c r="J3603" s="69" t="s">
        <v>55</v>
      </c>
      <c r="K3603" s="69" t="s">
        <v>2144</v>
      </c>
      <c r="M3603" s="69" t="s">
        <v>6</v>
      </c>
    </row>
    <row r="3604" spans="2:13">
      <c r="B3604" s="69">
        <v>3602</v>
      </c>
      <c r="C3604" s="69">
        <v>272</v>
      </c>
      <c r="D3604" s="69">
        <v>12</v>
      </c>
      <c r="E3604" s="69">
        <v>12</v>
      </c>
      <c r="F3604" s="69">
        <v>0</v>
      </c>
      <c r="G3604" s="69" t="s">
        <v>18</v>
      </c>
      <c r="H3604" s="69" t="s">
        <v>9</v>
      </c>
      <c r="I3604" s="69" t="s">
        <v>2133</v>
      </c>
      <c r="J3604" s="69" t="s">
        <v>64</v>
      </c>
      <c r="K3604" s="69" t="s">
        <v>2145</v>
      </c>
      <c r="M3604" s="69" t="s">
        <v>6</v>
      </c>
    </row>
    <row r="3605" spans="2:13">
      <c r="B3605" s="69">
        <v>3603</v>
      </c>
      <c r="C3605" s="69">
        <v>273</v>
      </c>
      <c r="D3605" s="69">
        <v>16</v>
      </c>
      <c r="E3605" s="69">
        <v>0</v>
      </c>
      <c r="F3605" s="69">
        <v>0</v>
      </c>
      <c r="G3605" s="69" t="s">
        <v>18</v>
      </c>
      <c r="H3605" s="69" t="s">
        <v>52</v>
      </c>
      <c r="I3605" s="69" t="s">
        <v>2146</v>
      </c>
      <c r="J3605" s="69" t="s">
        <v>478</v>
      </c>
      <c r="K3605" s="69" t="s">
        <v>2146</v>
      </c>
      <c r="M3605" s="69" t="s">
        <v>6</v>
      </c>
    </row>
    <row r="3606" spans="2:13">
      <c r="B3606" s="69">
        <v>3604</v>
      </c>
      <c r="C3606" s="69">
        <v>273</v>
      </c>
      <c r="D3606" s="69">
        <v>16</v>
      </c>
      <c r="E3606" s="69">
        <v>1</v>
      </c>
      <c r="F3606" s="69">
        <v>0</v>
      </c>
      <c r="G3606" s="69" t="s">
        <v>18</v>
      </c>
      <c r="H3606" s="69" t="s">
        <v>52</v>
      </c>
      <c r="I3606" s="69" t="s">
        <v>2146</v>
      </c>
      <c r="J3606" s="69" t="s">
        <v>55</v>
      </c>
      <c r="K3606" s="69" t="s">
        <v>429</v>
      </c>
      <c r="M3606" s="69" t="s">
        <v>6</v>
      </c>
    </row>
    <row r="3607" spans="2:13">
      <c r="B3607" s="69">
        <v>3605</v>
      </c>
      <c r="C3607" s="69">
        <v>273</v>
      </c>
      <c r="D3607" s="69">
        <v>16</v>
      </c>
      <c r="E3607" s="69">
        <v>2</v>
      </c>
      <c r="F3607" s="69">
        <v>0</v>
      </c>
      <c r="G3607" s="69" t="s">
        <v>18</v>
      </c>
      <c r="H3607" s="69" t="s">
        <v>52</v>
      </c>
      <c r="I3607" s="69" t="s">
        <v>2146</v>
      </c>
      <c r="J3607" s="69" t="s">
        <v>55</v>
      </c>
      <c r="K3607" s="69" t="s">
        <v>430</v>
      </c>
      <c r="M3607" s="69" t="s">
        <v>6</v>
      </c>
    </row>
    <row r="3608" spans="2:13">
      <c r="B3608" s="69">
        <v>3606</v>
      </c>
      <c r="C3608" s="69">
        <v>273</v>
      </c>
      <c r="D3608" s="69">
        <v>16</v>
      </c>
      <c r="E3608" s="69">
        <v>3</v>
      </c>
      <c r="F3608" s="69">
        <v>0</v>
      </c>
      <c r="G3608" s="69" t="s">
        <v>18</v>
      </c>
      <c r="H3608" s="69" t="s">
        <v>52</v>
      </c>
      <c r="I3608" s="69" t="s">
        <v>2146</v>
      </c>
      <c r="J3608" s="69" t="s">
        <v>55</v>
      </c>
      <c r="K3608" s="69" t="s">
        <v>2147</v>
      </c>
      <c r="M3608" s="69" t="s">
        <v>6</v>
      </c>
    </row>
    <row r="3609" spans="2:13">
      <c r="B3609" s="69">
        <v>3607</v>
      </c>
      <c r="C3609" s="69">
        <v>273</v>
      </c>
      <c r="D3609" s="69">
        <v>16</v>
      </c>
      <c r="E3609" s="69">
        <v>4</v>
      </c>
      <c r="F3609" s="69">
        <v>0</v>
      </c>
      <c r="G3609" s="69" t="s">
        <v>18</v>
      </c>
      <c r="H3609" s="69" t="s">
        <v>52</v>
      </c>
      <c r="I3609" s="69" t="s">
        <v>2146</v>
      </c>
      <c r="J3609" s="69" t="s">
        <v>55</v>
      </c>
      <c r="K3609" s="69" t="s">
        <v>2148</v>
      </c>
      <c r="M3609" s="69" t="s">
        <v>6</v>
      </c>
    </row>
    <row r="3610" spans="2:13">
      <c r="B3610" s="69">
        <v>3608</v>
      </c>
      <c r="C3610" s="69">
        <v>273</v>
      </c>
      <c r="D3610" s="69">
        <v>16</v>
      </c>
      <c r="E3610" s="69">
        <v>5</v>
      </c>
      <c r="F3610" s="69">
        <v>0</v>
      </c>
      <c r="G3610" s="69" t="s">
        <v>18</v>
      </c>
      <c r="H3610" s="69" t="s">
        <v>52</v>
      </c>
      <c r="I3610" s="69" t="s">
        <v>2146</v>
      </c>
      <c r="J3610" s="69" t="s">
        <v>55</v>
      </c>
      <c r="K3610" s="69" t="s">
        <v>2149</v>
      </c>
      <c r="M3610" s="69" t="s">
        <v>6</v>
      </c>
    </row>
    <row r="3611" spans="2:13">
      <c r="B3611" s="69">
        <v>3609</v>
      </c>
      <c r="C3611" s="69">
        <v>273</v>
      </c>
      <c r="D3611" s="69">
        <v>16</v>
      </c>
      <c r="E3611" s="69">
        <v>6</v>
      </c>
      <c r="F3611" s="69">
        <v>0</v>
      </c>
      <c r="G3611" s="69" t="s">
        <v>18</v>
      </c>
      <c r="H3611" s="69" t="s">
        <v>52</v>
      </c>
      <c r="I3611" s="69" t="s">
        <v>2146</v>
      </c>
      <c r="J3611" s="69" t="s">
        <v>55</v>
      </c>
      <c r="K3611" s="69" t="s">
        <v>2150</v>
      </c>
      <c r="M3611" s="69" t="s">
        <v>6</v>
      </c>
    </row>
    <row r="3612" spans="2:13">
      <c r="B3612" s="69">
        <v>3610</v>
      </c>
      <c r="C3612" s="69">
        <v>273</v>
      </c>
      <c r="D3612" s="69">
        <v>16</v>
      </c>
      <c r="E3612" s="69">
        <v>7</v>
      </c>
      <c r="F3612" s="69">
        <v>0</v>
      </c>
      <c r="G3612" s="69" t="s">
        <v>18</v>
      </c>
      <c r="H3612" s="69" t="s">
        <v>52</v>
      </c>
      <c r="I3612" s="69" t="s">
        <v>2146</v>
      </c>
      <c r="J3612" s="69" t="s">
        <v>55</v>
      </c>
      <c r="K3612" s="69" t="s">
        <v>2136</v>
      </c>
      <c r="M3612" s="69" t="s">
        <v>6</v>
      </c>
    </row>
    <row r="3613" spans="2:13">
      <c r="B3613" s="69">
        <v>3611</v>
      </c>
      <c r="C3613" s="69">
        <v>273</v>
      </c>
      <c r="D3613" s="69">
        <v>16</v>
      </c>
      <c r="E3613" s="69">
        <v>8</v>
      </c>
      <c r="F3613" s="69">
        <v>0</v>
      </c>
      <c r="G3613" s="69" t="s">
        <v>18</v>
      </c>
      <c r="H3613" s="69" t="s">
        <v>52</v>
      </c>
      <c r="I3613" s="69" t="s">
        <v>2146</v>
      </c>
      <c r="J3613" s="69" t="s">
        <v>55</v>
      </c>
      <c r="K3613" s="69" t="s">
        <v>2151</v>
      </c>
      <c r="M3613" s="69" t="s">
        <v>6</v>
      </c>
    </row>
    <row r="3614" spans="2:13">
      <c r="B3614" s="69">
        <v>3612</v>
      </c>
      <c r="C3614" s="69">
        <v>273</v>
      </c>
      <c r="D3614" s="69">
        <v>16</v>
      </c>
      <c r="E3614" s="69">
        <v>9</v>
      </c>
      <c r="F3614" s="69">
        <v>0</v>
      </c>
      <c r="G3614" s="69" t="s">
        <v>18</v>
      </c>
      <c r="H3614" s="69" t="s">
        <v>52</v>
      </c>
      <c r="I3614" s="69" t="s">
        <v>2146</v>
      </c>
      <c r="J3614" s="69" t="s">
        <v>55</v>
      </c>
      <c r="K3614" s="69" t="s">
        <v>2152</v>
      </c>
      <c r="M3614" s="69" t="s">
        <v>6</v>
      </c>
    </row>
    <row r="3615" spans="2:13">
      <c r="B3615" s="69">
        <v>3613</v>
      </c>
      <c r="C3615" s="69">
        <v>273</v>
      </c>
      <c r="D3615" s="69">
        <v>16</v>
      </c>
      <c r="E3615" s="69">
        <v>10</v>
      </c>
      <c r="F3615" s="69">
        <v>0</v>
      </c>
      <c r="G3615" s="69" t="s">
        <v>18</v>
      </c>
      <c r="H3615" s="69" t="s">
        <v>52</v>
      </c>
      <c r="I3615" s="69" t="s">
        <v>2146</v>
      </c>
      <c r="J3615" s="69" t="s">
        <v>55</v>
      </c>
      <c r="K3615" s="69" t="s">
        <v>2142</v>
      </c>
      <c r="M3615" s="69" t="s">
        <v>6</v>
      </c>
    </row>
    <row r="3616" spans="2:13">
      <c r="B3616" s="69">
        <v>3614</v>
      </c>
      <c r="C3616" s="69">
        <v>273</v>
      </c>
      <c r="D3616" s="69">
        <v>16</v>
      </c>
      <c r="E3616" s="69">
        <v>11</v>
      </c>
      <c r="F3616" s="69">
        <v>0</v>
      </c>
      <c r="G3616" s="69" t="s">
        <v>18</v>
      </c>
      <c r="H3616" s="69" t="s">
        <v>52</v>
      </c>
      <c r="I3616" s="69" t="s">
        <v>2146</v>
      </c>
      <c r="J3616" s="69" t="s">
        <v>55</v>
      </c>
      <c r="K3616" s="69" t="s">
        <v>2143</v>
      </c>
      <c r="M3616" s="69" t="s">
        <v>6</v>
      </c>
    </row>
    <row r="3617" spans="2:13">
      <c r="B3617" s="69">
        <v>3615</v>
      </c>
      <c r="C3617" s="69">
        <v>273</v>
      </c>
      <c r="D3617" s="69">
        <v>16</v>
      </c>
      <c r="E3617" s="69">
        <v>12</v>
      </c>
      <c r="F3617" s="69">
        <v>0</v>
      </c>
      <c r="G3617" s="69" t="s">
        <v>18</v>
      </c>
      <c r="H3617" s="69" t="s">
        <v>52</v>
      </c>
      <c r="I3617" s="69" t="s">
        <v>2146</v>
      </c>
      <c r="J3617" s="69" t="s">
        <v>55</v>
      </c>
      <c r="K3617" s="69" t="s">
        <v>2144</v>
      </c>
      <c r="M3617" s="69" t="s">
        <v>6</v>
      </c>
    </row>
    <row r="3618" spans="2:13">
      <c r="B3618" s="69">
        <v>3616</v>
      </c>
      <c r="C3618" s="69">
        <v>273</v>
      </c>
      <c r="D3618" s="69">
        <v>16</v>
      </c>
      <c r="E3618" s="69">
        <v>13</v>
      </c>
      <c r="F3618" s="69">
        <v>0</v>
      </c>
      <c r="G3618" s="69" t="s">
        <v>18</v>
      </c>
      <c r="H3618" s="69" t="s">
        <v>52</v>
      </c>
      <c r="I3618" s="69" t="s">
        <v>2146</v>
      </c>
      <c r="J3618" s="69" t="s">
        <v>55</v>
      </c>
      <c r="K3618" s="69" t="s">
        <v>2153</v>
      </c>
      <c r="M3618" s="69" t="s">
        <v>6</v>
      </c>
    </row>
    <row r="3619" spans="2:13">
      <c r="B3619" s="69">
        <v>3617</v>
      </c>
      <c r="C3619" s="69">
        <v>273</v>
      </c>
      <c r="D3619" s="69">
        <v>16</v>
      </c>
      <c r="E3619" s="69">
        <v>14</v>
      </c>
      <c r="F3619" s="69">
        <v>0</v>
      </c>
      <c r="G3619" s="69" t="s">
        <v>18</v>
      </c>
      <c r="H3619" s="69" t="s">
        <v>52</v>
      </c>
      <c r="I3619" s="69" t="s">
        <v>2146</v>
      </c>
      <c r="J3619" s="69" t="s">
        <v>55</v>
      </c>
      <c r="K3619" s="69" t="s">
        <v>441</v>
      </c>
      <c r="M3619" s="69" t="s">
        <v>6</v>
      </c>
    </row>
    <row r="3620" spans="2:13">
      <c r="B3620" s="69">
        <v>3618</v>
      </c>
      <c r="C3620" s="69">
        <v>273</v>
      </c>
      <c r="D3620" s="69">
        <v>16</v>
      </c>
      <c r="E3620" s="69">
        <v>15</v>
      </c>
      <c r="F3620" s="69">
        <v>0</v>
      </c>
      <c r="G3620" s="69" t="s">
        <v>18</v>
      </c>
      <c r="H3620" s="69" t="s">
        <v>52</v>
      </c>
      <c r="I3620" s="69" t="s">
        <v>2146</v>
      </c>
      <c r="J3620" s="69" t="s">
        <v>437</v>
      </c>
      <c r="K3620" s="69" t="s">
        <v>438</v>
      </c>
      <c r="M3620" s="69" t="s">
        <v>6</v>
      </c>
    </row>
    <row r="3621" spans="2:13">
      <c r="B3621" s="69">
        <v>3619</v>
      </c>
      <c r="C3621" s="69">
        <v>273</v>
      </c>
      <c r="D3621" s="69">
        <v>16</v>
      </c>
      <c r="E3621" s="69">
        <v>16</v>
      </c>
      <c r="F3621" s="69">
        <v>0</v>
      </c>
      <c r="G3621" s="69" t="s">
        <v>18</v>
      </c>
      <c r="H3621" s="69" t="s">
        <v>52</v>
      </c>
      <c r="I3621" s="69" t="s">
        <v>2146</v>
      </c>
      <c r="J3621" s="69" t="s">
        <v>64</v>
      </c>
      <c r="K3621" s="69" t="s">
        <v>440</v>
      </c>
      <c r="M3621" s="69" t="s">
        <v>6</v>
      </c>
    </row>
    <row r="3622" spans="2:13">
      <c r="B3622" s="69">
        <v>3620</v>
      </c>
      <c r="C3622" s="69">
        <v>274</v>
      </c>
      <c r="D3622" s="69">
        <v>58</v>
      </c>
      <c r="E3622" s="69">
        <v>0</v>
      </c>
      <c r="F3622" s="69">
        <v>0</v>
      </c>
      <c r="G3622" s="69" t="s">
        <v>18</v>
      </c>
      <c r="H3622" s="69" t="s">
        <v>52</v>
      </c>
      <c r="I3622" s="69" t="s">
        <v>2130</v>
      </c>
      <c r="J3622" s="69" t="s">
        <v>478</v>
      </c>
      <c r="K3622" s="69" t="s">
        <v>2130</v>
      </c>
      <c r="M3622" s="69" t="s">
        <v>7</v>
      </c>
    </row>
    <row r="3623" spans="2:13">
      <c r="B3623" s="69">
        <v>3621</v>
      </c>
      <c r="C3623" s="69">
        <v>274</v>
      </c>
      <c r="D3623" s="69">
        <v>58</v>
      </c>
      <c r="E3623" s="69">
        <v>1</v>
      </c>
      <c r="F3623" s="69">
        <v>0</v>
      </c>
      <c r="G3623" s="69" t="s">
        <v>18</v>
      </c>
      <c r="H3623" s="69" t="s">
        <v>52</v>
      </c>
      <c r="I3623" s="69" t="s">
        <v>2130</v>
      </c>
      <c r="J3623" s="69" t="s">
        <v>479</v>
      </c>
      <c r="K3623" s="69" t="s">
        <v>1716</v>
      </c>
      <c r="M3623" s="69" t="s">
        <v>7</v>
      </c>
    </row>
    <row r="3624" spans="2:13">
      <c r="B3624" s="69">
        <v>3622</v>
      </c>
      <c r="C3624" s="69">
        <v>274</v>
      </c>
      <c r="D3624" s="69">
        <v>58</v>
      </c>
      <c r="E3624" s="69">
        <v>2</v>
      </c>
      <c r="F3624" s="69">
        <v>0</v>
      </c>
      <c r="G3624" s="69" t="s">
        <v>18</v>
      </c>
      <c r="H3624" s="69" t="s">
        <v>52</v>
      </c>
      <c r="I3624" s="69" t="s">
        <v>2130</v>
      </c>
      <c r="J3624" s="69" t="s">
        <v>55</v>
      </c>
      <c r="K3624" s="69" t="s">
        <v>1717</v>
      </c>
      <c r="M3624" s="69" t="s">
        <v>7</v>
      </c>
    </row>
    <row r="3625" spans="2:13">
      <c r="B3625" s="69">
        <v>3623</v>
      </c>
      <c r="C3625" s="69">
        <v>274</v>
      </c>
      <c r="D3625" s="69">
        <v>58</v>
      </c>
      <c r="E3625" s="69">
        <v>3</v>
      </c>
      <c r="F3625" s="69">
        <v>0</v>
      </c>
      <c r="G3625" s="69" t="s">
        <v>18</v>
      </c>
      <c r="H3625" s="69" t="s">
        <v>52</v>
      </c>
      <c r="I3625" s="69" t="s">
        <v>2130</v>
      </c>
      <c r="J3625" s="69" t="s">
        <v>214</v>
      </c>
      <c r="K3625" s="69" t="s">
        <v>1613</v>
      </c>
      <c r="M3625" s="69" t="s">
        <v>7</v>
      </c>
    </row>
    <row r="3626" spans="2:13">
      <c r="B3626" s="69">
        <v>3624</v>
      </c>
      <c r="C3626" s="69">
        <v>274</v>
      </c>
      <c r="D3626" s="69">
        <v>58</v>
      </c>
      <c r="E3626" s="69">
        <v>4</v>
      </c>
      <c r="F3626" s="69">
        <v>0</v>
      </c>
      <c r="G3626" s="69" t="s">
        <v>18</v>
      </c>
      <c r="H3626" s="69" t="s">
        <v>52</v>
      </c>
      <c r="I3626" s="69" t="s">
        <v>2130</v>
      </c>
      <c r="J3626" s="69" t="s">
        <v>214</v>
      </c>
      <c r="K3626" s="69" t="s">
        <v>1614</v>
      </c>
      <c r="M3626" s="69" t="s">
        <v>7</v>
      </c>
    </row>
    <row r="3627" spans="2:13">
      <c r="B3627" s="69">
        <v>3625</v>
      </c>
      <c r="C3627" s="69">
        <v>274</v>
      </c>
      <c r="D3627" s="69">
        <v>58</v>
      </c>
      <c r="E3627" s="69">
        <v>5</v>
      </c>
      <c r="F3627" s="69">
        <v>0</v>
      </c>
      <c r="G3627" s="69" t="s">
        <v>18</v>
      </c>
      <c r="H3627" s="69" t="s">
        <v>52</v>
      </c>
      <c r="I3627" s="69" t="s">
        <v>2130</v>
      </c>
      <c r="J3627" s="69" t="s">
        <v>55</v>
      </c>
      <c r="K3627" s="69" t="s">
        <v>1718</v>
      </c>
      <c r="M3627" s="69" t="s">
        <v>7</v>
      </c>
    </row>
    <row r="3628" spans="2:13">
      <c r="B3628" s="69">
        <v>3626</v>
      </c>
      <c r="C3628" s="69">
        <v>274</v>
      </c>
      <c r="D3628" s="69">
        <v>58</v>
      </c>
      <c r="E3628" s="69">
        <v>6</v>
      </c>
      <c r="F3628" s="69">
        <v>0</v>
      </c>
      <c r="G3628" s="69" t="s">
        <v>18</v>
      </c>
      <c r="H3628" s="69" t="s">
        <v>52</v>
      </c>
      <c r="I3628" s="69" t="s">
        <v>2130</v>
      </c>
      <c r="J3628" s="69" t="s">
        <v>479</v>
      </c>
      <c r="K3628" s="69" t="s">
        <v>2131</v>
      </c>
      <c r="M3628" s="69" t="s">
        <v>7</v>
      </c>
    </row>
    <row r="3629" spans="2:13">
      <c r="B3629" s="69">
        <v>3627</v>
      </c>
      <c r="C3629" s="69">
        <v>274</v>
      </c>
      <c r="D3629" s="69">
        <v>58</v>
      </c>
      <c r="E3629" s="69">
        <v>7</v>
      </c>
      <c r="F3629" s="69">
        <v>0</v>
      </c>
      <c r="G3629" s="69" t="s">
        <v>18</v>
      </c>
      <c r="H3629" s="69" t="s">
        <v>52</v>
      </c>
      <c r="I3629" s="69" t="s">
        <v>2130</v>
      </c>
      <c r="J3629" s="69" t="s">
        <v>55</v>
      </c>
      <c r="K3629" s="69" t="s">
        <v>62</v>
      </c>
      <c r="M3629" s="69" t="s">
        <v>7</v>
      </c>
    </row>
    <row r="3630" spans="2:13">
      <c r="B3630" s="69">
        <v>3628</v>
      </c>
      <c r="C3630" s="69">
        <v>274</v>
      </c>
      <c r="D3630" s="69">
        <v>58</v>
      </c>
      <c r="E3630" s="69">
        <v>8</v>
      </c>
      <c r="F3630" s="69">
        <v>0</v>
      </c>
      <c r="G3630" s="69" t="s">
        <v>18</v>
      </c>
      <c r="H3630" s="69" t="s">
        <v>52</v>
      </c>
      <c r="I3630" s="69" t="s">
        <v>2130</v>
      </c>
      <c r="J3630" s="69" t="s">
        <v>55</v>
      </c>
      <c r="K3630" s="69" t="s">
        <v>1577</v>
      </c>
      <c r="M3630" s="69" t="s">
        <v>7</v>
      </c>
    </row>
    <row r="3631" spans="2:13">
      <c r="B3631" s="69">
        <v>3629</v>
      </c>
      <c r="C3631" s="69">
        <v>274</v>
      </c>
      <c r="D3631" s="69">
        <v>58</v>
      </c>
      <c r="E3631" s="69">
        <v>9</v>
      </c>
      <c r="F3631" s="69">
        <v>0</v>
      </c>
      <c r="G3631" s="69" t="s">
        <v>18</v>
      </c>
      <c r="H3631" s="69" t="s">
        <v>52</v>
      </c>
      <c r="I3631" s="69" t="s">
        <v>2130</v>
      </c>
      <c r="J3631" s="69" t="s">
        <v>55</v>
      </c>
      <c r="K3631" s="69" t="s">
        <v>1578</v>
      </c>
      <c r="M3631" s="69" t="s">
        <v>7</v>
      </c>
    </row>
    <row r="3632" spans="2:13">
      <c r="B3632" s="69">
        <v>3630</v>
      </c>
      <c r="C3632" s="69">
        <v>274</v>
      </c>
      <c r="D3632" s="69">
        <v>58</v>
      </c>
      <c r="E3632" s="69">
        <v>10</v>
      </c>
      <c r="F3632" s="69">
        <v>0</v>
      </c>
      <c r="G3632" s="69" t="s">
        <v>18</v>
      </c>
      <c r="H3632" s="69" t="s">
        <v>52</v>
      </c>
      <c r="I3632" s="69" t="s">
        <v>2130</v>
      </c>
      <c r="J3632" s="69" t="s">
        <v>55</v>
      </c>
      <c r="K3632" s="69" t="s">
        <v>1579</v>
      </c>
      <c r="M3632" s="69" t="s">
        <v>7</v>
      </c>
    </row>
    <row r="3633" spans="2:13">
      <c r="B3633" s="69">
        <v>3631</v>
      </c>
      <c r="C3633" s="69">
        <v>274</v>
      </c>
      <c r="D3633" s="69">
        <v>58</v>
      </c>
      <c r="E3633" s="69">
        <v>11</v>
      </c>
      <c r="F3633" s="69">
        <v>0</v>
      </c>
      <c r="G3633" s="69" t="s">
        <v>18</v>
      </c>
      <c r="H3633" s="69" t="s">
        <v>52</v>
      </c>
      <c r="I3633" s="69" t="s">
        <v>2130</v>
      </c>
      <c r="J3633" s="69" t="s">
        <v>55</v>
      </c>
      <c r="K3633" s="69" t="s">
        <v>1580</v>
      </c>
      <c r="M3633" s="69" t="s">
        <v>7</v>
      </c>
    </row>
    <row r="3634" spans="2:13">
      <c r="B3634" s="69">
        <v>3632</v>
      </c>
      <c r="C3634" s="69">
        <v>274</v>
      </c>
      <c r="D3634" s="69">
        <v>58</v>
      </c>
      <c r="E3634" s="69">
        <v>12</v>
      </c>
      <c r="F3634" s="69">
        <v>0</v>
      </c>
      <c r="G3634" s="69" t="s">
        <v>18</v>
      </c>
      <c r="H3634" s="69" t="s">
        <v>52</v>
      </c>
      <c r="I3634" s="69" t="s">
        <v>2130</v>
      </c>
      <c r="J3634" s="69" t="s">
        <v>55</v>
      </c>
      <c r="K3634" s="69" t="s">
        <v>2132</v>
      </c>
      <c r="M3634" s="69" t="s">
        <v>7</v>
      </c>
    </row>
    <row r="3635" spans="2:13">
      <c r="B3635" s="69">
        <v>3633</v>
      </c>
      <c r="C3635" s="69">
        <v>274</v>
      </c>
      <c r="D3635" s="69">
        <v>58</v>
      </c>
      <c r="E3635" s="69">
        <v>13</v>
      </c>
      <c r="F3635" s="69">
        <v>0</v>
      </c>
      <c r="G3635" s="69" t="s">
        <v>18</v>
      </c>
      <c r="H3635" s="69" t="s">
        <v>52</v>
      </c>
      <c r="I3635" s="69" t="s">
        <v>2130</v>
      </c>
      <c r="J3635" s="69" t="s">
        <v>479</v>
      </c>
      <c r="K3635" s="69" t="s">
        <v>1719</v>
      </c>
      <c r="M3635" s="69" t="s">
        <v>7</v>
      </c>
    </row>
    <row r="3636" spans="2:13">
      <c r="B3636" s="69">
        <v>3634</v>
      </c>
      <c r="C3636" s="69">
        <v>274</v>
      </c>
      <c r="D3636" s="69">
        <v>58</v>
      </c>
      <c r="E3636" s="69">
        <v>14</v>
      </c>
      <c r="F3636" s="69">
        <v>0</v>
      </c>
      <c r="G3636" s="69" t="s">
        <v>18</v>
      </c>
      <c r="H3636" s="69" t="s">
        <v>52</v>
      </c>
      <c r="I3636" s="69" t="s">
        <v>2130</v>
      </c>
      <c r="J3636" s="69" t="s">
        <v>55</v>
      </c>
      <c r="K3636" s="69" t="s">
        <v>1720</v>
      </c>
      <c r="M3636" s="69" t="s">
        <v>7</v>
      </c>
    </row>
    <row r="3637" spans="2:13">
      <c r="B3637" s="69">
        <v>3635</v>
      </c>
      <c r="C3637" s="69">
        <v>274</v>
      </c>
      <c r="D3637" s="69">
        <v>58</v>
      </c>
      <c r="E3637" s="69">
        <v>15</v>
      </c>
      <c r="F3637" s="69">
        <v>0</v>
      </c>
      <c r="G3637" s="69" t="s">
        <v>18</v>
      </c>
      <c r="H3637" s="69" t="s">
        <v>52</v>
      </c>
      <c r="I3637" s="69" t="s">
        <v>2130</v>
      </c>
      <c r="J3637" s="69" t="s">
        <v>55</v>
      </c>
      <c r="K3637" s="69" t="s">
        <v>474</v>
      </c>
      <c r="M3637" s="69" t="s">
        <v>7</v>
      </c>
    </row>
    <row r="3638" spans="2:13">
      <c r="B3638" s="69">
        <v>3636</v>
      </c>
      <c r="C3638" s="69">
        <v>274</v>
      </c>
      <c r="D3638" s="69">
        <v>58</v>
      </c>
      <c r="E3638" s="69">
        <v>16</v>
      </c>
      <c r="F3638" s="69">
        <v>0</v>
      </c>
      <c r="G3638" s="69" t="s">
        <v>18</v>
      </c>
      <c r="H3638" s="69" t="s">
        <v>52</v>
      </c>
      <c r="I3638" s="69" t="s">
        <v>2130</v>
      </c>
      <c r="J3638" s="69" t="s">
        <v>55</v>
      </c>
      <c r="K3638" s="69" t="s">
        <v>475</v>
      </c>
      <c r="M3638" s="69" t="s">
        <v>7</v>
      </c>
    </row>
    <row r="3639" spans="2:13">
      <c r="B3639" s="69">
        <v>3637</v>
      </c>
      <c r="C3639" s="69">
        <v>274</v>
      </c>
      <c r="D3639" s="69">
        <v>58</v>
      </c>
      <c r="E3639" s="69">
        <v>17</v>
      </c>
      <c r="F3639" s="69">
        <v>0</v>
      </c>
      <c r="G3639" s="69" t="s">
        <v>18</v>
      </c>
      <c r="H3639" s="69" t="s">
        <v>52</v>
      </c>
      <c r="I3639" s="69" t="s">
        <v>2130</v>
      </c>
      <c r="J3639" s="69" t="s">
        <v>55</v>
      </c>
      <c r="K3639" s="69" t="s">
        <v>476</v>
      </c>
      <c r="M3639" s="69" t="s">
        <v>7</v>
      </c>
    </row>
    <row r="3640" spans="2:13">
      <c r="B3640" s="69">
        <v>3638</v>
      </c>
      <c r="C3640" s="69">
        <v>274</v>
      </c>
      <c r="D3640" s="69">
        <v>58</v>
      </c>
      <c r="E3640" s="69">
        <v>18</v>
      </c>
      <c r="F3640" s="69">
        <v>0</v>
      </c>
      <c r="G3640" s="69" t="s">
        <v>18</v>
      </c>
      <c r="H3640" s="69" t="s">
        <v>52</v>
      </c>
      <c r="I3640" s="69" t="s">
        <v>2130</v>
      </c>
      <c r="J3640" s="69" t="s">
        <v>479</v>
      </c>
      <c r="K3640" s="69" t="s">
        <v>1721</v>
      </c>
      <c r="M3640" s="69" t="s">
        <v>7</v>
      </c>
    </row>
    <row r="3641" spans="2:13">
      <c r="B3641" s="69">
        <v>3639</v>
      </c>
      <c r="C3641" s="69">
        <v>274</v>
      </c>
      <c r="D3641" s="69">
        <v>58</v>
      </c>
      <c r="E3641" s="69">
        <v>19</v>
      </c>
      <c r="F3641" s="69">
        <v>0</v>
      </c>
      <c r="G3641" s="69" t="s">
        <v>18</v>
      </c>
      <c r="H3641" s="69" t="s">
        <v>52</v>
      </c>
      <c r="I3641" s="69" t="s">
        <v>2130</v>
      </c>
      <c r="J3641" s="69" t="s">
        <v>55</v>
      </c>
      <c r="K3641" s="69" t="s">
        <v>1722</v>
      </c>
      <c r="M3641" s="69" t="s">
        <v>7</v>
      </c>
    </row>
    <row r="3642" spans="2:13">
      <c r="B3642" s="69">
        <v>3640</v>
      </c>
      <c r="C3642" s="69">
        <v>274</v>
      </c>
      <c r="D3642" s="69">
        <v>58</v>
      </c>
      <c r="E3642" s="69">
        <v>20</v>
      </c>
      <c r="F3642" s="69">
        <v>0</v>
      </c>
      <c r="G3642" s="69" t="s">
        <v>18</v>
      </c>
      <c r="H3642" s="69" t="s">
        <v>52</v>
      </c>
      <c r="I3642" s="69" t="s">
        <v>2130</v>
      </c>
      <c r="J3642" s="69" t="s">
        <v>55</v>
      </c>
      <c r="K3642" s="69" t="s">
        <v>1723</v>
      </c>
      <c r="M3642" s="69" t="s">
        <v>7</v>
      </c>
    </row>
    <row r="3643" spans="2:13">
      <c r="B3643" s="69">
        <v>3641</v>
      </c>
      <c r="C3643" s="69">
        <v>274</v>
      </c>
      <c r="D3643" s="69">
        <v>58</v>
      </c>
      <c r="E3643" s="69">
        <v>21</v>
      </c>
      <c r="F3643" s="69">
        <v>0</v>
      </c>
      <c r="G3643" s="69" t="s">
        <v>18</v>
      </c>
      <c r="H3643" s="69" t="s">
        <v>52</v>
      </c>
      <c r="I3643" s="69" t="s">
        <v>2130</v>
      </c>
      <c r="J3643" s="69" t="s">
        <v>55</v>
      </c>
      <c r="K3643" s="69" t="s">
        <v>1724</v>
      </c>
      <c r="M3643" s="69" t="s">
        <v>7</v>
      </c>
    </row>
    <row r="3644" spans="2:13">
      <c r="B3644" s="69">
        <v>3642</v>
      </c>
      <c r="C3644" s="69">
        <v>274</v>
      </c>
      <c r="D3644" s="69">
        <v>58</v>
      </c>
      <c r="E3644" s="69">
        <v>22</v>
      </c>
      <c r="F3644" s="69">
        <v>0</v>
      </c>
      <c r="G3644" s="69" t="s">
        <v>18</v>
      </c>
      <c r="H3644" s="69" t="s">
        <v>52</v>
      </c>
      <c r="I3644" s="69" t="s">
        <v>2130</v>
      </c>
      <c r="J3644" s="69" t="s">
        <v>55</v>
      </c>
      <c r="K3644" s="69" t="s">
        <v>1725</v>
      </c>
      <c r="M3644" s="69" t="s">
        <v>7</v>
      </c>
    </row>
    <row r="3645" spans="2:13">
      <c r="B3645" s="69">
        <v>3643</v>
      </c>
      <c r="C3645" s="69">
        <v>274</v>
      </c>
      <c r="D3645" s="69">
        <v>58</v>
      </c>
      <c r="E3645" s="69">
        <v>23</v>
      </c>
      <c r="F3645" s="69">
        <v>0</v>
      </c>
      <c r="G3645" s="69" t="s">
        <v>18</v>
      </c>
      <c r="H3645" s="69" t="s">
        <v>52</v>
      </c>
      <c r="I3645" s="69" t="s">
        <v>2130</v>
      </c>
      <c r="J3645" s="69" t="s">
        <v>55</v>
      </c>
      <c r="K3645" s="69" t="s">
        <v>1726</v>
      </c>
      <c r="M3645" s="69" t="s">
        <v>7</v>
      </c>
    </row>
    <row r="3646" spans="2:13">
      <c r="B3646" s="69">
        <v>3644</v>
      </c>
      <c r="C3646" s="69">
        <v>274</v>
      </c>
      <c r="D3646" s="69">
        <v>58</v>
      </c>
      <c r="E3646" s="69">
        <v>24</v>
      </c>
      <c r="F3646" s="69">
        <v>0</v>
      </c>
      <c r="G3646" s="69" t="s">
        <v>18</v>
      </c>
      <c r="H3646" s="69" t="s">
        <v>52</v>
      </c>
      <c r="I3646" s="69" t="s">
        <v>2130</v>
      </c>
      <c r="J3646" s="69" t="s">
        <v>99</v>
      </c>
      <c r="K3646" s="69" t="s">
        <v>1727</v>
      </c>
      <c r="M3646" s="69" t="s">
        <v>7</v>
      </c>
    </row>
    <row r="3647" spans="2:13">
      <c r="B3647" s="69">
        <v>3645</v>
      </c>
      <c r="C3647" s="69">
        <v>274</v>
      </c>
      <c r="D3647" s="69">
        <v>58</v>
      </c>
      <c r="E3647" s="69">
        <v>25</v>
      </c>
      <c r="F3647" s="69">
        <v>0</v>
      </c>
      <c r="G3647" s="69" t="s">
        <v>18</v>
      </c>
      <c r="H3647" s="69" t="s">
        <v>52</v>
      </c>
      <c r="I3647" s="69" t="s">
        <v>2130</v>
      </c>
      <c r="J3647" s="69" t="s">
        <v>99</v>
      </c>
      <c r="K3647" s="69" t="s">
        <v>1728</v>
      </c>
      <c r="M3647" s="69" t="s">
        <v>7</v>
      </c>
    </row>
    <row r="3648" spans="2:13">
      <c r="B3648" s="69">
        <v>3646</v>
      </c>
      <c r="C3648" s="69">
        <v>274</v>
      </c>
      <c r="D3648" s="69">
        <v>58</v>
      </c>
      <c r="E3648" s="69">
        <v>26</v>
      </c>
      <c r="F3648" s="69">
        <v>0</v>
      </c>
      <c r="G3648" s="69" t="s">
        <v>18</v>
      </c>
      <c r="H3648" s="69" t="s">
        <v>52</v>
      </c>
      <c r="I3648" s="69" t="s">
        <v>2130</v>
      </c>
      <c r="J3648" s="69" t="s">
        <v>55</v>
      </c>
      <c r="K3648" s="69" t="s">
        <v>1729</v>
      </c>
      <c r="M3648" s="69" t="s">
        <v>7</v>
      </c>
    </row>
    <row r="3649" spans="2:13">
      <c r="B3649" s="69">
        <v>3647</v>
      </c>
      <c r="C3649" s="69">
        <v>274</v>
      </c>
      <c r="D3649" s="69">
        <v>58</v>
      </c>
      <c r="E3649" s="69">
        <v>27</v>
      </c>
      <c r="F3649" s="69">
        <v>0</v>
      </c>
      <c r="G3649" s="69" t="s">
        <v>18</v>
      </c>
      <c r="H3649" s="69" t="s">
        <v>52</v>
      </c>
      <c r="I3649" s="69" t="s">
        <v>2130</v>
      </c>
      <c r="J3649" s="69" t="s">
        <v>55</v>
      </c>
      <c r="K3649" s="69" t="s">
        <v>1730</v>
      </c>
      <c r="M3649" s="69" t="s">
        <v>7</v>
      </c>
    </row>
    <row r="3650" spans="2:13">
      <c r="B3650" s="69">
        <v>3648</v>
      </c>
      <c r="C3650" s="69">
        <v>274</v>
      </c>
      <c r="D3650" s="69">
        <v>58</v>
      </c>
      <c r="E3650" s="69">
        <v>28</v>
      </c>
      <c r="F3650" s="69">
        <v>0</v>
      </c>
      <c r="G3650" s="69" t="s">
        <v>18</v>
      </c>
      <c r="H3650" s="69" t="s">
        <v>52</v>
      </c>
      <c r="I3650" s="69" t="s">
        <v>2130</v>
      </c>
      <c r="J3650" s="69" t="s">
        <v>55</v>
      </c>
      <c r="K3650" s="69" t="s">
        <v>1731</v>
      </c>
      <c r="M3650" s="69" t="s">
        <v>7</v>
      </c>
    </row>
    <row r="3651" spans="2:13">
      <c r="B3651" s="69">
        <v>3649</v>
      </c>
      <c r="C3651" s="69">
        <v>274</v>
      </c>
      <c r="D3651" s="69">
        <v>58</v>
      </c>
      <c r="E3651" s="69">
        <v>29</v>
      </c>
      <c r="F3651" s="69">
        <v>0</v>
      </c>
      <c r="G3651" s="69" t="s">
        <v>18</v>
      </c>
      <c r="H3651" s="69" t="s">
        <v>52</v>
      </c>
      <c r="I3651" s="69" t="s">
        <v>2130</v>
      </c>
      <c r="J3651" s="69" t="s">
        <v>55</v>
      </c>
      <c r="K3651" s="69" t="s">
        <v>1732</v>
      </c>
      <c r="M3651" s="69" t="s">
        <v>7</v>
      </c>
    </row>
    <row r="3652" spans="2:13">
      <c r="B3652" s="69">
        <v>3650</v>
      </c>
      <c r="C3652" s="69">
        <v>274</v>
      </c>
      <c r="D3652" s="69">
        <v>58</v>
      </c>
      <c r="E3652" s="69">
        <v>30</v>
      </c>
      <c r="F3652" s="69">
        <v>0</v>
      </c>
      <c r="G3652" s="69" t="s">
        <v>18</v>
      </c>
      <c r="H3652" s="69" t="s">
        <v>52</v>
      </c>
      <c r="I3652" s="69" t="s">
        <v>2130</v>
      </c>
      <c r="J3652" s="69" t="s">
        <v>55</v>
      </c>
      <c r="K3652" s="69" t="s">
        <v>1583</v>
      </c>
      <c r="M3652" s="69" t="s">
        <v>7</v>
      </c>
    </row>
    <row r="3653" spans="2:13">
      <c r="B3653" s="69">
        <v>3651</v>
      </c>
      <c r="C3653" s="69">
        <v>274</v>
      </c>
      <c r="D3653" s="69">
        <v>58</v>
      </c>
      <c r="E3653" s="69">
        <v>31</v>
      </c>
      <c r="F3653" s="69">
        <v>0</v>
      </c>
      <c r="G3653" s="69" t="s">
        <v>18</v>
      </c>
      <c r="H3653" s="69" t="s">
        <v>52</v>
      </c>
      <c r="I3653" s="69" t="s">
        <v>2130</v>
      </c>
      <c r="J3653" s="69" t="s">
        <v>55</v>
      </c>
      <c r="K3653" s="69" t="s">
        <v>1733</v>
      </c>
      <c r="M3653" s="69" t="s">
        <v>7</v>
      </c>
    </row>
    <row r="3654" spans="2:13">
      <c r="B3654" s="69">
        <v>3652</v>
      </c>
      <c r="C3654" s="69">
        <v>274</v>
      </c>
      <c r="D3654" s="69">
        <v>58</v>
      </c>
      <c r="E3654" s="69">
        <v>32</v>
      </c>
      <c r="F3654" s="69">
        <v>0</v>
      </c>
      <c r="G3654" s="69" t="s">
        <v>18</v>
      </c>
      <c r="H3654" s="69" t="s">
        <v>52</v>
      </c>
      <c r="I3654" s="69" t="s">
        <v>2130</v>
      </c>
      <c r="J3654" s="69" t="s">
        <v>479</v>
      </c>
      <c r="K3654" s="69" t="s">
        <v>1734</v>
      </c>
      <c r="M3654" s="69" t="s">
        <v>7</v>
      </c>
    </row>
    <row r="3655" spans="2:13">
      <c r="B3655" s="69">
        <v>3653</v>
      </c>
      <c r="C3655" s="69">
        <v>274</v>
      </c>
      <c r="D3655" s="69">
        <v>58</v>
      </c>
      <c r="E3655" s="69">
        <v>33</v>
      </c>
      <c r="F3655" s="69">
        <v>0</v>
      </c>
      <c r="G3655" s="69" t="s">
        <v>18</v>
      </c>
      <c r="H3655" s="69" t="s">
        <v>52</v>
      </c>
      <c r="I3655" s="69" t="s">
        <v>2130</v>
      </c>
      <c r="J3655" s="69" t="s">
        <v>55</v>
      </c>
      <c r="K3655" s="69" t="s">
        <v>1735</v>
      </c>
      <c r="M3655" s="69" t="s">
        <v>7</v>
      </c>
    </row>
    <row r="3656" spans="2:13">
      <c r="B3656" s="69">
        <v>3654</v>
      </c>
      <c r="C3656" s="69">
        <v>274</v>
      </c>
      <c r="D3656" s="69">
        <v>58</v>
      </c>
      <c r="E3656" s="69">
        <v>34</v>
      </c>
      <c r="F3656" s="69">
        <v>0</v>
      </c>
      <c r="G3656" s="69" t="s">
        <v>18</v>
      </c>
      <c r="H3656" s="69" t="s">
        <v>52</v>
      </c>
      <c r="I3656" s="69" t="s">
        <v>2130</v>
      </c>
      <c r="J3656" s="69" t="s">
        <v>55</v>
      </c>
      <c r="K3656" s="69" t="s">
        <v>1736</v>
      </c>
      <c r="M3656" s="69" t="s">
        <v>7</v>
      </c>
    </row>
    <row r="3657" spans="2:13">
      <c r="B3657" s="69">
        <v>3655</v>
      </c>
      <c r="C3657" s="69">
        <v>274</v>
      </c>
      <c r="D3657" s="69">
        <v>58</v>
      </c>
      <c r="E3657" s="69">
        <v>35</v>
      </c>
      <c r="F3657" s="69">
        <v>0</v>
      </c>
      <c r="G3657" s="69" t="s">
        <v>18</v>
      </c>
      <c r="H3657" s="69" t="s">
        <v>52</v>
      </c>
      <c r="I3657" s="69" t="s">
        <v>2130</v>
      </c>
      <c r="J3657" s="69" t="s">
        <v>55</v>
      </c>
      <c r="K3657" s="69" t="s">
        <v>1737</v>
      </c>
      <c r="M3657" s="69" t="s">
        <v>7</v>
      </c>
    </row>
    <row r="3658" spans="2:13">
      <c r="B3658" s="69">
        <v>3656</v>
      </c>
      <c r="C3658" s="69">
        <v>274</v>
      </c>
      <c r="D3658" s="69">
        <v>58</v>
      </c>
      <c r="E3658" s="69">
        <v>36</v>
      </c>
      <c r="F3658" s="69">
        <v>0</v>
      </c>
      <c r="G3658" s="69" t="s">
        <v>18</v>
      </c>
      <c r="H3658" s="69" t="s">
        <v>52</v>
      </c>
      <c r="I3658" s="69" t="s">
        <v>2130</v>
      </c>
      <c r="J3658" s="69" t="s">
        <v>55</v>
      </c>
      <c r="K3658" s="69" t="s">
        <v>1738</v>
      </c>
      <c r="M3658" s="69" t="s">
        <v>7</v>
      </c>
    </row>
    <row r="3659" spans="2:13">
      <c r="B3659" s="69">
        <v>3657</v>
      </c>
      <c r="C3659" s="69">
        <v>274</v>
      </c>
      <c r="D3659" s="69">
        <v>58</v>
      </c>
      <c r="E3659" s="69">
        <v>37</v>
      </c>
      <c r="F3659" s="69">
        <v>0</v>
      </c>
      <c r="G3659" s="69" t="s">
        <v>18</v>
      </c>
      <c r="H3659" s="69" t="s">
        <v>52</v>
      </c>
      <c r="I3659" s="69" t="s">
        <v>2130</v>
      </c>
      <c r="J3659" s="69" t="s">
        <v>479</v>
      </c>
      <c r="K3659" s="69" t="s">
        <v>1739</v>
      </c>
      <c r="M3659" s="69" t="s">
        <v>7</v>
      </c>
    </row>
    <row r="3660" spans="2:13">
      <c r="B3660" s="69">
        <v>3658</v>
      </c>
      <c r="C3660" s="69">
        <v>274</v>
      </c>
      <c r="D3660" s="69">
        <v>58</v>
      </c>
      <c r="E3660" s="69">
        <v>38</v>
      </c>
      <c r="F3660" s="69">
        <v>0</v>
      </c>
      <c r="G3660" s="69" t="s">
        <v>18</v>
      </c>
      <c r="H3660" s="69" t="s">
        <v>52</v>
      </c>
      <c r="I3660" s="69" t="s">
        <v>2130</v>
      </c>
      <c r="J3660" s="69" t="s">
        <v>55</v>
      </c>
      <c r="K3660" s="69" t="s">
        <v>1740</v>
      </c>
      <c r="M3660" s="69" t="s">
        <v>7</v>
      </c>
    </row>
    <row r="3661" spans="2:13">
      <c r="B3661" s="69">
        <v>3659</v>
      </c>
      <c r="C3661" s="69">
        <v>274</v>
      </c>
      <c r="D3661" s="69">
        <v>58</v>
      </c>
      <c r="E3661" s="69">
        <v>39</v>
      </c>
      <c r="F3661" s="69">
        <v>0</v>
      </c>
      <c r="G3661" s="69" t="s">
        <v>18</v>
      </c>
      <c r="H3661" s="69" t="s">
        <v>52</v>
      </c>
      <c r="I3661" s="69" t="s">
        <v>2130</v>
      </c>
      <c r="J3661" s="69" t="s">
        <v>214</v>
      </c>
      <c r="K3661" s="69" t="s">
        <v>1741</v>
      </c>
      <c r="M3661" s="69" t="s">
        <v>7</v>
      </c>
    </row>
    <row r="3662" spans="2:13">
      <c r="B3662" s="69">
        <v>3660</v>
      </c>
      <c r="C3662" s="69">
        <v>274</v>
      </c>
      <c r="D3662" s="69">
        <v>58</v>
      </c>
      <c r="E3662" s="69">
        <v>40</v>
      </c>
      <c r="F3662" s="69">
        <v>0</v>
      </c>
      <c r="G3662" s="69" t="s">
        <v>18</v>
      </c>
      <c r="H3662" s="69" t="s">
        <v>52</v>
      </c>
      <c r="I3662" s="69" t="s">
        <v>2130</v>
      </c>
      <c r="J3662" s="69" t="s">
        <v>214</v>
      </c>
      <c r="K3662" s="69" t="s">
        <v>1618</v>
      </c>
      <c r="M3662" s="69" t="s">
        <v>7</v>
      </c>
    </row>
    <row r="3663" spans="2:13">
      <c r="B3663" s="69">
        <v>3661</v>
      </c>
      <c r="C3663" s="69">
        <v>274</v>
      </c>
      <c r="D3663" s="69">
        <v>58</v>
      </c>
      <c r="E3663" s="69">
        <v>41</v>
      </c>
      <c r="F3663" s="69">
        <v>0</v>
      </c>
      <c r="G3663" s="69" t="s">
        <v>18</v>
      </c>
      <c r="H3663" s="69" t="s">
        <v>52</v>
      </c>
      <c r="I3663" s="69" t="s">
        <v>2130</v>
      </c>
      <c r="J3663" s="69" t="s">
        <v>214</v>
      </c>
      <c r="K3663" s="69" t="s">
        <v>1619</v>
      </c>
      <c r="M3663" s="69" t="s">
        <v>7</v>
      </c>
    </row>
    <row r="3664" spans="2:13">
      <c r="B3664" s="69">
        <v>3662</v>
      </c>
      <c r="C3664" s="69">
        <v>274</v>
      </c>
      <c r="D3664" s="69">
        <v>58</v>
      </c>
      <c r="E3664" s="69">
        <v>42</v>
      </c>
      <c r="F3664" s="69">
        <v>0</v>
      </c>
      <c r="G3664" s="69" t="s">
        <v>18</v>
      </c>
      <c r="H3664" s="69" t="s">
        <v>52</v>
      </c>
      <c r="I3664" s="69" t="s">
        <v>2130</v>
      </c>
      <c r="J3664" s="69" t="s">
        <v>214</v>
      </c>
      <c r="K3664" s="69" t="s">
        <v>1620</v>
      </c>
      <c r="M3664" s="69" t="s">
        <v>7</v>
      </c>
    </row>
    <row r="3665" spans="2:13">
      <c r="B3665" s="69">
        <v>3663</v>
      </c>
      <c r="C3665" s="69">
        <v>274</v>
      </c>
      <c r="D3665" s="69">
        <v>58</v>
      </c>
      <c r="E3665" s="69">
        <v>43</v>
      </c>
      <c r="F3665" s="69">
        <v>0</v>
      </c>
      <c r="G3665" s="69" t="s">
        <v>18</v>
      </c>
      <c r="H3665" s="69" t="s">
        <v>52</v>
      </c>
      <c r="I3665" s="69" t="s">
        <v>2130</v>
      </c>
      <c r="J3665" s="69" t="s">
        <v>437</v>
      </c>
      <c r="K3665" s="69" t="s">
        <v>1621</v>
      </c>
      <c r="M3665" s="69" t="s">
        <v>7</v>
      </c>
    </row>
    <row r="3666" spans="2:13">
      <c r="B3666" s="69">
        <v>3664</v>
      </c>
      <c r="C3666" s="69">
        <v>274</v>
      </c>
      <c r="D3666" s="69">
        <v>58</v>
      </c>
      <c r="E3666" s="69">
        <v>44</v>
      </c>
      <c r="F3666" s="69">
        <v>0</v>
      </c>
      <c r="G3666" s="69" t="s">
        <v>18</v>
      </c>
      <c r="H3666" s="69" t="s">
        <v>52</v>
      </c>
      <c r="I3666" s="69" t="s">
        <v>2130</v>
      </c>
      <c r="J3666" s="69" t="s">
        <v>55</v>
      </c>
      <c r="K3666" s="69" t="s">
        <v>1581</v>
      </c>
      <c r="M3666" s="69" t="s">
        <v>7</v>
      </c>
    </row>
    <row r="3667" spans="2:13">
      <c r="B3667" s="69">
        <v>3665</v>
      </c>
      <c r="C3667" s="69">
        <v>274</v>
      </c>
      <c r="D3667" s="69">
        <v>58</v>
      </c>
      <c r="E3667" s="69">
        <v>45</v>
      </c>
      <c r="F3667" s="69">
        <v>0</v>
      </c>
      <c r="G3667" s="69" t="s">
        <v>18</v>
      </c>
      <c r="H3667" s="69" t="s">
        <v>52</v>
      </c>
      <c r="I3667" s="69" t="s">
        <v>2130</v>
      </c>
      <c r="J3667" s="69" t="s">
        <v>55</v>
      </c>
      <c r="K3667" s="69" t="s">
        <v>1582</v>
      </c>
      <c r="M3667" s="69" t="s">
        <v>7</v>
      </c>
    </row>
    <row r="3668" spans="2:13">
      <c r="B3668" s="69">
        <v>3666</v>
      </c>
      <c r="C3668" s="69">
        <v>274</v>
      </c>
      <c r="D3668" s="69">
        <v>58</v>
      </c>
      <c r="E3668" s="69">
        <v>46</v>
      </c>
      <c r="F3668" s="69">
        <v>0</v>
      </c>
      <c r="G3668" s="69" t="s">
        <v>18</v>
      </c>
      <c r="H3668" s="69" t="s">
        <v>52</v>
      </c>
      <c r="I3668" s="69" t="s">
        <v>2130</v>
      </c>
      <c r="J3668" s="69" t="s">
        <v>479</v>
      </c>
      <c r="K3668" s="69" t="s">
        <v>1744</v>
      </c>
      <c r="M3668" s="69" t="s">
        <v>7</v>
      </c>
    </row>
    <row r="3669" spans="2:13">
      <c r="B3669" s="69">
        <v>3667</v>
      </c>
      <c r="C3669" s="69">
        <v>274</v>
      </c>
      <c r="D3669" s="69">
        <v>58</v>
      </c>
      <c r="E3669" s="69">
        <v>47</v>
      </c>
      <c r="F3669" s="69">
        <v>0</v>
      </c>
      <c r="G3669" s="69" t="s">
        <v>18</v>
      </c>
      <c r="H3669" s="69" t="s">
        <v>52</v>
      </c>
      <c r="I3669" s="69" t="s">
        <v>2130</v>
      </c>
      <c r="J3669" s="69" t="s">
        <v>55</v>
      </c>
      <c r="K3669" s="69" t="s">
        <v>1745</v>
      </c>
      <c r="M3669" s="69" t="s">
        <v>7</v>
      </c>
    </row>
    <row r="3670" spans="2:13">
      <c r="B3670" s="69">
        <v>3668</v>
      </c>
      <c r="C3670" s="69">
        <v>274</v>
      </c>
      <c r="D3670" s="69">
        <v>58</v>
      </c>
      <c r="E3670" s="69">
        <v>48</v>
      </c>
      <c r="F3670" s="69">
        <v>0</v>
      </c>
      <c r="G3670" s="69" t="s">
        <v>18</v>
      </c>
      <c r="H3670" s="69" t="s">
        <v>52</v>
      </c>
      <c r="I3670" s="69" t="s">
        <v>2130</v>
      </c>
      <c r="J3670" s="69" t="s">
        <v>55</v>
      </c>
      <c r="K3670" s="69" t="s">
        <v>1746</v>
      </c>
      <c r="M3670" s="69" t="s">
        <v>7</v>
      </c>
    </row>
    <row r="3671" spans="2:13">
      <c r="B3671" s="69">
        <v>3669</v>
      </c>
      <c r="C3671" s="69">
        <v>274</v>
      </c>
      <c r="D3671" s="69">
        <v>58</v>
      </c>
      <c r="E3671" s="69">
        <v>49</v>
      </c>
      <c r="F3671" s="69">
        <v>0</v>
      </c>
      <c r="G3671" s="69" t="s">
        <v>18</v>
      </c>
      <c r="H3671" s="69" t="s">
        <v>52</v>
      </c>
      <c r="I3671" s="69" t="s">
        <v>2130</v>
      </c>
      <c r="J3671" s="69" t="s">
        <v>437</v>
      </c>
      <c r="K3671" s="69" t="s">
        <v>1747</v>
      </c>
      <c r="M3671" s="69" t="s">
        <v>7</v>
      </c>
    </row>
    <row r="3672" spans="2:13">
      <c r="B3672" s="69">
        <v>3670</v>
      </c>
      <c r="C3672" s="69">
        <v>274</v>
      </c>
      <c r="D3672" s="69">
        <v>58</v>
      </c>
      <c r="E3672" s="69">
        <v>50</v>
      </c>
      <c r="F3672" s="69">
        <v>0</v>
      </c>
      <c r="G3672" s="69" t="s">
        <v>18</v>
      </c>
      <c r="H3672" s="69" t="s">
        <v>52</v>
      </c>
      <c r="I3672" s="69" t="s">
        <v>2130</v>
      </c>
      <c r="J3672" s="69" t="s">
        <v>55</v>
      </c>
      <c r="K3672" s="69" t="s">
        <v>1748</v>
      </c>
      <c r="M3672" s="69" t="s">
        <v>7</v>
      </c>
    </row>
    <row r="3673" spans="2:13">
      <c r="B3673" s="69">
        <v>3671</v>
      </c>
      <c r="C3673" s="69">
        <v>274</v>
      </c>
      <c r="D3673" s="69">
        <v>58</v>
      </c>
      <c r="E3673" s="69">
        <v>51</v>
      </c>
      <c r="F3673" s="69">
        <v>0</v>
      </c>
      <c r="G3673" s="69" t="s">
        <v>18</v>
      </c>
      <c r="H3673" s="69" t="s">
        <v>52</v>
      </c>
      <c r="I3673" s="69" t="s">
        <v>2130</v>
      </c>
      <c r="J3673" s="69" t="s">
        <v>55</v>
      </c>
      <c r="K3673" s="69" t="s">
        <v>1749</v>
      </c>
      <c r="M3673" s="69" t="s">
        <v>7</v>
      </c>
    </row>
    <row r="3674" spans="2:13">
      <c r="B3674" s="69">
        <v>3672</v>
      </c>
      <c r="C3674" s="69">
        <v>274</v>
      </c>
      <c r="D3674" s="69">
        <v>58</v>
      </c>
      <c r="E3674" s="69">
        <v>52</v>
      </c>
      <c r="F3674" s="69">
        <v>0</v>
      </c>
      <c r="G3674" s="69" t="s">
        <v>18</v>
      </c>
      <c r="H3674" s="69" t="s">
        <v>52</v>
      </c>
      <c r="I3674" s="69" t="s">
        <v>2130</v>
      </c>
      <c r="J3674" s="69" t="s">
        <v>55</v>
      </c>
      <c r="K3674" s="69" t="s">
        <v>1750</v>
      </c>
      <c r="M3674" s="69" t="s">
        <v>7</v>
      </c>
    </row>
    <row r="3675" spans="2:13">
      <c r="B3675" s="69">
        <v>3673</v>
      </c>
      <c r="C3675" s="69">
        <v>274</v>
      </c>
      <c r="D3675" s="69">
        <v>58</v>
      </c>
      <c r="E3675" s="69">
        <v>53</v>
      </c>
      <c r="F3675" s="69">
        <v>0</v>
      </c>
      <c r="G3675" s="69" t="s">
        <v>18</v>
      </c>
      <c r="H3675" s="69" t="s">
        <v>52</v>
      </c>
      <c r="I3675" s="69" t="s">
        <v>2130</v>
      </c>
      <c r="J3675" s="69" t="s">
        <v>479</v>
      </c>
      <c r="K3675" s="69" t="s">
        <v>1751</v>
      </c>
      <c r="M3675" s="69" t="s">
        <v>7</v>
      </c>
    </row>
    <row r="3676" spans="2:13">
      <c r="B3676" s="69">
        <v>3674</v>
      </c>
      <c r="C3676" s="69">
        <v>274</v>
      </c>
      <c r="D3676" s="69">
        <v>58</v>
      </c>
      <c r="E3676" s="69">
        <v>54</v>
      </c>
      <c r="F3676" s="69">
        <v>0</v>
      </c>
      <c r="G3676" s="69" t="s">
        <v>18</v>
      </c>
      <c r="H3676" s="69" t="s">
        <v>52</v>
      </c>
      <c r="I3676" s="69" t="s">
        <v>2130</v>
      </c>
      <c r="J3676" s="69" t="s">
        <v>55</v>
      </c>
      <c r="K3676" s="69" t="s">
        <v>1752</v>
      </c>
      <c r="M3676" s="69" t="s">
        <v>7</v>
      </c>
    </row>
    <row r="3677" spans="2:13">
      <c r="B3677" s="69">
        <v>3675</v>
      </c>
      <c r="C3677" s="69">
        <v>274</v>
      </c>
      <c r="D3677" s="69">
        <v>58</v>
      </c>
      <c r="E3677" s="69">
        <v>55</v>
      </c>
      <c r="F3677" s="69">
        <v>0</v>
      </c>
      <c r="G3677" s="69" t="s">
        <v>18</v>
      </c>
      <c r="H3677" s="69" t="s">
        <v>52</v>
      </c>
      <c r="I3677" s="69" t="s">
        <v>2130</v>
      </c>
      <c r="J3677" s="69" t="s">
        <v>64</v>
      </c>
      <c r="K3677" s="69" t="s">
        <v>1753</v>
      </c>
      <c r="M3677" s="69" t="s">
        <v>7</v>
      </c>
    </row>
    <row r="3678" spans="2:13">
      <c r="B3678" s="69">
        <v>3676</v>
      </c>
      <c r="C3678" s="69">
        <v>274</v>
      </c>
      <c r="D3678" s="69">
        <v>58</v>
      </c>
      <c r="E3678" s="69">
        <v>56</v>
      </c>
      <c r="F3678" s="69">
        <v>0</v>
      </c>
      <c r="G3678" s="69" t="s">
        <v>18</v>
      </c>
      <c r="H3678" s="69" t="s">
        <v>52</v>
      </c>
      <c r="I3678" s="69" t="s">
        <v>2130</v>
      </c>
      <c r="J3678" s="69" t="s">
        <v>55</v>
      </c>
      <c r="K3678" s="69" t="s">
        <v>1754</v>
      </c>
      <c r="M3678" s="69" t="s">
        <v>7</v>
      </c>
    </row>
    <row r="3679" spans="2:13">
      <c r="B3679" s="69">
        <v>3677</v>
      </c>
      <c r="C3679" s="69">
        <v>274</v>
      </c>
      <c r="D3679" s="69">
        <v>58</v>
      </c>
      <c r="E3679" s="69">
        <v>57</v>
      </c>
      <c r="F3679" s="69">
        <v>0</v>
      </c>
      <c r="G3679" s="69" t="s">
        <v>18</v>
      </c>
      <c r="H3679" s="69" t="s">
        <v>52</v>
      </c>
      <c r="I3679" s="69" t="s">
        <v>2130</v>
      </c>
      <c r="J3679" s="69" t="s">
        <v>55</v>
      </c>
      <c r="K3679" s="69" t="s">
        <v>93</v>
      </c>
      <c r="M3679" s="69" t="s">
        <v>7</v>
      </c>
    </row>
    <row r="3680" spans="2:13">
      <c r="B3680" s="69">
        <v>3678</v>
      </c>
      <c r="C3680" s="69">
        <v>274</v>
      </c>
      <c r="D3680" s="69">
        <v>58</v>
      </c>
      <c r="E3680" s="69">
        <v>58</v>
      </c>
      <c r="F3680" s="69">
        <v>0</v>
      </c>
      <c r="G3680" s="69" t="s">
        <v>18</v>
      </c>
      <c r="H3680" s="69" t="s">
        <v>52</v>
      </c>
      <c r="I3680" s="69" t="s">
        <v>2130</v>
      </c>
      <c r="J3680" s="69" t="s">
        <v>64</v>
      </c>
      <c r="K3680" s="69" t="s">
        <v>94</v>
      </c>
      <c r="M3680" s="69" t="s">
        <v>7</v>
      </c>
    </row>
    <row r="3681" spans="2:13">
      <c r="B3681" s="69">
        <v>3679</v>
      </c>
      <c r="C3681" s="69">
        <v>275</v>
      </c>
      <c r="D3681" s="69">
        <v>46</v>
      </c>
      <c r="E3681" s="69">
        <v>0</v>
      </c>
      <c r="F3681" s="69">
        <v>0</v>
      </c>
      <c r="G3681" s="69" t="s">
        <v>2023</v>
      </c>
      <c r="H3681" s="69" t="s">
        <v>52</v>
      </c>
      <c r="I3681" s="69" t="s">
        <v>2293</v>
      </c>
      <c r="J3681" s="69" t="s">
        <v>478</v>
      </c>
      <c r="K3681" s="69" t="s">
        <v>2293</v>
      </c>
      <c r="M3681" s="69" t="s">
        <v>6</v>
      </c>
    </row>
    <row r="3682" spans="2:13">
      <c r="B3682" s="69">
        <v>3680</v>
      </c>
      <c r="C3682" s="69">
        <v>275</v>
      </c>
      <c r="D3682" s="69">
        <v>46</v>
      </c>
      <c r="E3682" s="69">
        <v>1</v>
      </c>
      <c r="F3682" s="69">
        <v>0</v>
      </c>
      <c r="G3682" s="69" t="s">
        <v>2023</v>
      </c>
      <c r="H3682" s="69" t="s">
        <v>52</v>
      </c>
      <c r="I3682" s="69" t="s">
        <v>2293</v>
      </c>
      <c r="J3682" s="69" t="s">
        <v>479</v>
      </c>
      <c r="K3682" s="69" t="s">
        <v>22</v>
      </c>
      <c r="M3682" s="69" t="s">
        <v>6</v>
      </c>
    </row>
    <row r="3683" spans="2:13">
      <c r="B3683" s="69">
        <v>3681</v>
      </c>
      <c r="C3683" s="69">
        <v>275</v>
      </c>
      <c r="D3683" s="69">
        <v>46</v>
      </c>
      <c r="E3683" s="69">
        <v>2</v>
      </c>
      <c r="F3683" s="69">
        <v>0</v>
      </c>
      <c r="G3683" s="69" t="s">
        <v>2023</v>
      </c>
      <c r="H3683" s="69" t="s">
        <v>52</v>
      </c>
      <c r="I3683" s="69" t="s">
        <v>2293</v>
      </c>
      <c r="J3683" s="69" t="s">
        <v>55</v>
      </c>
      <c r="K3683" s="69" t="s">
        <v>429</v>
      </c>
      <c r="M3683" s="69" t="s">
        <v>6</v>
      </c>
    </row>
    <row r="3684" spans="2:13">
      <c r="B3684" s="69">
        <v>3682</v>
      </c>
      <c r="C3684" s="69">
        <v>275</v>
      </c>
      <c r="D3684" s="69">
        <v>46</v>
      </c>
      <c r="E3684" s="69">
        <v>3</v>
      </c>
      <c r="F3684" s="69">
        <v>0</v>
      </c>
      <c r="G3684" s="69" t="s">
        <v>2023</v>
      </c>
      <c r="H3684" s="69" t="s">
        <v>52</v>
      </c>
      <c r="I3684" s="69" t="s">
        <v>2293</v>
      </c>
      <c r="J3684" s="69" t="s">
        <v>55</v>
      </c>
      <c r="K3684" s="69" t="s">
        <v>430</v>
      </c>
      <c r="M3684" s="69" t="s">
        <v>6</v>
      </c>
    </row>
    <row r="3685" spans="2:13">
      <c r="B3685" s="69">
        <v>3683</v>
      </c>
      <c r="C3685" s="69">
        <v>275</v>
      </c>
      <c r="D3685" s="69">
        <v>46</v>
      </c>
      <c r="E3685" s="69">
        <v>4</v>
      </c>
      <c r="F3685" s="69">
        <v>0</v>
      </c>
      <c r="G3685" s="69" t="s">
        <v>2023</v>
      </c>
      <c r="H3685" s="69" t="s">
        <v>52</v>
      </c>
      <c r="I3685" s="69" t="s">
        <v>2293</v>
      </c>
      <c r="J3685" s="69" t="s">
        <v>55</v>
      </c>
      <c r="K3685" s="69" t="s">
        <v>2025</v>
      </c>
      <c r="M3685" s="69" t="s">
        <v>6</v>
      </c>
    </row>
    <row r="3686" spans="2:13">
      <c r="B3686" s="69">
        <v>3684</v>
      </c>
      <c r="C3686" s="69">
        <v>275</v>
      </c>
      <c r="D3686" s="69">
        <v>46</v>
      </c>
      <c r="E3686" s="69">
        <v>5</v>
      </c>
      <c r="F3686" s="69">
        <v>0</v>
      </c>
      <c r="G3686" s="69" t="s">
        <v>2023</v>
      </c>
      <c r="H3686" s="69" t="s">
        <v>52</v>
      </c>
      <c r="I3686" s="69" t="s">
        <v>2293</v>
      </c>
      <c r="J3686" s="69" t="s">
        <v>55</v>
      </c>
      <c r="K3686" s="69" t="s">
        <v>2057</v>
      </c>
      <c r="M3686" s="69" t="s">
        <v>6</v>
      </c>
    </row>
    <row r="3687" spans="2:13">
      <c r="B3687" s="69">
        <v>3685</v>
      </c>
      <c r="C3687" s="69">
        <v>275</v>
      </c>
      <c r="D3687" s="69">
        <v>46</v>
      </c>
      <c r="E3687" s="69">
        <v>6</v>
      </c>
      <c r="F3687" s="69">
        <v>0</v>
      </c>
      <c r="G3687" s="69" t="s">
        <v>2023</v>
      </c>
      <c r="H3687" s="69" t="s">
        <v>52</v>
      </c>
      <c r="I3687" s="69" t="s">
        <v>2293</v>
      </c>
      <c r="J3687" s="69" t="s">
        <v>55</v>
      </c>
      <c r="K3687" s="69" t="s">
        <v>2058</v>
      </c>
      <c r="M3687" s="69" t="s">
        <v>6</v>
      </c>
    </row>
    <row r="3688" spans="2:13">
      <c r="B3688" s="69">
        <v>3686</v>
      </c>
      <c r="C3688" s="69">
        <v>275</v>
      </c>
      <c r="D3688" s="69">
        <v>46</v>
      </c>
      <c r="E3688" s="69">
        <v>7</v>
      </c>
      <c r="F3688" s="69">
        <v>0</v>
      </c>
      <c r="G3688" s="69" t="s">
        <v>2023</v>
      </c>
      <c r="H3688" s="69" t="s">
        <v>52</v>
      </c>
      <c r="I3688" s="69" t="s">
        <v>2293</v>
      </c>
      <c r="J3688" s="69" t="s">
        <v>55</v>
      </c>
      <c r="K3688" s="69" t="s">
        <v>2059</v>
      </c>
      <c r="M3688" s="69" t="s">
        <v>6</v>
      </c>
    </row>
    <row r="3689" spans="2:13">
      <c r="B3689" s="69">
        <v>3687</v>
      </c>
      <c r="C3689" s="69">
        <v>275</v>
      </c>
      <c r="D3689" s="69">
        <v>46</v>
      </c>
      <c r="E3689" s="69">
        <v>8</v>
      </c>
      <c r="F3689" s="69">
        <v>0</v>
      </c>
      <c r="G3689" s="69" t="s">
        <v>2023</v>
      </c>
      <c r="H3689" s="69" t="s">
        <v>52</v>
      </c>
      <c r="I3689" s="69" t="s">
        <v>2293</v>
      </c>
      <c r="J3689" s="69" t="s">
        <v>55</v>
      </c>
      <c r="K3689" s="69" t="s">
        <v>2060</v>
      </c>
      <c r="M3689" s="69" t="s">
        <v>6</v>
      </c>
    </row>
    <row r="3690" spans="2:13">
      <c r="B3690" s="69">
        <v>3688</v>
      </c>
      <c r="C3690" s="69">
        <v>275</v>
      </c>
      <c r="D3690" s="69">
        <v>46</v>
      </c>
      <c r="E3690" s="69">
        <v>9</v>
      </c>
      <c r="F3690" s="69">
        <v>0</v>
      </c>
      <c r="G3690" s="69" t="s">
        <v>2023</v>
      </c>
      <c r="H3690" s="69" t="s">
        <v>52</v>
      </c>
      <c r="I3690" s="69" t="s">
        <v>2293</v>
      </c>
      <c r="J3690" s="69" t="s">
        <v>55</v>
      </c>
      <c r="K3690" s="69" t="s">
        <v>2061</v>
      </c>
      <c r="M3690" s="69" t="s">
        <v>6</v>
      </c>
    </row>
    <row r="3691" spans="2:13">
      <c r="B3691" s="69">
        <v>3689</v>
      </c>
      <c r="C3691" s="69">
        <v>275</v>
      </c>
      <c r="D3691" s="69">
        <v>46</v>
      </c>
      <c r="E3691" s="69">
        <v>10</v>
      </c>
      <c r="F3691" s="69">
        <v>0</v>
      </c>
      <c r="G3691" s="69" t="s">
        <v>2023</v>
      </c>
      <c r="H3691" s="69" t="s">
        <v>52</v>
      </c>
      <c r="I3691" s="69" t="s">
        <v>2293</v>
      </c>
      <c r="J3691" s="69" t="s">
        <v>55</v>
      </c>
      <c r="K3691" s="69" t="s">
        <v>2062</v>
      </c>
      <c r="M3691" s="69" t="s">
        <v>6</v>
      </c>
    </row>
    <row r="3692" spans="2:13">
      <c r="B3692" s="69">
        <v>3690</v>
      </c>
      <c r="C3692" s="69">
        <v>275</v>
      </c>
      <c r="D3692" s="69">
        <v>46</v>
      </c>
      <c r="E3692" s="69">
        <v>11</v>
      </c>
      <c r="F3692" s="69">
        <v>0</v>
      </c>
      <c r="G3692" s="69" t="s">
        <v>2023</v>
      </c>
      <c r="H3692" s="69" t="s">
        <v>52</v>
      </c>
      <c r="I3692" s="69" t="s">
        <v>2293</v>
      </c>
      <c r="J3692" s="69" t="s">
        <v>55</v>
      </c>
      <c r="K3692" s="69" t="s">
        <v>2063</v>
      </c>
      <c r="M3692" s="69" t="s">
        <v>6</v>
      </c>
    </row>
    <row r="3693" spans="2:13">
      <c r="B3693" s="69">
        <v>3691</v>
      </c>
      <c r="C3693" s="69">
        <v>275</v>
      </c>
      <c r="D3693" s="69">
        <v>46</v>
      </c>
      <c r="E3693" s="69">
        <v>12</v>
      </c>
      <c r="F3693" s="69">
        <v>0</v>
      </c>
      <c r="G3693" s="69" t="s">
        <v>2023</v>
      </c>
      <c r="H3693" s="69" t="s">
        <v>52</v>
      </c>
      <c r="I3693" s="69" t="s">
        <v>2293</v>
      </c>
      <c r="J3693" s="69" t="s">
        <v>55</v>
      </c>
      <c r="K3693" s="69" t="s">
        <v>2294</v>
      </c>
      <c r="M3693" s="69" t="s">
        <v>6</v>
      </c>
    </row>
    <row r="3694" spans="2:13">
      <c r="B3694" s="69">
        <v>3692</v>
      </c>
      <c r="C3694" s="69">
        <v>275</v>
      </c>
      <c r="D3694" s="69">
        <v>46</v>
      </c>
      <c r="E3694" s="69">
        <v>13</v>
      </c>
      <c r="F3694" s="69">
        <v>0</v>
      </c>
      <c r="G3694" s="69" t="s">
        <v>2023</v>
      </c>
      <c r="H3694" s="69" t="s">
        <v>52</v>
      </c>
      <c r="I3694" s="69" t="s">
        <v>2293</v>
      </c>
      <c r="J3694" s="69" t="s">
        <v>55</v>
      </c>
      <c r="K3694" s="69" t="s">
        <v>2064</v>
      </c>
      <c r="M3694" s="69" t="s">
        <v>6</v>
      </c>
    </row>
    <row r="3695" spans="2:13">
      <c r="B3695" s="69">
        <v>3693</v>
      </c>
      <c r="C3695" s="69">
        <v>275</v>
      </c>
      <c r="D3695" s="69">
        <v>46</v>
      </c>
      <c r="E3695" s="69">
        <v>14</v>
      </c>
      <c r="F3695" s="69">
        <v>0</v>
      </c>
      <c r="G3695" s="69" t="s">
        <v>2023</v>
      </c>
      <c r="H3695" s="69" t="s">
        <v>52</v>
      </c>
      <c r="I3695" s="69" t="s">
        <v>2293</v>
      </c>
      <c r="J3695" s="69" t="s">
        <v>55</v>
      </c>
      <c r="K3695" s="69" t="s">
        <v>2295</v>
      </c>
      <c r="M3695" s="69" t="s">
        <v>6</v>
      </c>
    </row>
    <row r="3696" spans="2:13">
      <c r="B3696" s="69">
        <v>3694</v>
      </c>
      <c r="C3696" s="69">
        <v>275</v>
      </c>
      <c r="D3696" s="69">
        <v>46</v>
      </c>
      <c r="E3696" s="69">
        <v>15</v>
      </c>
      <c r="F3696" s="69">
        <v>0</v>
      </c>
      <c r="G3696" s="69" t="s">
        <v>2023</v>
      </c>
      <c r="H3696" s="69" t="s">
        <v>52</v>
      </c>
      <c r="I3696" s="69" t="s">
        <v>2293</v>
      </c>
      <c r="J3696" s="69" t="s">
        <v>437</v>
      </c>
      <c r="K3696" s="69" t="s">
        <v>438</v>
      </c>
      <c r="L3696" s="69" t="s">
        <v>439</v>
      </c>
      <c r="M3696" s="69" t="s">
        <v>6</v>
      </c>
    </row>
    <row r="3697" spans="2:13">
      <c r="B3697" s="69">
        <v>3695</v>
      </c>
      <c r="C3697" s="69">
        <v>275</v>
      </c>
      <c r="D3697" s="69">
        <v>46</v>
      </c>
      <c r="E3697" s="69">
        <v>16</v>
      </c>
      <c r="F3697" s="69">
        <v>0</v>
      </c>
      <c r="G3697" s="69" t="s">
        <v>2023</v>
      </c>
      <c r="H3697" s="69" t="s">
        <v>52</v>
      </c>
      <c r="I3697" s="69" t="s">
        <v>2293</v>
      </c>
      <c r="J3697" s="69" t="s">
        <v>64</v>
      </c>
      <c r="K3697" s="69" t="s">
        <v>440</v>
      </c>
      <c r="M3697" s="69" t="s">
        <v>6</v>
      </c>
    </row>
    <row r="3698" spans="2:13">
      <c r="B3698" s="69">
        <v>3696</v>
      </c>
      <c r="C3698" s="69">
        <v>275</v>
      </c>
      <c r="D3698" s="69">
        <v>46</v>
      </c>
      <c r="E3698" s="69">
        <v>17</v>
      </c>
      <c r="F3698" s="69">
        <v>0</v>
      </c>
      <c r="G3698" s="69" t="s">
        <v>2023</v>
      </c>
      <c r="H3698" s="69" t="s">
        <v>52</v>
      </c>
      <c r="I3698" s="69" t="s">
        <v>2293</v>
      </c>
      <c r="J3698" s="69" t="s">
        <v>55</v>
      </c>
      <c r="K3698" s="69" t="s">
        <v>2065</v>
      </c>
      <c r="M3698" s="69" t="s">
        <v>6</v>
      </c>
    </row>
    <row r="3699" spans="2:13">
      <c r="B3699" s="69">
        <v>3697</v>
      </c>
      <c r="C3699" s="69">
        <v>275</v>
      </c>
      <c r="D3699" s="69">
        <v>46</v>
      </c>
      <c r="E3699" s="69">
        <v>18</v>
      </c>
      <c r="F3699" s="69">
        <v>0</v>
      </c>
      <c r="G3699" s="69" t="s">
        <v>2023</v>
      </c>
      <c r="H3699" s="69" t="s">
        <v>52</v>
      </c>
      <c r="I3699" s="69" t="s">
        <v>2293</v>
      </c>
      <c r="J3699" s="69" t="s">
        <v>437</v>
      </c>
      <c r="K3699" s="69" t="s">
        <v>438</v>
      </c>
      <c r="L3699" s="69" t="s">
        <v>439</v>
      </c>
      <c r="M3699" s="69" t="s">
        <v>6</v>
      </c>
    </row>
    <row r="3700" spans="2:13">
      <c r="B3700" s="69">
        <v>3698</v>
      </c>
      <c r="C3700" s="69">
        <v>275</v>
      </c>
      <c r="D3700" s="69">
        <v>46</v>
      </c>
      <c r="E3700" s="69">
        <v>19</v>
      </c>
      <c r="F3700" s="69">
        <v>0</v>
      </c>
      <c r="G3700" s="69" t="s">
        <v>2023</v>
      </c>
      <c r="H3700" s="69" t="s">
        <v>52</v>
      </c>
      <c r="I3700" s="69" t="s">
        <v>2293</v>
      </c>
      <c r="J3700" s="69" t="s">
        <v>64</v>
      </c>
      <c r="K3700" s="69" t="s">
        <v>440</v>
      </c>
      <c r="M3700" s="69" t="s">
        <v>6</v>
      </c>
    </row>
    <row r="3701" spans="2:13">
      <c r="B3701" s="69">
        <v>3699</v>
      </c>
      <c r="C3701" s="69">
        <v>275</v>
      </c>
      <c r="D3701" s="69">
        <v>46</v>
      </c>
      <c r="E3701" s="69">
        <v>20</v>
      </c>
      <c r="F3701" s="69">
        <v>0</v>
      </c>
      <c r="G3701" s="69" t="s">
        <v>2023</v>
      </c>
      <c r="H3701" s="69" t="s">
        <v>52</v>
      </c>
      <c r="I3701" s="69" t="s">
        <v>2293</v>
      </c>
      <c r="J3701" s="69" t="s">
        <v>214</v>
      </c>
      <c r="K3701" s="69" t="s">
        <v>2066</v>
      </c>
      <c r="M3701" s="69" t="s">
        <v>6</v>
      </c>
    </row>
    <row r="3702" spans="2:13">
      <c r="B3702" s="69">
        <v>3700</v>
      </c>
      <c r="C3702" s="69">
        <v>275</v>
      </c>
      <c r="D3702" s="69">
        <v>46</v>
      </c>
      <c r="E3702" s="69">
        <v>21</v>
      </c>
      <c r="F3702" s="69">
        <v>0</v>
      </c>
      <c r="G3702" s="69" t="s">
        <v>2023</v>
      </c>
      <c r="H3702" s="69" t="s">
        <v>52</v>
      </c>
      <c r="I3702" s="69" t="s">
        <v>2293</v>
      </c>
      <c r="J3702" s="69" t="s">
        <v>437</v>
      </c>
      <c r="K3702" s="69" t="s">
        <v>2067</v>
      </c>
      <c r="L3702" s="69" t="s">
        <v>2040</v>
      </c>
      <c r="M3702" s="69" t="s">
        <v>6</v>
      </c>
    </row>
    <row r="3703" spans="2:13">
      <c r="B3703" s="69">
        <v>3701</v>
      </c>
      <c r="C3703" s="69">
        <v>275</v>
      </c>
      <c r="D3703" s="69">
        <v>46</v>
      </c>
      <c r="E3703" s="69">
        <v>22</v>
      </c>
      <c r="F3703" s="69">
        <v>0</v>
      </c>
      <c r="G3703" s="69" t="s">
        <v>2023</v>
      </c>
      <c r="H3703" s="69" t="s">
        <v>52</v>
      </c>
      <c r="I3703" s="69" t="s">
        <v>2293</v>
      </c>
      <c r="J3703" s="69" t="s">
        <v>437</v>
      </c>
      <c r="K3703" s="69" t="s">
        <v>2068</v>
      </c>
      <c r="L3703" s="69" t="s">
        <v>2040</v>
      </c>
      <c r="M3703" s="69" t="s">
        <v>6</v>
      </c>
    </row>
    <row r="3704" spans="2:13">
      <c r="B3704" s="69">
        <v>3702</v>
      </c>
      <c r="C3704" s="69">
        <v>275</v>
      </c>
      <c r="D3704" s="69">
        <v>46</v>
      </c>
      <c r="E3704" s="69">
        <v>23</v>
      </c>
      <c r="F3704" s="69">
        <v>0</v>
      </c>
      <c r="G3704" s="69" t="s">
        <v>2023</v>
      </c>
      <c r="H3704" s="69" t="s">
        <v>52</v>
      </c>
      <c r="I3704" s="69" t="s">
        <v>2293</v>
      </c>
      <c r="J3704" s="69" t="s">
        <v>55</v>
      </c>
      <c r="K3704" s="69" t="s">
        <v>804</v>
      </c>
      <c r="M3704" s="69" t="s">
        <v>6</v>
      </c>
    </row>
    <row r="3705" spans="2:13">
      <c r="B3705" s="69">
        <v>3703</v>
      </c>
      <c r="C3705" s="69">
        <v>275</v>
      </c>
      <c r="D3705" s="69">
        <v>46</v>
      </c>
      <c r="E3705" s="69">
        <v>24</v>
      </c>
      <c r="F3705" s="69">
        <v>0</v>
      </c>
      <c r="G3705" s="69" t="s">
        <v>2023</v>
      </c>
      <c r="H3705" s="69" t="s">
        <v>52</v>
      </c>
      <c r="I3705" s="69" t="s">
        <v>2293</v>
      </c>
      <c r="J3705" s="69" t="s">
        <v>55</v>
      </c>
      <c r="K3705" s="69" t="s">
        <v>805</v>
      </c>
      <c r="M3705" s="69" t="s">
        <v>6</v>
      </c>
    </row>
    <row r="3706" spans="2:13">
      <c r="B3706" s="69">
        <v>3704</v>
      </c>
      <c r="C3706" s="69">
        <v>275</v>
      </c>
      <c r="D3706" s="69">
        <v>46</v>
      </c>
      <c r="E3706" s="69">
        <v>25</v>
      </c>
      <c r="F3706" s="69">
        <v>0</v>
      </c>
      <c r="G3706" s="69" t="s">
        <v>2023</v>
      </c>
      <c r="H3706" s="69" t="s">
        <v>52</v>
      </c>
      <c r="I3706" s="69" t="s">
        <v>2293</v>
      </c>
      <c r="J3706" s="69" t="s">
        <v>55</v>
      </c>
      <c r="K3706" s="69" t="s">
        <v>806</v>
      </c>
      <c r="M3706" s="69" t="s">
        <v>6</v>
      </c>
    </row>
    <row r="3707" spans="2:13">
      <c r="B3707" s="69">
        <v>3705</v>
      </c>
      <c r="C3707" s="69">
        <v>275</v>
      </c>
      <c r="D3707" s="69">
        <v>46</v>
      </c>
      <c r="E3707" s="69">
        <v>26</v>
      </c>
      <c r="F3707" s="69">
        <v>0</v>
      </c>
      <c r="G3707" s="69" t="s">
        <v>2023</v>
      </c>
      <c r="H3707" s="69" t="s">
        <v>52</v>
      </c>
      <c r="I3707" s="69" t="s">
        <v>2293</v>
      </c>
      <c r="J3707" s="69" t="s">
        <v>55</v>
      </c>
      <c r="K3707" s="69" t="s">
        <v>2296</v>
      </c>
      <c r="M3707" s="69" t="s">
        <v>6</v>
      </c>
    </row>
    <row r="3708" spans="2:13">
      <c r="B3708" s="69">
        <v>3706</v>
      </c>
      <c r="C3708" s="69">
        <v>275</v>
      </c>
      <c r="D3708" s="69">
        <v>46</v>
      </c>
      <c r="E3708" s="69">
        <v>27</v>
      </c>
      <c r="F3708" s="69">
        <v>0</v>
      </c>
      <c r="G3708" s="69" t="s">
        <v>2023</v>
      </c>
      <c r="H3708" s="69" t="s">
        <v>52</v>
      </c>
      <c r="I3708" s="69" t="s">
        <v>2293</v>
      </c>
      <c r="J3708" s="69" t="s">
        <v>55</v>
      </c>
      <c r="K3708" s="69" t="s">
        <v>808</v>
      </c>
      <c r="M3708" s="69" t="s">
        <v>6</v>
      </c>
    </row>
    <row r="3709" spans="2:13">
      <c r="B3709" s="69">
        <v>3707</v>
      </c>
      <c r="C3709" s="69">
        <v>275</v>
      </c>
      <c r="D3709" s="69">
        <v>46</v>
      </c>
      <c r="E3709" s="69">
        <v>28</v>
      </c>
      <c r="F3709" s="69">
        <v>0</v>
      </c>
      <c r="G3709" s="69" t="s">
        <v>2023</v>
      </c>
      <c r="H3709" s="69" t="s">
        <v>52</v>
      </c>
      <c r="I3709" s="69" t="s">
        <v>2293</v>
      </c>
      <c r="J3709" s="69" t="s">
        <v>55</v>
      </c>
      <c r="K3709" s="69" t="s">
        <v>809</v>
      </c>
      <c r="M3709" s="69" t="s">
        <v>6</v>
      </c>
    </row>
    <row r="3710" spans="2:13">
      <c r="B3710" s="69">
        <v>3708</v>
      </c>
      <c r="C3710" s="69">
        <v>275</v>
      </c>
      <c r="D3710" s="69">
        <v>46</v>
      </c>
      <c r="E3710" s="69">
        <v>29</v>
      </c>
      <c r="F3710" s="69">
        <v>0</v>
      </c>
      <c r="G3710" s="69" t="s">
        <v>2023</v>
      </c>
      <c r="H3710" s="69" t="s">
        <v>52</v>
      </c>
      <c r="I3710" s="69" t="s">
        <v>2293</v>
      </c>
      <c r="J3710" s="69" t="s">
        <v>55</v>
      </c>
      <c r="K3710" s="69" t="s">
        <v>810</v>
      </c>
      <c r="M3710" s="69" t="s">
        <v>6</v>
      </c>
    </row>
    <row r="3711" spans="2:13">
      <c r="B3711" s="69">
        <v>3709</v>
      </c>
      <c r="C3711" s="69">
        <v>275</v>
      </c>
      <c r="D3711" s="69">
        <v>46</v>
      </c>
      <c r="E3711" s="69">
        <v>30</v>
      </c>
      <c r="F3711" s="69">
        <v>0</v>
      </c>
      <c r="G3711" s="69" t="s">
        <v>2023</v>
      </c>
      <c r="H3711" s="69" t="s">
        <v>52</v>
      </c>
      <c r="I3711" s="69" t="s">
        <v>2293</v>
      </c>
      <c r="J3711" s="69" t="s">
        <v>55</v>
      </c>
      <c r="K3711" s="69" t="s">
        <v>2297</v>
      </c>
      <c r="M3711" s="69" t="s">
        <v>6</v>
      </c>
    </row>
    <row r="3712" spans="2:13">
      <c r="B3712" s="69">
        <v>3710</v>
      </c>
      <c r="C3712" s="69">
        <v>275</v>
      </c>
      <c r="D3712" s="69">
        <v>46</v>
      </c>
      <c r="E3712" s="69">
        <v>31</v>
      </c>
      <c r="F3712" s="69">
        <v>0</v>
      </c>
      <c r="G3712" s="69" t="s">
        <v>2023</v>
      </c>
      <c r="H3712" s="69" t="s">
        <v>52</v>
      </c>
      <c r="I3712" s="69" t="s">
        <v>2293</v>
      </c>
      <c r="J3712" s="69" t="s">
        <v>437</v>
      </c>
      <c r="K3712" s="69" t="s">
        <v>438</v>
      </c>
      <c r="L3712" s="69" t="s">
        <v>439</v>
      </c>
      <c r="M3712" s="69" t="s">
        <v>6</v>
      </c>
    </row>
    <row r="3713" spans="2:13">
      <c r="B3713" s="69">
        <v>3711</v>
      </c>
      <c r="C3713" s="69">
        <v>275</v>
      </c>
      <c r="D3713" s="69">
        <v>46</v>
      </c>
      <c r="E3713" s="69">
        <v>32</v>
      </c>
      <c r="F3713" s="69">
        <v>0</v>
      </c>
      <c r="G3713" s="69" t="s">
        <v>2023</v>
      </c>
      <c r="H3713" s="69" t="s">
        <v>52</v>
      </c>
      <c r="I3713" s="69" t="s">
        <v>2293</v>
      </c>
      <c r="J3713" s="69" t="s">
        <v>64</v>
      </c>
      <c r="K3713" s="69" t="s">
        <v>440</v>
      </c>
      <c r="M3713" s="69" t="s">
        <v>6</v>
      </c>
    </row>
    <row r="3714" spans="2:13">
      <c r="B3714" s="69">
        <v>3712</v>
      </c>
      <c r="C3714" s="69">
        <v>275</v>
      </c>
      <c r="D3714" s="69">
        <v>46</v>
      </c>
      <c r="E3714" s="69">
        <v>33</v>
      </c>
      <c r="F3714" s="69">
        <v>0</v>
      </c>
      <c r="G3714" s="69" t="s">
        <v>2023</v>
      </c>
      <c r="H3714" s="69" t="s">
        <v>52</v>
      </c>
      <c r="I3714" s="69" t="s">
        <v>2293</v>
      </c>
      <c r="J3714" s="69" t="s">
        <v>55</v>
      </c>
      <c r="K3714" s="69" t="s">
        <v>442</v>
      </c>
      <c r="M3714" s="69" t="s">
        <v>6</v>
      </c>
    </row>
    <row r="3715" spans="2:13">
      <c r="B3715" s="69">
        <v>3713</v>
      </c>
      <c r="C3715" s="69">
        <v>275</v>
      </c>
      <c r="D3715" s="69">
        <v>46</v>
      </c>
      <c r="E3715" s="69">
        <v>34</v>
      </c>
      <c r="F3715" s="69">
        <v>0</v>
      </c>
      <c r="G3715" s="69" t="s">
        <v>2023</v>
      </c>
      <c r="H3715" s="69" t="s">
        <v>52</v>
      </c>
      <c r="I3715" s="69" t="s">
        <v>2293</v>
      </c>
      <c r="J3715" s="69" t="s">
        <v>214</v>
      </c>
      <c r="K3715" s="69" t="s">
        <v>443</v>
      </c>
      <c r="M3715" s="69" t="s">
        <v>6</v>
      </c>
    </row>
    <row r="3716" spans="2:13">
      <c r="B3716" s="69">
        <v>3714</v>
      </c>
      <c r="C3716" s="69">
        <v>275</v>
      </c>
      <c r="D3716" s="69">
        <v>46</v>
      </c>
      <c r="E3716" s="69">
        <v>35</v>
      </c>
      <c r="F3716" s="69">
        <v>0</v>
      </c>
      <c r="G3716" s="69" t="s">
        <v>2023</v>
      </c>
      <c r="H3716" s="69" t="s">
        <v>52</v>
      </c>
      <c r="I3716" s="69" t="s">
        <v>2293</v>
      </c>
      <c r="J3716" s="69" t="s">
        <v>479</v>
      </c>
      <c r="K3716" s="69" t="s">
        <v>2298</v>
      </c>
      <c r="M3716" s="69" t="s">
        <v>6</v>
      </c>
    </row>
    <row r="3717" spans="2:13">
      <c r="B3717" s="69">
        <v>3715</v>
      </c>
      <c r="C3717" s="69">
        <v>275</v>
      </c>
      <c r="D3717" s="69">
        <v>46</v>
      </c>
      <c r="E3717" s="69">
        <v>36</v>
      </c>
      <c r="F3717" s="69">
        <v>0</v>
      </c>
      <c r="G3717" s="69" t="s">
        <v>2023</v>
      </c>
      <c r="H3717" s="69" t="s">
        <v>52</v>
      </c>
      <c r="I3717" s="69" t="s">
        <v>2293</v>
      </c>
      <c r="J3717" s="69" t="s">
        <v>55</v>
      </c>
      <c r="K3717" s="69" t="s">
        <v>429</v>
      </c>
      <c r="M3717" s="69" t="s">
        <v>6</v>
      </c>
    </row>
    <row r="3718" spans="2:13">
      <c r="B3718" s="69">
        <v>3716</v>
      </c>
      <c r="C3718" s="69">
        <v>275</v>
      </c>
      <c r="D3718" s="69">
        <v>46</v>
      </c>
      <c r="E3718" s="69">
        <v>37</v>
      </c>
      <c r="F3718" s="69">
        <v>0</v>
      </c>
      <c r="G3718" s="69" t="s">
        <v>2023</v>
      </c>
      <c r="H3718" s="69" t="s">
        <v>52</v>
      </c>
      <c r="I3718" s="69" t="s">
        <v>2293</v>
      </c>
      <c r="J3718" s="69" t="s">
        <v>55</v>
      </c>
      <c r="K3718" s="69" t="s">
        <v>430</v>
      </c>
      <c r="M3718" s="69" t="s">
        <v>6</v>
      </c>
    </row>
    <row r="3719" spans="2:13">
      <c r="B3719" s="69">
        <v>3717</v>
      </c>
      <c r="C3719" s="69">
        <v>275</v>
      </c>
      <c r="D3719" s="69">
        <v>46</v>
      </c>
      <c r="E3719" s="69">
        <v>38</v>
      </c>
      <c r="F3719" s="69">
        <v>0</v>
      </c>
      <c r="G3719" s="69" t="s">
        <v>2023</v>
      </c>
      <c r="H3719" s="69" t="s">
        <v>52</v>
      </c>
      <c r="I3719" s="69" t="s">
        <v>2293</v>
      </c>
      <c r="J3719" s="69" t="s">
        <v>55</v>
      </c>
      <c r="K3719" s="69" t="s">
        <v>2299</v>
      </c>
      <c r="M3719" s="69" t="s">
        <v>6</v>
      </c>
    </row>
    <row r="3720" spans="2:13">
      <c r="B3720" s="69">
        <v>3718</v>
      </c>
      <c r="C3720" s="69">
        <v>275</v>
      </c>
      <c r="D3720" s="69">
        <v>46</v>
      </c>
      <c r="E3720" s="69">
        <v>39</v>
      </c>
      <c r="F3720" s="69">
        <v>0</v>
      </c>
      <c r="G3720" s="69" t="s">
        <v>2023</v>
      </c>
      <c r="H3720" s="69" t="s">
        <v>52</v>
      </c>
      <c r="I3720" s="69" t="s">
        <v>2293</v>
      </c>
      <c r="J3720" s="69" t="s">
        <v>420</v>
      </c>
      <c r="K3720" s="69" t="s">
        <v>2300</v>
      </c>
      <c r="M3720" s="69" t="s">
        <v>6</v>
      </c>
    </row>
    <row r="3721" spans="2:13">
      <c r="B3721" s="69">
        <v>3719</v>
      </c>
      <c r="C3721" s="69">
        <v>275</v>
      </c>
      <c r="D3721" s="69">
        <v>46</v>
      </c>
      <c r="E3721" s="69">
        <v>40</v>
      </c>
      <c r="F3721" s="69">
        <v>0</v>
      </c>
      <c r="G3721" s="69" t="s">
        <v>2023</v>
      </c>
      <c r="H3721" s="69" t="s">
        <v>52</v>
      </c>
      <c r="I3721" s="69" t="s">
        <v>2293</v>
      </c>
      <c r="J3721" s="69" t="s">
        <v>55</v>
      </c>
      <c r="K3721" s="69" t="s">
        <v>2301</v>
      </c>
      <c r="M3721" s="69" t="s">
        <v>6</v>
      </c>
    </row>
    <row r="3722" spans="2:13">
      <c r="B3722" s="69">
        <v>3720</v>
      </c>
      <c r="C3722" s="69">
        <v>275</v>
      </c>
      <c r="D3722" s="69">
        <v>46</v>
      </c>
      <c r="E3722" s="69">
        <v>41</v>
      </c>
      <c r="F3722" s="69">
        <v>0</v>
      </c>
      <c r="G3722" s="69" t="s">
        <v>2023</v>
      </c>
      <c r="H3722" s="69" t="s">
        <v>52</v>
      </c>
      <c r="I3722" s="69" t="s">
        <v>2293</v>
      </c>
      <c r="J3722" s="69" t="s">
        <v>420</v>
      </c>
      <c r="K3722" s="69" t="s">
        <v>2300</v>
      </c>
      <c r="M3722" s="69" t="s">
        <v>6</v>
      </c>
    </row>
    <row r="3723" spans="2:13">
      <c r="B3723" s="69">
        <v>3721</v>
      </c>
      <c r="C3723" s="69">
        <v>275</v>
      </c>
      <c r="D3723" s="69">
        <v>46</v>
      </c>
      <c r="E3723" s="69">
        <v>42</v>
      </c>
      <c r="F3723" s="69">
        <v>0</v>
      </c>
      <c r="G3723" s="69" t="s">
        <v>2023</v>
      </c>
      <c r="H3723" s="69" t="s">
        <v>52</v>
      </c>
      <c r="I3723" s="69" t="s">
        <v>2293</v>
      </c>
      <c r="J3723" s="69" t="s">
        <v>55</v>
      </c>
      <c r="K3723" s="69" t="s">
        <v>2297</v>
      </c>
      <c r="M3723" s="69" t="s">
        <v>6</v>
      </c>
    </row>
    <row r="3724" spans="2:13">
      <c r="B3724" s="69">
        <v>3722</v>
      </c>
      <c r="C3724" s="69">
        <v>275</v>
      </c>
      <c r="D3724" s="69">
        <v>46</v>
      </c>
      <c r="E3724" s="69">
        <v>43</v>
      </c>
      <c r="F3724" s="69">
        <v>0</v>
      </c>
      <c r="G3724" s="69" t="s">
        <v>2023</v>
      </c>
      <c r="H3724" s="69" t="s">
        <v>52</v>
      </c>
      <c r="I3724" s="69" t="s">
        <v>2293</v>
      </c>
      <c r="J3724" s="69" t="s">
        <v>437</v>
      </c>
      <c r="K3724" s="69" t="s">
        <v>438</v>
      </c>
      <c r="L3724" s="69" t="s">
        <v>439</v>
      </c>
      <c r="M3724" s="69" t="s">
        <v>6</v>
      </c>
    </row>
    <row r="3725" spans="2:13">
      <c r="B3725" s="69">
        <v>3723</v>
      </c>
      <c r="C3725" s="69">
        <v>275</v>
      </c>
      <c r="D3725" s="69">
        <v>46</v>
      </c>
      <c r="E3725" s="69">
        <v>44</v>
      </c>
      <c r="F3725" s="69">
        <v>0</v>
      </c>
      <c r="G3725" s="69" t="s">
        <v>2023</v>
      </c>
      <c r="H3725" s="69" t="s">
        <v>52</v>
      </c>
      <c r="I3725" s="69" t="s">
        <v>2293</v>
      </c>
      <c r="J3725" s="69" t="s">
        <v>64</v>
      </c>
      <c r="K3725" s="69" t="s">
        <v>440</v>
      </c>
      <c r="M3725" s="69" t="s">
        <v>6</v>
      </c>
    </row>
    <row r="3726" spans="2:13">
      <c r="B3726" s="69">
        <v>3724</v>
      </c>
      <c r="C3726" s="69">
        <v>275</v>
      </c>
      <c r="D3726" s="69">
        <v>46</v>
      </c>
      <c r="E3726" s="69">
        <v>45</v>
      </c>
      <c r="F3726" s="69">
        <v>0</v>
      </c>
      <c r="G3726" s="69" t="s">
        <v>2023</v>
      </c>
      <c r="H3726" s="69" t="s">
        <v>52</v>
      </c>
      <c r="I3726" s="69" t="s">
        <v>2293</v>
      </c>
      <c r="J3726" s="69" t="s">
        <v>55</v>
      </c>
      <c r="K3726" s="69" t="s">
        <v>442</v>
      </c>
      <c r="M3726" s="69" t="s">
        <v>6</v>
      </c>
    </row>
    <row r="3727" spans="2:13">
      <c r="B3727" s="69">
        <v>3725</v>
      </c>
      <c r="C3727" s="69">
        <v>275</v>
      </c>
      <c r="D3727" s="69">
        <v>46</v>
      </c>
      <c r="E3727" s="69">
        <v>46</v>
      </c>
      <c r="F3727" s="69">
        <v>0</v>
      </c>
      <c r="G3727" s="69" t="s">
        <v>2023</v>
      </c>
      <c r="H3727" s="69" t="s">
        <v>52</v>
      </c>
      <c r="I3727" s="69" t="s">
        <v>2293</v>
      </c>
      <c r="J3727" s="69" t="s">
        <v>214</v>
      </c>
      <c r="K3727" s="69" t="s">
        <v>443</v>
      </c>
      <c r="M3727" s="69" t="s">
        <v>6</v>
      </c>
    </row>
    <row r="3728" spans="2:13">
      <c r="B3728" s="69">
        <v>3726</v>
      </c>
      <c r="C3728" s="69">
        <v>276</v>
      </c>
      <c r="D3728" s="69">
        <v>19</v>
      </c>
      <c r="E3728" s="69">
        <v>0</v>
      </c>
      <c r="F3728" s="69">
        <v>0</v>
      </c>
      <c r="G3728" s="69" t="s">
        <v>13</v>
      </c>
      <c r="H3728" s="69" t="s">
        <v>9</v>
      </c>
      <c r="I3728" s="69" t="s">
        <v>2302</v>
      </c>
      <c r="J3728" s="69" t="s">
        <v>478</v>
      </c>
      <c r="K3728" s="69" t="s">
        <v>2302</v>
      </c>
      <c r="M3728" s="69" t="s">
        <v>6</v>
      </c>
    </row>
    <row r="3729" spans="2:13">
      <c r="B3729" s="69">
        <v>3727</v>
      </c>
      <c r="C3729" s="69">
        <v>276</v>
      </c>
      <c r="D3729" s="69">
        <v>19</v>
      </c>
      <c r="E3729" s="69">
        <v>1</v>
      </c>
      <c r="F3729" s="69">
        <v>0</v>
      </c>
      <c r="G3729" s="69" t="s">
        <v>13</v>
      </c>
      <c r="H3729" s="69" t="s">
        <v>9</v>
      </c>
      <c r="I3729" s="69" t="s">
        <v>2302</v>
      </c>
      <c r="J3729" s="69" t="s">
        <v>479</v>
      </c>
      <c r="K3729" s="69" t="s">
        <v>480</v>
      </c>
      <c r="M3729" s="69" t="s">
        <v>6</v>
      </c>
    </row>
    <row r="3730" spans="2:13">
      <c r="B3730" s="69">
        <v>3728</v>
      </c>
      <c r="C3730" s="69">
        <v>276</v>
      </c>
      <c r="D3730" s="69">
        <v>19</v>
      </c>
      <c r="E3730" s="69">
        <v>2</v>
      </c>
      <c r="F3730" s="69">
        <v>0</v>
      </c>
      <c r="G3730" s="69" t="s">
        <v>13</v>
      </c>
      <c r="H3730" s="69" t="s">
        <v>9</v>
      </c>
      <c r="I3730" s="69" t="s">
        <v>2302</v>
      </c>
      <c r="J3730" s="69" t="s">
        <v>55</v>
      </c>
      <c r="K3730" s="69" t="s">
        <v>482</v>
      </c>
      <c r="M3730" s="69" t="s">
        <v>6</v>
      </c>
    </row>
    <row r="3731" spans="2:13">
      <c r="B3731" s="69">
        <v>3729</v>
      </c>
      <c r="C3731" s="69">
        <v>276</v>
      </c>
      <c r="D3731" s="69">
        <v>19</v>
      </c>
      <c r="E3731" s="69">
        <v>3</v>
      </c>
      <c r="F3731" s="69">
        <v>0</v>
      </c>
      <c r="G3731" s="69" t="s">
        <v>13</v>
      </c>
      <c r="H3731" s="69" t="s">
        <v>9</v>
      </c>
      <c r="I3731" s="69" t="s">
        <v>2302</v>
      </c>
      <c r="J3731" s="69" t="s">
        <v>214</v>
      </c>
      <c r="K3731" s="69" t="s">
        <v>2303</v>
      </c>
      <c r="M3731" s="69" t="s">
        <v>6</v>
      </c>
    </row>
    <row r="3732" spans="2:13">
      <c r="B3732" s="69">
        <v>3730</v>
      </c>
      <c r="C3732" s="69">
        <v>276</v>
      </c>
      <c r="D3732" s="69">
        <v>19</v>
      </c>
      <c r="E3732" s="69">
        <v>4</v>
      </c>
      <c r="F3732" s="69">
        <v>0</v>
      </c>
      <c r="G3732" s="69" t="s">
        <v>13</v>
      </c>
      <c r="H3732" s="69" t="s">
        <v>9</v>
      </c>
      <c r="I3732" s="69" t="s">
        <v>2302</v>
      </c>
      <c r="J3732" s="69" t="s">
        <v>99</v>
      </c>
      <c r="K3732" s="69" t="s">
        <v>484</v>
      </c>
      <c r="L3732" s="69" t="s">
        <v>2304</v>
      </c>
      <c r="M3732" s="69" t="s">
        <v>6</v>
      </c>
    </row>
    <row r="3733" spans="2:13">
      <c r="B3733" s="69">
        <v>3731</v>
      </c>
      <c r="C3733" s="69">
        <v>276</v>
      </c>
      <c r="D3733" s="69">
        <v>19</v>
      </c>
      <c r="E3733" s="69">
        <v>5</v>
      </c>
      <c r="F3733" s="69">
        <v>0</v>
      </c>
      <c r="G3733" s="69" t="s">
        <v>13</v>
      </c>
      <c r="H3733" s="69" t="s">
        <v>9</v>
      </c>
      <c r="I3733" s="69" t="s">
        <v>2302</v>
      </c>
      <c r="J3733" s="69" t="s">
        <v>64</v>
      </c>
      <c r="K3733" s="69" t="s">
        <v>2305</v>
      </c>
      <c r="M3733" s="69" t="s">
        <v>6</v>
      </c>
    </row>
    <row r="3734" spans="2:13">
      <c r="B3734" s="69">
        <v>3732</v>
      </c>
      <c r="C3734" s="69">
        <v>276</v>
      </c>
      <c r="D3734" s="69">
        <v>19</v>
      </c>
      <c r="E3734" s="69">
        <v>6</v>
      </c>
      <c r="F3734" s="69">
        <v>0</v>
      </c>
      <c r="G3734" s="69" t="s">
        <v>13</v>
      </c>
      <c r="H3734" s="69" t="s">
        <v>9</v>
      </c>
      <c r="I3734" s="69" t="s">
        <v>2302</v>
      </c>
      <c r="J3734" s="69" t="s">
        <v>479</v>
      </c>
      <c r="K3734" s="69" t="s">
        <v>522</v>
      </c>
      <c r="M3734" s="69" t="s">
        <v>6</v>
      </c>
    </row>
    <row r="3735" spans="2:13">
      <c r="B3735" s="69">
        <v>3733</v>
      </c>
      <c r="C3735" s="69">
        <v>276</v>
      </c>
      <c r="D3735" s="69">
        <v>19</v>
      </c>
      <c r="E3735" s="69">
        <v>7</v>
      </c>
      <c r="F3735" s="69">
        <v>0</v>
      </c>
      <c r="G3735" s="69" t="s">
        <v>13</v>
      </c>
      <c r="H3735" s="69" t="s">
        <v>9</v>
      </c>
      <c r="I3735" s="69" t="s">
        <v>2302</v>
      </c>
      <c r="J3735" s="69" t="s">
        <v>64</v>
      </c>
      <c r="K3735" s="69" t="s">
        <v>2306</v>
      </c>
      <c r="M3735" s="69" t="s">
        <v>6</v>
      </c>
    </row>
    <row r="3736" spans="2:13">
      <c r="B3736" s="69">
        <v>3734</v>
      </c>
      <c r="C3736" s="69">
        <v>276</v>
      </c>
      <c r="D3736" s="69">
        <v>19</v>
      </c>
      <c r="E3736" s="69">
        <v>8</v>
      </c>
      <c r="F3736" s="69">
        <v>0</v>
      </c>
      <c r="G3736" s="69" t="s">
        <v>13</v>
      </c>
      <c r="H3736" s="69" t="s">
        <v>9</v>
      </c>
      <c r="I3736" s="69" t="s">
        <v>2302</v>
      </c>
      <c r="J3736" s="69" t="s">
        <v>64</v>
      </c>
      <c r="K3736" s="69" t="s">
        <v>528</v>
      </c>
      <c r="M3736" s="69" t="s">
        <v>6</v>
      </c>
    </row>
    <row r="3737" spans="2:13">
      <c r="B3737" s="69">
        <v>3735</v>
      </c>
      <c r="C3737" s="69">
        <v>276</v>
      </c>
      <c r="D3737" s="69">
        <v>19</v>
      </c>
      <c r="E3737" s="69">
        <v>9</v>
      </c>
      <c r="F3737" s="69">
        <v>0</v>
      </c>
      <c r="G3737" s="69" t="s">
        <v>13</v>
      </c>
      <c r="H3737" s="69" t="s">
        <v>9</v>
      </c>
      <c r="I3737" s="69" t="s">
        <v>2302</v>
      </c>
      <c r="J3737" s="69" t="s">
        <v>1184</v>
      </c>
      <c r="K3737" s="69" t="s">
        <v>539</v>
      </c>
      <c r="M3737" s="69" t="s">
        <v>6</v>
      </c>
    </row>
    <row r="3738" spans="2:13">
      <c r="B3738" s="69">
        <v>3736</v>
      </c>
      <c r="C3738" s="69">
        <v>276</v>
      </c>
      <c r="D3738" s="69">
        <v>19</v>
      </c>
      <c r="E3738" s="69">
        <v>10</v>
      </c>
      <c r="F3738" s="69">
        <v>0</v>
      </c>
      <c r="G3738" s="69" t="s">
        <v>13</v>
      </c>
      <c r="H3738" s="69" t="s">
        <v>9</v>
      </c>
      <c r="I3738" s="69" t="s">
        <v>2302</v>
      </c>
      <c r="J3738" s="69" t="s">
        <v>214</v>
      </c>
      <c r="K3738" s="69" t="s">
        <v>2307</v>
      </c>
      <c r="M3738" s="69" t="s">
        <v>6</v>
      </c>
    </row>
    <row r="3739" spans="2:13">
      <c r="B3739" s="69">
        <v>3737</v>
      </c>
      <c r="C3739" s="69">
        <v>276</v>
      </c>
      <c r="D3739" s="69">
        <v>19</v>
      </c>
      <c r="E3739" s="69">
        <v>11</v>
      </c>
      <c r="F3739" s="69">
        <v>0</v>
      </c>
      <c r="G3739" s="69" t="s">
        <v>13</v>
      </c>
      <c r="H3739" s="69" t="s">
        <v>9</v>
      </c>
      <c r="I3739" s="69" t="s">
        <v>2302</v>
      </c>
      <c r="J3739" s="69" t="s">
        <v>214</v>
      </c>
      <c r="K3739" s="69" t="s">
        <v>2308</v>
      </c>
      <c r="M3739" s="69" t="s">
        <v>6</v>
      </c>
    </row>
    <row r="3740" spans="2:13">
      <c r="B3740" s="69">
        <v>3738</v>
      </c>
      <c r="C3740" s="69">
        <v>276</v>
      </c>
      <c r="D3740" s="69">
        <v>19</v>
      </c>
      <c r="E3740" s="69">
        <v>12</v>
      </c>
      <c r="F3740" s="69">
        <v>0</v>
      </c>
      <c r="G3740" s="69" t="s">
        <v>13</v>
      </c>
      <c r="H3740" s="69" t="s">
        <v>9</v>
      </c>
      <c r="I3740" s="69" t="s">
        <v>2302</v>
      </c>
      <c r="J3740" s="69" t="s">
        <v>55</v>
      </c>
      <c r="K3740" s="69" t="s">
        <v>2309</v>
      </c>
      <c r="M3740" s="69" t="s">
        <v>6</v>
      </c>
    </row>
    <row r="3741" spans="2:13">
      <c r="B3741" s="69">
        <v>3739</v>
      </c>
      <c r="C3741" s="69">
        <v>276</v>
      </c>
      <c r="D3741" s="69">
        <v>19</v>
      </c>
      <c r="E3741" s="69">
        <v>13</v>
      </c>
      <c r="F3741" s="69">
        <v>0</v>
      </c>
      <c r="G3741" s="69" t="s">
        <v>13</v>
      </c>
      <c r="H3741" s="69" t="s">
        <v>9</v>
      </c>
      <c r="I3741" s="69" t="s">
        <v>2302</v>
      </c>
      <c r="J3741" s="69" t="s">
        <v>1184</v>
      </c>
      <c r="K3741" s="69" t="s">
        <v>2310</v>
      </c>
      <c r="M3741" s="69" t="s">
        <v>6</v>
      </c>
    </row>
    <row r="3742" spans="2:13">
      <c r="B3742" s="69">
        <v>3740</v>
      </c>
      <c r="C3742" s="69">
        <v>276</v>
      </c>
      <c r="D3742" s="69">
        <v>19</v>
      </c>
      <c r="E3742" s="69">
        <v>14</v>
      </c>
      <c r="F3742" s="69">
        <v>0</v>
      </c>
      <c r="G3742" s="69" t="s">
        <v>13</v>
      </c>
      <c r="H3742" s="69" t="s">
        <v>9</v>
      </c>
      <c r="I3742" s="69" t="s">
        <v>2302</v>
      </c>
      <c r="J3742" s="69" t="s">
        <v>64</v>
      </c>
      <c r="K3742" s="69" t="s">
        <v>2311</v>
      </c>
      <c r="M3742" s="69" t="s">
        <v>6</v>
      </c>
    </row>
    <row r="3743" spans="2:13">
      <c r="B3743" s="69">
        <v>3741</v>
      </c>
      <c r="C3743" s="69">
        <v>276</v>
      </c>
      <c r="D3743" s="69">
        <v>19</v>
      </c>
      <c r="E3743" s="69">
        <v>15</v>
      </c>
      <c r="F3743" s="69">
        <v>0</v>
      </c>
      <c r="G3743" s="69" t="s">
        <v>13</v>
      </c>
      <c r="H3743" s="69" t="s">
        <v>9</v>
      </c>
      <c r="I3743" s="69" t="s">
        <v>2302</v>
      </c>
      <c r="J3743" s="69" t="s">
        <v>1184</v>
      </c>
      <c r="K3743" s="69" t="s">
        <v>2312</v>
      </c>
      <c r="M3743" s="69" t="s">
        <v>6</v>
      </c>
    </row>
    <row r="3744" spans="2:13">
      <c r="B3744" s="69">
        <v>3742</v>
      </c>
      <c r="C3744" s="69">
        <v>276</v>
      </c>
      <c r="D3744" s="69">
        <v>19</v>
      </c>
      <c r="E3744" s="69">
        <v>16</v>
      </c>
      <c r="F3744" s="69">
        <v>0</v>
      </c>
      <c r="G3744" s="69" t="s">
        <v>13</v>
      </c>
      <c r="H3744" s="69" t="s">
        <v>9</v>
      </c>
      <c r="I3744" s="69" t="s">
        <v>2302</v>
      </c>
      <c r="J3744" s="69" t="s">
        <v>214</v>
      </c>
      <c r="K3744" s="69" t="s">
        <v>2313</v>
      </c>
      <c r="M3744" s="69" t="s">
        <v>6</v>
      </c>
    </row>
    <row r="3745" spans="2:13">
      <c r="B3745" s="69">
        <v>3743</v>
      </c>
      <c r="C3745" s="69">
        <v>276</v>
      </c>
      <c r="D3745" s="69">
        <v>19</v>
      </c>
      <c r="E3745" s="69">
        <v>17</v>
      </c>
      <c r="F3745" s="69">
        <v>0</v>
      </c>
      <c r="G3745" s="69" t="s">
        <v>13</v>
      </c>
      <c r="H3745" s="69" t="s">
        <v>9</v>
      </c>
      <c r="I3745" s="69" t="s">
        <v>2302</v>
      </c>
      <c r="J3745" s="69" t="s">
        <v>214</v>
      </c>
      <c r="K3745" s="69" t="s">
        <v>2314</v>
      </c>
      <c r="M3745" s="69" t="s">
        <v>6</v>
      </c>
    </row>
    <row r="3746" spans="2:13">
      <c r="B3746" s="69">
        <v>3744</v>
      </c>
      <c r="C3746" s="69">
        <v>276</v>
      </c>
      <c r="D3746" s="69">
        <v>19</v>
      </c>
      <c r="E3746" s="69">
        <v>18</v>
      </c>
      <c r="F3746" s="69">
        <v>0</v>
      </c>
      <c r="G3746" s="69" t="s">
        <v>13</v>
      </c>
      <c r="H3746" s="69" t="s">
        <v>9</v>
      </c>
      <c r="I3746" s="69" t="s">
        <v>2302</v>
      </c>
      <c r="J3746" s="69" t="s">
        <v>55</v>
      </c>
      <c r="K3746" s="69" t="s">
        <v>2315</v>
      </c>
      <c r="M3746" s="69" t="s">
        <v>6</v>
      </c>
    </row>
    <row r="3747" spans="2:13">
      <c r="B3747" s="69">
        <v>3745</v>
      </c>
      <c r="C3747" s="69">
        <v>276</v>
      </c>
      <c r="D3747" s="69">
        <v>19</v>
      </c>
      <c r="E3747" s="69">
        <v>19</v>
      </c>
      <c r="F3747" s="69">
        <v>0</v>
      </c>
      <c r="G3747" s="69" t="s">
        <v>13</v>
      </c>
      <c r="H3747" s="69" t="s">
        <v>9</v>
      </c>
      <c r="I3747" s="69" t="s">
        <v>2302</v>
      </c>
      <c r="J3747" s="69" t="s">
        <v>64</v>
      </c>
      <c r="K3747" s="69" t="s">
        <v>733</v>
      </c>
      <c r="M3747" s="69" t="s">
        <v>6</v>
      </c>
    </row>
    <row r="3748" spans="2:13">
      <c r="B3748" s="69">
        <v>3746</v>
      </c>
      <c r="C3748" s="69">
        <v>277</v>
      </c>
      <c r="D3748" s="69">
        <v>8</v>
      </c>
      <c r="E3748" s="69">
        <v>0</v>
      </c>
      <c r="F3748" s="69">
        <v>0</v>
      </c>
      <c r="G3748" s="69" t="s">
        <v>18</v>
      </c>
      <c r="H3748" s="69" t="s">
        <v>52</v>
      </c>
      <c r="I3748" s="69" t="s">
        <v>2316</v>
      </c>
      <c r="J3748" s="69" t="s">
        <v>47</v>
      </c>
      <c r="K3748" s="69" t="s">
        <v>2316</v>
      </c>
      <c r="M3748" s="69" t="s">
        <v>6</v>
      </c>
    </row>
    <row r="3749" spans="2:13">
      <c r="B3749" s="69">
        <v>3747</v>
      </c>
      <c r="C3749" s="69">
        <v>277</v>
      </c>
      <c r="D3749" s="69">
        <v>8</v>
      </c>
      <c r="E3749" s="69">
        <v>1</v>
      </c>
      <c r="F3749" s="69">
        <v>0</v>
      </c>
      <c r="G3749" s="69" t="s">
        <v>18</v>
      </c>
      <c r="H3749" s="69" t="s">
        <v>52</v>
      </c>
      <c r="I3749" s="69" t="s">
        <v>2316</v>
      </c>
      <c r="J3749" s="69" t="s">
        <v>55</v>
      </c>
      <c r="K3749" s="69" t="s">
        <v>429</v>
      </c>
      <c r="M3749" s="69" t="s">
        <v>6</v>
      </c>
    </row>
    <row r="3750" spans="2:13">
      <c r="B3750" s="69">
        <v>3748</v>
      </c>
      <c r="C3750" s="69">
        <v>277</v>
      </c>
      <c r="D3750" s="69">
        <v>8</v>
      </c>
      <c r="E3750" s="69">
        <v>2</v>
      </c>
      <c r="F3750" s="69">
        <v>0</v>
      </c>
      <c r="G3750" s="69" t="s">
        <v>18</v>
      </c>
      <c r="H3750" s="69" t="s">
        <v>52</v>
      </c>
      <c r="I3750" s="69" t="s">
        <v>2316</v>
      </c>
      <c r="J3750" s="69" t="s">
        <v>55</v>
      </c>
      <c r="K3750" s="69" t="s">
        <v>2317</v>
      </c>
      <c r="M3750" s="69" t="s">
        <v>6</v>
      </c>
    </row>
    <row r="3751" spans="2:13">
      <c r="B3751" s="69">
        <v>3749</v>
      </c>
      <c r="C3751" s="69">
        <v>277</v>
      </c>
      <c r="D3751" s="69">
        <v>8</v>
      </c>
      <c r="E3751" s="69">
        <v>3</v>
      </c>
      <c r="F3751" s="69">
        <v>0</v>
      </c>
      <c r="G3751" s="69" t="s">
        <v>18</v>
      </c>
      <c r="H3751" s="69" t="s">
        <v>52</v>
      </c>
      <c r="I3751" s="69" t="s">
        <v>2316</v>
      </c>
      <c r="J3751" s="69" t="s">
        <v>55</v>
      </c>
      <c r="K3751" s="69" t="s">
        <v>155</v>
      </c>
      <c r="M3751" s="69" t="s">
        <v>6</v>
      </c>
    </row>
    <row r="3752" spans="2:13">
      <c r="B3752" s="69">
        <v>3750</v>
      </c>
      <c r="C3752" s="69">
        <v>277</v>
      </c>
      <c r="D3752" s="69">
        <v>8</v>
      </c>
      <c r="E3752" s="69">
        <v>4</v>
      </c>
      <c r="F3752" s="69">
        <v>0</v>
      </c>
      <c r="G3752" s="69" t="s">
        <v>18</v>
      </c>
      <c r="H3752" s="69" t="s">
        <v>52</v>
      </c>
      <c r="I3752" s="69" t="s">
        <v>2316</v>
      </c>
      <c r="J3752" s="69" t="s">
        <v>55</v>
      </c>
      <c r="K3752" s="69" t="s">
        <v>2318</v>
      </c>
      <c r="M3752" s="69" t="s">
        <v>6</v>
      </c>
    </row>
    <row r="3753" spans="2:13">
      <c r="B3753" s="69">
        <v>3751</v>
      </c>
      <c r="C3753" s="69">
        <v>277</v>
      </c>
      <c r="D3753" s="69">
        <v>8</v>
      </c>
      <c r="E3753" s="69">
        <v>5</v>
      </c>
      <c r="F3753" s="69">
        <v>0</v>
      </c>
      <c r="G3753" s="69" t="s">
        <v>18</v>
      </c>
      <c r="H3753" s="69" t="s">
        <v>52</v>
      </c>
      <c r="I3753" s="69" t="s">
        <v>2316</v>
      </c>
      <c r="J3753" s="69" t="s">
        <v>55</v>
      </c>
      <c r="K3753" s="69" t="s">
        <v>2319</v>
      </c>
      <c r="M3753" s="69" t="s">
        <v>6</v>
      </c>
    </row>
    <row r="3754" spans="2:13">
      <c r="B3754" s="69">
        <v>3752</v>
      </c>
      <c r="C3754" s="69">
        <v>277</v>
      </c>
      <c r="D3754" s="69">
        <v>8</v>
      </c>
      <c r="E3754" s="69">
        <v>6</v>
      </c>
      <c r="F3754" s="69">
        <v>0</v>
      </c>
      <c r="G3754" s="69" t="s">
        <v>18</v>
      </c>
      <c r="H3754" s="69" t="s">
        <v>52</v>
      </c>
      <c r="I3754" s="69" t="s">
        <v>2316</v>
      </c>
      <c r="J3754" s="69" t="s">
        <v>64</v>
      </c>
      <c r="K3754" s="69" t="s">
        <v>440</v>
      </c>
      <c r="M3754" s="69" t="s">
        <v>6</v>
      </c>
    </row>
    <row r="3755" spans="2:13">
      <c r="B3755" s="69">
        <v>3753</v>
      </c>
      <c r="C3755" s="69">
        <v>277</v>
      </c>
      <c r="D3755" s="69">
        <v>8</v>
      </c>
      <c r="E3755" s="69">
        <v>7</v>
      </c>
      <c r="F3755" s="69">
        <v>0</v>
      </c>
      <c r="G3755" s="69" t="s">
        <v>18</v>
      </c>
      <c r="H3755" s="69" t="s">
        <v>52</v>
      </c>
      <c r="I3755" s="69" t="s">
        <v>2316</v>
      </c>
      <c r="J3755" s="69" t="s">
        <v>55</v>
      </c>
      <c r="K3755" s="69" t="s">
        <v>442</v>
      </c>
      <c r="M3755" s="69" t="s">
        <v>6</v>
      </c>
    </row>
    <row r="3756" spans="2:13">
      <c r="B3756" s="69">
        <v>3754</v>
      </c>
      <c r="C3756" s="69">
        <v>277</v>
      </c>
      <c r="D3756" s="69">
        <v>8</v>
      </c>
      <c r="E3756" s="69">
        <v>8</v>
      </c>
      <c r="F3756" s="69">
        <v>0</v>
      </c>
      <c r="G3756" s="69" t="s">
        <v>18</v>
      </c>
      <c r="H3756" s="69" t="s">
        <v>52</v>
      </c>
      <c r="I3756" s="69" t="s">
        <v>2316</v>
      </c>
      <c r="J3756" s="69" t="s">
        <v>214</v>
      </c>
      <c r="K3756" s="69" t="s">
        <v>443</v>
      </c>
      <c r="M3756" s="69" t="s">
        <v>6</v>
      </c>
    </row>
    <row r="3757" spans="2:13">
      <c r="B3757" s="69">
        <v>3755</v>
      </c>
      <c r="C3757" s="69">
        <v>278</v>
      </c>
      <c r="D3757" s="69">
        <v>50</v>
      </c>
      <c r="E3757" s="69">
        <v>0</v>
      </c>
      <c r="F3757" s="69">
        <v>0</v>
      </c>
      <c r="G3757" s="69" t="s">
        <v>2023</v>
      </c>
      <c r="H3757" s="69" t="s">
        <v>52</v>
      </c>
      <c r="I3757" s="69" t="s">
        <v>2320</v>
      </c>
      <c r="J3757" s="69" t="s">
        <v>478</v>
      </c>
      <c r="K3757" s="69" t="s">
        <v>2320</v>
      </c>
      <c r="L3757" s="69" t="s">
        <v>481</v>
      </c>
      <c r="M3757" s="69" t="s">
        <v>6</v>
      </c>
    </row>
    <row r="3758" spans="2:13">
      <c r="B3758" s="69">
        <v>3756</v>
      </c>
      <c r="C3758" s="69">
        <v>278</v>
      </c>
      <c r="D3758" s="69">
        <v>50</v>
      </c>
      <c r="E3758" s="69">
        <v>1</v>
      </c>
      <c r="F3758" s="69">
        <v>0</v>
      </c>
      <c r="G3758" s="69" t="s">
        <v>2023</v>
      </c>
      <c r="H3758" s="69" t="s">
        <v>52</v>
      </c>
      <c r="I3758" s="69" t="s">
        <v>2320</v>
      </c>
      <c r="J3758" s="69" t="s">
        <v>479</v>
      </c>
      <c r="K3758" s="69" t="s">
        <v>2321</v>
      </c>
      <c r="M3758" s="69" t="s">
        <v>6</v>
      </c>
    </row>
    <row r="3759" spans="2:13">
      <c r="B3759" s="69">
        <v>3757</v>
      </c>
      <c r="C3759" s="69">
        <v>278</v>
      </c>
      <c r="D3759" s="69">
        <v>50</v>
      </c>
      <c r="E3759" s="69">
        <v>2</v>
      </c>
      <c r="F3759" s="69">
        <v>0</v>
      </c>
      <c r="G3759" s="69" t="s">
        <v>2023</v>
      </c>
      <c r="H3759" s="69" t="s">
        <v>52</v>
      </c>
      <c r="I3759" s="69" t="s">
        <v>2320</v>
      </c>
      <c r="J3759" s="69" t="s">
        <v>55</v>
      </c>
      <c r="K3759" s="69" t="s">
        <v>429</v>
      </c>
      <c r="M3759" s="69" t="s">
        <v>6</v>
      </c>
    </row>
    <row r="3760" spans="2:13">
      <c r="B3760" s="69">
        <v>3758</v>
      </c>
      <c r="C3760" s="69">
        <v>278</v>
      </c>
      <c r="D3760" s="69">
        <v>50</v>
      </c>
      <c r="E3760" s="69">
        <v>3</v>
      </c>
      <c r="F3760" s="69">
        <v>0</v>
      </c>
      <c r="G3760" s="69" t="s">
        <v>2023</v>
      </c>
      <c r="H3760" s="69" t="s">
        <v>52</v>
      </c>
      <c r="I3760" s="69" t="s">
        <v>2320</v>
      </c>
      <c r="J3760" s="69" t="s">
        <v>437</v>
      </c>
      <c r="K3760" s="69" t="s">
        <v>2322</v>
      </c>
      <c r="L3760" s="69" t="s">
        <v>2040</v>
      </c>
      <c r="M3760" s="69" t="s">
        <v>6</v>
      </c>
    </row>
    <row r="3761" spans="2:13">
      <c r="B3761" s="69">
        <v>3759</v>
      </c>
      <c r="C3761" s="69">
        <v>278</v>
      </c>
      <c r="D3761" s="69">
        <v>50</v>
      </c>
      <c r="E3761" s="69">
        <v>4</v>
      </c>
      <c r="F3761" s="69">
        <v>0</v>
      </c>
      <c r="G3761" s="69" t="s">
        <v>2023</v>
      </c>
      <c r="H3761" s="69" t="s">
        <v>52</v>
      </c>
      <c r="I3761" s="69" t="s">
        <v>2320</v>
      </c>
      <c r="J3761" s="69" t="s">
        <v>437</v>
      </c>
      <c r="K3761" s="69" t="s">
        <v>2323</v>
      </c>
      <c r="L3761" s="69" t="s">
        <v>2040</v>
      </c>
      <c r="M3761" s="69" t="s">
        <v>6</v>
      </c>
    </row>
    <row r="3762" spans="2:13">
      <c r="B3762" s="69">
        <v>3760</v>
      </c>
      <c r="C3762" s="69">
        <v>278</v>
      </c>
      <c r="D3762" s="69">
        <v>50</v>
      </c>
      <c r="E3762" s="69">
        <v>5</v>
      </c>
      <c r="F3762" s="69">
        <v>0</v>
      </c>
      <c r="G3762" s="69" t="s">
        <v>2023</v>
      </c>
      <c r="H3762" s="69" t="s">
        <v>52</v>
      </c>
      <c r="I3762" s="69" t="s">
        <v>2320</v>
      </c>
      <c r="J3762" s="69" t="s">
        <v>437</v>
      </c>
      <c r="K3762" s="69" t="s">
        <v>2324</v>
      </c>
      <c r="L3762" s="69" t="s">
        <v>2040</v>
      </c>
      <c r="M3762" s="69" t="s">
        <v>6</v>
      </c>
    </row>
    <row r="3763" spans="2:13">
      <c r="B3763" s="69">
        <v>3761</v>
      </c>
      <c r="C3763" s="69">
        <v>278</v>
      </c>
      <c r="D3763" s="69">
        <v>50</v>
      </c>
      <c r="E3763" s="69">
        <v>6</v>
      </c>
      <c r="F3763" s="69">
        <v>0</v>
      </c>
      <c r="G3763" s="69" t="s">
        <v>2023</v>
      </c>
      <c r="H3763" s="69" t="s">
        <v>52</v>
      </c>
      <c r="I3763" s="69" t="s">
        <v>2320</v>
      </c>
      <c r="J3763" s="69" t="s">
        <v>437</v>
      </c>
      <c r="K3763" s="69" t="s">
        <v>913</v>
      </c>
      <c r="L3763" s="69" t="s">
        <v>2040</v>
      </c>
      <c r="M3763" s="69" t="s">
        <v>6</v>
      </c>
    </row>
    <row r="3764" spans="2:13">
      <c r="B3764" s="69">
        <v>3762</v>
      </c>
      <c r="C3764" s="69">
        <v>278</v>
      </c>
      <c r="D3764" s="69">
        <v>50</v>
      </c>
      <c r="E3764" s="69">
        <v>7</v>
      </c>
      <c r="F3764" s="69">
        <v>0</v>
      </c>
      <c r="G3764" s="69" t="s">
        <v>2023</v>
      </c>
      <c r="H3764" s="69" t="s">
        <v>52</v>
      </c>
      <c r="I3764" s="69" t="s">
        <v>2320</v>
      </c>
      <c r="J3764" s="69" t="s">
        <v>437</v>
      </c>
      <c r="K3764" s="69" t="s">
        <v>915</v>
      </c>
      <c r="L3764" s="69" t="s">
        <v>2040</v>
      </c>
      <c r="M3764" s="69" t="s">
        <v>6</v>
      </c>
    </row>
    <row r="3765" spans="2:13">
      <c r="B3765" s="69">
        <v>3763</v>
      </c>
      <c r="C3765" s="69">
        <v>278</v>
      </c>
      <c r="D3765" s="69">
        <v>50</v>
      </c>
      <c r="E3765" s="69">
        <v>8</v>
      </c>
      <c r="F3765" s="69">
        <v>0</v>
      </c>
      <c r="G3765" s="69" t="s">
        <v>2023</v>
      </c>
      <c r="H3765" s="69" t="s">
        <v>52</v>
      </c>
      <c r="I3765" s="69" t="s">
        <v>2320</v>
      </c>
      <c r="J3765" s="69" t="s">
        <v>55</v>
      </c>
      <c r="K3765" s="69" t="s">
        <v>916</v>
      </c>
      <c r="M3765" s="69" t="s">
        <v>6</v>
      </c>
    </row>
    <row r="3766" spans="2:13">
      <c r="B3766" s="69">
        <v>3764</v>
      </c>
      <c r="C3766" s="69">
        <v>278</v>
      </c>
      <c r="D3766" s="69">
        <v>50</v>
      </c>
      <c r="E3766" s="69">
        <v>9</v>
      </c>
      <c r="F3766" s="69">
        <v>0</v>
      </c>
      <c r="G3766" s="69" t="s">
        <v>2023</v>
      </c>
      <c r="H3766" s="69" t="s">
        <v>52</v>
      </c>
      <c r="I3766" s="69" t="s">
        <v>2320</v>
      </c>
      <c r="J3766" s="69" t="s">
        <v>479</v>
      </c>
      <c r="K3766" s="69" t="s">
        <v>2325</v>
      </c>
      <c r="M3766" s="69" t="s">
        <v>6</v>
      </c>
    </row>
    <row r="3767" spans="2:13">
      <c r="B3767" s="69">
        <v>3765</v>
      </c>
      <c r="C3767" s="69">
        <v>278</v>
      </c>
      <c r="D3767" s="69">
        <v>50</v>
      </c>
      <c r="E3767" s="69">
        <v>10</v>
      </c>
      <c r="F3767" s="69">
        <v>0</v>
      </c>
      <c r="G3767" s="69" t="s">
        <v>2023</v>
      </c>
      <c r="H3767" s="69" t="s">
        <v>52</v>
      </c>
      <c r="I3767" s="69" t="s">
        <v>2320</v>
      </c>
      <c r="J3767" s="69" t="s">
        <v>55</v>
      </c>
      <c r="K3767" s="69" t="s">
        <v>429</v>
      </c>
      <c r="M3767" s="69" t="s">
        <v>6</v>
      </c>
    </row>
    <row r="3768" spans="2:13">
      <c r="B3768" s="69">
        <v>3766</v>
      </c>
      <c r="C3768" s="69">
        <v>278</v>
      </c>
      <c r="D3768" s="69">
        <v>50</v>
      </c>
      <c r="E3768" s="69">
        <v>11</v>
      </c>
      <c r="F3768" s="69">
        <v>0</v>
      </c>
      <c r="G3768" s="69" t="s">
        <v>2023</v>
      </c>
      <c r="H3768" s="69" t="s">
        <v>52</v>
      </c>
      <c r="I3768" s="69" t="s">
        <v>2320</v>
      </c>
      <c r="J3768" s="69" t="s">
        <v>55</v>
      </c>
      <c r="K3768" s="69" t="s">
        <v>430</v>
      </c>
      <c r="M3768" s="69" t="s">
        <v>6</v>
      </c>
    </row>
    <row r="3769" spans="2:13">
      <c r="B3769" s="69">
        <v>3767</v>
      </c>
      <c r="C3769" s="69">
        <v>278</v>
      </c>
      <c r="D3769" s="69">
        <v>50</v>
      </c>
      <c r="E3769" s="69">
        <v>12</v>
      </c>
      <c r="F3769" s="69">
        <v>0</v>
      </c>
      <c r="G3769" s="69" t="s">
        <v>2023</v>
      </c>
      <c r="H3769" s="69" t="s">
        <v>52</v>
      </c>
      <c r="I3769" s="69" t="s">
        <v>2320</v>
      </c>
      <c r="J3769" s="69" t="s">
        <v>55</v>
      </c>
      <c r="K3769" s="69" t="s">
        <v>2025</v>
      </c>
      <c r="M3769" s="69" t="s">
        <v>6</v>
      </c>
    </row>
    <row r="3770" spans="2:13">
      <c r="B3770" s="69">
        <v>3768</v>
      </c>
      <c r="C3770" s="69">
        <v>278</v>
      </c>
      <c r="D3770" s="69">
        <v>50</v>
      </c>
      <c r="E3770" s="69">
        <v>13</v>
      </c>
      <c r="F3770" s="69">
        <v>0</v>
      </c>
      <c r="G3770" s="69" t="s">
        <v>2023</v>
      </c>
      <c r="H3770" s="69" t="s">
        <v>52</v>
      </c>
      <c r="I3770" s="69" t="s">
        <v>2320</v>
      </c>
      <c r="J3770" s="69" t="s">
        <v>55</v>
      </c>
      <c r="K3770" s="69" t="s">
        <v>2326</v>
      </c>
      <c r="M3770" s="69" t="s">
        <v>6</v>
      </c>
    </row>
    <row r="3771" spans="2:13">
      <c r="B3771" s="69">
        <v>3769</v>
      </c>
      <c r="C3771" s="69">
        <v>278</v>
      </c>
      <c r="D3771" s="69">
        <v>50</v>
      </c>
      <c r="E3771" s="69">
        <v>14</v>
      </c>
      <c r="F3771" s="69">
        <v>0</v>
      </c>
      <c r="G3771" s="69" t="s">
        <v>2023</v>
      </c>
      <c r="H3771" s="69" t="s">
        <v>52</v>
      </c>
      <c r="I3771" s="69" t="s">
        <v>2320</v>
      </c>
      <c r="J3771" s="69" t="s">
        <v>55</v>
      </c>
      <c r="K3771" s="69" t="s">
        <v>2327</v>
      </c>
      <c r="M3771" s="69" t="s">
        <v>6</v>
      </c>
    </row>
    <row r="3772" spans="2:13">
      <c r="B3772" s="69">
        <v>3770</v>
      </c>
      <c r="C3772" s="69">
        <v>278</v>
      </c>
      <c r="D3772" s="69">
        <v>50</v>
      </c>
      <c r="E3772" s="69">
        <v>15</v>
      </c>
      <c r="F3772" s="69">
        <v>0</v>
      </c>
      <c r="G3772" s="69" t="s">
        <v>2023</v>
      </c>
      <c r="H3772" s="69" t="s">
        <v>52</v>
      </c>
      <c r="I3772" s="69" t="s">
        <v>2320</v>
      </c>
      <c r="J3772" s="69" t="s">
        <v>55</v>
      </c>
      <c r="K3772" s="69" t="s">
        <v>2328</v>
      </c>
      <c r="M3772" s="69" t="s">
        <v>6</v>
      </c>
    </row>
    <row r="3773" spans="2:13">
      <c r="B3773" s="69">
        <v>3771</v>
      </c>
      <c r="C3773" s="69">
        <v>278</v>
      </c>
      <c r="D3773" s="69">
        <v>50</v>
      </c>
      <c r="E3773" s="69">
        <v>16</v>
      </c>
      <c r="F3773" s="69">
        <v>0</v>
      </c>
      <c r="G3773" s="69" t="s">
        <v>2023</v>
      </c>
      <c r="H3773" s="69" t="s">
        <v>52</v>
      </c>
      <c r="I3773" s="69" t="s">
        <v>2320</v>
      </c>
      <c r="J3773" s="69" t="s">
        <v>55</v>
      </c>
      <c r="K3773" s="69" t="s">
        <v>2329</v>
      </c>
      <c r="M3773" s="69" t="s">
        <v>6</v>
      </c>
    </row>
    <row r="3774" spans="2:13">
      <c r="B3774" s="69">
        <v>3772</v>
      </c>
      <c r="C3774" s="69">
        <v>278</v>
      </c>
      <c r="D3774" s="69">
        <v>50</v>
      </c>
      <c r="E3774" s="69">
        <v>17</v>
      </c>
      <c r="F3774" s="69">
        <v>0</v>
      </c>
      <c r="G3774" s="69" t="s">
        <v>2023</v>
      </c>
      <c r="H3774" s="69" t="s">
        <v>52</v>
      </c>
      <c r="I3774" s="69" t="s">
        <v>2320</v>
      </c>
      <c r="J3774" s="69" t="s">
        <v>55</v>
      </c>
      <c r="K3774" s="69" t="s">
        <v>2330</v>
      </c>
      <c r="M3774" s="69" t="s">
        <v>6</v>
      </c>
    </row>
    <row r="3775" spans="2:13">
      <c r="B3775" s="69">
        <v>3773</v>
      </c>
      <c r="C3775" s="69">
        <v>278</v>
      </c>
      <c r="D3775" s="69">
        <v>50</v>
      </c>
      <c r="E3775" s="69">
        <v>18</v>
      </c>
      <c r="F3775" s="69">
        <v>0</v>
      </c>
      <c r="G3775" s="69" t="s">
        <v>2023</v>
      </c>
      <c r="H3775" s="69" t="s">
        <v>52</v>
      </c>
      <c r="I3775" s="69" t="s">
        <v>2320</v>
      </c>
      <c r="J3775" s="69" t="s">
        <v>55</v>
      </c>
      <c r="K3775" s="69" t="s">
        <v>2331</v>
      </c>
      <c r="M3775" s="69" t="s">
        <v>6</v>
      </c>
    </row>
    <row r="3776" spans="2:13">
      <c r="B3776" s="69">
        <v>3774</v>
      </c>
      <c r="C3776" s="69">
        <v>278</v>
      </c>
      <c r="D3776" s="69">
        <v>50</v>
      </c>
      <c r="E3776" s="69">
        <v>19</v>
      </c>
      <c r="F3776" s="69">
        <v>0</v>
      </c>
      <c r="G3776" s="69" t="s">
        <v>2023</v>
      </c>
      <c r="H3776" s="69" t="s">
        <v>52</v>
      </c>
      <c r="I3776" s="69" t="s">
        <v>2320</v>
      </c>
      <c r="J3776" s="69" t="s">
        <v>55</v>
      </c>
      <c r="K3776" s="69" t="s">
        <v>441</v>
      </c>
      <c r="M3776" s="69" t="s">
        <v>6</v>
      </c>
    </row>
    <row r="3777" spans="2:13">
      <c r="B3777" s="69">
        <v>3775</v>
      </c>
      <c r="C3777" s="69">
        <v>278</v>
      </c>
      <c r="D3777" s="69">
        <v>50</v>
      </c>
      <c r="E3777" s="69">
        <v>20</v>
      </c>
      <c r="F3777" s="69">
        <v>0</v>
      </c>
      <c r="G3777" s="69" t="s">
        <v>2023</v>
      </c>
      <c r="H3777" s="69" t="s">
        <v>52</v>
      </c>
      <c r="I3777" s="69" t="s">
        <v>2320</v>
      </c>
      <c r="J3777" s="69" t="s">
        <v>437</v>
      </c>
      <c r="K3777" s="69" t="s">
        <v>438</v>
      </c>
      <c r="L3777" s="69" t="s">
        <v>439</v>
      </c>
      <c r="M3777" s="69" t="s">
        <v>6</v>
      </c>
    </row>
    <row r="3778" spans="2:13">
      <c r="B3778" s="69">
        <v>3776</v>
      </c>
      <c r="C3778" s="69">
        <v>278</v>
      </c>
      <c r="D3778" s="69">
        <v>50</v>
      </c>
      <c r="E3778" s="69">
        <v>21</v>
      </c>
      <c r="F3778" s="69">
        <v>0</v>
      </c>
      <c r="G3778" s="69" t="s">
        <v>2023</v>
      </c>
      <c r="H3778" s="69" t="s">
        <v>52</v>
      </c>
      <c r="I3778" s="69" t="s">
        <v>2320</v>
      </c>
      <c r="J3778" s="69" t="s">
        <v>64</v>
      </c>
      <c r="K3778" s="69" t="s">
        <v>440</v>
      </c>
      <c r="M3778" s="69" t="s">
        <v>6</v>
      </c>
    </row>
    <row r="3779" spans="2:13">
      <c r="B3779" s="69">
        <v>3777</v>
      </c>
      <c r="C3779" s="69">
        <v>278</v>
      </c>
      <c r="D3779" s="69">
        <v>50</v>
      </c>
      <c r="E3779" s="69">
        <v>22</v>
      </c>
      <c r="F3779" s="69">
        <v>0</v>
      </c>
      <c r="G3779" s="69" t="s">
        <v>2023</v>
      </c>
      <c r="H3779" s="69" t="s">
        <v>52</v>
      </c>
      <c r="I3779" s="69" t="s">
        <v>2320</v>
      </c>
      <c r="J3779" s="69" t="s">
        <v>479</v>
      </c>
      <c r="K3779" s="69" t="s">
        <v>2332</v>
      </c>
      <c r="M3779" s="69" t="s">
        <v>6</v>
      </c>
    </row>
    <row r="3780" spans="2:13">
      <c r="B3780" s="69">
        <v>3778</v>
      </c>
      <c r="C3780" s="69">
        <v>278</v>
      </c>
      <c r="D3780" s="69">
        <v>50</v>
      </c>
      <c r="E3780" s="69">
        <v>23</v>
      </c>
      <c r="F3780" s="69">
        <v>0</v>
      </c>
      <c r="G3780" s="69" t="s">
        <v>2023</v>
      </c>
      <c r="H3780" s="69" t="s">
        <v>52</v>
      </c>
      <c r="I3780" s="69" t="s">
        <v>2320</v>
      </c>
      <c r="J3780" s="69" t="s">
        <v>55</v>
      </c>
      <c r="K3780" s="69" t="s">
        <v>429</v>
      </c>
      <c r="M3780" s="69" t="s">
        <v>6</v>
      </c>
    </row>
    <row r="3781" spans="2:13">
      <c r="B3781" s="69">
        <v>3779</v>
      </c>
      <c r="C3781" s="69">
        <v>278</v>
      </c>
      <c r="D3781" s="69">
        <v>50</v>
      </c>
      <c r="E3781" s="69">
        <v>24</v>
      </c>
      <c r="F3781" s="69">
        <v>0</v>
      </c>
      <c r="G3781" s="69" t="s">
        <v>2023</v>
      </c>
      <c r="H3781" s="69" t="s">
        <v>52</v>
      </c>
      <c r="I3781" s="69" t="s">
        <v>2320</v>
      </c>
      <c r="J3781" s="69" t="s">
        <v>55</v>
      </c>
      <c r="K3781" s="69" t="s">
        <v>430</v>
      </c>
      <c r="M3781" s="69" t="s">
        <v>6</v>
      </c>
    </row>
    <row r="3782" spans="2:13">
      <c r="B3782" s="69">
        <v>3780</v>
      </c>
      <c r="C3782" s="69">
        <v>278</v>
      </c>
      <c r="D3782" s="69">
        <v>50</v>
      </c>
      <c r="E3782" s="69">
        <v>25</v>
      </c>
      <c r="F3782" s="69">
        <v>0</v>
      </c>
      <c r="G3782" s="69" t="s">
        <v>2023</v>
      </c>
      <c r="H3782" s="69" t="s">
        <v>52</v>
      </c>
      <c r="I3782" s="69" t="s">
        <v>2320</v>
      </c>
      <c r="J3782" s="69" t="s">
        <v>55</v>
      </c>
      <c r="K3782" s="69" t="s">
        <v>2025</v>
      </c>
      <c r="M3782" s="69" t="s">
        <v>6</v>
      </c>
    </row>
    <row r="3783" spans="2:13">
      <c r="B3783" s="69">
        <v>3781</v>
      </c>
      <c r="C3783" s="69">
        <v>278</v>
      </c>
      <c r="D3783" s="69">
        <v>50</v>
      </c>
      <c r="E3783" s="69">
        <v>26</v>
      </c>
      <c r="F3783" s="69">
        <v>0</v>
      </c>
      <c r="G3783" s="69" t="s">
        <v>2023</v>
      </c>
      <c r="H3783" s="69" t="s">
        <v>52</v>
      </c>
      <c r="I3783" s="69" t="s">
        <v>2320</v>
      </c>
      <c r="J3783" s="69" t="s">
        <v>55</v>
      </c>
      <c r="K3783" s="69" t="s">
        <v>2333</v>
      </c>
      <c r="M3783" s="69" t="s">
        <v>6</v>
      </c>
    </row>
    <row r="3784" spans="2:13">
      <c r="B3784" s="69">
        <v>3782</v>
      </c>
      <c r="C3784" s="69">
        <v>278</v>
      </c>
      <c r="D3784" s="69">
        <v>50</v>
      </c>
      <c r="E3784" s="69">
        <v>27</v>
      </c>
      <c r="F3784" s="69">
        <v>0</v>
      </c>
      <c r="G3784" s="69" t="s">
        <v>2023</v>
      </c>
      <c r="H3784" s="69" t="s">
        <v>52</v>
      </c>
      <c r="I3784" s="69" t="s">
        <v>2320</v>
      </c>
      <c r="J3784" s="69" t="s">
        <v>55</v>
      </c>
      <c r="K3784" s="69" t="s">
        <v>2334</v>
      </c>
      <c r="M3784" s="69" t="s">
        <v>6</v>
      </c>
    </row>
    <row r="3785" spans="2:13">
      <c r="B3785" s="69">
        <v>3783</v>
      </c>
      <c r="C3785" s="69">
        <v>278</v>
      </c>
      <c r="D3785" s="69">
        <v>50</v>
      </c>
      <c r="E3785" s="69">
        <v>28</v>
      </c>
      <c r="F3785" s="69">
        <v>0</v>
      </c>
      <c r="G3785" s="69" t="s">
        <v>2023</v>
      </c>
      <c r="H3785" s="69" t="s">
        <v>52</v>
      </c>
      <c r="I3785" s="69" t="s">
        <v>2320</v>
      </c>
      <c r="J3785" s="69" t="s">
        <v>55</v>
      </c>
      <c r="K3785" s="69" t="s">
        <v>2335</v>
      </c>
      <c r="M3785" s="69" t="s">
        <v>6</v>
      </c>
    </row>
    <row r="3786" spans="2:13">
      <c r="B3786" s="69">
        <v>3784</v>
      </c>
      <c r="C3786" s="69">
        <v>278</v>
      </c>
      <c r="D3786" s="69">
        <v>50</v>
      </c>
      <c r="E3786" s="69">
        <v>29</v>
      </c>
      <c r="F3786" s="69">
        <v>0</v>
      </c>
      <c r="G3786" s="69" t="s">
        <v>2023</v>
      </c>
      <c r="H3786" s="69" t="s">
        <v>52</v>
      </c>
      <c r="I3786" s="69" t="s">
        <v>2320</v>
      </c>
      <c r="J3786" s="69" t="s">
        <v>55</v>
      </c>
      <c r="K3786" s="69" t="s">
        <v>2336</v>
      </c>
      <c r="M3786" s="69" t="s">
        <v>6</v>
      </c>
    </row>
    <row r="3787" spans="2:13">
      <c r="B3787" s="69">
        <v>3785</v>
      </c>
      <c r="C3787" s="69">
        <v>278</v>
      </c>
      <c r="D3787" s="69">
        <v>50</v>
      </c>
      <c r="E3787" s="69">
        <v>30</v>
      </c>
      <c r="F3787" s="69">
        <v>0</v>
      </c>
      <c r="G3787" s="69" t="s">
        <v>2023</v>
      </c>
      <c r="H3787" s="69" t="s">
        <v>52</v>
      </c>
      <c r="I3787" s="69" t="s">
        <v>2320</v>
      </c>
      <c r="J3787" s="69" t="s">
        <v>55</v>
      </c>
      <c r="K3787" s="69" t="s">
        <v>2337</v>
      </c>
      <c r="M3787" s="69" t="s">
        <v>6</v>
      </c>
    </row>
    <row r="3788" spans="2:13">
      <c r="B3788" s="69">
        <v>3786</v>
      </c>
      <c r="C3788" s="69">
        <v>278</v>
      </c>
      <c r="D3788" s="69">
        <v>50</v>
      </c>
      <c r="E3788" s="69">
        <v>31</v>
      </c>
      <c r="F3788" s="69">
        <v>0</v>
      </c>
      <c r="G3788" s="69" t="s">
        <v>2023</v>
      </c>
      <c r="H3788" s="69" t="s">
        <v>52</v>
      </c>
      <c r="I3788" s="69" t="s">
        <v>2320</v>
      </c>
      <c r="J3788" s="69" t="s">
        <v>55</v>
      </c>
      <c r="K3788" s="69" t="s">
        <v>2338</v>
      </c>
      <c r="M3788" s="69" t="s">
        <v>6</v>
      </c>
    </row>
    <row r="3789" spans="2:13">
      <c r="B3789" s="69">
        <v>3787</v>
      </c>
      <c r="C3789" s="69">
        <v>278</v>
      </c>
      <c r="D3789" s="69">
        <v>50</v>
      </c>
      <c r="E3789" s="69">
        <v>32</v>
      </c>
      <c r="F3789" s="69">
        <v>0</v>
      </c>
      <c r="G3789" s="69" t="s">
        <v>2023</v>
      </c>
      <c r="H3789" s="69" t="s">
        <v>52</v>
      </c>
      <c r="I3789" s="69" t="s">
        <v>2320</v>
      </c>
      <c r="J3789" s="69" t="s">
        <v>55</v>
      </c>
      <c r="K3789" s="69" t="s">
        <v>2339</v>
      </c>
      <c r="M3789" s="69" t="s">
        <v>6</v>
      </c>
    </row>
    <row r="3790" spans="2:13">
      <c r="B3790" s="69">
        <v>3788</v>
      </c>
      <c r="C3790" s="69">
        <v>278</v>
      </c>
      <c r="D3790" s="69">
        <v>50</v>
      </c>
      <c r="E3790" s="69">
        <v>33</v>
      </c>
      <c r="F3790" s="69">
        <v>0</v>
      </c>
      <c r="G3790" s="69" t="s">
        <v>2023</v>
      </c>
      <c r="H3790" s="69" t="s">
        <v>52</v>
      </c>
      <c r="I3790" s="69" t="s">
        <v>2320</v>
      </c>
      <c r="J3790" s="69" t="s">
        <v>55</v>
      </c>
      <c r="K3790" s="69" t="s">
        <v>2340</v>
      </c>
      <c r="M3790" s="69" t="s">
        <v>6</v>
      </c>
    </row>
    <row r="3791" spans="2:13">
      <c r="B3791" s="69">
        <v>3789</v>
      </c>
      <c r="C3791" s="69">
        <v>278</v>
      </c>
      <c r="D3791" s="69">
        <v>50</v>
      </c>
      <c r="E3791" s="69">
        <v>34</v>
      </c>
      <c r="F3791" s="69">
        <v>0</v>
      </c>
      <c r="G3791" s="69" t="s">
        <v>2023</v>
      </c>
      <c r="H3791" s="69" t="s">
        <v>52</v>
      </c>
      <c r="I3791" s="69" t="s">
        <v>2320</v>
      </c>
      <c r="J3791" s="69" t="s">
        <v>55</v>
      </c>
      <c r="K3791" s="69" t="s">
        <v>2341</v>
      </c>
      <c r="M3791" s="69" t="s">
        <v>6</v>
      </c>
    </row>
    <row r="3792" spans="2:13">
      <c r="B3792" s="69">
        <v>3790</v>
      </c>
      <c r="C3792" s="69">
        <v>278</v>
      </c>
      <c r="D3792" s="69">
        <v>50</v>
      </c>
      <c r="E3792" s="69">
        <v>35</v>
      </c>
      <c r="F3792" s="69">
        <v>0</v>
      </c>
      <c r="G3792" s="69" t="s">
        <v>2023</v>
      </c>
      <c r="H3792" s="69" t="s">
        <v>52</v>
      </c>
      <c r="I3792" s="69" t="s">
        <v>2320</v>
      </c>
      <c r="J3792" s="69" t="s">
        <v>55</v>
      </c>
      <c r="K3792" s="69" t="s">
        <v>2342</v>
      </c>
      <c r="M3792" s="69" t="s">
        <v>6</v>
      </c>
    </row>
    <row r="3793" spans="2:13">
      <c r="B3793" s="69">
        <v>3791</v>
      </c>
      <c r="C3793" s="69">
        <v>278</v>
      </c>
      <c r="D3793" s="69">
        <v>50</v>
      </c>
      <c r="E3793" s="69">
        <v>36</v>
      </c>
      <c r="F3793" s="69">
        <v>0</v>
      </c>
      <c r="G3793" s="69" t="s">
        <v>2023</v>
      </c>
      <c r="H3793" s="69" t="s">
        <v>52</v>
      </c>
      <c r="I3793" s="69" t="s">
        <v>2320</v>
      </c>
      <c r="J3793" s="69" t="s">
        <v>55</v>
      </c>
      <c r="K3793" s="69" t="s">
        <v>2343</v>
      </c>
      <c r="M3793" s="69" t="s">
        <v>6</v>
      </c>
    </row>
    <row r="3794" spans="2:13">
      <c r="B3794" s="69">
        <v>3792</v>
      </c>
      <c r="C3794" s="69">
        <v>278</v>
      </c>
      <c r="D3794" s="69">
        <v>50</v>
      </c>
      <c r="E3794" s="69">
        <v>37</v>
      </c>
      <c r="F3794" s="69">
        <v>0</v>
      </c>
      <c r="G3794" s="69" t="s">
        <v>2023</v>
      </c>
      <c r="H3794" s="69" t="s">
        <v>52</v>
      </c>
      <c r="I3794" s="69" t="s">
        <v>2320</v>
      </c>
      <c r="J3794" s="69" t="s">
        <v>55</v>
      </c>
      <c r="K3794" s="69" t="s">
        <v>2344</v>
      </c>
      <c r="M3794" s="69" t="s">
        <v>6</v>
      </c>
    </row>
    <row r="3795" spans="2:13">
      <c r="B3795" s="69">
        <v>3793</v>
      </c>
      <c r="C3795" s="69">
        <v>278</v>
      </c>
      <c r="D3795" s="69">
        <v>50</v>
      </c>
      <c r="E3795" s="69">
        <v>38</v>
      </c>
      <c r="F3795" s="69">
        <v>0</v>
      </c>
      <c r="G3795" s="69" t="s">
        <v>2023</v>
      </c>
      <c r="H3795" s="69" t="s">
        <v>52</v>
      </c>
      <c r="I3795" s="69" t="s">
        <v>2320</v>
      </c>
      <c r="J3795" s="69" t="s">
        <v>55</v>
      </c>
      <c r="K3795" s="69" t="s">
        <v>2345</v>
      </c>
      <c r="M3795" s="69" t="s">
        <v>6</v>
      </c>
    </row>
    <row r="3796" spans="2:13">
      <c r="B3796" s="69">
        <v>3794</v>
      </c>
      <c r="C3796" s="69">
        <v>278</v>
      </c>
      <c r="D3796" s="69">
        <v>50</v>
      </c>
      <c r="E3796" s="69">
        <v>39</v>
      </c>
      <c r="F3796" s="69">
        <v>0</v>
      </c>
      <c r="G3796" s="69" t="s">
        <v>2023</v>
      </c>
      <c r="H3796" s="69" t="s">
        <v>52</v>
      </c>
      <c r="I3796" s="69" t="s">
        <v>2320</v>
      </c>
      <c r="J3796" s="69" t="s">
        <v>55</v>
      </c>
      <c r="K3796" s="69" t="s">
        <v>2346</v>
      </c>
      <c r="M3796" s="69" t="s">
        <v>6</v>
      </c>
    </row>
    <row r="3797" spans="2:13">
      <c r="B3797" s="69">
        <v>3795</v>
      </c>
      <c r="C3797" s="69">
        <v>278</v>
      </c>
      <c r="D3797" s="69">
        <v>50</v>
      </c>
      <c r="E3797" s="69">
        <v>40</v>
      </c>
      <c r="F3797" s="69">
        <v>0</v>
      </c>
      <c r="G3797" s="69" t="s">
        <v>2023</v>
      </c>
      <c r="H3797" s="69" t="s">
        <v>52</v>
      </c>
      <c r="I3797" s="69" t="s">
        <v>2320</v>
      </c>
      <c r="J3797" s="69" t="s">
        <v>55</v>
      </c>
      <c r="K3797" s="69" t="s">
        <v>2347</v>
      </c>
      <c r="M3797" s="69" t="s">
        <v>6</v>
      </c>
    </row>
    <row r="3798" spans="2:13">
      <c r="B3798" s="69">
        <v>3796</v>
      </c>
      <c r="C3798" s="69">
        <v>278</v>
      </c>
      <c r="D3798" s="69">
        <v>50</v>
      </c>
      <c r="E3798" s="69">
        <v>41</v>
      </c>
      <c r="F3798" s="69">
        <v>0</v>
      </c>
      <c r="G3798" s="69" t="s">
        <v>2023</v>
      </c>
      <c r="H3798" s="69" t="s">
        <v>52</v>
      </c>
      <c r="I3798" s="69" t="s">
        <v>2320</v>
      </c>
      <c r="J3798" s="69" t="s">
        <v>55</v>
      </c>
      <c r="K3798" s="69" t="s">
        <v>2176</v>
      </c>
      <c r="M3798" s="69" t="s">
        <v>6</v>
      </c>
    </row>
    <row r="3799" spans="2:13">
      <c r="B3799" s="69">
        <v>3797</v>
      </c>
      <c r="C3799" s="69">
        <v>278</v>
      </c>
      <c r="D3799" s="69">
        <v>50</v>
      </c>
      <c r="E3799" s="69">
        <v>42</v>
      </c>
      <c r="F3799" s="69">
        <v>0</v>
      </c>
      <c r="G3799" s="69" t="s">
        <v>2023</v>
      </c>
      <c r="H3799" s="69" t="s">
        <v>52</v>
      </c>
      <c r="I3799" s="69" t="s">
        <v>2320</v>
      </c>
      <c r="J3799" s="69" t="s">
        <v>437</v>
      </c>
      <c r="K3799" s="69" t="s">
        <v>438</v>
      </c>
      <c r="L3799" s="69" t="s">
        <v>439</v>
      </c>
      <c r="M3799" s="69" t="s">
        <v>6</v>
      </c>
    </row>
    <row r="3800" spans="2:13">
      <c r="B3800" s="69">
        <v>3798</v>
      </c>
      <c r="C3800" s="69">
        <v>278</v>
      </c>
      <c r="D3800" s="69">
        <v>50</v>
      </c>
      <c r="E3800" s="69">
        <v>43</v>
      </c>
      <c r="F3800" s="69">
        <v>0</v>
      </c>
      <c r="G3800" s="69" t="s">
        <v>2023</v>
      </c>
      <c r="H3800" s="69" t="s">
        <v>52</v>
      </c>
      <c r="I3800" s="69" t="s">
        <v>2320</v>
      </c>
      <c r="J3800" s="69" t="s">
        <v>55</v>
      </c>
      <c r="K3800" s="69" t="s">
        <v>2177</v>
      </c>
      <c r="M3800" s="69" t="s">
        <v>6</v>
      </c>
    </row>
    <row r="3801" spans="2:13">
      <c r="B3801" s="69">
        <v>3799</v>
      </c>
      <c r="C3801" s="69">
        <v>278</v>
      </c>
      <c r="D3801" s="69">
        <v>50</v>
      </c>
      <c r="E3801" s="69">
        <v>44</v>
      </c>
      <c r="F3801" s="69">
        <v>0</v>
      </c>
      <c r="G3801" s="69" t="s">
        <v>2023</v>
      </c>
      <c r="H3801" s="69" t="s">
        <v>52</v>
      </c>
      <c r="I3801" s="69" t="s">
        <v>2320</v>
      </c>
      <c r="J3801" s="69" t="s">
        <v>437</v>
      </c>
      <c r="K3801" s="69" t="s">
        <v>438</v>
      </c>
      <c r="L3801" s="69" t="s">
        <v>439</v>
      </c>
      <c r="M3801" s="69" t="s">
        <v>6</v>
      </c>
    </row>
    <row r="3802" spans="2:13">
      <c r="B3802" s="69">
        <v>3800</v>
      </c>
      <c r="C3802" s="69">
        <v>278</v>
      </c>
      <c r="D3802" s="69">
        <v>50</v>
      </c>
      <c r="E3802" s="69">
        <v>45</v>
      </c>
      <c r="F3802" s="69">
        <v>0</v>
      </c>
      <c r="G3802" s="69" t="s">
        <v>2023</v>
      </c>
      <c r="H3802" s="69" t="s">
        <v>52</v>
      </c>
      <c r="I3802" s="69" t="s">
        <v>2320</v>
      </c>
      <c r="J3802" s="69" t="s">
        <v>55</v>
      </c>
      <c r="K3802" s="69" t="s">
        <v>2178</v>
      </c>
      <c r="M3802" s="69" t="s">
        <v>6</v>
      </c>
    </row>
    <row r="3803" spans="2:13">
      <c r="B3803" s="69">
        <v>3801</v>
      </c>
      <c r="C3803" s="69">
        <v>278</v>
      </c>
      <c r="D3803" s="69">
        <v>50</v>
      </c>
      <c r="E3803" s="69">
        <v>46</v>
      </c>
      <c r="F3803" s="69">
        <v>0</v>
      </c>
      <c r="G3803" s="69" t="s">
        <v>2023</v>
      </c>
      <c r="H3803" s="69" t="s">
        <v>52</v>
      </c>
      <c r="I3803" s="69" t="s">
        <v>2320</v>
      </c>
      <c r="J3803" s="69" t="s">
        <v>437</v>
      </c>
      <c r="K3803" s="69" t="s">
        <v>438</v>
      </c>
      <c r="L3803" s="69" t="s">
        <v>439</v>
      </c>
      <c r="M3803" s="69" t="s">
        <v>6</v>
      </c>
    </row>
    <row r="3804" spans="2:13">
      <c r="B3804" s="69">
        <v>3802</v>
      </c>
      <c r="C3804" s="69">
        <v>278</v>
      </c>
      <c r="D3804" s="69">
        <v>50</v>
      </c>
      <c r="E3804" s="69">
        <v>47</v>
      </c>
      <c r="F3804" s="69">
        <v>0</v>
      </c>
      <c r="G3804" s="69" t="s">
        <v>2023</v>
      </c>
      <c r="H3804" s="69" t="s">
        <v>52</v>
      </c>
      <c r="I3804" s="69" t="s">
        <v>2320</v>
      </c>
      <c r="J3804" s="69" t="s">
        <v>64</v>
      </c>
      <c r="K3804" s="69" t="s">
        <v>440</v>
      </c>
      <c r="M3804" s="69" t="s">
        <v>6</v>
      </c>
    </row>
    <row r="3805" spans="2:13">
      <c r="B3805" s="69">
        <v>3803</v>
      </c>
      <c r="C3805" s="69">
        <v>278</v>
      </c>
      <c r="D3805" s="69">
        <v>50</v>
      </c>
      <c r="E3805" s="69">
        <v>48</v>
      </c>
      <c r="F3805" s="69">
        <v>0</v>
      </c>
      <c r="G3805" s="69" t="s">
        <v>2023</v>
      </c>
      <c r="H3805" s="69" t="s">
        <v>52</v>
      </c>
      <c r="I3805" s="69" t="s">
        <v>2320</v>
      </c>
      <c r="J3805" s="69" t="s">
        <v>55</v>
      </c>
      <c r="K3805" s="69" t="s">
        <v>441</v>
      </c>
      <c r="M3805" s="69" t="s">
        <v>6</v>
      </c>
    </row>
    <row r="3806" spans="2:13">
      <c r="B3806" s="69">
        <v>3804</v>
      </c>
      <c r="C3806" s="69">
        <v>278</v>
      </c>
      <c r="D3806" s="69">
        <v>50</v>
      </c>
      <c r="E3806" s="69">
        <v>49</v>
      </c>
      <c r="F3806" s="69">
        <v>0</v>
      </c>
      <c r="G3806" s="69" t="s">
        <v>2023</v>
      </c>
      <c r="H3806" s="69" t="s">
        <v>52</v>
      </c>
      <c r="I3806" s="69" t="s">
        <v>2320</v>
      </c>
      <c r="J3806" s="69" t="s">
        <v>437</v>
      </c>
      <c r="K3806" s="69" t="s">
        <v>438</v>
      </c>
      <c r="L3806" s="69" t="s">
        <v>439</v>
      </c>
      <c r="M3806" s="69" t="s">
        <v>6</v>
      </c>
    </row>
    <row r="3807" spans="2:13">
      <c r="B3807" s="69">
        <v>3805</v>
      </c>
      <c r="C3807" s="69">
        <v>278</v>
      </c>
      <c r="D3807" s="69">
        <v>50</v>
      </c>
      <c r="E3807" s="69">
        <v>50</v>
      </c>
      <c r="F3807" s="69">
        <v>0</v>
      </c>
      <c r="G3807" s="69" t="s">
        <v>2023</v>
      </c>
      <c r="H3807" s="69" t="s">
        <v>52</v>
      </c>
      <c r="I3807" s="69" t="s">
        <v>2320</v>
      </c>
      <c r="J3807" s="69" t="s">
        <v>64</v>
      </c>
      <c r="K3807" s="69" t="s">
        <v>440</v>
      </c>
      <c r="M3807" s="69" t="s">
        <v>6</v>
      </c>
    </row>
    <row r="3808" spans="2:13">
      <c r="B3808" s="69">
        <v>3806</v>
      </c>
      <c r="C3808" s="69">
        <v>279</v>
      </c>
      <c r="D3808" s="69">
        <v>33</v>
      </c>
      <c r="E3808" s="69">
        <v>0</v>
      </c>
      <c r="F3808" s="69">
        <v>0</v>
      </c>
      <c r="G3808" s="69" t="s">
        <v>2023</v>
      </c>
      <c r="H3808" s="69" t="s">
        <v>52</v>
      </c>
      <c r="I3808" s="69" t="s">
        <v>2348</v>
      </c>
      <c r="J3808" s="69" t="s">
        <v>54</v>
      </c>
      <c r="K3808" s="69" t="s">
        <v>2348</v>
      </c>
      <c r="M3808" s="69" t="s">
        <v>6</v>
      </c>
    </row>
    <row r="3809" spans="2:13">
      <c r="B3809" s="69">
        <v>3807</v>
      </c>
      <c r="C3809" s="69">
        <v>279</v>
      </c>
      <c r="D3809" s="69">
        <v>33</v>
      </c>
      <c r="E3809" s="69">
        <v>1</v>
      </c>
      <c r="F3809" s="69">
        <v>0</v>
      </c>
      <c r="G3809" s="69" t="s">
        <v>2023</v>
      </c>
      <c r="H3809" s="69" t="s">
        <v>52</v>
      </c>
      <c r="I3809" s="69" t="s">
        <v>2348</v>
      </c>
      <c r="J3809" s="69" t="s">
        <v>479</v>
      </c>
      <c r="K3809" s="69" t="s">
        <v>2349</v>
      </c>
      <c r="M3809" s="69" t="s">
        <v>6</v>
      </c>
    </row>
    <row r="3810" spans="2:13">
      <c r="B3810" s="69">
        <v>3808</v>
      </c>
      <c r="C3810" s="69">
        <v>279</v>
      </c>
      <c r="D3810" s="69">
        <v>33</v>
      </c>
      <c r="E3810" s="69">
        <v>2</v>
      </c>
      <c r="F3810" s="69">
        <v>0</v>
      </c>
      <c r="G3810" s="69" t="s">
        <v>2023</v>
      </c>
      <c r="H3810" s="69" t="s">
        <v>52</v>
      </c>
      <c r="I3810" s="69" t="s">
        <v>2348</v>
      </c>
      <c r="J3810" s="69" t="s">
        <v>55</v>
      </c>
      <c r="K3810" s="69" t="s">
        <v>2025</v>
      </c>
      <c r="M3810" s="69" t="s">
        <v>6</v>
      </c>
    </row>
    <row r="3811" spans="2:13">
      <c r="B3811" s="69">
        <v>3809</v>
      </c>
      <c r="C3811" s="69">
        <v>279</v>
      </c>
      <c r="D3811" s="69">
        <v>33</v>
      </c>
      <c r="E3811" s="69">
        <v>3</v>
      </c>
      <c r="F3811" s="69">
        <v>0</v>
      </c>
      <c r="G3811" s="69" t="s">
        <v>2023</v>
      </c>
      <c r="H3811" s="69" t="s">
        <v>52</v>
      </c>
      <c r="I3811" s="69" t="s">
        <v>2348</v>
      </c>
      <c r="J3811" s="69" t="s">
        <v>55</v>
      </c>
      <c r="K3811" s="69" t="s">
        <v>2350</v>
      </c>
      <c r="M3811" s="69" t="s">
        <v>6</v>
      </c>
    </row>
    <row r="3812" spans="2:13">
      <c r="B3812" s="69">
        <v>3810</v>
      </c>
      <c r="C3812" s="69">
        <v>279</v>
      </c>
      <c r="D3812" s="69">
        <v>33</v>
      </c>
      <c r="E3812" s="69">
        <v>4</v>
      </c>
      <c r="F3812" s="69">
        <v>0</v>
      </c>
      <c r="G3812" s="69" t="s">
        <v>2023</v>
      </c>
      <c r="H3812" s="69" t="s">
        <v>52</v>
      </c>
      <c r="I3812" s="69" t="s">
        <v>2348</v>
      </c>
      <c r="J3812" s="69" t="s">
        <v>55</v>
      </c>
      <c r="K3812" s="69" t="s">
        <v>2351</v>
      </c>
      <c r="M3812" s="69" t="s">
        <v>6</v>
      </c>
    </row>
    <row r="3813" spans="2:13">
      <c r="B3813" s="69">
        <v>3811</v>
      </c>
      <c r="C3813" s="69">
        <v>279</v>
      </c>
      <c r="D3813" s="69">
        <v>33</v>
      </c>
      <c r="E3813" s="69">
        <v>5</v>
      </c>
      <c r="F3813" s="69">
        <v>0</v>
      </c>
      <c r="G3813" s="69" t="s">
        <v>2023</v>
      </c>
      <c r="H3813" s="69" t="s">
        <v>52</v>
      </c>
      <c r="I3813" s="69" t="s">
        <v>2348</v>
      </c>
      <c r="J3813" s="69" t="s">
        <v>55</v>
      </c>
      <c r="K3813" s="69" t="s">
        <v>2352</v>
      </c>
      <c r="M3813" s="69" t="s">
        <v>6</v>
      </c>
    </row>
    <row r="3814" spans="2:13">
      <c r="B3814" s="69">
        <v>3812</v>
      </c>
      <c r="C3814" s="69">
        <v>279</v>
      </c>
      <c r="D3814" s="69">
        <v>33</v>
      </c>
      <c r="E3814" s="69">
        <v>6</v>
      </c>
      <c r="F3814" s="69">
        <v>0</v>
      </c>
      <c r="G3814" s="69" t="s">
        <v>2023</v>
      </c>
      <c r="H3814" s="69" t="s">
        <v>52</v>
      </c>
      <c r="I3814" s="69" t="s">
        <v>2348</v>
      </c>
      <c r="J3814" s="69" t="s">
        <v>64</v>
      </c>
      <c r="K3814" s="69" t="s">
        <v>2353</v>
      </c>
      <c r="M3814" s="69" t="s">
        <v>6</v>
      </c>
    </row>
    <row r="3815" spans="2:13">
      <c r="B3815" s="69">
        <v>3813</v>
      </c>
      <c r="C3815" s="69">
        <v>279</v>
      </c>
      <c r="D3815" s="69">
        <v>33</v>
      </c>
      <c r="E3815" s="69">
        <v>7</v>
      </c>
      <c r="F3815" s="69">
        <v>0</v>
      </c>
      <c r="G3815" s="69" t="s">
        <v>2023</v>
      </c>
      <c r="H3815" s="69" t="s">
        <v>52</v>
      </c>
      <c r="I3815" s="69" t="s">
        <v>2348</v>
      </c>
      <c r="J3815" s="69" t="s">
        <v>479</v>
      </c>
      <c r="K3815" s="69" t="s">
        <v>2354</v>
      </c>
      <c r="M3815" s="69" t="s">
        <v>6</v>
      </c>
    </row>
    <row r="3816" spans="2:13">
      <c r="B3816" s="69">
        <v>3814</v>
      </c>
      <c r="C3816" s="69">
        <v>279</v>
      </c>
      <c r="D3816" s="69">
        <v>33</v>
      </c>
      <c r="E3816" s="69">
        <v>8</v>
      </c>
      <c r="F3816" s="69">
        <v>0</v>
      </c>
      <c r="G3816" s="69" t="s">
        <v>2023</v>
      </c>
      <c r="H3816" s="69" t="s">
        <v>52</v>
      </c>
      <c r="I3816" s="69" t="s">
        <v>2348</v>
      </c>
      <c r="J3816" s="69" t="s">
        <v>55</v>
      </c>
      <c r="K3816" s="69" t="s">
        <v>2355</v>
      </c>
      <c r="M3816" s="69" t="s">
        <v>6</v>
      </c>
    </row>
    <row r="3817" spans="2:13">
      <c r="B3817" s="69">
        <v>3815</v>
      </c>
      <c r="C3817" s="69">
        <v>279</v>
      </c>
      <c r="D3817" s="69">
        <v>33</v>
      </c>
      <c r="E3817" s="69">
        <v>9</v>
      </c>
      <c r="F3817" s="69">
        <v>0</v>
      </c>
      <c r="G3817" s="69" t="s">
        <v>2023</v>
      </c>
      <c r="H3817" s="69" t="s">
        <v>52</v>
      </c>
      <c r="I3817" s="69" t="s">
        <v>2348</v>
      </c>
      <c r="J3817" s="69" t="s">
        <v>55</v>
      </c>
      <c r="K3817" s="69" t="s">
        <v>2356</v>
      </c>
      <c r="M3817" s="69" t="s">
        <v>6</v>
      </c>
    </row>
    <row r="3818" spans="2:13">
      <c r="B3818" s="69">
        <v>3816</v>
      </c>
      <c r="C3818" s="69">
        <v>279</v>
      </c>
      <c r="D3818" s="69">
        <v>33</v>
      </c>
      <c r="E3818" s="69">
        <v>10</v>
      </c>
      <c r="F3818" s="69">
        <v>0</v>
      </c>
      <c r="G3818" s="69" t="s">
        <v>2023</v>
      </c>
      <c r="H3818" s="69" t="s">
        <v>52</v>
      </c>
      <c r="I3818" s="69" t="s">
        <v>2348</v>
      </c>
      <c r="J3818" s="69" t="s">
        <v>479</v>
      </c>
      <c r="K3818" s="69" t="s">
        <v>2357</v>
      </c>
      <c r="M3818" s="69" t="s">
        <v>6</v>
      </c>
    </row>
    <row r="3819" spans="2:13">
      <c r="B3819" s="69">
        <v>3817</v>
      </c>
      <c r="C3819" s="69">
        <v>279</v>
      </c>
      <c r="D3819" s="69">
        <v>33</v>
      </c>
      <c r="E3819" s="69">
        <v>11</v>
      </c>
      <c r="F3819" s="69">
        <v>0</v>
      </c>
      <c r="G3819" s="69" t="s">
        <v>2023</v>
      </c>
      <c r="H3819" s="69" t="s">
        <v>52</v>
      </c>
      <c r="I3819" s="69" t="s">
        <v>2348</v>
      </c>
      <c r="J3819" s="69" t="s">
        <v>55</v>
      </c>
      <c r="K3819" s="69" t="s">
        <v>2358</v>
      </c>
      <c r="M3819" s="69" t="s">
        <v>6</v>
      </c>
    </row>
    <row r="3820" spans="2:13">
      <c r="B3820" s="69">
        <v>3818</v>
      </c>
      <c r="C3820" s="69">
        <v>279</v>
      </c>
      <c r="D3820" s="69">
        <v>33</v>
      </c>
      <c r="E3820" s="69">
        <v>12</v>
      </c>
      <c r="F3820" s="69">
        <v>0</v>
      </c>
      <c r="G3820" s="69" t="s">
        <v>2023</v>
      </c>
      <c r="H3820" s="69" t="s">
        <v>52</v>
      </c>
      <c r="I3820" s="69" t="s">
        <v>2348</v>
      </c>
      <c r="J3820" s="69" t="s">
        <v>55</v>
      </c>
      <c r="K3820" s="69" t="s">
        <v>429</v>
      </c>
      <c r="M3820" s="69" t="s">
        <v>6</v>
      </c>
    </row>
    <row r="3821" spans="2:13">
      <c r="B3821" s="69">
        <v>3819</v>
      </c>
      <c r="C3821" s="69">
        <v>279</v>
      </c>
      <c r="D3821" s="69">
        <v>33</v>
      </c>
      <c r="E3821" s="69">
        <v>13</v>
      </c>
      <c r="F3821" s="69">
        <v>0</v>
      </c>
      <c r="G3821" s="69" t="s">
        <v>2023</v>
      </c>
      <c r="H3821" s="69" t="s">
        <v>52</v>
      </c>
      <c r="I3821" s="69" t="s">
        <v>2348</v>
      </c>
      <c r="J3821" s="69" t="s">
        <v>55</v>
      </c>
      <c r="K3821" s="69" t="s">
        <v>430</v>
      </c>
      <c r="M3821" s="69" t="s">
        <v>6</v>
      </c>
    </row>
    <row r="3822" spans="2:13">
      <c r="B3822" s="69">
        <v>3820</v>
      </c>
      <c r="C3822" s="69">
        <v>279</v>
      </c>
      <c r="D3822" s="69">
        <v>33</v>
      </c>
      <c r="E3822" s="69">
        <v>14</v>
      </c>
      <c r="F3822" s="69">
        <v>0</v>
      </c>
      <c r="G3822" s="69" t="s">
        <v>2023</v>
      </c>
      <c r="H3822" s="69" t="s">
        <v>52</v>
      </c>
      <c r="I3822" s="69" t="s">
        <v>2348</v>
      </c>
      <c r="J3822" s="69" t="s">
        <v>55</v>
      </c>
      <c r="K3822" s="69" t="s">
        <v>2359</v>
      </c>
      <c r="M3822" s="69" t="s">
        <v>6</v>
      </c>
    </row>
    <row r="3823" spans="2:13">
      <c r="B3823" s="69">
        <v>3821</v>
      </c>
      <c r="C3823" s="69">
        <v>279</v>
      </c>
      <c r="D3823" s="69">
        <v>33</v>
      </c>
      <c r="E3823" s="69">
        <v>15</v>
      </c>
      <c r="F3823" s="69">
        <v>0</v>
      </c>
      <c r="G3823" s="69" t="s">
        <v>2023</v>
      </c>
      <c r="H3823" s="69" t="s">
        <v>52</v>
      </c>
      <c r="I3823" s="69" t="s">
        <v>2348</v>
      </c>
      <c r="J3823" s="69" t="s">
        <v>55</v>
      </c>
      <c r="K3823" s="69" t="s">
        <v>2360</v>
      </c>
      <c r="M3823" s="69" t="s">
        <v>6</v>
      </c>
    </row>
    <row r="3824" spans="2:13">
      <c r="B3824" s="69">
        <v>3822</v>
      </c>
      <c r="C3824" s="69">
        <v>279</v>
      </c>
      <c r="D3824" s="69">
        <v>33</v>
      </c>
      <c r="E3824" s="69">
        <v>16</v>
      </c>
      <c r="F3824" s="69">
        <v>0</v>
      </c>
      <c r="G3824" s="69" t="s">
        <v>2023</v>
      </c>
      <c r="H3824" s="69" t="s">
        <v>52</v>
      </c>
      <c r="I3824" s="69" t="s">
        <v>2348</v>
      </c>
      <c r="J3824" s="69" t="s">
        <v>55</v>
      </c>
      <c r="K3824" s="69" t="s">
        <v>2361</v>
      </c>
      <c r="M3824" s="69" t="s">
        <v>6</v>
      </c>
    </row>
    <row r="3825" spans="2:13">
      <c r="B3825" s="69">
        <v>3823</v>
      </c>
      <c r="C3825" s="69">
        <v>279</v>
      </c>
      <c r="D3825" s="69">
        <v>33</v>
      </c>
      <c r="E3825" s="69">
        <v>17</v>
      </c>
      <c r="F3825" s="69">
        <v>0</v>
      </c>
      <c r="G3825" s="69" t="s">
        <v>2023</v>
      </c>
      <c r="H3825" s="69" t="s">
        <v>52</v>
      </c>
      <c r="I3825" s="69" t="s">
        <v>2348</v>
      </c>
      <c r="J3825" s="69" t="s">
        <v>55</v>
      </c>
      <c r="K3825" s="69" t="s">
        <v>2362</v>
      </c>
      <c r="M3825" s="69" t="s">
        <v>6</v>
      </c>
    </row>
    <row r="3826" spans="2:13">
      <c r="B3826" s="69">
        <v>3824</v>
      </c>
      <c r="C3826" s="69">
        <v>279</v>
      </c>
      <c r="D3826" s="69">
        <v>33</v>
      </c>
      <c r="E3826" s="69">
        <v>18</v>
      </c>
      <c r="F3826" s="69">
        <v>0</v>
      </c>
      <c r="G3826" s="69" t="s">
        <v>2023</v>
      </c>
      <c r="H3826" s="69" t="s">
        <v>52</v>
      </c>
      <c r="I3826" s="69" t="s">
        <v>2348</v>
      </c>
      <c r="J3826" s="69" t="s">
        <v>55</v>
      </c>
      <c r="K3826" s="69" t="s">
        <v>2363</v>
      </c>
      <c r="M3826" s="69" t="s">
        <v>6</v>
      </c>
    </row>
    <row r="3827" spans="2:13">
      <c r="B3827" s="69">
        <v>3825</v>
      </c>
      <c r="C3827" s="69">
        <v>279</v>
      </c>
      <c r="D3827" s="69">
        <v>33</v>
      </c>
      <c r="E3827" s="69">
        <v>19</v>
      </c>
      <c r="F3827" s="69">
        <v>0</v>
      </c>
      <c r="G3827" s="69" t="s">
        <v>2023</v>
      </c>
      <c r="H3827" s="69" t="s">
        <v>52</v>
      </c>
      <c r="I3827" s="69" t="s">
        <v>2348</v>
      </c>
      <c r="J3827" s="69" t="s">
        <v>55</v>
      </c>
      <c r="K3827" s="69" t="s">
        <v>2364</v>
      </c>
      <c r="M3827" s="69" t="s">
        <v>6</v>
      </c>
    </row>
    <row r="3828" spans="2:13">
      <c r="B3828" s="69">
        <v>3826</v>
      </c>
      <c r="C3828" s="69">
        <v>279</v>
      </c>
      <c r="D3828" s="69">
        <v>33</v>
      </c>
      <c r="E3828" s="69">
        <v>20</v>
      </c>
      <c r="F3828" s="69">
        <v>0</v>
      </c>
      <c r="G3828" s="69" t="s">
        <v>2023</v>
      </c>
      <c r="H3828" s="69" t="s">
        <v>52</v>
      </c>
      <c r="I3828" s="69" t="s">
        <v>2348</v>
      </c>
      <c r="J3828" s="69" t="s">
        <v>55</v>
      </c>
      <c r="K3828" s="69" t="s">
        <v>436</v>
      </c>
      <c r="M3828" s="69" t="s">
        <v>6</v>
      </c>
    </row>
    <row r="3829" spans="2:13">
      <c r="B3829" s="69">
        <v>3827</v>
      </c>
      <c r="C3829" s="69">
        <v>279</v>
      </c>
      <c r="D3829" s="69">
        <v>33</v>
      </c>
      <c r="E3829" s="69">
        <v>21</v>
      </c>
      <c r="F3829" s="69">
        <v>0</v>
      </c>
      <c r="G3829" s="69" t="s">
        <v>2023</v>
      </c>
      <c r="H3829" s="69" t="s">
        <v>52</v>
      </c>
      <c r="I3829" s="69" t="s">
        <v>2348</v>
      </c>
      <c r="J3829" s="69" t="s">
        <v>437</v>
      </c>
      <c r="K3829" s="69" t="s">
        <v>438</v>
      </c>
      <c r="L3829" s="69" t="s">
        <v>439</v>
      </c>
      <c r="M3829" s="69" t="s">
        <v>6</v>
      </c>
    </row>
    <row r="3830" spans="2:13">
      <c r="B3830" s="69">
        <v>3828</v>
      </c>
      <c r="C3830" s="69">
        <v>279</v>
      </c>
      <c r="D3830" s="69">
        <v>33</v>
      </c>
      <c r="E3830" s="69">
        <v>22</v>
      </c>
      <c r="F3830" s="69">
        <v>0</v>
      </c>
      <c r="G3830" s="69" t="s">
        <v>2023</v>
      </c>
      <c r="H3830" s="69" t="s">
        <v>52</v>
      </c>
      <c r="I3830" s="69" t="s">
        <v>2348</v>
      </c>
      <c r="J3830" s="69" t="s">
        <v>64</v>
      </c>
      <c r="K3830" s="69" t="s">
        <v>440</v>
      </c>
      <c r="M3830" s="69" t="s">
        <v>6</v>
      </c>
    </row>
    <row r="3831" spans="2:13">
      <c r="B3831" s="69">
        <v>3829</v>
      </c>
      <c r="C3831" s="69">
        <v>279</v>
      </c>
      <c r="D3831" s="69">
        <v>33</v>
      </c>
      <c r="E3831" s="69">
        <v>23</v>
      </c>
      <c r="F3831" s="69">
        <v>0</v>
      </c>
      <c r="G3831" s="69" t="s">
        <v>2023</v>
      </c>
      <c r="H3831" s="69" t="s">
        <v>52</v>
      </c>
      <c r="I3831" s="69" t="s">
        <v>2348</v>
      </c>
      <c r="J3831" s="69" t="s">
        <v>55</v>
      </c>
      <c r="K3831" s="69" t="s">
        <v>442</v>
      </c>
      <c r="M3831" s="69" t="s">
        <v>6</v>
      </c>
    </row>
    <row r="3832" spans="2:13">
      <c r="B3832" s="69">
        <v>3830</v>
      </c>
      <c r="C3832" s="69">
        <v>279</v>
      </c>
      <c r="D3832" s="69">
        <v>33</v>
      </c>
      <c r="E3832" s="69">
        <v>24</v>
      </c>
      <c r="F3832" s="69">
        <v>0</v>
      </c>
      <c r="G3832" s="69" t="s">
        <v>2023</v>
      </c>
      <c r="H3832" s="69" t="s">
        <v>52</v>
      </c>
      <c r="I3832" s="69" t="s">
        <v>2348</v>
      </c>
      <c r="J3832" s="69" t="s">
        <v>214</v>
      </c>
      <c r="K3832" s="69" t="s">
        <v>443</v>
      </c>
      <c r="M3832" s="69" t="s">
        <v>6</v>
      </c>
    </row>
    <row r="3833" spans="2:13">
      <c r="B3833" s="69">
        <v>3831</v>
      </c>
      <c r="C3833" s="69">
        <v>279</v>
      </c>
      <c r="D3833" s="69">
        <v>33</v>
      </c>
      <c r="E3833" s="69">
        <v>25</v>
      </c>
      <c r="F3833" s="69">
        <v>0</v>
      </c>
      <c r="G3833" s="69" t="s">
        <v>2023</v>
      </c>
      <c r="H3833" s="69" t="s">
        <v>52</v>
      </c>
      <c r="I3833" s="69" t="s">
        <v>2348</v>
      </c>
      <c r="J3833" s="69" t="s">
        <v>479</v>
      </c>
      <c r="K3833" s="69" t="s">
        <v>2365</v>
      </c>
      <c r="M3833" s="69" t="s">
        <v>6</v>
      </c>
    </row>
    <row r="3834" spans="2:13">
      <c r="B3834" s="69">
        <v>3832</v>
      </c>
      <c r="C3834" s="69">
        <v>279</v>
      </c>
      <c r="D3834" s="69">
        <v>33</v>
      </c>
      <c r="E3834" s="69">
        <v>26</v>
      </c>
      <c r="F3834" s="69">
        <v>0</v>
      </c>
      <c r="G3834" s="69" t="s">
        <v>2023</v>
      </c>
      <c r="H3834" s="69" t="s">
        <v>52</v>
      </c>
      <c r="I3834" s="69" t="s">
        <v>2348</v>
      </c>
      <c r="J3834" s="69" t="s">
        <v>55</v>
      </c>
      <c r="K3834" s="69" t="s">
        <v>2366</v>
      </c>
      <c r="M3834" s="69" t="s">
        <v>6</v>
      </c>
    </row>
    <row r="3835" spans="2:13">
      <c r="B3835" s="69">
        <v>3833</v>
      </c>
      <c r="C3835" s="69">
        <v>279</v>
      </c>
      <c r="D3835" s="69">
        <v>33</v>
      </c>
      <c r="E3835" s="69">
        <v>27</v>
      </c>
      <c r="F3835" s="69">
        <v>0</v>
      </c>
      <c r="G3835" s="69" t="s">
        <v>2023</v>
      </c>
      <c r="H3835" s="69" t="s">
        <v>52</v>
      </c>
      <c r="I3835" s="69" t="s">
        <v>2348</v>
      </c>
      <c r="J3835" s="69" t="s">
        <v>55</v>
      </c>
      <c r="K3835" s="69" t="s">
        <v>2367</v>
      </c>
      <c r="M3835" s="69" t="s">
        <v>6</v>
      </c>
    </row>
    <row r="3836" spans="2:13">
      <c r="B3836" s="69">
        <v>3834</v>
      </c>
      <c r="C3836" s="69">
        <v>279</v>
      </c>
      <c r="D3836" s="69">
        <v>33</v>
      </c>
      <c r="E3836" s="69">
        <v>28</v>
      </c>
      <c r="F3836" s="69">
        <v>0</v>
      </c>
      <c r="G3836" s="69" t="s">
        <v>2023</v>
      </c>
      <c r="H3836" s="69" t="s">
        <v>52</v>
      </c>
      <c r="I3836" s="69" t="s">
        <v>2348</v>
      </c>
      <c r="J3836" s="69" t="s">
        <v>55</v>
      </c>
      <c r="K3836" s="69" t="s">
        <v>2368</v>
      </c>
      <c r="M3836" s="69" t="s">
        <v>6</v>
      </c>
    </row>
    <row r="3837" spans="2:13">
      <c r="B3837" s="69">
        <v>3835</v>
      </c>
      <c r="C3837" s="69">
        <v>279</v>
      </c>
      <c r="D3837" s="69">
        <v>33</v>
      </c>
      <c r="E3837" s="69">
        <v>29</v>
      </c>
      <c r="F3837" s="69">
        <v>0</v>
      </c>
      <c r="G3837" s="69" t="s">
        <v>2023</v>
      </c>
      <c r="H3837" s="69" t="s">
        <v>52</v>
      </c>
      <c r="I3837" s="69" t="s">
        <v>2348</v>
      </c>
      <c r="J3837" s="69" t="s">
        <v>437</v>
      </c>
      <c r="K3837" s="69" t="s">
        <v>438</v>
      </c>
      <c r="L3837" s="69" t="s">
        <v>439</v>
      </c>
      <c r="M3837" s="69" t="s">
        <v>6</v>
      </c>
    </row>
    <row r="3838" spans="2:13">
      <c r="B3838" s="69">
        <v>3836</v>
      </c>
      <c r="C3838" s="69">
        <v>279</v>
      </c>
      <c r="D3838" s="69">
        <v>33</v>
      </c>
      <c r="E3838" s="69">
        <v>30</v>
      </c>
      <c r="F3838" s="69">
        <v>0</v>
      </c>
      <c r="G3838" s="69" t="s">
        <v>2023</v>
      </c>
      <c r="H3838" s="69" t="s">
        <v>52</v>
      </c>
      <c r="I3838" s="69" t="s">
        <v>2348</v>
      </c>
      <c r="J3838" s="69" t="s">
        <v>64</v>
      </c>
      <c r="K3838" s="69" t="s">
        <v>440</v>
      </c>
      <c r="M3838" s="69" t="s">
        <v>6</v>
      </c>
    </row>
    <row r="3839" spans="2:13">
      <c r="B3839" s="69">
        <v>3837</v>
      </c>
      <c r="C3839" s="69">
        <v>279</v>
      </c>
      <c r="D3839" s="69">
        <v>33</v>
      </c>
      <c r="E3839" s="69">
        <v>31</v>
      </c>
      <c r="F3839" s="69">
        <v>0</v>
      </c>
      <c r="G3839" s="69" t="s">
        <v>2023</v>
      </c>
      <c r="H3839" s="69" t="s">
        <v>52</v>
      </c>
      <c r="I3839" s="69" t="s">
        <v>2348</v>
      </c>
      <c r="J3839" s="69" t="s">
        <v>55</v>
      </c>
      <c r="K3839" s="69" t="s">
        <v>442</v>
      </c>
      <c r="M3839" s="69" t="s">
        <v>6</v>
      </c>
    </row>
    <row r="3840" spans="2:13">
      <c r="B3840" s="69">
        <v>3838</v>
      </c>
      <c r="C3840" s="69">
        <v>279</v>
      </c>
      <c r="D3840" s="69">
        <v>33</v>
      </c>
      <c r="E3840" s="69">
        <v>32</v>
      </c>
      <c r="F3840" s="69">
        <v>0</v>
      </c>
      <c r="G3840" s="69" t="s">
        <v>2023</v>
      </c>
      <c r="H3840" s="69" t="s">
        <v>52</v>
      </c>
      <c r="I3840" s="69" t="s">
        <v>2348</v>
      </c>
      <c r="J3840" s="69" t="s">
        <v>214</v>
      </c>
      <c r="K3840" s="69" t="s">
        <v>443</v>
      </c>
      <c r="M3840" s="69" t="s">
        <v>6</v>
      </c>
    </row>
    <row r="3841" spans="2:13">
      <c r="B3841" s="69">
        <v>3839</v>
      </c>
      <c r="C3841" s="69">
        <v>279</v>
      </c>
      <c r="D3841" s="69">
        <v>33</v>
      </c>
      <c r="E3841" s="69">
        <v>33</v>
      </c>
      <c r="F3841" s="69">
        <v>0</v>
      </c>
      <c r="G3841" s="69" t="s">
        <v>2023</v>
      </c>
      <c r="H3841" s="69" t="s">
        <v>52</v>
      </c>
      <c r="I3841" s="69" t="s">
        <v>2348</v>
      </c>
      <c r="J3841" s="69" t="s">
        <v>64</v>
      </c>
      <c r="K3841" s="69" t="s">
        <v>2369</v>
      </c>
      <c r="M3841" s="69" t="s">
        <v>6</v>
      </c>
    </row>
    <row r="3842" spans="2:13">
      <c r="B3842" s="69">
        <v>3840</v>
      </c>
      <c r="C3842" s="69">
        <v>280</v>
      </c>
      <c r="D3842" s="69">
        <v>7</v>
      </c>
      <c r="E3842" s="69">
        <v>0</v>
      </c>
      <c r="F3842" s="69">
        <v>0</v>
      </c>
      <c r="G3842" s="69" t="s">
        <v>2023</v>
      </c>
      <c r="H3842" s="69" t="s">
        <v>52</v>
      </c>
      <c r="I3842" s="69" t="s">
        <v>2370</v>
      </c>
      <c r="J3842" s="69" t="s">
        <v>478</v>
      </c>
      <c r="K3842" s="69" t="s">
        <v>2370</v>
      </c>
      <c r="M3842" s="69" t="s">
        <v>6</v>
      </c>
    </row>
    <row r="3843" spans="2:13">
      <c r="B3843" s="69">
        <v>3841</v>
      </c>
      <c r="C3843" s="69">
        <v>280</v>
      </c>
      <c r="D3843" s="69">
        <v>7</v>
      </c>
      <c r="E3843" s="69">
        <v>1</v>
      </c>
      <c r="F3843" s="69">
        <v>0</v>
      </c>
      <c r="G3843" s="69" t="s">
        <v>2023</v>
      </c>
      <c r="H3843" s="69" t="s">
        <v>52</v>
      </c>
      <c r="I3843" s="69" t="s">
        <v>2370</v>
      </c>
      <c r="J3843" s="69" t="s">
        <v>437</v>
      </c>
      <c r="K3843" s="69" t="s">
        <v>2371</v>
      </c>
      <c r="L3843" s="69" t="s">
        <v>2372</v>
      </c>
      <c r="M3843" s="69" t="s">
        <v>6</v>
      </c>
    </row>
    <row r="3844" spans="2:13">
      <c r="B3844" s="69">
        <v>3842</v>
      </c>
      <c r="C3844" s="69">
        <v>280</v>
      </c>
      <c r="D3844" s="69">
        <v>7</v>
      </c>
      <c r="E3844" s="69">
        <v>2</v>
      </c>
      <c r="F3844" s="69">
        <v>0</v>
      </c>
      <c r="G3844" s="69" t="s">
        <v>2023</v>
      </c>
      <c r="H3844" s="69" t="s">
        <v>52</v>
      </c>
      <c r="I3844" s="69" t="s">
        <v>2370</v>
      </c>
      <c r="J3844" s="69" t="s">
        <v>437</v>
      </c>
      <c r="K3844" s="69" t="s">
        <v>2373</v>
      </c>
      <c r="L3844" s="69" t="s">
        <v>2374</v>
      </c>
      <c r="M3844" s="69" t="s">
        <v>6</v>
      </c>
    </row>
    <row r="3845" spans="2:13">
      <c r="B3845" s="69">
        <v>3843</v>
      </c>
      <c r="C3845" s="69">
        <v>280</v>
      </c>
      <c r="D3845" s="69">
        <v>7</v>
      </c>
      <c r="E3845" s="69">
        <v>3</v>
      </c>
      <c r="F3845" s="69">
        <v>0</v>
      </c>
      <c r="G3845" s="69" t="s">
        <v>2023</v>
      </c>
      <c r="H3845" s="69" t="s">
        <v>52</v>
      </c>
      <c r="I3845" s="69" t="s">
        <v>2370</v>
      </c>
      <c r="J3845" s="69" t="s">
        <v>55</v>
      </c>
      <c r="K3845" s="69" t="s">
        <v>2375</v>
      </c>
      <c r="M3845" s="69" t="s">
        <v>6</v>
      </c>
    </row>
    <row r="3846" spans="2:13">
      <c r="B3846" s="69">
        <v>3844</v>
      </c>
      <c r="C3846" s="69">
        <v>280</v>
      </c>
      <c r="D3846" s="69">
        <v>7</v>
      </c>
      <c r="E3846" s="69">
        <v>4</v>
      </c>
      <c r="F3846" s="69">
        <v>0</v>
      </c>
      <c r="G3846" s="69" t="s">
        <v>2023</v>
      </c>
      <c r="H3846" s="69" t="s">
        <v>52</v>
      </c>
      <c r="I3846" s="69" t="s">
        <v>2370</v>
      </c>
      <c r="J3846" s="69" t="s">
        <v>214</v>
      </c>
      <c r="K3846" s="69" t="s">
        <v>2376</v>
      </c>
      <c r="M3846" s="69" t="s">
        <v>6</v>
      </c>
    </row>
    <row r="3847" spans="2:13">
      <c r="B3847" s="69">
        <v>3845</v>
      </c>
      <c r="C3847" s="69">
        <v>280</v>
      </c>
      <c r="D3847" s="69">
        <v>7</v>
      </c>
      <c r="E3847" s="69">
        <v>5</v>
      </c>
      <c r="F3847" s="69">
        <v>0</v>
      </c>
      <c r="G3847" s="69" t="s">
        <v>2023</v>
      </c>
      <c r="H3847" s="69" t="s">
        <v>52</v>
      </c>
      <c r="I3847" s="69" t="s">
        <v>2370</v>
      </c>
      <c r="J3847" s="69" t="s">
        <v>214</v>
      </c>
      <c r="K3847" s="69" t="s">
        <v>2377</v>
      </c>
      <c r="M3847" s="69" t="s">
        <v>6</v>
      </c>
    </row>
    <row r="3848" spans="2:13">
      <c r="B3848" s="69">
        <v>3846</v>
      </c>
      <c r="C3848" s="69">
        <v>280</v>
      </c>
      <c r="D3848" s="69">
        <v>7</v>
      </c>
      <c r="E3848" s="69">
        <v>6</v>
      </c>
      <c r="F3848" s="69">
        <v>0</v>
      </c>
      <c r="G3848" s="69" t="s">
        <v>2023</v>
      </c>
      <c r="H3848" s="69" t="s">
        <v>52</v>
      </c>
      <c r="I3848" s="69" t="s">
        <v>2370</v>
      </c>
      <c r="J3848" s="69" t="s">
        <v>214</v>
      </c>
      <c r="K3848" s="69" t="s">
        <v>2378</v>
      </c>
      <c r="M3848" s="69" t="s">
        <v>6</v>
      </c>
    </row>
    <row r="3849" spans="2:13">
      <c r="B3849" s="69">
        <v>3847</v>
      </c>
      <c r="C3849" s="69">
        <v>280</v>
      </c>
      <c r="D3849" s="69">
        <v>7</v>
      </c>
      <c r="E3849" s="69">
        <v>7</v>
      </c>
      <c r="F3849" s="69">
        <v>0</v>
      </c>
      <c r="G3849" s="69" t="s">
        <v>2023</v>
      </c>
      <c r="H3849" s="69" t="s">
        <v>52</v>
      </c>
      <c r="I3849" s="69" t="s">
        <v>2370</v>
      </c>
      <c r="J3849" s="69" t="s">
        <v>55</v>
      </c>
      <c r="K3849" s="69" t="s">
        <v>2379</v>
      </c>
      <c r="M3849" s="69" t="s">
        <v>6</v>
      </c>
    </row>
    <row r="3850" spans="2:13">
      <c r="B3850" s="69">
        <v>3848</v>
      </c>
      <c r="C3850" s="69">
        <v>281</v>
      </c>
      <c r="D3850" s="69">
        <v>27</v>
      </c>
      <c r="E3850" s="69">
        <v>0</v>
      </c>
      <c r="F3850" s="69">
        <v>0</v>
      </c>
      <c r="G3850" s="69" t="s">
        <v>2023</v>
      </c>
      <c r="H3850" s="69" t="s">
        <v>52</v>
      </c>
      <c r="I3850" s="69" t="s">
        <v>2380</v>
      </c>
      <c r="J3850" s="69" t="s">
        <v>478</v>
      </c>
      <c r="K3850" s="69" t="s">
        <v>2380</v>
      </c>
      <c r="L3850" s="69" t="s">
        <v>481</v>
      </c>
      <c r="M3850" s="69" t="s">
        <v>6</v>
      </c>
    </row>
    <row r="3851" spans="2:13">
      <c r="B3851" s="69">
        <v>3849</v>
      </c>
      <c r="C3851" s="69">
        <v>281</v>
      </c>
      <c r="D3851" s="69">
        <v>27</v>
      </c>
      <c r="E3851" s="69">
        <v>1</v>
      </c>
      <c r="F3851" s="69">
        <v>0</v>
      </c>
      <c r="G3851" s="69" t="s">
        <v>2023</v>
      </c>
      <c r="H3851" s="69" t="s">
        <v>52</v>
      </c>
      <c r="I3851" s="69" t="s">
        <v>2380</v>
      </c>
      <c r="J3851" s="69" t="s">
        <v>55</v>
      </c>
      <c r="K3851" s="69" t="s">
        <v>429</v>
      </c>
      <c r="L3851" s="69" t="s">
        <v>481</v>
      </c>
      <c r="M3851" s="69" t="s">
        <v>6</v>
      </c>
    </row>
    <row r="3852" spans="2:13">
      <c r="B3852" s="69">
        <v>3850</v>
      </c>
      <c r="C3852" s="69">
        <v>281</v>
      </c>
      <c r="D3852" s="69">
        <v>27</v>
      </c>
      <c r="E3852" s="69">
        <v>2</v>
      </c>
      <c r="F3852" s="69">
        <v>0</v>
      </c>
      <c r="G3852" s="69" t="s">
        <v>2023</v>
      </c>
      <c r="H3852" s="69" t="s">
        <v>52</v>
      </c>
      <c r="I3852" s="69" t="s">
        <v>2380</v>
      </c>
      <c r="J3852" s="69" t="s">
        <v>55</v>
      </c>
      <c r="K3852" s="69" t="s">
        <v>430</v>
      </c>
      <c r="L3852" s="69" t="s">
        <v>481</v>
      </c>
      <c r="M3852" s="69" t="s">
        <v>6</v>
      </c>
    </row>
    <row r="3853" spans="2:13">
      <c r="B3853" s="69">
        <v>3851</v>
      </c>
      <c r="C3853" s="69">
        <v>281</v>
      </c>
      <c r="D3853" s="69">
        <v>27</v>
      </c>
      <c r="E3853" s="69">
        <v>3</v>
      </c>
      <c r="F3853" s="69">
        <v>0</v>
      </c>
      <c r="G3853" s="69" t="s">
        <v>2023</v>
      </c>
      <c r="H3853" s="69" t="s">
        <v>52</v>
      </c>
      <c r="I3853" s="69" t="s">
        <v>2380</v>
      </c>
      <c r="J3853" s="69" t="s">
        <v>55</v>
      </c>
      <c r="K3853" s="69" t="s">
        <v>2176</v>
      </c>
      <c r="M3853" s="69" t="s">
        <v>6</v>
      </c>
    </row>
    <row r="3854" spans="2:13">
      <c r="B3854" s="69">
        <v>3852</v>
      </c>
      <c r="C3854" s="69">
        <v>281</v>
      </c>
      <c r="D3854" s="69">
        <v>27</v>
      </c>
      <c r="E3854" s="69">
        <v>4</v>
      </c>
      <c r="F3854" s="69">
        <v>0</v>
      </c>
      <c r="G3854" s="69" t="s">
        <v>2023</v>
      </c>
      <c r="H3854" s="69" t="s">
        <v>52</v>
      </c>
      <c r="I3854" s="69" t="s">
        <v>2380</v>
      </c>
      <c r="J3854" s="69" t="s">
        <v>437</v>
      </c>
      <c r="K3854" s="69" t="s">
        <v>438</v>
      </c>
      <c r="L3854" s="69" t="s">
        <v>439</v>
      </c>
      <c r="M3854" s="69" t="s">
        <v>6</v>
      </c>
    </row>
    <row r="3855" spans="2:13">
      <c r="B3855" s="69">
        <v>3853</v>
      </c>
      <c r="C3855" s="69">
        <v>281</v>
      </c>
      <c r="D3855" s="69">
        <v>27</v>
      </c>
      <c r="E3855" s="69">
        <v>5</v>
      </c>
      <c r="F3855" s="69">
        <v>0</v>
      </c>
      <c r="G3855" s="69" t="s">
        <v>2023</v>
      </c>
      <c r="H3855" s="69" t="s">
        <v>52</v>
      </c>
      <c r="I3855" s="69" t="s">
        <v>2380</v>
      </c>
      <c r="J3855" s="69" t="s">
        <v>55</v>
      </c>
      <c r="K3855" s="69" t="s">
        <v>2177</v>
      </c>
      <c r="M3855" s="69" t="s">
        <v>6</v>
      </c>
    </row>
    <row r="3856" spans="2:13">
      <c r="B3856" s="69">
        <v>3854</v>
      </c>
      <c r="C3856" s="69">
        <v>281</v>
      </c>
      <c r="D3856" s="69">
        <v>27</v>
      </c>
      <c r="E3856" s="69">
        <v>6</v>
      </c>
      <c r="F3856" s="69">
        <v>0</v>
      </c>
      <c r="G3856" s="69" t="s">
        <v>2023</v>
      </c>
      <c r="H3856" s="69" t="s">
        <v>52</v>
      </c>
      <c r="I3856" s="69" t="s">
        <v>2380</v>
      </c>
      <c r="J3856" s="69" t="s">
        <v>437</v>
      </c>
      <c r="K3856" s="69" t="s">
        <v>438</v>
      </c>
      <c r="L3856" s="69" t="s">
        <v>439</v>
      </c>
      <c r="M3856" s="69" t="s">
        <v>6</v>
      </c>
    </row>
    <row r="3857" spans="2:13">
      <c r="B3857" s="69">
        <v>3855</v>
      </c>
      <c r="C3857" s="69">
        <v>281</v>
      </c>
      <c r="D3857" s="69">
        <v>27</v>
      </c>
      <c r="E3857" s="69">
        <v>7</v>
      </c>
      <c r="F3857" s="69">
        <v>0</v>
      </c>
      <c r="G3857" s="69" t="s">
        <v>2023</v>
      </c>
      <c r="H3857" s="69" t="s">
        <v>52</v>
      </c>
      <c r="I3857" s="69" t="s">
        <v>2380</v>
      </c>
      <c r="J3857" s="69" t="s">
        <v>55</v>
      </c>
      <c r="K3857" s="69" t="s">
        <v>2178</v>
      </c>
      <c r="M3857" s="69" t="s">
        <v>6</v>
      </c>
    </row>
    <row r="3858" spans="2:13">
      <c r="B3858" s="69">
        <v>3856</v>
      </c>
      <c r="C3858" s="69">
        <v>281</v>
      </c>
      <c r="D3858" s="69">
        <v>27</v>
      </c>
      <c r="E3858" s="69">
        <v>8</v>
      </c>
      <c r="F3858" s="69">
        <v>0</v>
      </c>
      <c r="G3858" s="69" t="s">
        <v>2023</v>
      </c>
      <c r="H3858" s="69" t="s">
        <v>52</v>
      </c>
      <c r="I3858" s="69" t="s">
        <v>2380</v>
      </c>
      <c r="J3858" s="69" t="s">
        <v>437</v>
      </c>
      <c r="K3858" s="69" t="s">
        <v>438</v>
      </c>
      <c r="L3858" s="69" t="s">
        <v>439</v>
      </c>
      <c r="M3858" s="69" t="s">
        <v>6</v>
      </c>
    </row>
    <row r="3859" spans="2:13">
      <c r="B3859" s="69">
        <v>3857</v>
      </c>
      <c r="C3859" s="69">
        <v>281</v>
      </c>
      <c r="D3859" s="69">
        <v>27</v>
      </c>
      <c r="E3859" s="69">
        <v>9</v>
      </c>
      <c r="F3859" s="69">
        <v>0</v>
      </c>
      <c r="G3859" s="69" t="s">
        <v>2023</v>
      </c>
      <c r="H3859" s="69" t="s">
        <v>52</v>
      </c>
      <c r="I3859" s="69" t="s">
        <v>2380</v>
      </c>
      <c r="J3859" s="69" t="s">
        <v>64</v>
      </c>
      <c r="K3859" s="69" t="s">
        <v>440</v>
      </c>
      <c r="M3859" s="69" t="s">
        <v>6</v>
      </c>
    </row>
    <row r="3860" spans="2:13">
      <c r="B3860" s="69">
        <v>3858</v>
      </c>
      <c r="C3860" s="69">
        <v>281</v>
      </c>
      <c r="D3860" s="69">
        <v>27</v>
      </c>
      <c r="E3860" s="69">
        <v>10</v>
      </c>
      <c r="F3860" s="69">
        <v>0</v>
      </c>
      <c r="G3860" s="69" t="s">
        <v>2023</v>
      </c>
      <c r="H3860" s="69" t="s">
        <v>52</v>
      </c>
      <c r="I3860" s="69" t="s">
        <v>2380</v>
      </c>
      <c r="J3860" s="69" t="s">
        <v>55</v>
      </c>
      <c r="K3860" s="69" t="s">
        <v>2381</v>
      </c>
      <c r="M3860" s="69" t="s">
        <v>6</v>
      </c>
    </row>
    <row r="3861" spans="2:13">
      <c r="B3861" s="69">
        <v>3859</v>
      </c>
      <c r="C3861" s="69">
        <v>281</v>
      </c>
      <c r="D3861" s="69">
        <v>27</v>
      </c>
      <c r="E3861" s="69">
        <v>11</v>
      </c>
      <c r="F3861" s="69">
        <v>0</v>
      </c>
      <c r="G3861" s="69" t="s">
        <v>2023</v>
      </c>
      <c r="H3861" s="69" t="s">
        <v>52</v>
      </c>
      <c r="I3861" s="69" t="s">
        <v>2380</v>
      </c>
      <c r="J3861" s="69" t="s">
        <v>55</v>
      </c>
      <c r="K3861" s="69" t="s">
        <v>2382</v>
      </c>
      <c r="M3861" s="69" t="s">
        <v>6</v>
      </c>
    </row>
    <row r="3862" spans="2:13">
      <c r="B3862" s="69">
        <v>3860</v>
      </c>
      <c r="C3862" s="69">
        <v>281</v>
      </c>
      <c r="D3862" s="69">
        <v>27</v>
      </c>
      <c r="E3862" s="69">
        <v>12</v>
      </c>
      <c r="F3862" s="69">
        <v>0</v>
      </c>
      <c r="G3862" s="69" t="s">
        <v>2023</v>
      </c>
      <c r="H3862" s="69" t="s">
        <v>52</v>
      </c>
      <c r="I3862" s="69" t="s">
        <v>2380</v>
      </c>
      <c r="J3862" s="69" t="s">
        <v>55</v>
      </c>
      <c r="K3862" s="69" t="s">
        <v>2383</v>
      </c>
      <c r="M3862" s="69" t="s">
        <v>6</v>
      </c>
    </row>
    <row r="3863" spans="2:13">
      <c r="B3863" s="69">
        <v>3861</v>
      </c>
      <c r="C3863" s="69">
        <v>281</v>
      </c>
      <c r="D3863" s="69">
        <v>27</v>
      </c>
      <c r="E3863" s="69">
        <v>13</v>
      </c>
      <c r="F3863" s="69">
        <v>0</v>
      </c>
      <c r="G3863" s="69" t="s">
        <v>2023</v>
      </c>
      <c r="H3863" s="69" t="s">
        <v>52</v>
      </c>
      <c r="I3863" s="69" t="s">
        <v>2380</v>
      </c>
      <c r="J3863" s="69" t="s">
        <v>55</v>
      </c>
      <c r="K3863" s="69" t="s">
        <v>2384</v>
      </c>
      <c r="M3863" s="69" t="s">
        <v>6</v>
      </c>
    </row>
    <row r="3864" spans="2:13">
      <c r="B3864" s="69">
        <v>3862</v>
      </c>
      <c r="C3864" s="69">
        <v>281</v>
      </c>
      <c r="D3864" s="69">
        <v>27</v>
      </c>
      <c r="E3864" s="69">
        <v>14</v>
      </c>
      <c r="F3864" s="69">
        <v>0</v>
      </c>
      <c r="G3864" s="69" t="s">
        <v>2023</v>
      </c>
      <c r="H3864" s="69" t="s">
        <v>52</v>
      </c>
      <c r="I3864" s="69" t="s">
        <v>2380</v>
      </c>
      <c r="J3864" s="69" t="s">
        <v>55</v>
      </c>
      <c r="K3864" s="69" t="s">
        <v>2385</v>
      </c>
      <c r="M3864" s="69" t="s">
        <v>6</v>
      </c>
    </row>
    <row r="3865" spans="2:13">
      <c r="B3865" s="69">
        <v>3863</v>
      </c>
      <c r="C3865" s="69">
        <v>281</v>
      </c>
      <c r="D3865" s="69">
        <v>27</v>
      </c>
      <c r="E3865" s="69">
        <v>15</v>
      </c>
      <c r="F3865" s="69">
        <v>0</v>
      </c>
      <c r="G3865" s="69" t="s">
        <v>2023</v>
      </c>
      <c r="H3865" s="69" t="s">
        <v>52</v>
      </c>
      <c r="I3865" s="69" t="s">
        <v>2380</v>
      </c>
      <c r="J3865" s="69" t="s">
        <v>55</v>
      </c>
      <c r="K3865" s="69" t="s">
        <v>2386</v>
      </c>
      <c r="M3865" s="69" t="s">
        <v>6</v>
      </c>
    </row>
    <row r="3866" spans="2:13">
      <c r="B3866" s="69">
        <v>3864</v>
      </c>
      <c r="C3866" s="69">
        <v>281</v>
      </c>
      <c r="D3866" s="69">
        <v>27</v>
      </c>
      <c r="E3866" s="69">
        <v>16</v>
      </c>
      <c r="F3866" s="69">
        <v>0</v>
      </c>
      <c r="G3866" s="69" t="s">
        <v>2023</v>
      </c>
      <c r="H3866" s="69" t="s">
        <v>52</v>
      </c>
      <c r="I3866" s="69" t="s">
        <v>2380</v>
      </c>
      <c r="J3866" s="69" t="s">
        <v>55</v>
      </c>
      <c r="K3866" s="69" t="s">
        <v>2387</v>
      </c>
      <c r="M3866" s="69" t="s">
        <v>6</v>
      </c>
    </row>
    <row r="3867" spans="2:13">
      <c r="B3867" s="69">
        <v>3865</v>
      </c>
      <c r="C3867" s="69">
        <v>281</v>
      </c>
      <c r="D3867" s="69">
        <v>27</v>
      </c>
      <c r="E3867" s="69">
        <v>17</v>
      </c>
      <c r="F3867" s="69">
        <v>0</v>
      </c>
      <c r="G3867" s="69" t="s">
        <v>2023</v>
      </c>
      <c r="H3867" s="69" t="s">
        <v>52</v>
      </c>
      <c r="I3867" s="69" t="s">
        <v>2380</v>
      </c>
      <c r="J3867" s="69" t="s">
        <v>55</v>
      </c>
      <c r="K3867" s="69" t="s">
        <v>2388</v>
      </c>
      <c r="M3867" s="69" t="s">
        <v>6</v>
      </c>
    </row>
    <row r="3868" spans="2:13">
      <c r="B3868" s="69">
        <v>3866</v>
      </c>
      <c r="C3868" s="69">
        <v>281</v>
      </c>
      <c r="D3868" s="69">
        <v>27</v>
      </c>
      <c r="E3868" s="69">
        <v>18</v>
      </c>
      <c r="F3868" s="69">
        <v>0</v>
      </c>
      <c r="G3868" s="69" t="s">
        <v>2023</v>
      </c>
      <c r="H3868" s="69" t="s">
        <v>52</v>
      </c>
      <c r="I3868" s="69" t="s">
        <v>2380</v>
      </c>
      <c r="J3868" s="69" t="s">
        <v>55</v>
      </c>
      <c r="K3868" s="69" t="s">
        <v>2389</v>
      </c>
      <c r="M3868" s="69" t="s">
        <v>6</v>
      </c>
    </row>
    <row r="3869" spans="2:13">
      <c r="B3869" s="69">
        <v>3867</v>
      </c>
      <c r="C3869" s="69">
        <v>281</v>
      </c>
      <c r="D3869" s="69">
        <v>27</v>
      </c>
      <c r="E3869" s="69">
        <v>19</v>
      </c>
      <c r="F3869" s="69">
        <v>0</v>
      </c>
      <c r="G3869" s="69" t="s">
        <v>2023</v>
      </c>
      <c r="H3869" s="69" t="s">
        <v>52</v>
      </c>
      <c r="I3869" s="69" t="s">
        <v>2380</v>
      </c>
      <c r="J3869" s="69" t="s">
        <v>55</v>
      </c>
      <c r="K3869" s="69" t="s">
        <v>2390</v>
      </c>
      <c r="M3869" s="69" t="s">
        <v>6</v>
      </c>
    </row>
    <row r="3870" spans="2:13">
      <c r="B3870" s="69">
        <v>3868</v>
      </c>
      <c r="C3870" s="69">
        <v>281</v>
      </c>
      <c r="D3870" s="69">
        <v>27</v>
      </c>
      <c r="E3870" s="69">
        <v>20</v>
      </c>
      <c r="F3870" s="69">
        <v>0</v>
      </c>
      <c r="G3870" s="69" t="s">
        <v>2023</v>
      </c>
      <c r="H3870" s="69" t="s">
        <v>52</v>
      </c>
      <c r="I3870" s="69" t="s">
        <v>2380</v>
      </c>
      <c r="J3870" s="69" t="s">
        <v>55</v>
      </c>
      <c r="K3870" s="69" t="s">
        <v>2391</v>
      </c>
      <c r="M3870" s="69" t="s">
        <v>6</v>
      </c>
    </row>
    <row r="3871" spans="2:13">
      <c r="B3871" s="69">
        <v>3869</v>
      </c>
      <c r="C3871" s="69">
        <v>281</v>
      </c>
      <c r="D3871" s="69">
        <v>27</v>
      </c>
      <c r="E3871" s="69">
        <v>21</v>
      </c>
      <c r="F3871" s="69">
        <v>0</v>
      </c>
      <c r="G3871" s="69" t="s">
        <v>2023</v>
      </c>
      <c r="H3871" s="69" t="s">
        <v>52</v>
      </c>
      <c r="I3871" s="69" t="s">
        <v>2380</v>
      </c>
      <c r="J3871" s="69" t="s">
        <v>55</v>
      </c>
      <c r="K3871" s="69" t="s">
        <v>2392</v>
      </c>
      <c r="M3871" s="69" t="s">
        <v>6</v>
      </c>
    </row>
    <row r="3872" spans="2:13">
      <c r="B3872" s="69">
        <v>3870</v>
      </c>
      <c r="C3872" s="69">
        <v>281</v>
      </c>
      <c r="D3872" s="69">
        <v>27</v>
      </c>
      <c r="E3872" s="69">
        <v>22</v>
      </c>
      <c r="F3872" s="69">
        <v>0</v>
      </c>
      <c r="G3872" s="69" t="s">
        <v>2023</v>
      </c>
      <c r="H3872" s="69" t="s">
        <v>52</v>
      </c>
      <c r="I3872" s="69" t="s">
        <v>2380</v>
      </c>
      <c r="J3872" s="69" t="s">
        <v>55</v>
      </c>
      <c r="K3872" s="69" t="s">
        <v>2393</v>
      </c>
      <c r="M3872" s="69" t="s">
        <v>6</v>
      </c>
    </row>
    <row r="3873" spans="2:13">
      <c r="B3873" s="69">
        <v>3871</v>
      </c>
      <c r="C3873" s="69">
        <v>281</v>
      </c>
      <c r="D3873" s="69">
        <v>27</v>
      </c>
      <c r="E3873" s="69">
        <v>23</v>
      </c>
      <c r="F3873" s="69">
        <v>0</v>
      </c>
      <c r="G3873" s="69" t="s">
        <v>2023</v>
      </c>
      <c r="H3873" s="69" t="s">
        <v>52</v>
      </c>
      <c r="I3873" s="69" t="s">
        <v>2380</v>
      </c>
      <c r="J3873" s="69" t="s">
        <v>55</v>
      </c>
      <c r="K3873" s="69" t="s">
        <v>2394</v>
      </c>
      <c r="M3873" s="69" t="s">
        <v>6</v>
      </c>
    </row>
    <row r="3874" spans="2:13">
      <c r="B3874" s="69">
        <v>3872</v>
      </c>
      <c r="C3874" s="69">
        <v>281</v>
      </c>
      <c r="D3874" s="69">
        <v>27</v>
      </c>
      <c r="E3874" s="69">
        <v>24</v>
      </c>
      <c r="F3874" s="69">
        <v>0</v>
      </c>
      <c r="G3874" s="69" t="s">
        <v>2023</v>
      </c>
      <c r="H3874" s="69" t="s">
        <v>52</v>
      </c>
      <c r="I3874" s="69" t="s">
        <v>2380</v>
      </c>
      <c r="J3874" s="69" t="s">
        <v>55</v>
      </c>
      <c r="K3874" s="69" t="s">
        <v>2175</v>
      </c>
      <c r="M3874" s="69" t="s">
        <v>6</v>
      </c>
    </row>
    <row r="3875" spans="2:13">
      <c r="B3875" s="69">
        <v>3873</v>
      </c>
      <c r="C3875" s="69">
        <v>281</v>
      </c>
      <c r="D3875" s="69">
        <v>27</v>
      </c>
      <c r="E3875" s="69">
        <v>25</v>
      </c>
      <c r="F3875" s="69">
        <v>0</v>
      </c>
      <c r="G3875" s="69" t="s">
        <v>2023</v>
      </c>
      <c r="H3875" s="69" t="s">
        <v>52</v>
      </c>
      <c r="I3875" s="69" t="s">
        <v>2380</v>
      </c>
      <c r="J3875" s="69" t="s">
        <v>55</v>
      </c>
      <c r="K3875" s="69" t="s">
        <v>441</v>
      </c>
      <c r="M3875" s="69" t="s">
        <v>6</v>
      </c>
    </row>
    <row r="3876" spans="2:13">
      <c r="B3876" s="69">
        <v>3874</v>
      </c>
      <c r="C3876" s="69">
        <v>281</v>
      </c>
      <c r="D3876" s="69">
        <v>27</v>
      </c>
      <c r="E3876" s="69">
        <v>26</v>
      </c>
      <c r="F3876" s="69">
        <v>0</v>
      </c>
      <c r="G3876" s="69" t="s">
        <v>2023</v>
      </c>
      <c r="H3876" s="69" t="s">
        <v>52</v>
      </c>
      <c r="I3876" s="69" t="s">
        <v>2380</v>
      </c>
      <c r="J3876" s="69" t="s">
        <v>437</v>
      </c>
      <c r="K3876" s="69" t="s">
        <v>438</v>
      </c>
      <c r="L3876" s="69" t="s">
        <v>439</v>
      </c>
      <c r="M3876" s="69" t="s">
        <v>6</v>
      </c>
    </row>
    <row r="3877" spans="2:13">
      <c r="B3877" s="69">
        <v>3875</v>
      </c>
      <c r="C3877" s="69">
        <v>281</v>
      </c>
      <c r="D3877" s="69">
        <v>27</v>
      </c>
      <c r="E3877" s="69">
        <v>27</v>
      </c>
      <c r="F3877" s="69">
        <v>0</v>
      </c>
      <c r="G3877" s="69" t="s">
        <v>2023</v>
      </c>
      <c r="H3877" s="69" t="s">
        <v>52</v>
      </c>
      <c r="I3877" s="69" t="s">
        <v>2380</v>
      </c>
      <c r="J3877" s="69" t="s">
        <v>64</v>
      </c>
      <c r="K3877" s="69" t="s">
        <v>440</v>
      </c>
      <c r="M3877" s="69" t="s">
        <v>6</v>
      </c>
    </row>
    <row r="3878" spans="2:13">
      <c r="B3878" s="69">
        <v>3876</v>
      </c>
      <c r="C3878" s="69">
        <v>282</v>
      </c>
      <c r="D3878" s="69">
        <v>17</v>
      </c>
      <c r="E3878" s="69">
        <v>0</v>
      </c>
      <c r="F3878" s="69">
        <v>0</v>
      </c>
      <c r="G3878" s="69" t="s">
        <v>2395</v>
      </c>
      <c r="H3878" s="69" t="s">
        <v>52</v>
      </c>
      <c r="I3878" s="69" t="s">
        <v>2396</v>
      </c>
      <c r="J3878" s="69" t="s">
        <v>478</v>
      </c>
      <c r="K3878" s="69" t="s">
        <v>2396</v>
      </c>
      <c r="L3878" s="69" t="s">
        <v>481</v>
      </c>
      <c r="M3878" s="69" t="s">
        <v>6</v>
      </c>
    </row>
    <row r="3879" spans="2:13">
      <c r="B3879" s="69">
        <v>3877</v>
      </c>
      <c r="C3879" s="69">
        <v>282</v>
      </c>
      <c r="D3879" s="69">
        <v>17</v>
      </c>
      <c r="E3879" s="69">
        <v>1</v>
      </c>
      <c r="F3879" s="69">
        <v>0</v>
      </c>
      <c r="G3879" s="69" t="s">
        <v>2395</v>
      </c>
      <c r="H3879" s="69" t="s">
        <v>52</v>
      </c>
      <c r="I3879" s="69" t="s">
        <v>2396</v>
      </c>
      <c r="J3879" s="69" t="s">
        <v>55</v>
      </c>
      <c r="K3879" s="69" t="s">
        <v>429</v>
      </c>
      <c r="M3879" s="69" t="s">
        <v>6</v>
      </c>
    </row>
    <row r="3880" spans="2:13">
      <c r="B3880" s="69">
        <v>3878</v>
      </c>
      <c r="C3880" s="69">
        <v>282</v>
      </c>
      <c r="D3880" s="69">
        <v>17</v>
      </c>
      <c r="E3880" s="69">
        <v>2</v>
      </c>
      <c r="F3880" s="69">
        <v>0</v>
      </c>
      <c r="G3880" s="69" t="s">
        <v>2395</v>
      </c>
      <c r="H3880" s="69" t="s">
        <v>52</v>
      </c>
      <c r="I3880" s="69" t="s">
        <v>2396</v>
      </c>
      <c r="J3880" s="69" t="s">
        <v>55</v>
      </c>
      <c r="K3880" s="69" t="s">
        <v>430</v>
      </c>
      <c r="M3880" s="69" t="s">
        <v>6</v>
      </c>
    </row>
    <row r="3881" spans="2:13">
      <c r="B3881" s="69">
        <v>3879</v>
      </c>
      <c r="C3881" s="69">
        <v>282</v>
      </c>
      <c r="D3881" s="69">
        <v>17</v>
      </c>
      <c r="E3881" s="69">
        <v>3</v>
      </c>
      <c r="F3881" s="69">
        <v>0</v>
      </c>
      <c r="G3881" s="69" t="s">
        <v>2395</v>
      </c>
      <c r="H3881" s="69" t="s">
        <v>52</v>
      </c>
      <c r="I3881" s="69" t="s">
        <v>2396</v>
      </c>
      <c r="J3881" s="69" t="s">
        <v>55</v>
      </c>
      <c r="K3881" s="69" t="s">
        <v>2069</v>
      </c>
      <c r="M3881" s="69" t="s">
        <v>6</v>
      </c>
    </row>
    <row r="3882" spans="2:13">
      <c r="B3882" s="69">
        <v>3880</v>
      </c>
      <c r="C3882" s="69">
        <v>282</v>
      </c>
      <c r="D3882" s="69">
        <v>17</v>
      </c>
      <c r="E3882" s="69">
        <v>4</v>
      </c>
      <c r="F3882" s="69">
        <v>0</v>
      </c>
      <c r="G3882" s="69" t="s">
        <v>2395</v>
      </c>
      <c r="H3882" s="69" t="s">
        <v>52</v>
      </c>
      <c r="I3882" s="69" t="s">
        <v>2396</v>
      </c>
      <c r="J3882" s="69" t="s">
        <v>437</v>
      </c>
      <c r="K3882" s="69" t="s">
        <v>2286</v>
      </c>
      <c r="L3882" s="69" t="s">
        <v>2040</v>
      </c>
      <c r="M3882" s="69" t="s">
        <v>6</v>
      </c>
    </row>
    <row r="3883" spans="2:13">
      <c r="B3883" s="69">
        <v>3881</v>
      </c>
      <c r="C3883" s="69">
        <v>282</v>
      </c>
      <c r="D3883" s="69">
        <v>17</v>
      </c>
      <c r="E3883" s="69">
        <v>5</v>
      </c>
      <c r="F3883" s="69">
        <v>0</v>
      </c>
      <c r="G3883" s="69" t="s">
        <v>2395</v>
      </c>
      <c r="H3883" s="69" t="s">
        <v>52</v>
      </c>
      <c r="I3883" s="69" t="s">
        <v>2396</v>
      </c>
      <c r="J3883" s="69" t="s">
        <v>437</v>
      </c>
      <c r="K3883" s="69" t="s">
        <v>1256</v>
      </c>
      <c r="L3883" s="69" t="s">
        <v>2040</v>
      </c>
      <c r="M3883" s="69" t="s">
        <v>6</v>
      </c>
    </row>
    <row r="3884" spans="2:13">
      <c r="B3884" s="69">
        <v>3882</v>
      </c>
      <c r="C3884" s="69">
        <v>282</v>
      </c>
      <c r="D3884" s="69">
        <v>17</v>
      </c>
      <c r="E3884" s="69">
        <v>6</v>
      </c>
      <c r="F3884" s="69">
        <v>0</v>
      </c>
      <c r="G3884" s="69" t="s">
        <v>2395</v>
      </c>
      <c r="H3884" s="69" t="s">
        <v>52</v>
      </c>
      <c r="I3884" s="69" t="s">
        <v>2396</v>
      </c>
      <c r="J3884" s="69" t="s">
        <v>55</v>
      </c>
      <c r="K3884" s="69" t="s">
        <v>441</v>
      </c>
      <c r="M3884" s="69" t="s">
        <v>6</v>
      </c>
    </row>
    <row r="3885" spans="2:13">
      <c r="B3885" s="69">
        <v>3883</v>
      </c>
      <c r="C3885" s="69">
        <v>282</v>
      </c>
      <c r="D3885" s="69">
        <v>17</v>
      </c>
      <c r="E3885" s="69">
        <v>7</v>
      </c>
      <c r="F3885" s="69">
        <v>0</v>
      </c>
      <c r="G3885" s="69" t="s">
        <v>2395</v>
      </c>
      <c r="H3885" s="69" t="s">
        <v>52</v>
      </c>
      <c r="I3885" s="69" t="s">
        <v>2396</v>
      </c>
      <c r="J3885" s="69" t="s">
        <v>437</v>
      </c>
      <c r="K3885" s="69" t="s">
        <v>438</v>
      </c>
      <c r="L3885" s="69" t="s">
        <v>439</v>
      </c>
      <c r="M3885" s="69" t="s">
        <v>6</v>
      </c>
    </row>
    <row r="3886" spans="2:13">
      <c r="B3886" s="69">
        <v>3884</v>
      </c>
      <c r="C3886" s="69">
        <v>282</v>
      </c>
      <c r="D3886" s="69">
        <v>17</v>
      </c>
      <c r="E3886" s="69">
        <v>8</v>
      </c>
      <c r="F3886" s="69">
        <v>0</v>
      </c>
      <c r="G3886" s="69" t="s">
        <v>2395</v>
      </c>
      <c r="H3886" s="69" t="s">
        <v>52</v>
      </c>
      <c r="I3886" s="69" t="s">
        <v>2396</v>
      </c>
      <c r="J3886" s="69" t="s">
        <v>64</v>
      </c>
      <c r="K3886" s="69" t="s">
        <v>440</v>
      </c>
      <c r="M3886" s="69" t="s">
        <v>6</v>
      </c>
    </row>
    <row r="3887" spans="2:13">
      <c r="B3887" s="69">
        <v>3885</v>
      </c>
      <c r="C3887" s="69">
        <v>282</v>
      </c>
      <c r="D3887" s="69">
        <v>17</v>
      </c>
      <c r="E3887" s="69">
        <v>9</v>
      </c>
      <c r="F3887" s="69">
        <v>0</v>
      </c>
      <c r="G3887" s="69" t="s">
        <v>2395</v>
      </c>
      <c r="H3887" s="69" t="s">
        <v>52</v>
      </c>
      <c r="I3887" s="69" t="s">
        <v>2396</v>
      </c>
      <c r="J3887" s="69" t="s">
        <v>55</v>
      </c>
      <c r="K3887" s="69" t="s">
        <v>2074</v>
      </c>
      <c r="M3887" s="69" t="s">
        <v>6</v>
      </c>
    </row>
    <row r="3888" spans="2:13">
      <c r="B3888" s="69">
        <v>3886</v>
      </c>
      <c r="C3888" s="69">
        <v>282</v>
      </c>
      <c r="D3888" s="69">
        <v>17</v>
      </c>
      <c r="E3888" s="69">
        <v>10</v>
      </c>
      <c r="F3888" s="69">
        <v>0</v>
      </c>
      <c r="G3888" s="69" t="s">
        <v>2395</v>
      </c>
      <c r="H3888" s="69" t="s">
        <v>52</v>
      </c>
      <c r="I3888" s="69" t="s">
        <v>2396</v>
      </c>
      <c r="J3888" s="69" t="s">
        <v>55</v>
      </c>
      <c r="K3888" s="69" t="s">
        <v>2288</v>
      </c>
      <c r="M3888" s="69" t="s">
        <v>6</v>
      </c>
    </row>
    <row r="3889" spans="2:13">
      <c r="B3889" s="69">
        <v>3887</v>
      </c>
      <c r="C3889" s="69">
        <v>282</v>
      </c>
      <c r="D3889" s="69">
        <v>17</v>
      </c>
      <c r="E3889" s="69">
        <v>11</v>
      </c>
      <c r="F3889" s="69">
        <v>0</v>
      </c>
      <c r="G3889" s="69" t="s">
        <v>2395</v>
      </c>
      <c r="H3889" s="69" t="s">
        <v>52</v>
      </c>
      <c r="I3889" s="69" t="s">
        <v>2396</v>
      </c>
      <c r="J3889" s="69" t="s">
        <v>55</v>
      </c>
      <c r="K3889" s="69" t="s">
        <v>1111</v>
      </c>
      <c r="M3889" s="69" t="s">
        <v>6</v>
      </c>
    </row>
    <row r="3890" spans="2:13">
      <c r="B3890" s="69">
        <v>3888</v>
      </c>
      <c r="C3890" s="69">
        <v>282</v>
      </c>
      <c r="D3890" s="69">
        <v>17</v>
      </c>
      <c r="E3890" s="69">
        <v>12</v>
      </c>
      <c r="F3890" s="69">
        <v>0</v>
      </c>
      <c r="G3890" s="69" t="s">
        <v>2395</v>
      </c>
      <c r="H3890" s="69" t="s">
        <v>52</v>
      </c>
      <c r="I3890" s="69" t="s">
        <v>2396</v>
      </c>
      <c r="J3890" s="69" t="s">
        <v>55</v>
      </c>
      <c r="K3890" s="69" t="s">
        <v>2289</v>
      </c>
      <c r="M3890" s="69" t="s">
        <v>6</v>
      </c>
    </row>
    <row r="3891" spans="2:13">
      <c r="B3891" s="69">
        <v>3889</v>
      </c>
      <c r="C3891" s="69">
        <v>282</v>
      </c>
      <c r="D3891" s="69">
        <v>17</v>
      </c>
      <c r="E3891" s="69">
        <v>13</v>
      </c>
      <c r="F3891" s="69">
        <v>0</v>
      </c>
      <c r="G3891" s="69" t="s">
        <v>2395</v>
      </c>
      <c r="H3891" s="69" t="s">
        <v>52</v>
      </c>
      <c r="I3891" s="69" t="s">
        <v>2396</v>
      </c>
      <c r="J3891" s="69" t="s">
        <v>55</v>
      </c>
      <c r="K3891" s="69" t="s">
        <v>2290</v>
      </c>
      <c r="M3891" s="69" t="s">
        <v>6</v>
      </c>
    </row>
    <row r="3892" spans="2:13">
      <c r="B3892" s="69">
        <v>3890</v>
      </c>
      <c r="C3892" s="69">
        <v>282</v>
      </c>
      <c r="D3892" s="69">
        <v>17</v>
      </c>
      <c r="E3892" s="69">
        <v>14</v>
      </c>
      <c r="F3892" s="69">
        <v>0</v>
      </c>
      <c r="G3892" s="69" t="s">
        <v>2395</v>
      </c>
      <c r="H3892" s="69" t="s">
        <v>52</v>
      </c>
      <c r="I3892" s="69" t="s">
        <v>2396</v>
      </c>
      <c r="J3892" s="69" t="s">
        <v>55</v>
      </c>
      <c r="K3892" s="69" t="s">
        <v>2291</v>
      </c>
      <c r="M3892" s="69" t="s">
        <v>6</v>
      </c>
    </row>
    <row r="3893" spans="2:13">
      <c r="B3893" s="69">
        <v>3891</v>
      </c>
      <c r="C3893" s="69">
        <v>282</v>
      </c>
      <c r="D3893" s="69">
        <v>17</v>
      </c>
      <c r="E3893" s="69">
        <v>15</v>
      </c>
      <c r="F3893" s="69">
        <v>0</v>
      </c>
      <c r="G3893" s="69" t="s">
        <v>2395</v>
      </c>
      <c r="H3893" s="69" t="s">
        <v>52</v>
      </c>
      <c r="I3893" s="69" t="s">
        <v>2396</v>
      </c>
      <c r="J3893" s="69" t="s">
        <v>55</v>
      </c>
      <c r="K3893" s="69" t="s">
        <v>1119</v>
      </c>
      <c r="M3893" s="69" t="s">
        <v>6</v>
      </c>
    </row>
    <row r="3894" spans="2:13">
      <c r="B3894" s="69">
        <v>3892</v>
      </c>
      <c r="C3894" s="69">
        <v>282</v>
      </c>
      <c r="D3894" s="69">
        <v>17</v>
      </c>
      <c r="E3894" s="69">
        <v>16</v>
      </c>
      <c r="F3894" s="69">
        <v>0</v>
      </c>
      <c r="G3894" s="69" t="s">
        <v>2395</v>
      </c>
      <c r="H3894" s="69" t="s">
        <v>52</v>
      </c>
      <c r="I3894" s="69" t="s">
        <v>2396</v>
      </c>
      <c r="J3894" s="69" t="s">
        <v>55</v>
      </c>
      <c r="K3894" s="69" t="s">
        <v>2076</v>
      </c>
      <c r="M3894" s="69" t="s">
        <v>6</v>
      </c>
    </row>
    <row r="3895" spans="2:13">
      <c r="B3895" s="69">
        <v>3893</v>
      </c>
      <c r="C3895" s="69">
        <v>282</v>
      </c>
      <c r="D3895" s="69">
        <v>17</v>
      </c>
      <c r="E3895" s="69">
        <v>17</v>
      </c>
      <c r="F3895" s="69">
        <v>0</v>
      </c>
      <c r="G3895" s="69" t="s">
        <v>2395</v>
      </c>
      <c r="H3895" s="69" t="s">
        <v>52</v>
      </c>
      <c r="I3895" s="69" t="s">
        <v>2396</v>
      </c>
      <c r="J3895" s="69" t="s">
        <v>437</v>
      </c>
      <c r="K3895" s="69" t="s">
        <v>438</v>
      </c>
      <c r="L3895" s="69" t="s">
        <v>439</v>
      </c>
      <c r="M3895" s="69" t="s">
        <v>6</v>
      </c>
    </row>
    <row r="3896" spans="2:13">
      <c r="B3896" s="69">
        <v>3894</v>
      </c>
      <c r="C3896" s="69">
        <v>283</v>
      </c>
      <c r="D3896" s="69">
        <v>11</v>
      </c>
      <c r="E3896" s="69">
        <v>0</v>
      </c>
      <c r="F3896" s="69">
        <v>0</v>
      </c>
      <c r="G3896" s="69" t="s">
        <v>1067</v>
      </c>
      <c r="H3896" s="69" t="s">
        <v>9</v>
      </c>
      <c r="I3896" s="69" t="s">
        <v>2397</v>
      </c>
      <c r="J3896" s="69" t="s">
        <v>54</v>
      </c>
      <c r="K3896" s="69" t="s">
        <v>2397</v>
      </c>
      <c r="M3896" s="69" t="s">
        <v>6</v>
      </c>
    </row>
    <row r="3897" spans="2:13">
      <c r="B3897" s="69">
        <v>3895</v>
      </c>
      <c r="C3897" s="69">
        <v>283</v>
      </c>
      <c r="D3897" s="69">
        <v>11</v>
      </c>
      <c r="E3897" s="69">
        <v>1</v>
      </c>
      <c r="F3897" s="69">
        <v>0</v>
      </c>
      <c r="G3897" s="69" t="s">
        <v>1067</v>
      </c>
      <c r="H3897" s="69" t="s">
        <v>9</v>
      </c>
      <c r="I3897" s="69" t="s">
        <v>2397</v>
      </c>
      <c r="J3897" s="69" t="s">
        <v>55</v>
      </c>
      <c r="K3897" s="69" t="s">
        <v>1144</v>
      </c>
      <c r="M3897" s="69" t="s">
        <v>6</v>
      </c>
    </row>
    <row r="3898" spans="2:13">
      <c r="B3898" s="69">
        <v>3896</v>
      </c>
      <c r="C3898" s="69">
        <v>283</v>
      </c>
      <c r="D3898" s="69">
        <v>11</v>
      </c>
      <c r="E3898" s="69">
        <v>2</v>
      </c>
      <c r="F3898" s="69">
        <v>0</v>
      </c>
      <c r="G3898" s="69" t="s">
        <v>1067</v>
      </c>
      <c r="H3898" s="69" t="s">
        <v>9</v>
      </c>
      <c r="I3898" s="69" t="s">
        <v>2397</v>
      </c>
      <c r="J3898" s="69" t="s">
        <v>55</v>
      </c>
      <c r="K3898" s="69" t="s">
        <v>1145</v>
      </c>
      <c r="M3898" s="69" t="s">
        <v>6</v>
      </c>
    </row>
    <row r="3899" spans="2:13">
      <c r="B3899" s="69">
        <v>3897</v>
      </c>
      <c r="C3899" s="69">
        <v>283</v>
      </c>
      <c r="D3899" s="69">
        <v>11</v>
      </c>
      <c r="E3899" s="69">
        <v>3</v>
      </c>
      <c r="F3899" s="69">
        <v>0</v>
      </c>
      <c r="G3899" s="69" t="s">
        <v>1067</v>
      </c>
      <c r="H3899" s="69" t="s">
        <v>9</v>
      </c>
      <c r="I3899" s="69" t="s">
        <v>2397</v>
      </c>
      <c r="J3899" s="69" t="s">
        <v>55</v>
      </c>
      <c r="K3899" s="69" t="s">
        <v>1146</v>
      </c>
      <c r="M3899" s="69" t="s">
        <v>6</v>
      </c>
    </row>
    <row r="3900" spans="2:13">
      <c r="B3900" s="69">
        <v>3898</v>
      </c>
      <c r="C3900" s="69">
        <v>283</v>
      </c>
      <c r="D3900" s="69">
        <v>11</v>
      </c>
      <c r="E3900" s="69">
        <v>4</v>
      </c>
      <c r="F3900" s="69">
        <v>0</v>
      </c>
      <c r="G3900" s="69" t="s">
        <v>1067</v>
      </c>
      <c r="H3900" s="69" t="s">
        <v>9</v>
      </c>
      <c r="I3900" s="69" t="s">
        <v>2397</v>
      </c>
      <c r="J3900" s="69" t="s">
        <v>55</v>
      </c>
      <c r="K3900" s="69" t="s">
        <v>2398</v>
      </c>
      <c r="M3900" s="69" t="s">
        <v>6</v>
      </c>
    </row>
    <row r="3901" spans="2:13">
      <c r="B3901" s="69">
        <v>3899</v>
      </c>
      <c r="C3901" s="69">
        <v>283</v>
      </c>
      <c r="D3901" s="69">
        <v>11</v>
      </c>
      <c r="E3901" s="69">
        <v>5</v>
      </c>
      <c r="F3901" s="69">
        <v>0</v>
      </c>
      <c r="G3901" s="69" t="s">
        <v>1067</v>
      </c>
      <c r="H3901" s="69" t="s">
        <v>9</v>
      </c>
      <c r="I3901" s="69" t="s">
        <v>2397</v>
      </c>
      <c r="J3901" s="69" t="s">
        <v>55</v>
      </c>
      <c r="K3901" s="69" t="s">
        <v>2399</v>
      </c>
      <c r="M3901" s="69" t="s">
        <v>6</v>
      </c>
    </row>
    <row r="3902" spans="2:13">
      <c r="B3902" s="69">
        <v>3900</v>
      </c>
      <c r="C3902" s="69">
        <v>283</v>
      </c>
      <c r="D3902" s="69">
        <v>11</v>
      </c>
      <c r="E3902" s="69">
        <v>6</v>
      </c>
      <c r="F3902" s="69">
        <v>0</v>
      </c>
      <c r="G3902" s="69" t="s">
        <v>1067</v>
      </c>
      <c r="H3902" s="69" t="s">
        <v>9</v>
      </c>
      <c r="I3902" s="69" t="s">
        <v>2397</v>
      </c>
      <c r="J3902" s="69" t="s">
        <v>55</v>
      </c>
      <c r="K3902" s="69" t="s">
        <v>2400</v>
      </c>
      <c r="M3902" s="69" t="s">
        <v>6</v>
      </c>
    </row>
    <row r="3903" spans="2:13">
      <c r="B3903" s="69">
        <v>3901</v>
      </c>
      <c r="C3903" s="69">
        <v>283</v>
      </c>
      <c r="D3903" s="69">
        <v>11</v>
      </c>
      <c r="E3903" s="69">
        <v>7</v>
      </c>
      <c r="F3903" s="69">
        <v>0</v>
      </c>
      <c r="G3903" s="69" t="s">
        <v>1067</v>
      </c>
      <c r="H3903" s="69" t="s">
        <v>9</v>
      </c>
      <c r="I3903" s="69" t="s">
        <v>2397</v>
      </c>
      <c r="J3903" s="69" t="s">
        <v>55</v>
      </c>
      <c r="K3903" s="69" t="s">
        <v>2401</v>
      </c>
      <c r="M3903" s="69" t="s">
        <v>6</v>
      </c>
    </row>
    <row r="3904" spans="2:13">
      <c r="B3904" s="69">
        <v>3902</v>
      </c>
      <c r="C3904" s="69">
        <v>283</v>
      </c>
      <c r="D3904" s="69">
        <v>11</v>
      </c>
      <c r="E3904" s="69">
        <v>8</v>
      </c>
      <c r="F3904" s="69">
        <v>0</v>
      </c>
      <c r="G3904" s="69" t="s">
        <v>1067</v>
      </c>
      <c r="H3904" s="69" t="s">
        <v>9</v>
      </c>
      <c r="I3904" s="69" t="s">
        <v>2397</v>
      </c>
      <c r="J3904" s="69" t="s">
        <v>55</v>
      </c>
      <c r="K3904" s="69" t="s">
        <v>2402</v>
      </c>
      <c r="M3904" s="69" t="s">
        <v>6</v>
      </c>
    </row>
    <row r="3905" spans="2:13">
      <c r="B3905" s="69">
        <v>3903</v>
      </c>
      <c r="C3905" s="69">
        <v>283</v>
      </c>
      <c r="D3905" s="69">
        <v>11</v>
      </c>
      <c r="E3905" s="69">
        <v>9</v>
      </c>
      <c r="F3905" s="69">
        <v>0</v>
      </c>
      <c r="G3905" s="69" t="s">
        <v>1067</v>
      </c>
      <c r="H3905" s="69" t="s">
        <v>9</v>
      </c>
      <c r="I3905" s="69" t="s">
        <v>2397</v>
      </c>
      <c r="J3905" s="69" t="s">
        <v>55</v>
      </c>
      <c r="K3905" s="69" t="s">
        <v>2403</v>
      </c>
      <c r="M3905" s="69" t="s">
        <v>6</v>
      </c>
    </row>
    <row r="3906" spans="2:13">
      <c r="B3906" s="69">
        <v>3904</v>
      </c>
      <c r="C3906" s="69">
        <v>283</v>
      </c>
      <c r="D3906" s="69">
        <v>11</v>
      </c>
      <c r="E3906" s="69">
        <v>10</v>
      </c>
      <c r="F3906" s="69">
        <v>0</v>
      </c>
      <c r="G3906" s="69" t="s">
        <v>1067</v>
      </c>
      <c r="H3906" s="69" t="s">
        <v>9</v>
      </c>
      <c r="I3906" s="69" t="s">
        <v>2397</v>
      </c>
      <c r="J3906" s="69" t="s">
        <v>55</v>
      </c>
      <c r="K3906" s="69" t="s">
        <v>93</v>
      </c>
      <c r="M3906" s="69" t="s">
        <v>6</v>
      </c>
    </row>
    <row r="3907" spans="2:13">
      <c r="B3907" s="69">
        <v>3905</v>
      </c>
      <c r="C3907" s="69">
        <v>283</v>
      </c>
      <c r="D3907" s="69">
        <v>11</v>
      </c>
      <c r="E3907" s="69">
        <v>11</v>
      </c>
      <c r="F3907" s="69">
        <v>0</v>
      </c>
      <c r="G3907" s="69" t="s">
        <v>1067</v>
      </c>
      <c r="H3907" s="69" t="s">
        <v>9</v>
      </c>
      <c r="I3907" s="69" t="s">
        <v>2397</v>
      </c>
      <c r="J3907" s="69" t="s">
        <v>64</v>
      </c>
      <c r="K3907" s="69" t="s">
        <v>94</v>
      </c>
      <c r="M3907" s="69" t="s">
        <v>6</v>
      </c>
    </row>
    <row r="3908" spans="2:13">
      <c r="B3908" s="69">
        <v>3906</v>
      </c>
      <c r="C3908" s="69">
        <v>284</v>
      </c>
      <c r="D3908" s="69">
        <v>34</v>
      </c>
      <c r="E3908" s="69">
        <v>0</v>
      </c>
      <c r="F3908" s="69">
        <v>0</v>
      </c>
      <c r="G3908" s="69" t="s">
        <v>2023</v>
      </c>
      <c r="H3908" s="69" t="s">
        <v>52</v>
      </c>
      <c r="I3908" s="69" t="s">
        <v>2404</v>
      </c>
      <c r="J3908" s="69" t="s">
        <v>478</v>
      </c>
      <c r="K3908" s="69" t="s">
        <v>2404</v>
      </c>
      <c r="M3908" s="69" t="s">
        <v>6</v>
      </c>
    </row>
    <row r="3909" spans="2:13">
      <c r="B3909" s="69">
        <v>3907</v>
      </c>
      <c r="C3909" s="69">
        <v>284</v>
      </c>
      <c r="D3909" s="69">
        <v>34</v>
      </c>
      <c r="E3909" s="69">
        <v>1</v>
      </c>
      <c r="F3909" s="69">
        <v>0</v>
      </c>
      <c r="G3909" s="69" t="s">
        <v>2023</v>
      </c>
      <c r="H3909" s="69" t="s">
        <v>52</v>
      </c>
      <c r="I3909" s="69" t="s">
        <v>2404</v>
      </c>
      <c r="J3909" s="69" t="s">
        <v>479</v>
      </c>
      <c r="K3909" s="69" t="s">
        <v>2049</v>
      </c>
      <c r="M3909" s="69" t="s">
        <v>6</v>
      </c>
    </row>
    <row r="3910" spans="2:13">
      <c r="B3910" s="69">
        <v>3908</v>
      </c>
      <c r="C3910" s="69">
        <v>284</v>
      </c>
      <c r="D3910" s="69">
        <v>34</v>
      </c>
      <c r="E3910" s="69">
        <v>2</v>
      </c>
      <c r="F3910" s="69">
        <v>0</v>
      </c>
      <c r="G3910" s="69" t="s">
        <v>2023</v>
      </c>
      <c r="H3910" s="69" t="s">
        <v>52</v>
      </c>
      <c r="I3910" s="69" t="s">
        <v>2404</v>
      </c>
      <c r="J3910" s="69" t="s">
        <v>55</v>
      </c>
      <c r="K3910" s="69" t="s">
        <v>2025</v>
      </c>
      <c r="M3910" s="69" t="s">
        <v>6</v>
      </c>
    </row>
    <row r="3911" spans="2:13">
      <c r="B3911" s="69">
        <v>3909</v>
      </c>
      <c r="C3911" s="69">
        <v>284</v>
      </c>
      <c r="D3911" s="69">
        <v>34</v>
      </c>
      <c r="E3911" s="69">
        <v>3</v>
      </c>
      <c r="F3911" s="69">
        <v>0</v>
      </c>
      <c r="G3911" s="69" t="s">
        <v>2023</v>
      </c>
      <c r="H3911" s="69" t="s">
        <v>52</v>
      </c>
      <c r="I3911" s="69" t="s">
        <v>2404</v>
      </c>
      <c r="J3911" s="69" t="s">
        <v>55</v>
      </c>
      <c r="K3911" s="69" t="s">
        <v>2050</v>
      </c>
      <c r="M3911" s="69" t="s">
        <v>6</v>
      </c>
    </row>
    <row r="3912" spans="2:13">
      <c r="B3912" s="69">
        <v>3910</v>
      </c>
      <c r="C3912" s="69">
        <v>284</v>
      </c>
      <c r="D3912" s="69">
        <v>34</v>
      </c>
      <c r="E3912" s="69">
        <v>4</v>
      </c>
      <c r="F3912" s="69">
        <v>0</v>
      </c>
      <c r="G3912" s="69" t="s">
        <v>2023</v>
      </c>
      <c r="H3912" s="69" t="s">
        <v>52</v>
      </c>
      <c r="I3912" s="69" t="s">
        <v>2404</v>
      </c>
      <c r="J3912" s="69" t="s">
        <v>55</v>
      </c>
      <c r="K3912" s="69" t="s">
        <v>2051</v>
      </c>
      <c r="M3912" s="69" t="s">
        <v>6</v>
      </c>
    </row>
    <row r="3913" spans="2:13">
      <c r="B3913" s="69">
        <v>3911</v>
      </c>
      <c r="C3913" s="69">
        <v>284</v>
      </c>
      <c r="D3913" s="69">
        <v>34</v>
      </c>
      <c r="E3913" s="69">
        <v>5</v>
      </c>
      <c r="F3913" s="69">
        <v>0</v>
      </c>
      <c r="G3913" s="69" t="s">
        <v>2023</v>
      </c>
      <c r="H3913" s="69" t="s">
        <v>52</v>
      </c>
      <c r="I3913" s="69" t="s">
        <v>2404</v>
      </c>
      <c r="J3913" s="69" t="s">
        <v>437</v>
      </c>
      <c r="K3913" s="69" t="s">
        <v>438</v>
      </c>
      <c r="L3913" s="69" t="s">
        <v>439</v>
      </c>
      <c r="M3913" s="69" t="s">
        <v>6</v>
      </c>
    </row>
    <row r="3914" spans="2:13">
      <c r="B3914" s="69">
        <v>3912</v>
      </c>
      <c r="C3914" s="69">
        <v>284</v>
      </c>
      <c r="D3914" s="69">
        <v>34</v>
      </c>
      <c r="E3914" s="69">
        <v>6</v>
      </c>
      <c r="F3914" s="69">
        <v>0</v>
      </c>
      <c r="G3914" s="69" t="s">
        <v>2023</v>
      </c>
      <c r="H3914" s="69" t="s">
        <v>52</v>
      </c>
      <c r="I3914" s="69" t="s">
        <v>2404</v>
      </c>
      <c r="J3914" s="69" t="s">
        <v>214</v>
      </c>
      <c r="K3914" s="69" t="s">
        <v>443</v>
      </c>
      <c r="M3914" s="69" t="s">
        <v>6</v>
      </c>
    </row>
    <row r="3915" spans="2:13">
      <c r="B3915" s="69">
        <v>3913</v>
      </c>
      <c r="C3915" s="69">
        <v>284</v>
      </c>
      <c r="D3915" s="69">
        <v>34</v>
      </c>
      <c r="E3915" s="69">
        <v>7</v>
      </c>
      <c r="F3915" s="69">
        <v>0</v>
      </c>
      <c r="G3915" s="69" t="s">
        <v>2023</v>
      </c>
      <c r="H3915" s="69" t="s">
        <v>52</v>
      </c>
      <c r="I3915" s="69" t="s">
        <v>2404</v>
      </c>
      <c r="J3915" s="69" t="s">
        <v>55</v>
      </c>
      <c r="K3915" s="69" t="s">
        <v>442</v>
      </c>
      <c r="M3915" s="69" t="s">
        <v>6</v>
      </c>
    </row>
    <row r="3916" spans="2:13">
      <c r="B3916" s="69">
        <v>3914</v>
      </c>
      <c r="C3916" s="69">
        <v>284</v>
      </c>
      <c r="D3916" s="69">
        <v>34</v>
      </c>
      <c r="E3916" s="69">
        <v>8</v>
      </c>
      <c r="F3916" s="69">
        <v>0</v>
      </c>
      <c r="G3916" s="69" t="s">
        <v>2023</v>
      </c>
      <c r="H3916" s="69" t="s">
        <v>52</v>
      </c>
      <c r="I3916" s="69" t="s">
        <v>2404</v>
      </c>
      <c r="J3916" s="69" t="s">
        <v>479</v>
      </c>
      <c r="K3916" s="69" t="s">
        <v>2052</v>
      </c>
      <c r="M3916" s="69" t="s">
        <v>6</v>
      </c>
    </row>
    <row r="3917" spans="2:13">
      <c r="B3917" s="69">
        <v>3915</v>
      </c>
      <c r="C3917" s="69">
        <v>284</v>
      </c>
      <c r="D3917" s="69">
        <v>34</v>
      </c>
      <c r="E3917" s="69">
        <v>9</v>
      </c>
      <c r="F3917" s="69">
        <v>0</v>
      </c>
      <c r="G3917" s="69" t="s">
        <v>2023</v>
      </c>
      <c r="H3917" s="69" t="s">
        <v>52</v>
      </c>
      <c r="I3917" s="69" t="s">
        <v>2404</v>
      </c>
      <c r="J3917" s="69" t="s">
        <v>55</v>
      </c>
      <c r="K3917" s="69" t="s">
        <v>2025</v>
      </c>
      <c r="M3917" s="69" t="s">
        <v>6</v>
      </c>
    </row>
    <row r="3918" spans="2:13">
      <c r="B3918" s="69">
        <v>3916</v>
      </c>
      <c r="C3918" s="69">
        <v>284</v>
      </c>
      <c r="D3918" s="69">
        <v>34</v>
      </c>
      <c r="E3918" s="69">
        <v>10</v>
      </c>
      <c r="F3918" s="69">
        <v>0</v>
      </c>
      <c r="G3918" s="69" t="s">
        <v>2023</v>
      </c>
      <c r="H3918" s="69" t="s">
        <v>52</v>
      </c>
      <c r="I3918" s="69" t="s">
        <v>2404</v>
      </c>
      <c r="J3918" s="69" t="s">
        <v>55</v>
      </c>
      <c r="K3918" s="69" t="s">
        <v>2053</v>
      </c>
      <c r="M3918" s="69" t="s">
        <v>6</v>
      </c>
    </row>
    <row r="3919" spans="2:13">
      <c r="B3919" s="69">
        <v>3917</v>
      </c>
      <c r="C3919" s="69">
        <v>284</v>
      </c>
      <c r="D3919" s="69">
        <v>34</v>
      </c>
      <c r="E3919" s="69">
        <v>11</v>
      </c>
      <c r="F3919" s="69">
        <v>0</v>
      </c>
      <c r="G3919" s="69" t="s">
        <v>2023</v>
      </c>
      <c r="H3919" s="69" t="s">
        <v>52</v>
      </c>
      <c r="I3919" s="69" t="s">
        <v>2404</v>
      </c>
      <c r="J3919" s="69" t="s">
        <v>55</v>
      </c>
      <c r="K3919" s="69" t="s">
        <v>2054</v>
      </c>
      <c r="M3919" s="69" t="s">
        <v>6</v>
      </c>
    </row>
    <row r="3920" spans="2:13">
      <c r="B3920" s="69">
        <v>3918</v>
      </c>
      <c r="C3920" s="69">
        <v>284</v>
      </c>
      <c r="D3920" s="69">
        <v>34</v>
      </c>
      <c r="E3920" s="69">
        <v>12</v>
      </c>
      <c r="F3920" s="69">
        <v>0</v>
      </c>
      <c r="G3920" s="69" t="s">
        <v>2023</v>
      </c>
      <c r="H3920" s="69" t="s">
        <v>52</v>
      </c>
      <c r="I3920" s="69" t="s">
        <v>2404</v>
      </c>
      <c r="J3920" s="69" t="s">
        <v>55</v>
      </c>
      <c r="K3920" s="69" t="s">
        <v>2055</v>
      </c>
      <c r="M3920" s="69" t="s">
        <v>6</v>
      </c>
    </row>
    <row r="3921" spans="2:13">
      <c r="B3921" s="69">
        <v>3919</v>
      </c>
      <c r="C3921" s="69">
        <v>284</v>
      </c>
      <c r="D3921" s="69">
        <v>34</v>
      </c>
      <c r="E3921" s="69">
        <v>13</v>
      </c>
      <c r="F3921" s="69">
        <v>0</v>
      </c>
      <c r="G3921" s="69" t="s">
        <v>2023</v>
      </c>
      <c r="H3921" s="69" t="s">
        <v>52</v>
      </c>
      <c r="I3921" s="69" t="s">
        <v>2404</v>
      </c>
      <c r="J3921" s="69" t="s">
        <v>55</v>
      </c>
      <c r="K3921" s="69" t="s">
        <v>2056</v>
      </c>
      <c r="M3921" s="69" t="s">
        <v>6</v>
      </c>
    </row>
    <row r="3922" spans="2:13">
      <c r="B3922" s="69">
        <v>3920</v>
      </c>
      <c r="C3922" s="69">
        <v>284</v>
      </c>
      <c r="D3922" s="69">
        <v>34</v>
      </c>
      <c r="E3922" s="69">
        <v>14</v>
      </c>
      <c r="F3922" s="69">
        <v>0</v>
      </c>
      <c r="G3922" s="69" t="s">
        <v>2023</v>
      </c>
      <c r="H3922" s="69" t="s">
        <v>52</v>
      </c>
      <c r="I3922" s="69" t="s">
        <v>2404</v>
      </c>
      <c r="J3922" s="69" t="s">
        <v>437</v>
      </c>
      <c r="K3922" s="69" t="s">
        <v>438</v>
      </c>
      <c r="L3922" s="69" t="s">
        <v>439</v>
      </c>
      <c r="M3922" s="69" t="s">
        <v>6</v>
      </c>
    </row>
    <row r="3923" spans="2:13">
      <c r="B3923" s="69">
        <v>3921</v>
      </c>
      <c r="C3923" s="69">
        <v>284</v>
      </c>
      <c r="D3923" s="69">
        <v>34</v>
      </c>
      <c r="E3923" s="69">
        <v>15</v>
      </c>
      <c r="F3923" s="69">
        <v>0</v>
      </c>
      <c r="G3923" s="69" t="s">
        <v>2023</v>
      </c>
      <c r="H3923" s="69" t="s">
        <v>52</v>
      </c>
      <c r="I3923" s="69" t="s">
        <v>2404</v>
      </c>
      <c r="J3923" s="69" t="s">
        <v>214</v>
      </c>
      <c r="K3923" s="69" t="s">
        <v>443</v>
      </c>
      <c r="M3923" s="69" t="s">
        <v>6</v>
      </c>
    </row>
    <row r="3924" spans="2:13">
      <c r="B3924" s="69">
        <v>3922</v>
      </c>
      <c r="C3924" s="69">
        <v>284</v>
      </c>
      <c r="D3924" s="69">
        <v>34</v>
      </c>
      <c r="E3924" s="69">
        <v>16</v>
      </c>
      <c r="F3924" s="69">
        <v>0</v>
      </c>
      <c r="G3924" s="69" t="s">
        <v>2023</v>
      </c>
      <c r="H3924" s="69" t="s">
        <v>52</v>
      </c>
      <c r="I3924" s="69" t="s">
        <v>2404</v>
      </c>
      <c r="J3924" s="69" t="s">
        <v>55</v>
      </c>
      <c r="K3924" s="69" t="s">
        <v>442</v>
      </c>
      <c r="M3924" s="69" t="s">
        <v>6</v>
      </c>
    </row>
    <row r="3925" spans="2:13">
      <c r="B3925" s="69">
        <v>3923</v>
      </c>
      <c r="C3925" s="69">
        <v>284</v>
      </c>
      <c r="D3925" s="69">
        <v>34</v>
      </c>
      <c r="E3925" s="69">
        <v>17</v>
      </c>
      <c r="F3925" s="69">
        <v>0</v>
      </c>
      <c r="G3925" s="69" t="s">
        <v>2023</v>
      </c>
      <c r="H3925" s="69" t="s">
        <v>52</v>
      </c>
      <c r="I3925" s="69" t="s">
        <v>2404</v>
      </c>
      <c r="J3925" s="69" t="s">
        <v>479</v>
      </c>
      <c r="K3925" s="69" t="s">
        <v>22</v>
      </c>
      <c r="M3925" s="69" t="s">
        <v>6</v>
      </c>
    </row>
    <row r="3926" spans="2:13">
      <c r="B3926" s="69">
        <v>3924</v>
      </c>
      <c r="C3926" s="69">
        <v>284</v>
      </c>
      <c r="D3926" s="69">
        <v>34</v>
      </c>
      <c r="E3926" s="69">
        <v>18</v>
      </c>
      <c r="F3926" s="69">
        <v>0</v>
      </c>
      <c r="G3926" s="69" t="s">
        <v>2023</v>
      </c>
      <c r="H3926" s="69" t="s">
        <v>52</v>
      </c>
      <c r="I3926" s="69" t="s">
        <v>2404</v>
      </c>
      <c r="J3926" s="69" t="s">
        <v>55</v>
      </c>
      <c r="K3926" s="69" t="s">
        <v>2025</v>
      </c>
      <c r="M3926" s="69" t="s">
        <v>6</v>
      </c>
    </row>
    <row r="3927" spans="2:13">
      <c r="B3927" s="69">
        <v>3925</v>
      </c>
      <c r="C3927" s="69">
        <v>284</v>
      </c>
      <c r="D3927" s="69">
        <v>34</v>
      </c>
      <c r="E3927" s="69">
        <v>19</v>
      </c>
      <c r="F3927" s="69">
        <v>0</v>
      </c>
      <c r="G3927" s="69" t="s">
        <v>2023</v>
      </c>
      <c r="H3927" s="69" t="s">
        <v>52</v>
      </c>
      <c r="I3927" s="69" t="s">
        <v>2404</v>
      </c>
      <c r="J3927" s="69" t="s">
        <v>55</v>
      </c>
      <c r="K3927" s="69" t="s">
        <v>2057</v>
      </c>
      <c r="M3927" s="69" t="s">
        <v>6</v>
      </c>
    </row>
    <row r="3928" spans="2:13">
      <c r="B3928" s="69">
        <v>3926</v>
      </c>
      <c r="C3928" s="69">
        <v>284</v>
      </c>
      <c r="D3928" s="69">
        <v>34</v>
      </c>
      <c r="E3928" s="69">
        <v>20</v>
      </c>
      <c r="F3928" s="69">
        <v>0</v>
      </c>
      <c r="G3928" s="69" t="s">
        <v>2023</v>
      </c>
      <c r="H3928" s="69" t="s">
        <v>52</v>
      </c>
      <c r="I3928" s="69" t="s">
        <v>2404</v>
      </c>
      <c r="J3928" s="69" t="s">
        <v>55</v>
      </c>
      <c r="K3928" s="69" t="s">
        <v>2058</v>
      </c>
      <c r="M3928" s="69" t="s">
        <v>6</v>
      </c>
    </row>
    <row r="3929" spans="2:13">
      <c r="B3929" s="69">
        <v>3927</v>
      </c>
      <c r="C3929" s="69">
        <v>284</v>
      </c>
      <c r="D3929" s="69">
        <v>34</v>
      </c>
      <c r="E3929" s="69">
        <v>21</v>
      </c>
      <c r="F3929" s="69">
        <v>0</v>
      </c>
      <c r="G3929" s="69" t="s">
        <v>2023</v>
      </c>
      <c r="H3929" s="69" t="s">
        <v>52</v>
      </c>
      <c r="I3929" s="69" t="s">
        <v>2404</v>
      </c>
      <c r="J3929" s="69" t="s">
        <v>55</v>
      </c>
      <c r="K3929" s="69" t="s">
        <v>2059</v>
      </c>
      <c r="M3929" s="69" t="s">
        <v>6</v>
      </c>
    </row>
    <row r="3930" spans="2:13">
      <c r="B3930" s="69">
        <v>3928</v>
      </c>
      <c r="C3930" s="69">
        <v>284</v>
      </c>
      <c r="D3930" s="69">
        <v>34</v>
      </c>
      <c r="E3930" s="69">
        <v>22</v>
      </c>
      <c r="F3930" s="69">
        <v>0</v>
      </c>
      <c r="G3930" s="69" t="s">
        <v>2023</v>
      </c>
      <c r="H3930" s="69" t="s">
        <v>52</v>
      </c>
      <c r="I3930" s="69" t="s">
        <v>2404</v>
      </c>
      <c r="J3930" s="69" t="s">
        <v>55</v>
      </c>
      <c r="K3930" s="69" t="s">
        <v>2060</v>
      </c>
      <c r="M3930" s="69" t="s">
        <v>6</v>
      </c>
    </row>
    <row r="3931" spans="2:13">
      <c r="B3931" s="69">
        <v>3929</v>
      </c>
      <c r="C3931" s="69">
        <v>284</v>
      </c>
      <c r="D3931" s="69">
        <v>34</v>
      </c>
      <c r="E3931" s="69">
        <v>23</v>
      </c>
      <c r="F3931" s="69">
        <v>0</v>
      </c>
      <c r="G3931" s="69" t="s">
        <v>2023</v>
      </c>
      <c r="H3931" s="69" t="s">
        <v>52</v>
      </c>
      <c r="I3931" s="69" t="s">
        <v>2404</v>
      </c>
      <c r="J3931" s="69" t="s">
        <v>55</v>
      </c>
      <c r="K3931" s="69" t="s">
        <v>2061</v>
      </c>
      <c r="M3931" s="69" t="s">
        <v>6</v>
      </c>
    </row>
    <row r="3932" spans="2:13">
      <c r="B3932" s="69">
        <v>3930</v>
      </c>
      <c r="C3932" s="69">
        <v>284</v>
      </c>
      <c r="D3932" s="69">
        <v>34</v>
      </c>
      <c r="E3932" s="69">
        <v>24</v>
      </c>
      <c r="F3932" s="69">
        <v>0</v>
      </c>
      <c r="G3932" s="69" t="s">
        <v>2023</v>
      </c>
      <c r="H3932" s="69" t="s">
        <v>52</v>
      </c>
      <c r="I3932" s="69" t="s">
        <v>2404</v>
      </c>
      <c r="J3932" s="69" t="s">
        <v>55</v>
      </c>
      <c r="K3932" s="69" t="s">
        <v>2062</v>
      </c>
      <c r="M3932" s="69" t="s">
        <v>6</v>
      </c>
    </row>
    <row r="3933" spans="2:13">
      <c r="B3933" s="69">
        <v>3931</v>
      </c>
      <c r="C3933" s="69">
        <v>284</v>
      </c>
      <c r="D3933" s="69">
        <v>34</v>
      </c>
      <c r="E3933" s="69">
        <v>25</v>
      </c>
      <c r="F3933" s="69">
        <v>0</v>
      </c>
      <c r="G3933" s="69" t="s">
        <v>2023</v>
      </c>
      <c r="H3933" s="69" t="s">
        <v>52</v>
      </c>
      <c r="I3933" s="69" t="s">
        <v>2404</v>
      </c>
      <c r="J3933" s="69" t="s">
        <v>55</v>
      </c>
      <c r="K3933" s="69" t="s">
        <v>2063</v>
      </c>
      <c r="M3933" s="69" t="s">
        <v>6</v>
      </c>
    </row>
    <row r="3934" spans="2:13">
      <c r="B3934" s="69">
        <v>3932</v>
      </c>
      <c r="C3934" s="69">
        <v>284</v>
      </c>
      <c r="D3934" s="69">
        <v>34</v>
      </c>
      <c r="E3934" s="69">
        <v>26</v>
      </c>
      <c r="F3934" s="69">
        <v>0</v>
      </c>
      <c r="G3934" s="69" t="s">
        <v>2023</v>
      </c>
      <c r="H3934" s="69" t="s">
        <v>52</v>
      </c>
      <c r="I3934" s="69" t="s">
        <v>2404</v>
      </c>
      <c r="J3934" s="69" t="s">
        <v>55</v>
      </c>
      <c r="K3934" s="69" t="s">
        <v>2064</v>
      </c>
      <c r="M3934" s="69" t="s">
        <v>6</v>
      </c>
    </row>
    <row r="3935" spans="2:13">
      <c r="B3935" s="69">
        <v>3933</v>
      </c>
      <c r="C3935" s="69">
        <v>284</v>
      </c>
      <c r="D3935" s="69">
        <v>34</v>
      </c>
      <c r="E3935" s="69">
        <v>27</v>
      </c>
      <c r="F3935" s="69">
        <v>0</v>
      </c>
      <c r="G3935" s="69" t="s">
        <v>2023</v>
      </c>
      <c r="H3935" s="69" t="s">
        <v>52</v>
      </c>
      <c r="I3935" s="69" t="s">
        <v>2404</v>
      </c>
      <c r="J3935" s="69" t="s">
        <v>437</v>
      </c>
      <c r="K3935" s="69" t="s">
        <v>438</v>
      </c>
      <c r="L3935" s="69" t="s">
        <v>439</v>
      </c>
      <c r="M3935" s="69" t="s">
        <v>6</v>
      </c>
    </row>
    <row r="3936" spans="2:13">
      <c r="B3936" s="69">
        <v>3934</v>
      </c>
      <c r="C3936" s="69">
        <v>284</v>
      </c>
      <c r="D3936" s="69">
        <v>34</v>
      </c>
      <c r="E3936" s="69">
        <v>28</v>
      </c>
      <c r="F3936" s="69">
        <v>0</v>
      </c>
      <c r="G3936" s="69" t="s">
        <v>2023</v>
      </c>
      <c r="H3936" s="69" t="s">
        <v>52</v>
      </c>
      <c r="I3936" s="69" t="s">
        <v>2404</v>
      </c>
      <c r="J3936" s="69" t="s">
        <v>55</v>
      </c>
      <c r="K3936" s="69" t="s">
        <v>2065</v>
      </c>
      <c r="M3936" s="69" t="s">
        <v>6</v>
      </c>
    </row>
    <row r="3937" spans="2:13">
      <c r="B3937" s="69">
        <v>3935</v>
      </c>
      <c r="C3937" s="69">
        <v>284</v>
      </c>
      <c r="D3937" s="69">
        <v>34</v>
      </c>
      <c r="E3937" s="69">
        <v>29</v>
      </c>
      <c r="F3937" s="69">
        <v>0</v>
      </c>
      <c r="G3937" s="69" t="s">
        <v>2023</v>
      </c>
      <c r="H3937" s="69" t="s">
        <v>52</v>
      </c>
      <c r="I3937" s="69" t="s">
        <v>2404</v>
      </c>
      <c r="J3937" s="69" t="s">
        <v>437</v>
      </c>
      <c r="K3937" s="69" t="s">
        <v>438</v>
      </c>
      <c r="L3937" s="69" t="s">
        <v>439</v>
      </c>
      <c r="M3937" s="69" t="s">
        <v>6</v>
      </c>
    </row>
    <row r="3938" spans="2:13">
      <c r="B3938" s="69">
        <v>3936</v>
      </c>
      <c r="C3938" s="69">
        <v>284</v>
      </c>
      <c r="D3938" s="69">
        <v>34</v>
      </c>
      <c r="E3938" s="69">
        <v>30</v>
      </c>
      <c r="F3938" s="69">
        <v>0</v>
      </c>
      <c r="G3938" s="69" t="s">
        <v>2023</v>
      </c>
      <c r="H3938" s="69" t="s">
        <v>52</v>
      </c>
      <c r="I3938" s="69" t="s">
        <v>2404</v>
      </c>
      <c r="J3938" s="69" t="s">
        <v>214</v>
      </c>
      <c r="K3938" s="69" t="s">
        <v>2066</v>
      </c>
      <c r="M3938" s="69" t="s">
        <v>6</v>
      </c>
    </row>
    <row r="3939" spans="2:13">
      <c r="B3939" s="69">
        <v>3937</v>
      </c>
      <c r="C3939" s="69">
        <v>284</v>
      </c>
      <c r="D3939" s="69">
        <v>34</v>
      </c>
      <c r="E3939" s="69">
        <v>31</v>
      </c>
      <c r="F3939" s="69">
        <v>0</v>
      </c>
      <c r="G3939" s="69" t="s">
        <v>2023</v>
      </c>
      <c r="H3939" s="69" t="s">
        <v>52</v>
      </c>
      <c r="I3939" s="69" t="s">
        <v>2404</v>
      </c>
      <c r="J3939" s="69" t="s">
        <v>437</v>
      </c>
      <c r="K3939" s="69" t="s">
        <v>2067</v>
      </c>
      <c r="L3939" s="69" t="s">
        <v>2040</v>
      </c>
      <c r="M3939" s="69" t="s">
        <v>6</v>
      </c>
    </row>
    <row r="3940" spans="2:13">
      <c r="B3940" s="69">
        <v>3938</v>
      </c>
      <c r="C3940" s="69">
        <v>284</v>
      </c>
      <c r="D3940" s="69">
        <v>34</v>
      </c>
      <c r="E3940" s="69">
        <v>32</v>
      </c>
      <c r="F3940" s="69">
        <v>0</v>
      </c>
      <c r="G3940" s="69" t="s">
        <v>2023</v>
      </c>
      <c r="H3940" s="69" t="s">
        <v>52</v>
      </c>
      <c r="I3940" s="69" t="s">
        <v>2404</v>
      </c>
      <c r="J3940" s="69" t="s">
        <v>437</v>
      </c>
      <c r="K3940" s="69" t="s">
        <v>2068</v>
      </c>
      <c r="L3940" s="69" t="s">
        <v>2040</v>
      </c>
      <c r="M3940" s="69" t="s">
        <v>6</v>
      </c>
    </row>
    <row r="3941" spans="2:13">
      <c r="B3941" s="69">
        <v>3939</v>
      </c>
      <c r="C3941" s="69">
        <v>284</v>
      </c>
      <c r="D3941" s="69">
        <v>34</v>
      </c>
      <c r="E3941" s="69">
        <v>33</v>
      </c>
      <c r="F3941" s="69">
        <v>0</v>
      </c>
      <c r="G3941" s="69" t="s">
        <v>2023</v>
      </c>
      <c r="H3941" s="69" t="s">
        <v>52</v>
      </c>
      <c r="I3941" s="69" t="s">
        <v>2404</v>
      </c>
      <c r="J3941" s="69" t="s">
        <v>214</v>
      </c>
      <c r="K3941" s="69" t="s">
        <v>443</v>
      </c>
      <c r="M3941" s="69" t="s">
        <v>6</v>
      </c>
    </row>
    <row r="3942" spans="2:13">
      <c r="B3942" s="69">
        <v>3940</v>
      </c>
      <c r="C3942" s="69">
        <v>284</v>
      </c>
      <c r="D3942" s="69">
        <v>34</v>
      </c>
      <c r="E3942" s="69">
        <v>34</v>
      </c>
      <c r="F3942" s="69">
        <v>0</v>
      </c>
      <c r="G3942" s="69" t="s">
        <v>2023</v>
      </c>
      <c r="H3942" s="69" t="s">
        <v>52</v>
      </c>
      <c r="I3942" s="69" t="s">
        <v>2404</v>
      </c>
      <c r="J3942" s="69" t="s">
        <v>55</v>
      </c>
      <c r="K3942" s="69" t="s">
        <v>442</v>
      </c>
      <c r="M3942" s="69" t="s">
        <v>6</v>
      </c>
    </row>
    <row r="3943" spans="2:13">
      <c r="B3943" s="69">
        <v>3941</v>
      </c>
      <c r="C3943" s="69">
        <v>285</v>
      </c>
      <c r="D3943" s="69">
        <v>9</v>
      </c>
      <c r="E3943" s="69">
        <v>0</v>
      </c>
      <c r="F3943" s="69">
        <v>0</v>
      </c>
      <c r="G3943" s="69" t="s">
        <v>2023</v>
      </c>
      <c r="H3943" s="69" t="s">
        <v>52</v>
      </c>
      <c r="I3943" s="69" t="s">
        <v>2405</v>
      </c>
      <c r="J3943" s="69" t="s">
        <v>478</v>
      </c>
      <c r="K3943" s="69" t="s">
        <v>2405</v>
      </c>
      <c r="M3943" s="69" t="s">
        <v>6</v>
      </c>
    </row>
    <row r="3944" spans="2:13">
      <c r="B3944" s="69">
        <v>3942</v>
      </c>
      <c r="C3944" s="69">
        <v>285</v>
      </c>
      <c r="D3944" s="69">
        <v>9</v>
      </c>
      <c r="E3944" s="69">
        <v>1</v>
      </c>
      <c r="F3944" s="69">
        <v>0</v>
      </c>
      <c r="G3944" s="69" t="s">
        <v>2023</v>
      </c>
      <c r="H3944" s="69" t="s">
        <v>52</v>
      </c>
      <c r="I3944" s="69" t="s">
        <v>2405</v>
      </c>
      <c r="J3944" s="69" t="s">
        <v>55</v>
      </c>
      <c r="K3944" s="69" t="s">
        <v>430</v>
      </c>
      <c r="M3944" s="69" t="s">
        <v>6</v>
      </c>
    </row>
    <row r="3945" spans="2:13">
      <c r="B3945" s="69">
        <v>3943</v>
      </c>
      <c r="C3945" s="69">
        <v>285</v>
      </c>
      <c r="D3945" s="69">
        <v>9</v>
      </c>
      <c r="E3945" s="69">
        <v>2</v>
      </c>
      <c r="F3945" s="69">
        <v>0</v>
      </c>
      <c r="G3945" s="69" t="s">
        <v>2023</v>
      </c>
      <c r="H3945" s="69" t="s">
        <v>52</v>
      </c>
      <c r="I3945" s="69" t="s">
        <v>2405</v>
      </c>
      <c r="J3945" s="69" t="s">
        <v>55</v>
      </c>
      <c r="K3945" s="69" t="s">
        <v>2406</v>
      </c>
      <c r="M3945" s="69" t="s">
        <v>6</v>
      </c>
    </row>
    <row r="3946" spans="2:13">
      <c r="B3946" s="69">
        <v>3944</v>
      </c>
      <c r="C3946" s="69">
        <v>285</v>
      </c>
      <c r="D3946" s="69">
        <v>9</v>
      </c>
      <c r="E3946" s="69">
        <v>3</v>
      </c>
      <c r="F3946" s="69">
        <v>0</v>
      </c>
      <c r="G3946" s="69" t="s">
        <v>2023</v>
      </c>
      <c r="H3946" s="69" t="s">
        <v>52</v>
      </c>
      <c r="I3946" s="69" t="s">
        <v>2405</v>
      </c>
      <c r="J3946" s="69" t="s">
        <v>55</v>
      </c>
      <c r="K3946" s="69" t="s">
        <v>2025</v>
      </c>
      <c r="M3946" s="69" t="s">
        <v>6</v>
      </c>
    </row>
    <row r="3947" spans="2:13">
      <c r="B3947" s="69">
        <v>3945</v>
      </c>
      <c r="C3947" s="69">
        <v>285</v>
      </c>
      <c r="D3947" s="69">
        <v>9</v>
      </c>
      <c r="E3947" s="69">
        <v>4</v>
      </c>
      <c r="F3947" s="69">
        <v>0</v>
      </c>
      <c r="G3947" s="69" t="s">
        <v>2023</v>
      </c>
      <c r="H3947" s="69" t="s">
        <v>52</v>
      </c>
      <c r="I3947" s="69" t="s">
        <v>2405</v>
      </c>
      <c r="J3947" s="69" t="s">
        <v>55</v>
      </c>
      <c r="K3947" s="69" t="s">
        <v>2407</v>
      </c>
      <c r="M3947" s="69" t="s">
        <v>6</v>
      </c>
    </row>
    <row r="3948" spans="2:13">
      <c r="B3948" s="69">
        <v>3946</v>
      </c>
      <c r="C3948" s="69">
        <v>285</v>
      </c>
      <c r="D3948" s="69">
        <v>9</v>
      </c>
      <c r="E3948" s="69">
        <v>5</v>
      </c>
      <c r="F3948" s="69">
        <v>0</v>
      </c>
      <c r="G3948" s="69" t="s">
        <v>2023</v>
      </c>
      <c r="H3948" s="69" t="s">
        <v>52</v>
      </c>
      <c r="I3948" s="69" t="s">
        <v>2405</v>
      </c>
      <c r="J3948" s="69" t="s">
        <v>55</v>
      </c>
      <c r="K3948" s="69" t="s">
        <v>2408</v>
      </c>
      <c r="M3948" s="69" t="s">
        <v>6</v>
      </c>
    </row>
    <row r="3949" spans="2:13">
      <c r="B3949" s="69">
        <v>3947</v>
      </c>
      <c r="C3949" s="69">
        <v>285</v>
      </c>
      <c r="D3949" s="69">
        <v>9</v>
      </c>
      <c r="E3949" s="69">
        <v>6</v>
      </c>
      <c r="F3949" s="69">
        <v>0</v>
      </c>
      <c r="G3949" s="69" t="s">
        <v>2023</v>
      </c>
      <c r="H3949" s="69" t="s">
        <v>52</v>
      </c>
      <c r="I3949" s="69" t="s">
        <v>2405</v>
      </c>
      <c r="J3949" s="69" t="s">
        <v>55</v>
      </c>
      <c r="K3949" s="69" t="s">
        <v>2409</v>
      </c>
      <c r="M3949" s="69" t="s">
        <v>6</v>
      </c>
    </row>
    <row r="3950" spans="2:13">
      <c r="B3950" s="69">
        <v>3948</v>
      </c>
      <c r="C3950" s="69">
        <v>285</v>
      </c>
      <c r="D3950" s="69">
        <v>9</v>
      </c>
      <c r="E3950" s="69">
        <v>7</v>
      </c>
      <c r="F3950" s="69">
        <v>0</v>
      </c>
      <c r="G3950" s="69" t="s">
        <v>2023</v>
      </c>
      <c r="H3950" s="69" t="s">
        <v>52</v>
      </c>
      <c r="I3950" s="69" t="s">
        <v>2405</v>
      </c>
      <c r="J3950" s="69" t="s">
        <v>55</v>
      </c>
      <c r="K3950" s="69" t="s">
        <v>2410</v>
      </c>
      <c r="M3950" s="69" t="s">
        <v>6</v>
      </c>
    </row>
    <row r="3951" spans="2:13">
      <c r="B3951" s="69">
        <v>3949</v>
      </c>
      <c r="C3951" s="69">
        <v>285</v>
      </c>
      <c r="D3951" s="69">
        <v>9</v>
      </c>
      <c r="E3951" s="69">
        <v>8</v>
      </c>
      <c r="F3951" s="69">
        <v>0</v>
      </c>
      <c r="G3951" s="69" t="s">
        <v>2023</v>
      </c>
      <c r="H3951" s="69" t="s">
        <v>52</v>
      </c>
      <c r="I3951" s="69" t="s">
        <v>2405</v>
      </c>
      <c r="J3951" s="69" t="s">
        <v>55</v>
      </c>
      <c r="K3951" s="69" t="s">
        <v>2411</v>
      </c>
      <c r="M3951" s="69" t="s">
        <v>6</v>
      </c>
    </row>
    <row r="3952" spans="2:13">
      <c r="B3952" s="69">
        <v>3950</v>
      </c>
      <c r="C3952" s="69">
        <v>285</v>
      </c>
      <c r="D3952" s="69">
        <v>9</v>
      </c>
      <c r="E3952" s="69">
        <v>9</v>
      </c>
      <c r="F3952" s="69">
        <v>0</v>
      </c>
      <c r="G3952" s="69" t="s">
        <v>2023</v>
      </c>
      <c r="H3952" s="69" t="s">
        <v>52</v>
      </c>
      <c r="I3952" s="69" t="s">
        <v>2405</v>
      </c>
      <c r="J3952" s="69" t="s">
        <v>55</v>
      </c>
      <c r="K3952" s="69" t="s">
        <v>2412</v>
      </c>
      <c r="M3952" s="69" t="s">
        <v>6</v>
      </c>
    </row>
    <row r="3953" spans="2:13">
      <c r="B3953" s="69">
        <v>3951</v>
      </c>
      <c r="C3953" s="69">
        <v>286</v>
      </c>
      <c r="D3953" s="69">
        <v>26</v>
      </c>
      <c r="E3953" s="69">
        <v>0</v>
      </c>
      <c r="F3953" s="69">
        <v>0</v>
      </c>
      <c r="G3953" s="69" t="s">
        <v>2023</v>
      </c>
      <c r="H3953" s="69" t="s">
        <v>52</v>
      </c>
      <c r="I3953" s="69" t="s">
        <v>2413</v>
      </c>
      <c r="J3953" s="69" t="s">
        <v>478</v>
      </c>
      <c r="K3953" s="69" t="s">
        <v>2413</v>
      </c>
      <c r="M3953" s="69" t="s">
        <v>6</v>
      </c>
    </row>
    <row r="3954" spans="2:13">
      <c r="B3954" s="69">
        <v>3952</v>
      </c>
      <c r="C3954" s="69">
        <v>286</v>
      </c>
      <c r="D3954" s="69">
        <v>26</v>
      </c>
      <c r="E3954" s="69">
        <v>1</v>
      </c>
      <c r="F3954" s="69">
        <v>0</v>
      </c>
      <c r="G3954" s="69" t="s">
        <v>2023</v>
      </c>
      <c r="H3954" s="69" t="s">
        <v>52</v>
      </c>
      <c r="I3954" s="69" t="s">
        <v>2413</v>
      </c>
      <c r="J3954" s="69" t="s">
        <v>55</v>
      </c>
      <c r="K3954" s="69" t="s">
        <v>2025</v>
      </c>
      <c r="M3954" s="69" t="s">
        <v>6</v>
      </c>
    </row>
    <row r="3955" spans="2:13">
      <c r="B3955" s="69">
        <v>3953</v>
      </c>
      <c r="C3955" s="69">
        <v>286</v>
      </c>
      <c r="D3955" s="69">
        <v>26</v>
      </c>
      <c r="E3955" s="69">
        <v>2</v>
      </c>
      <c r="F3955" s="69">
        <v>0</v>
      </c>
      <c r="G3955" s="69" t="s">
        <v>2023</v>
      </c>
      <c r="H3955" s="69" t="s">
        <v>52</v>
      </c>
      <c r="I3955" s="69" t="s">
        <v>2413</v>
      </c>
      <c r="J3955" s="69" t="s">
        <v>55</v>
      </c>
      <c r="K3955" s="69" t="s">
        <v>429</v>
      </c>
      <c r="M3955" s="69" t="s">
        <v>6</v>
      </c>
    </row>
    <row r="3956" spans="2:13">
      <c r="B3956" s="69">
        <v>3954</v>
      </c>
      <c r="C3956" s="69">
        <v>286</v>
      </c>
      <c r="D3956" s="69">
        <v>26</v>
      </c>
      <c r="E3956" s="69">
        <v>3</v>
      </c>
      <c r="F3956" s="69">
        <v>0</v>
      </c>
      <c r="G3956" s="69" t="s">
        <v>2023</v>
      </c>
      <c r="H3956" s="69" t="s">
        <v>52</v>
      </c>
      <c r="I3956" s="69" t="s">
        <v>2413</v>
      </c>
      <c r="J3956" s="69" t="s">
        <v>55</v>
      </c>
      <c r="K3956" s="69" t="s">
        <v>430</v>
      </c>
      <c r="M3956" s="69" t="s">
        <v>6</v>
      </c>
    </row>
    <row r="3957" spans="2:13">
      <c r="B3957" s="69">
        <v>3955</v>
      </c>
      <c r="C3957" s="69">
        <v>286</v>
      </c>
      <c r="D3957" s="69">
        <v>26</v>
      </c>
      <c r="E3957" s="69">
        <v>4</v>
      </c>
      <c r="F3957" s="69">
        <v>0</v>
      </c>
      <c r="G3957" s="69" t="s">
        <v>2023</v>
      </c>
      <c r="H3957" s="69" t="s">
        <v>52</v>
      </c>
      <c r="I3957" s="69" t="s">
        <v>2413</v>
      </c>
      <c r="J3957" s="69" t="s">
        <v>55</v>
      </c>
      <c r="K3957" s="69" t="s">
        <v>2414</v>
      </c>
      <c r="M3957" s="69" t="s">
        <v>6</v>
      </c>
    </row>
    <row r="3958" spans="2:13">
      <c r="B3958" s="69">
        <v>3956</v>
      </c>
      <c r="C3958" s="69">
        <v>286</v>
      </c>
      <c r="D3958" s="69">
        <v>26</v>
      </c>
      <c r="E3958" s="69">
        <v>5</v>
      </c>
      <c r="F3958" s="69">
        <v>0</v>
      </c>
      <c r="G3958" s="69" t="s">
        <v>2023</v>
      </c>
      <c r="H3958" s="69" t="s">
        <v>52</v>
      </c>
      <c r="I3958" s="69" t="s">
        <v>2413</v>
      </c>
      <c r="J3958" s="69" t="s">
        <v>55</v>
      </c>
      <c r="K3958" s="69" t="s">
        <v>2415</v>
      </c>
      <c r="M3958" s="69" t="s">
        <v>6</v>
      </c>
    </row>
    <row r="3959" spans="2:13">
      <c r="B3959" s="69">
        <v>3957</v>
      </c>
      <c r="C3959" s="69">
        <v>286</v>
      </c>
      <c r="D3959" s="69">
        <v>26</v>
      </c>
      <c r="E3959" s="69">
        <v>6</v>
      </c>
      <c r="F3959" s="69">
        <v>0</v>
      </c>
      <c r="G3959" s="69" t="s">
        <v>2023</v>
      </c>
      <c r="H3959" s="69" t="s">
        <v>52</v>
      </c>
      <c r="I3959" s="69" t="s">
        <v>2413</v>
      </c>
      <c r="J3959" s="69" t="s">
        <v>55</v>
      </c>
      <c r="K3959" s="69" t="s">
        <v>2416</v>
      </c>
      <c r="M3959" s="69" t="s">
        <v>6</v>
      </c>
    </row>
    <row r="3960" spans="2:13">
      <c r="B3960" s="69">
        <v>3958</v>
      </c>
      <c r="C3960" s="69">
        <v>286</v>
      </c>
      <c r="D3960" s="69">
        <v>26</v>
      </c>
      <c r="E3960" s="69">
        <v>7</v>
      </c>
      <c r="F3960" s="69">
        <v>0</v>
      </c>
      <c r="G3960" s="69" t="s">
        <v>2023</v>
      </c>
      <c r="H3960" s="69" t="s">
        <v>52</v>
      </c>
      <c r="I3960" s="69" t="s">
        <v>2413</v>
      </c>
      <c r="J3960" s="69" t="s">
        <v>55</v>
      </c>
      <c r="K3960" s="69" t="s">
        <v>2417</v>
      </c>
      <c r="M3960" s="69" t="s">
        <v>6</v>
      </c>
    </row>
    <row r="3961" spans="2:13">
      <c r="B3961" s="69">
        <v>3959</v>
      </c>
      <c r="C3961" s="69">
        <v>286</v>
      </c>
      <c r="D3961" s="69">
        <v>26</v>
      </c>
      <c r="E3961" s="69">
        <v>8</v>
      </c>
      <c r="F3961" s="69">
        <v>0</v>
      </c>
      <c r="G3961" s="69" t="s">
        <v>2023</v>
      </c>
      <c r="H3961" s="69" t="s">
        <v>52</v>
      </c>
      <c r="I3961" s="69" t="s">
        <v>2413</v>
      </c>
      <c r="J3961" s="69" t="s">
        <v>55</v>
      </c>
      <c r="K3961" s="69" t="s">
        <v>2418</v>
      </c>
      <c r="M3961" s="69" t="s">
        <v>6</v>
      </c>
    </row>
    <row r="3962" spans="2:13">
      <c r="B3962" s="69">
        <v>3960</v>
      </c>
      <c r="C3962" s="69">
        <v>286</v>
      </c>
      <c r="D3962" s="69">
        <v>26</v>
      </c>
      <c r="E3962" s="69">
        <v>9</v>
      </c>
      <c r="F3962" s="69">
        <v>0</v>
      </c>
      <c r="G3962" s="69" t="s">
        <v>2023</v>
      </c>
      <c r="H3962" s="69" t="s">
        <v>52</v>
      </c>
      <c r="I3962" s="69" t="s">
        <v>2413</v>
      </c>
      <c r="J3962" s="69" t="s">
        <v>55</v>
      </c>
      <c r="K3962" s="69" t="s">
        <v>2419</v>
      </c>
      <c r="M3962" s="69" t="s">
        <v>6</v>
      </c>
    </row>
    <row r="3963" spans="2:13">
      <c r="B3963" s="69">
        <v>3961</v>
      </c>
      <c r="C3963" s="69">
        <v>286</v>
      </c>
      <c r="D3963" s="69">
        <v>26</v>
      </c>
      <c r="E3963" s="69">
        <v>10</v>
      </c>
      <c r="F3963" s="69">
        <v>0</v>
      </c>
      <c r="G3963" s="69" t="s">
        <v>2023</v>
      </c>
      <c r="H3963" s="69" t="s">
        <v>52</v>
      </c>
      <c r="I3963" s="69" t="s">
        <v>2413</v>
      </c>
      <c r="J3963" s="69" t="s">
        <v>55</v>
      </c>
      <c r="K3963" s="69" t="s">
        <v>2420</v>
      </c>
      <c r="M3963" s="69" t="s">
        <v>6</v>
      </c>
    </row>
    <row r="3964" spans="2:13">
      <c r="B3964" s="69">
        <v>3962</v>
      </c>
      <c r="C3964" s="69">
        <v>286</v>
      </c>
      <c r="D3964" s="69">
        <v>26</v>
      </c>
      <c r="E3964" s="69">
        <v>11</v>
      </c>
      <c r="F3964" s="69">
        <v>0</v>
      </c>
      <c r="G3964" s="69" t="s">
        <v>2023</v>
      </c>
      <c r="H3964" s="69" t="s">
        <v>52</v>
      </c>
      <c r="I3964" s="69" t="s">
        <v>2413</v>
      </c>
      <c r="J3964" s="69" t="s">
        <v>55</v>
      </c>
      <c r="K3964" s="69" t="s">
        <v>2421</v>
      </c>
      <c r="M3964" s="69" t="s">
        <v>6</v>
      </c>
    </row>
    <row r="3965" spans="2:13">
      <c r="B3965" s="69">
        <v>3963</v>
      </c>
      <c r="C3965" s="69">
        <v>286</v>
      </c>
      <c r="D3965" s="69">
        <v>26</v>
      </c>
      <c r="E3965" s="69">
        <v>12</v>
      </c>
      <c r="F3965" s="69">
        <v>0</v>
      </c>
      <c r="G3965" s="69" t="s">
        <v>2023</v>
      </c>
      <c r="H3965" s="69" t="s">
        <v>52</v>
      </c>
      <c r="I3965" s="69" t="s">
        <v>2413</v>
      </c>
      <c r="J3965" s="69" t="s">
        <v>55</v>
      </c>
      <c r="K3965" s="69" t="s">
        <v>2422</v>
      </c>
      <c r="M3965" s="69" t="s">
        <v>6</v>
      </c>
    </row>
    <row r="3966" spans="2:13">
      <c r="B3966" s="69">
        <v>3964</v>
      </c>
      <c r="C3966" s="69">
        <v>286</v>
      </c>
      <c r="D3966" s="69">
        <v>26</v>
      </c>
      <c r="E3966" s="69">
        <v>13</v>
      </c>
      <c r="F3966" s="69">
        <v>0</v>
      </c>
      <c r="G3966" s="69" t="s">
        <v>2023</v>
      </c>
      <c r="H3966" s="69" t="s">
        <v>52</v>
      </c>
      <c r="I3966" s="69" t="s">
        <v>2413</v>
      </c>
      <c r="J3966" s="69" t="s">
        <v>55</v>
      </c>
      <c r="K3966" s="69" t="s">
        <v>2423</v>
      </c>
      <c r="M3966" s="69" t="s">
        <v>6</v>
      </c>
    </row>
    <row r="3967" spans="2:13">
      <c r="B3967" s="69">
        <v>3965</v>
      </c>
      <c r="C3967" s="69">
        <v>286</v>
      </c>
      <c r="D3967" s="69">
        <v>26</v>
      </c>
      <c r="E3967" s="69">
        <v>14</v>
      </c>
      <c r="F3967" s="69">
        <v>0</v>
      </c>
      <c r="G3967" s="69" t="s">
        <v>2023</v>
      </c>
      <c r="H3967" s="69" t="s">
        <v>52</v>
      </c>
      <c r="I3967" s="69" t="s">
        <v>2413</v>
      </c>
      <c r="J3967" s="69" t="s">
        <v>55</v>
      </c>
      <c r="K3967" s="69" t="s">
        <v>2424</v>
      </c>
      <c r="M3967" s="69" t="s">
        <v>6</v>
      </c>
    </row>
    <row r="3968" spans="2:13">
      <c r="B3968" s="69">
        <v>3966</v>
      </c>
      <c r="C3968" s="69">
        <v>286</v>
      </c>
      <c r="D3968" s="69">
        <v>26</v>
      </c>
      <c r="E3968" s="69">
        <v>15</v>
      </c>
      <c r="F3968" s="69">
        <v>0</v>
      </c>
      <c r="G3968" s="69" t="s">
        <v>2023</v>
      </c>
      <c r="H3968" s="69" t="s">
        <v>52</v>
      </c>
      <c r="I3968" s="69" t="s">
        <v>2413</v>
      </c>
      <c r="J3968" s="69" t="s">
        <v>55</v>
      </c>
      <c r="K3968" s="69" t="s">
        <v>2425</v>
      </c>
      <c r="M3968" s="69" t="s">
        <v>6</v>
      </c>
    </row>
    <row r="3969" spans="2:13">
      <c r="B3969" s="69">
        <v>3967</v>
      </c>
      <c r="C3969" s="69">
        <v>286</v>
      </c>
      <c r="D3969" s="69">
        <v>26</v>
      </c>
      <c r="E3969" s="69">
        <v>16</v>
      </c>
      <c r="F3969" s="69">
        <v>0</v>
      </c>
      <c r="G3969" s="69" t="s">
        <v>2023</v>
      </c>
      <c r="H3969" s="69" t="s">
        <v>52</v>
      </c>
      <c r="I3969" s="69" t="s">
        <v>2413</v>
      </c>
      <c r="J3969" s="69" t="s">
        <v>55</v>
      </c>
      <c r="K3969" s="69" t="s">
        <v>2426</v>
      </c>
      <c r="M3969" s="69" t="s">
        <v>6</v>
      </c>
    </row>
    <row r="3970" spans="2:13">
      <c r="B3970" s="69">
        <v>3968</v>
      </c>
      <c r="C3970" s="69">
        <v>286</v>
      </c>
      <c r="D3970" s="69">
        <v>26</v>
      </c>
      <c r="E3970" s="69">
        <v>17</v>
      </c>
      <c r="F3970" s="69">
        <v>0</v>
      </c>
      <c r="G3970" s="69" t="s">
        <v>2023</v>
      </c>
      <c r="H3970" s="69" t="s">
        <v>52</v>
      </c>
      <c r="I3970" s="69" t="s">
        <v>2413</v>
      </c>
      <c r="J3970" s="69" t="s">
        <v>55</v>
      </c>
      <c r="K3970" s="69" t="s">
        <v>2427</v>
      </c>
      <c r="M3970" s="69" t="s">
        <v>6</v>
      </c>
    </row>
    <row r="3971" spans="2:13">
      <c r="B3971" s="69">
        <v>3969</v>
      </c>
      <c r="C3971" s="69">
        <v>286</v>
      </c>
      <c r="D3971" s="69">
        <v>26</v>
      </c>
      <c r="E3971" s="69">
        <v>18</v>
      </c>
      <c r="F3971" s="69">
        <v>0</v>
      </c>
      <c r="G3971" s="69" t="s">
        <v>2023</v>
      </c>
      <c r="H3971" s="69" t="s">
        <v>52</v>
      </c>
      <c r="I3971" s="69" t="s">
        <v>2413</v>
      </c>
      <c r="J3971" s="69" t="s">
        <v>55</v>
      </c>
      <c r="K3971" s="69" t="s">
        <v>2428</v>
      </c>
      <c r="M3971" s="69" t="s">
        <v>6</v>
      </c>
    </row>
    <row r="3972" spans="2:13">
      <c r="B3972" s="69">
        <v>3970</v>
      </c>
      <c r="C3972" s="69">
        <v>286</v>
      </c>
      <c r="D3972" s="69">
        <v>26</v>
      </c>
      <c r="E3972" s="69">
        <v>19</v>
      </c>
      <c r="F3972" s="69">
        <v>0</v>
      </c>
      <c r="G3972" s="69" t="s">
        <v>2023</v>
      </c>
      <c r="H3972" s="69" t="s">
        <v>52</v>
      </c>
      <c r="I3972" s="69" t="s">
        <v>2413</v>
      </c>
      <c r="J3972" s="69" t="s">
        <v>55</v>
      </c>
      <c r="K3972" s="69" t="s">
        <v>2429</v>
      </c>
      <c r="M3972" s="69" t="s">
        <v>6</v>
      </c>
    </row>
    <row r="3973" spans="2:13">
      <c r="B3973" s="69">
        <v>3971</v>
      </c>
      <c r="C3973" s="69">
        <v>286</v>
      </c>
      <c r="D3973" s="69">
        <v>26</v>
      </c>
      <c r="E3973" s="69">
        <v>20</v>
      </c>
      <c r="F3973" s="69">
        <v>0</v>
      </c>
      <c r="G3973" s="69" t="s">
        <v>2023</v>
      </c>
      <c r="H3973" s="69" t="s">
        <v>52</v>
      </c>
      <c r="I3973" s="69" t="s">
        <v>2413</v>
      </c>
      <c r="J3973" s="69" t="s">
        <v>55</v>
      </c>
      <c r="K3973" s="69" t="s">
        <v>2430</v>
      </c>
      <c r="M3973" s="69" t="s">
        <v>6</v>
      </c>
    </row>
    <row r="3974" spans="2:13">
      <c r="B3974" s="69">
        <v>3972</v>
      </c>
      <c r="C3974" s="69">
        <v>286</v>
      </c>
      <c r="D3974" s="69">
        <v>26</v>
      </c>
      <c r="E3974" s="69">
        <v>21</v>
      </c>
      <c r="F3974" s="69">
        <v>0</v>
      </c>
      <c r="G3974" s="69" t="s">
        <v>2023</v>
      </c>
      <c r="H3974" s="69" t="s">
        <v>52</v>
      </c>
      <c r="I3974" s="69" t="s">
        <v>2413</v>
      </c>
      <c r="J3974" s="69" t="s">
        <v>55</v>
      </c>
      <c r="K3974" s="69" t="s">
        <v>2431</v>
      </c>
      <c r="M3974" s="69" t="s">
        <v>6</v>
      </c>
    </row>
    <row r="3975" spans="2:13">
      <c r="B3975" s="69">
        <v>3973</v>
      </c>
      <c r="C3975" s="69">
        <v>286</v>
      </c>
      <c r="D3975" s="69">
        <v>26</v>
      </c>
      <c r="E3975" s="69">
        <v>22</v>
      </c>
      <c r="F3975" s="69">
        <v>0</v>
      </c>
      <c r="G3975" s="69" t="s">
        <v>2023</v>
      </c>
      <c r="H3975" s="69" t="s">
        <v>52</v>
      </c>
      <c r="I3975" s="69" t="s">
        <v>2413</v>
      </c>
      <c r="J3975" s="69" t="s">
        <v>55</v>
      </c>
      <c r="K3975" s="69" t="s">
        <v>2432</v>
      </c>
      <c r="M3975" s="69" t="s">
        <v>6</v>
      </c>
    </row>
    <row r="3976" spans="2:13">
      <c r="B3976" s="69">
        <v>3974</v>
      </c>
      <c r="C3976" s="69">
        <v>286</v>
      </c>
      <c r="D3976" s="69">
        <v>26</v>
      </c>
      <c r="E3976" s="69">
        <v>23</v>
      </c>
      <c r="F3976" s="69">
        <v>0</v>
      </c>
      <c r="G3976" s="69" t="s">
        <v>2023</v>
      </c>
      <c r="H3976" s="69" t="s">
        <v>52</v>
      </c>
      <c r="I3976" s="69" t="s">
        <v>2413</v>
      </c>
      <c r="J3976" s="69" t="s">
        <v>55</v>
      </c>
      <c r="K3976" s="69" t="s">
        <v>2433</v>
      </c>
      <c r="M3976" s="69" t="s">
        <v>6</v>
      </c>
    </row>
    <row r="3977" spans="2:13">
      <c r="B3977" s="69">
        <v>3975</v>
      </c>
      <c r="C3977" s="69">
        <v>286</v>
      </c>
      <c r="D3977" s="69">
        <v>26</v>
      </c>
      <c r="E3977" s="69">
        <v>24</v>
      </c>
      <c r="F3977" s="69">
        <v>0</v>
      </c>
      <c r="G3977" s="69" t="s">
        <v>2023</v>
      </c>
      <c r="H3977" s="69" t="s">
        <v>52</v>
      </c>
      <c r="I3977" s="69" t="s">
        <v>2413</v>
      </c>
      <c r="J3977" s="69" t="s">
        <v>55</v>
      </c>
      <c r="K3977" s="69" t="s">
        <v>2434</v>
      </c>
      <c r="M3977" s="69" t="s">
        <v>6</v>
      </c>
    </row>
    <row r="3978" spans="2:13">
      <c r="B3978" s="69">
        <v>3976</v>
      </c>
      <c r="C3978" s="69">
        <v>286</v>
      </c>
      <c r="D3978" s="69">
        <v>26</v>
      </c>
      <c r="E3978" s="69">
        <v>25</v>
      </c>
      <c r="F3978" s="69">
        <v>0</v>
      </c>
      <c r="G3978" s="69" t="s">
        <v>2023</v>
      </c>
      <c r="H3978" s="69" t="s">
        <v>52</v>
      </c>
      <c r="I3978" s="69" t="s">
        <v>2413</v>
      </c>
      <c r="J3978" s="69" t="s">
        <v>437</v>
      </c>
      <c r="K3978" s="69" t="s">
        <v>438</v>
      </c>
      <c r="L3978" s="69" t="s">
        <v>439</v>
      </c>
      <c r="M3978" s="69" t="s">
        <v>6</v>
      </c>
    </row>
    <row r="3979" spans="2:13">
      <c r="B3979" s="69">
        <v>3977</v>
      </c>
      <c r="C3979" s="69">
        <v>286</v>
      </c>
      <c r="D3979" s="69">
        <v>26</v>
      </c>
      <c r="E3979" s="69">
        <v>26</v>
      </c>
      <c r="F3979" s="69">
        <v>0</v>
      </c>
      <c r="G3979" s="69" t="s">
        <v>2023</v>
      </c>
      <c r="H3979" s="69" t="s">
        <v>52</v>
      </c>
      <c r="I3979" s="69" t="s">
        <v>2413</v>
      </c>
      <c r="J3979" s="69" t="s">
        <v>64</v>
      </c>
      <c r="K3979" s="69" t="s">
        <v>440</v>
      </c>
      <c r="M3979" s="69" t="s">
        <v>6</v>
      </c>
    </row>
    <row r="3980" spans="2:13">
      <c r="B3980" s="69">
        <v>3978</v>
      </c>
      <c r="C3980" s="69">
        <v>287</v>
      </c>
      <c r="D3980" s="69">
        <v>39</v>
      </c>
      <c r="E3980" s="69">
        <v>0</v>
      </c>
      <c r="F3980" s="69">
        <v>0</v>
      </c>
      <c r="G3980" s="69" t="s">
        <v>2023</v>
      </c>
      <c r="H3980" s="69" t="s">
        <v>52</v>
      </c>
      <c r="I3980" s="69" t="s">
        <v>2435</v>
      </c>
      <c r="J3980" s="69" t="s">
        <v>47</v>
      </c>
      <c r="K3980" s="69" t="s">
        <v>2435</v>
      </c>
      <c r="M3980" s="69" t="s">
        <v>6</v>
      </c>
    </row>
    <row r="3981" spans="2:13">
      <c r="B3981" s="69">
        <v>3979</v>
      </c>
      <c r="C3981" s="69">
        <v>287</v>
      </c>
      <c r="D3981" s="69">
        <v>39</v>
      </c>
      <c r="E3981" s="69">
        <v>1</v>
      </c>
      <c r="F3981" s="69">
        <v>0</v>
      </c>
      <c r="G3981" s="69" t="s">
        <v>2023</v>
      </c>
      <c r="H3981" s="69" t="s">
        <v>52</v>
      </c>
      <c r="I3981" s="69" t="s">
        <v>2435</v>
      </c>
      <c r="J3981" s="69" t="s">
        <v>479</v>
      </c>
      <c r="K3981" s="69" t="s">
        <v>2436</v>
      </c>
      <c r="M3981" s="69" t="s">
        <v>6</v>
      </c>
    </row>
    <row r="3982" spans="2:13">
      <c r="B3982" s="69">
        <v>3980</v>
      </c>
      <c r="C3982" s="69">
        <v>287</v>
      </c>
      <c r="D3982" s="69">
        <v>39</v>
      </c>
      <c r="E3982" s="69">
        <v>2</v>
      </c>
      <c r="F3982" s="69">
        <v>0</v>
      </c>
      <c r="G3982" s="69" t="s">
        <v>2023</v>
      </c>
      <c r="H3982" s="69" t="s">
        <v>52</v>
      </c>
      <c r="I3982" s="69" t="s">
        <v>2435</v>
      </c>
      <c r="J3982" s="69" t="s">
        <v>55</v>
      </c>
      <c r="K3982" s="69" t="s">
        <v>107</v>
      </c>
      <c r="M3982" s="69" t="s">
        <v>6</v>
      </c>
    </row>
    <row r="3983" spans="2:13">
      <c r="B3983" s="69">
        <v>3981</v>
      </c>
      <c r="C3983" s="69">
        <v>287</v>
      </c>
      <c r="D3983" s="69">
        <v>39</v>
      </c>
      <c r="E3983" s="69">
        <v>3</v>
      </c>
      <c r="F3983" s="69">
        <v>0</v>
      </c>
      <c r="G3983" s="69" t="s">
        <v>2023</v>
      </c>
      <c r="H3983" s="69" t="s">
        <v>52</v>
      </c>
      <c r="I3983" s="69" t="s">
        <v>2435</v>
      </c>
      <c r="J3983" s="69" t="s">
        <v>55</v>
      </c>
      <c r="K3983" s="69" t="s">
        <v>108</v>
      </c>
      <c r="M3983" s="69" t="s">
        <v>6</v>
      </c>
    </row>
    <row r="3984" spans="2:13">
      <c r="B3984" s="69">
        <v>3982</v>
      </c>
      <c r="C3984" s="69">
        <v>287</v>
      </c>
      <c r="D3984" s="69">
        <v>39</v>
      </c>
      <c r="E3984" s="69">
        <v>4</v>
      </c>
      <c r="F3984" s="69">
        <v>0</v>
      </c>
      <c r="G3984" s="69" t="s">
        <v>2023</v>
      </c>
      <c r="H3984" s="69" t="s">
        <v>52</v>
      </c>
      <c r="I3984" s="69" t="s">
        <v>2435</v>
      </c>
      <c r="J3984" s="69" t="s">
        <v>55</v>
      </c>
      <c r="K3984" s="69" t="s">
        <v>109</v>
      </c>
      <c r="M3984" s="69" t="s">
        <v>6</v>
      </c>
    </row>
    <row r="3985" spans="2:13">
      <c r="B3985" s="69">
        <v>3983</v>
      </c>
      <c r="C3985" s="69">
        <v>287</v>
      </c>
      <c r="D3985" s="69">
        <v>39</v>
      </c>
      <c r="E3985" s="69">
        <v>5</v>
      </c>
      <c r="F3985" s="69">
        <v>0</v>
      </c>
      <c r="G3985" s="69" t="s">
        <v>2023</v>
      </c>
      <c r="H3985" s="69" t="s">
        <v>52</v>
      </c>
      <c r="I3985" s="69" t="s">
        <v>2435</v>
      </c>
      <c r="J3985" s="69" t="s">
        <v>55</v>
      </c>
      <c r="K3985" s="69" t="s">
        <v>110</v>
      </c>
      <c r="M3985" s="69" t="s">
        <v>6</v>
      </c>
    </row>
    <row r="3986" spans="2:13">
      <c r="B3986" s="69">
        <v>3984</v>
      </c>
      <c r="C3986" s="69">
        <v>287</v>
      </c>
      <c r="D3986" s="69">
        <v>39</v>
      </c>
      <c r="E3986" s="69">
        <v>6</v>
      </c>
      <c r="F3986" s="69">
        <v>0</v>
      </c>
      <c r="G3986" s="69" t="s">
        <v>2023</v>
      </c>
      <c r="H3986" s="69" t="s">
        <v>52</v>
      </c>
      <c r="I3986" s="69" t="s">
        <v>2435</v>
      </c>
      <c r="J3986" s="69" t="s">
        <v>55</v>
      </c>
      <c r="K3986" s="69" t="s">
        <v>111</v>
      </c>
      <c r="M3986" s="69" t="s">
        <v>6</v>
      </c>
    </row>
    <row r="3987" spans="2:13">
      <c r="B3987" s="69">
        <v>3985</v>
      </c>
      <c r="C3987" s="69">
        <v>287</v>
      </c>
      <c r="D3987" s="69">
        <v>39</v>
      </c>
      <c r="E3987" s="69">
        <v>7</v>
      </c>
      <c r="F3987" s="69">
        <v>0</v>
      </c>
      <c r="G3987" s="69" t="s">
        <v>2023</v>
      </c>
      <c r="H3987" s="69" t="s">
        <v>52</v>
      </c>
      <c r="I3987" s="69" t="s">
        <v>2435</v>
      </c>
      <c r="J3987" s="69" t="s">
        <v>437</v>
      </c>
      <c r="K3987" s="69" t="s">
        <v>112</v>
      </c>
      <c r="L3987" s="69" t="s">
        <v>2040</v>
      </c>
      <c r="M3987" s="69" t="s">
        <v>6</v>
      </c>
    </row>
    <row r="3988" spans="2:13">
      <c r="B3988" s="69">
        <v>3986</v>
      </c>
      <c r="C3988" s="69">
        <v>287</v>
      </c>
      <c r="D3988" s="69">
        <v>39</v>
      </c>
      <c r="E3988" s="69">
        <v>8</v>
      </c>
      <c r="F3988" s="69">
        <v>0</v>
      </c>
      <c r="G3988" s="69" t="s">
        <v>2023</v>
      </c>
      <c r="H3988" s="69" t="s">
        <v>52</v>
      </c>
      <c r="I3988" s="69" t="s">
        <v>2435</v>
      </c>
      <c r="J3988" s="69" t="s">
        <v>437</v>
      </c>
      <c r="K3988" s="69" t="s">
        <v>113</v>
      </c>
      <c r="L3988" s="69" t="s">
        <v>2040</v>
      </c>
      <c r="M3988" s="69" t="s">
        <v>6</v>
      </c>
    </row>
    <row r="3989" spans="2:13">
      <c r="B3989" s="69">
        <v>3987</v>
      </c>
      <c r="C3989" s="69">
        <v>287</v>
      </c>
      <c r="D3989" s="69">
        <v>39</v>
      </c>
      <c r="E3989" s="69">
        <v>9</v>
      </c>
      <c r="F3989" s="69">
        <v>0</v>
      </c>
      <c r="G3989" s="69" t="s">
        <v>2023</v>
      </c>
      <c r="H3989" s="69" t="s">
        <v>52</v>
      </c>
      <c r="I3989" s="69" t="s">
        <v>2435</v>
      </c>
      <c r="J3989" s="69" t="s">
        <v>437</v>
      </c>
      <c r="K3989" s="69" t="s">
        <v>114</v>
      </c>
      <c r="L3989" s="69" t="s">
        <v>2040</v>
      </c>
      <c r="M3989" s="69" t="s">
        <v>6</v>
      </c>
    </row>
    <row r="3990" spans="2:13">
      <c r="B3990" s="69">
        <v>3988</v>
      </c>
      <c r="C3990" s="69">
        <v>287</v>
      </c>
      <c r="D3990" s="69">
        <v>39</v>
      </c>
      <c r="E3990" s="69">
        <v>10</v>
      </c>
      <c r="F3990" s="69">
        <v>0</v>
      </c>
      <c r="G3990" s="69" t="s">
        <v>2023</v>
      </c>
      <c r="H3990" s="69" t="s">
        <v>52</v>
      </c>
      <c r="I3990" s="69" t="s">
        <v>2435</v>
      </c>
      <c r="J3990" s="69" t="s">
        <v>55</v>
      </c>
      <c r="K3990" s="69" t="s">
        <v>115</v>
      </c>
      <c r="M3990" s="69" t="s">
        <v>6</v>
      </c>
    </row>
    <row r="3991" spans="2:13">
      <c r="B3991" s="69">
        <v>3989</v>
      </c>
      <c r="C3991" s="69">
        <v>287</v>
      </c>
      <c r="D3991" s="69">
        <v>39</v>
      </c>
      <c r="E3991" s="69">
        <v>11</v>
      </c>
      <c r="F3991" s="69">
        <v>0</v>
      </c>
      <c r="G3991" s="69" t="s">
        <v>2023</v>
      </c>
      <c r="H3991" s="69" t="s">
        <v>52</v>
      </c>
      <c r="I3991" s="69" t="s">
        <v>2435</v>
      </c>
      <c r="J3991" s="69" t="s">
        <v>55</v>
      </c>
      <c r="K3991" s="69" t="s">
        <v>116</v>
      </c>
      <c r="M3991" s="69" t="s">
        <v>6</v>
      </c>
    </row>
    <row r="3992" spans="2:13">
      <c r="B3992" s="69">
        <v>3990</v>
      </c>
      <c r="C3992" s="69">
        <v>287</v>
      </c>
      <c r="D3992" s="69">
        <v>39</v>
      </c>
      <c r="E3992" s="69">
        <v>12</v>
      </c>
      <c r="F3992" s="69">
        <v>0</v>
      </c>
      <c r="G3992" s="69" t="s">
        <v>2023</v>
      </c>
      <c r="H3992" s="69" t="s">
        <v>52</v>
      </c>
      <c r="I3992" s="69" t="s">
        <v>2435</v>
      </c>
      <c r="J3992" s="69" t="s">
        <v>55</v>
      </c>
      <c r="K3992" s="69" t="s">
        <v>117</v>
      </c>
      <c r="M3992" s="69" t="s">
        <v>6</v>
      </c>
    </row>
    <row r="3993" spans="2:13">
      <c r="B3993" s="69">
        <v>3991</v>
      </c>
      <c r="C3993" s="69">
        <v>287</v>
      </c>
      <c r="D3993" s="69">
        <v>39</v>
      </c>
      <c r="E3993" s="69">
        <v>13</v>
      </c>
      <c r="F3993" s="69">
        <v>0</v>
      </c>
      <c r="G3993" s="69" t="s">
        <v>2023</v>
      </c>
      <c r="H3993" s="69" t="s">
        <v>52</v>
      </c>
      <c r="I3993" s="69" t="s">
        <v>2435</v>
      </c>
      <c r="J3993" s="69" t="s">
        <v>55</v>
      </c>
      <c r="K3993" s="69" t="s">
        <v>118</v>
      </c>
      <c r="M3993" s="69" t="s">
        <v>6</v>
      </c>
    </row>
    <row r="3994" spans="2:13">
      <c r="B3994" s="69">
        <v>3992</v>
      </c>
      <c r="C3994" s="69">
        <v>287</v>
      </c>
      <c r="D3994" s="69">
        <v>39</v>
      </c>
      <c r="E3994" s="69">
        <v>14</v>
      </c>
      <c r="F3994" s="69">
        <v>0</v>
      </c>
      <c r="G3994" s="69" t="s">
        <v>2023</v>
      </c>
      <c r="H3994" s="69" t="s">
        <v>52</v>
      </c>
      <c r="I3994" s="69" t="s">
        <v>2435</v>
      </c>
      <c r="J3994" s="69" t="s">
        <v>55</v>
      </c>
      <c r="K3994" s="69" t="s">
        <v>119</v>
      </c>
      <c r="M3994" s="69" t="s">
        <v>6</v>
      </c>
    </row>
    <row r="3995" spans="2:13">
      <c r="B3995" s="69">
        <v>3993</v>
      </c>
      <c r="C3995" s="69">
        <v>287</v>
      </c>
      <c r="D3995" s="69">
        <v>39</v>
      </c>
      <c r="E3995" s="69">
        <v>15</v>
      </c>
      <c r="F3995" s="69">
        <v>0</v>
      </c>
      <c r="G3995" s="69" t="s">
        <v>2023</v>
      </c>
      <c r="H3995" s="69" t="s">
        <v>52</v>
      </c>
      <c r="I3995" s="69" t="s">
        <v>2435</v>
      </c>
      <c r="J3995" s="69" t="s">
        <v>55</v>
      </c>
      <c r="K3995" s="69" t="s">
        <v>120</v>
      </c>
      <c r="M3995" s="69" t="s">
        <v>6</v>
      </c>
    </row>
    <row r="3996" spans="2:13">
      <c r="B3996" s="69">
        <v>3994</v>
      </c>
      <c r="C3996" s="69">
        <v>287</v>
      </c>
      <c r="D3996" s="69">
        <v>39</v>
      </c>
      <c r="E3996" s="69">
        <v>16</v>
      </c>
      <c r="F3996" s="69">
        <v>0</v>
      </c>
      <c r="G3996" s="69" t="s">
        <v>2023</v>
      </c>
      <c r="H3996" s="69" t="s">
        <v>52</v>
      </c>
      <c r="I3996" s="69" t="s">
        <v>2435</v>
      </c>
      <c r="J3996" s="69" t="s">
        <v>121</v>
      </c>
      <c r="K3996" s="69" t="s">
        <v>122</v>
      </c>
      <c r="M3996" s="69" t="s">
        <v>6</v>
      </c>
    </row>
    <row r="3997" spans="2:13">
      <c r="B3997" s="69">
        <v>3995</v>
      </c>
      <c r="C3997" s="69">
        <v>287</v>
      </c>
      <c r="D3997" s="69">
        <v>39</v>
      </c>
      <c r="E3997" s="69">
        <v>17</v>
      </c>
      <c r="F3997" s="69">
        <v>0</v>
      </c>
      <c r="G3997" s="69" t="s">
        <v>2023</v>
      </c>
      <c r="H3997" s="69" t="s">
        <v>52</v>
      </c>
      <c r="I3997" s="69" t="s">
        <v>2435</v>
      </c>
      <c r="J3997" s="69" t="s">
        <v>55</v>
      </c>
      <c r="K3997" s="69" t="s">
        <v>123</v>
      </c>
      <c r="M3997" s="69" t="s">
        <v>6</v>
      </c>
    </row>
    <row r="3998" spans="2:13">
      <c r="B3998" s="69">
        <v>3996</v>
      </c>
      <c r="C3998" s="69">
        <v>287</v>
      </c>
      <c r="D3998" s="69">
        <v>39</v>
      </c>
      <c r="E3998" s="69">
        <v>18</v>
      </c>
      <c r="F3998" s="69">
        <v>0</v>
      </c>
      <c r="G3998" s="69" t="s">
        <v>2023</v>
      </c>
      <c r="H3998" s="69" t="s">
        <v>52</v>
      </c>
      <c r="I3998" s="69" t="s">
        <v>2435</v>
      </c>
      <c r="J3998" s="69" t="s">
        <v>55</v>
      </c>
      <c r="K3998" s="69" t="s">
        <v>124</v>
      </c>
      <c r="M3998" s="69" t="s">
        <v>6</v>
      </c>
    </row>
    <row r="3999" spans="2:13">
      <c r="B3999" s="69">
        <v>3997</v>
      </c>
      <c r="C3999" s="69">
        <v>287</v>
      </c>
      <c r="D3999" s="69">
        <v>39</v>
      </c>
      <c r="E3999" s="69">
        <v>19</v>
      </c>
      <c r="F3999" s="69">
        <v>0</v>
      </c>
      <c r="G3999" s="69" t="s">
        <v>2023</v>
      </c>
      <c r="H3999" s="69" t="s">
        <v>52</v>
      </c>
      <c r="I3999" s="69" t="s">
        <v>2435</v>
      </c>
      <c r="J3999" s="69" t="s">
        <v>55</v>
      </c>
      <c r="K3999" s="69" t="s">
        <v>125</v>
      </c>
      <c r="M3999" s="69" t="s">
        <v>6</v>
      </c>
    </row>
    <row r="4000" spans="2:13">
      <c r="B4000" s="69">
        <v>3998</v>
      </c>
      <c r="C4000" s="69">
        <v>287</v>
      </c>
      <c r="D4000" s="69">
        <v>39</v>
      </c>
      <c r="E4000" s="69">
        <v>20</v>
      </c>
      <c r="F4000" s="69">
        <v>0</v>
      </c>
      <c r="G4000" s="69" t="s">
        <v>2023</v>
      </c>
      <c r="H4000" s="69" t="s">
        <v>52</v>
      </c>
      <c r="I4000" s="69" t="s">
        <v>2435</v>
      </c>
      <c r="J4000" s="69" t="s">
        <v>55</v>
      </c>
      <c r="K4000" s="69" t="s">
        <v>93</v>
      </c>
      <c r="M4000" s="69" t="s">
        <v>6</v>
      </c>
    </row>
    <row r="4001" spans="2:13">
      <c r="B4001" s="69">
        <v>3999</v>
      </c>
      <c r="C4001" s="69">
        <v>287</v>
      </c>
      <c r="D4001" s="69">
        <v>39</v>
      </c>
      <c r="E4001" s="69">
        <v>21</v>
      </c>
      <c r="F4001" s="69">
        <v>0</v>
      </c>
      <c r="G4001" s="69" t="s">
        <v>2023</v>
      </c>
      <c r="H4001" s="69" t="s">
        <v>52</v>
      </c>
      <c r="I4001" s="69" t="s">
        <v>2435</v>
      </c>
      <c r="J4001" s="69" t="s">
        <v>64</v>
      </c>
      <c r="K4001" s="69" t="s">
        <v>94</v>
      </c>
      <c r="M4001" s="69" t="s">
        <v>6</v>
      </c>
    </row>
    <row r="4002" spans="2:13">
      <c r="B4002" s="69">
        <v>4000</v>
      </c>
      <c r="C4002" s="69">
        <v>287</v>
      </c>
      <c r="D4002" s="69">
        <v>39</v>
      </c>
      <c r="E4002" s="69">
        <v>22</v>
      </c>
      <c r="F4002" s="69">
        <v>0</v>
      </c>
      <c r="G4002" s="69" t="s">
        <v>2023</v>
      </c>
      <c r="H4002" s="69" t="s">
        <v>52</v>
      </c>
      <c r="I4002" s="69" t="s">
        <v>2435</v>
      </c>
      <c r="J4002" s="69" t="s">
        <v>479</v>
      </c>
      <c r="K4002" s="69" t="s">
        <v>2437</v>
      </c>
      <c r="M4002" s="69" t="s">
        <v>6</v>
      </c>
    </row>
    <row r="4003" spans="2:13">
      <c r="B4003" s="69">
        <v>4001</v>
      </c>
      <c r="C4003" s="69">
        <v>287</v>
      </c>
      <c r="D4003" s="69">
        <v>39</v>
      </c>
      <c r="E4003" s="69">
        <v>23</v>
      </c>
      <c r="F4003" s="69">
        <v>0</v>
      </c>
      <c r="G4003" s="69" t="s">
        <v>2023</v>
      </c>
      <c r="H4003" s="69" t="s">
        <v>52</v>
      </c>
      <c r="I4003" s="69" t="s">
        <v>2435</v>
      </c>
      <c r="J4003" s="69" t="s">
        <v>55</v>
      </c>
      <c r="K4003" s="69" t="s">
        <v>169</v>
      </c>
      <c r="M4003" s="69" t="s">
        <v>6</v>
      </c>
    </row>
    <row r="4004" spans="2:13">
      <c r="B4004" s="69">
        <v>4002</v>
      </c>
      <c r="C4004" s="69">
        <v>287</v>
      </c>
      <c r="D4004" s="69">
        <v>39</v>
      </c>
      <c r="E4004" s="69">
        <v>24</v>
      </c>
      <c r="F4004" s="69">
        <v>0</v>
      </c>
      <c r="G4004" s="69" t="s">
        <v>2023</v>
      </c>
      <c r="H4004" s="69" t="s">
        <v>52</v>
      </c>
      <c r="I4004" s="69" t="s">
        <v>2435</v>
      </c>
      <c r="J4004" s="69" t="s">
        <v>55</v>
      </c>
      <c r="K4004" s="69" t="s">
        <v>170</v>
      </c>
      <c r="M4004" s="69" t="s">
        <v>6</v>
      </c>
    </row>
    <row r="4005" spans="2:13">
      <c r="B4005" s="69">
        <v>4003</v>
      </c>
      <c r="C4005" s="69">
        <v>287</v>
      </c>
      <c r="D4005" s="69">
        <v>39</v>
      </c>
      <c r="E4005" s="69">
        <v>25</v>
      </c>
      <c r="F4005" s="69">
        <v>0</v>
      </c>
      <c r="G4005" s="69" t="s">
        <v>2023</v>
      </c>
      <c r="H4005" s="69" t="s">
        <v>52</v>
      </c>
      <c r="I4005" s="69" t="s">
        <v>2435</v>
      </c>
      <c r="J4005" s="69" t="s">
        <v>55</v>
      </c>
      <c r="K4005" s="69" t="s">
        <v>2438</v>
      </c>
      <c r="M4005" s="69" t="s">
        <v>6</v>
      </c>
    </row>
    <row r="4006" spans="2:13">
      <c r="B4006" s="69">
        <v>4004</v>
      </c>
      <c r="C4006" s="69">
        <v>287</v>
      </c>
      <c r="D4006" s="69">
        <v>39</v>
      </c>
      <c r="E4006" s="69">
        <v>26</v>
      </c>
      <c r="F4006" s="69">
        <v>0</v>
      </c>
      <c r="G4006" s="69" t="s">
        <v>2023</v>
      </c>
      <c r="H4006" s="69" t="s">
        <v>52</v>
      </c>
      <c r="I4006" s="69" t="s">
        <v>2435</v>
      </c>
      <c r="J4006" s="69" t="s">
        <v>55</v>
      </c>
      <c r="K4006" s="69" t="s">
        <v>172</v>
      </c>
      <c r="M4006" s="69" t="s">
        <v>6</v>
      </c>
    </row>
    <row r="4007" spans="2:13">
      <c r="B4007" s="69">
        <v>4005</v>
      </c>
      <c r="C4007" s="69">
        <v>287</v>
      </c>
      <c r="D4007" s="69">
        <v>39</v>
      </c>
      <c r="E4007" s="69">
        <v>27</v>
      </c>
      <c r="F4007" s="69">
        <v>0</v>
      </c>
      <c r="G4007" s="69" t="s">
        <v>2023</v>
      </c>
      <c r="H4007" s="69" t="s">
        <v>52</v>
      </c>
      <c r="I4007" s="69" t="s">
        <v>2435</v>
      </c>
      <c r="J4007" s="69" t="s">
        <v>55</v>
      </c>
      <c r="K4007" s="69" t="s">
        <v>173</v>
      </c>
      <c r="M4007" s="69" t="s">
        <v>6</v>
      </c>
    </row>
    <row r="4008" spans="2:13">
      <c r="B4008" s="69">
        <v>4006</v>
      </c>
      <c r="C4008" s="69">
        <v>287</v>
      </c>
      <c r="D4008" s="69">
        <v>39</v>
      </c>
      <c r="E4008" s="69">
        <v>28</v>
      </c>
      <c r="F4008" s="69">
        <v>0</v>
      </c>
      <c r="G4008" s="69" t="s">
        <v>2023</v>
      </c>
      <c r="H4008" s="69" t="s">
        <v>52</v>
      </c>
      <c r="I4008" s="69" t="s">
        <v>2435</v>
      </c>
      <c r="J4008" s="69" t="s">
        <v>55</v>
      </c>
      <c r="K4008" s="69" t="s">
        <v>174</v>
      </c>
      <c r="M4008" s="69" t="s">
        <v>6</v>
      </c>
    </row>
    <row r="4009" spans="2:13">
      <c r="B4009" s="69">
        <v>4007</v>
      </c>
      <c r="C4009" s="69">
        <v>287</v>
      </c>
      <c r="D4009" s="69">
        <v>39</v>
      </c>
      <c r="E4009" s="69">
        <v>29</v>
      </c>
      <c r="F4009" s="69">
        <v>0</v>
      </c>
      <c r="G4009" s="69" t="s">
        <v>2023</v>
      </c>
      <c r="H4009" s="69" t="s">
        <v>52</v>
      </c>
      <c r="I4009" s="69" t="s">
        <v>2435</v>
      </c>
      <c r="J4009" s="69" t="s">
        <v>55</v>
      </c>
      <c r="K4009" s="69" t="s">
        <v>2439</v>
      </c>
      <c r="M4009" s="69" t="s">
        <v>6</v>
      </c>
    </row>
    <row r="4010" spans="2:13">
      <c r="B4010" s="69">
        <v>4008</v>
      </c>
      <c r="C4010" s="69">
        <v>287</v>
      </c>
      <c r="D4010" s="69">
        <v>39</v>
      </c>
      <c r="E4010" s="69">
        <v>30</v>
      </c>
      <c r="F4010" s="69">
        <v>0</v>
      </c>
      <c r="G4010" s="69" t="s">
        <v>2023</v>
      </c>
      <c r="H4010" s="69" t="s">
        <v>52</v>
      </c>
      <c r="I4010" s="69" t="s">
        <v>2435</v>
      </c>
      <c r="J4010" s="69" t="s">
        <v>55</v>
      </c>
      <c r="K4010" s="69" t="s">
        <v>176</v>
      </c>
      <c r="M4010" s="69" t="s">
        <v>6</v>
      </c>
    </row>
    <row r="4011" spans="2:13">
      <c r="B4011" s="69">
        <v>4009</v>
      </c>
      <c r="C4011" s="69">
        <v>287</v>
      </c>
      <c r="D4011" s="69">
        <v>39</v>
      </c>
      <c r="E4011" s="69">
        <v>31</v>
      </c>
      <c r="F4011" s="69">
        <v>0</v>
      </c>
      <c r="G4011" s="69" t="s">
        <v>2023</v>
      </c>
      <c r="H4011" s="69" t="s">
        <v>52</v>
      </c>
      <c r="I4011" s="69" t="s">
        <v>2435</v>
      </c>
      <c r="J4011" s="69" t="s">
        <v>55</v>
      </c>
      <c r="K4011" s="69" t="s">
        <v>139</v>
      </c>
      <c r="M4011" s="69" t="s">
        <v>6</v>
      </c>
    </row>
    <row r="4012" spans="2:13">
      <c r="B4012" s="69">
        <v>4010</v>
      </c>
      <c r="C4012" s="69">
        <v>287</v>
      </c>
      <c r="D4012" s="69">
        <v>39</v>
      </c>
      <c r="E4012" s="69">
        <v>32</v>
      </c>
      <c r="F4012" s="69">
        <v>0</v>
      </c>
      <c r="G4012" s="69" t="s">
        <v>2023</v>
      </c>
      <c r="H4012" s="69" t="s">
        <v>52</v>
      </c>
      <c r="I4012" s="69" t="s">
        <v>2435</v>
      </c>
      <c r="J4012" s="69" t="s">
        <v>55</v>
      </c>
      <c r="K4012" s="69" t="s">
        <v>177</v>
      </c>
      <c r="M4012" s="69" t="s">
        <v>6</v>
      </c>
    </row>
    <row r="4013" spans="2:13">
      <c r="B4013" s="69">
        <v>4011</v>
      </c>
      <c r="C4013" s="69">
        <v>287</v>
      </c>
      <c r="D4013" s="69">
        <v>39</v>
      </c>
      <c r="E4013" s="69">
        <v>33</v>
      </c>
      <c r="F4013" s="69">
        <v>0</v>
      </c>
      <c r="G4013" s="69" t="s">
        <v>2023</v>
      </c>
      <c r="H4013" s="69" t="s">
        <v>52</v>
      </c>
      <c r="I4013" s="69" t="s">
        <v>2435</v>
      </c>
      <c r="J4013" s="69" t="s">
        <v>55</v>
      </c>
      <c r="K4013" s="69" t="s">
        <v>2440</v>
      </c>
      <c r="M4013" s="69" t="s">
        <v>6</v>
      </c>
    </row>
    <row r="4014" spans="2:13">
      <c r="B4014" s="69">
        <v>4012</v>
      </c>
      <c r="C4014" s="69">
        <v>287</v>
      </c>
      <c r="D4014" s="69">
        <v>39</v>
      </c>
      <c r="E4014" s="69">
        <v>34</v>
      </c>
      <c r="F4014" s="69">
        <v>0</v>
      </c>
      <c r="G4014" s="69" t="s">
        <v>2023</v>
      </c>
      <c r="H4014" s="69" t="s">
        <v>52</v>
      </c>
      <c r="I4014" s="69" t="s">
        <v>2435</v>
      </c>
      <c r="J4014" s="69" t="s">
        <v>55</v>
      </c>
      <c r="K4014" s="69" t="s">
        <v>179</v>
      </c>
      <c r="M4014" s="69" t="s">
        <v>6</v>
      </c>
    </row>
    <row r="4015" spans="2:13">
      <c r="B4015" s="69">
        <v>4013</v>
      </c>
      <c r="C4015" s="69">
        <v>287</v>
      </c>
      <c r="D4015" s="69">
        <v>39</v>
      </c>
      <c r="E4015" s="69">
        <v>35</v>
      </c>
      <c r="F4015" s="69">
        <v>0</v>
      </c>
      <c r="G4015" s="69" t="s">
        <v>2023</v>
      </c>
      <c r="H4015" s="69" t="s">
        <v>52</v>
      </c>
      <c r="I4015" s="69" t="s">
        <v>2435</v>
      </c>
      <c r="J4015" s="69" t="s">
        <v>55</v>
      </c>
      <c r="K4015" s="69" t="s">
        <v>180</v>
      </c>
      <c r="M4015" s="69" t="s">
        <v>6</v>
      </c>
    </row>
    <row r="4016" spans="2:13">
      <c r="B4016" s="69">
        <v>4014</v>
      </c>
      <c r="C4016" s="69">
        <v>287</v>
      </c>
      <c r="D4016" s="69">
        <v>39</v>
      </c>
      <c r="E4016" s="69">
        <v>36</v>
      </c>
      <c r="F4016" s="69">
        <v>0</v>
      </c>
      <c r="G4016" s="69" t="s">
        <v>2023</v>
      </c>
      <c r="H4016" s="69" t="s">
        <v>52</v>
      </c>
      <c r="I4016" s="69" t="s">
        <v>2435</v>
      </c>
      <c r="J4016" s="69" t="s">
        <v>55</v>
      </c>
      <c r="K4016" s="69" t="s">
        <v>2441</v>
      </c>
      <c r="M4016" s="69" t="s">
        <v>6</v>
      </c>
    </row>
    <row r="4017" spans="2:13">
      <c r="B4017" s="69">
        <v>4015</v>
      </c>
      <c r="C4017" s="69">
        <v>287</v>
      </c>
      <c r="D4017" s="69">
        <v>39</v>
      </c>
      <c r="E4017" s="69">
        <v>37</v>
      </c>
      <c r="F4017" s="69">
        <v>0</v>
      </c>
      <c r="G4017" s="69" t="s">
        <v>2023</v>
      </c>
      <c r="H4017" s="69" t="s">
        <v>52</v>
      </c>
      <c r="I4017" s="69" t="s">
        <v>2435</v>
      </c>
      <c r="J4017" s="69" t="s">
        <v>55</v>
      </c>
      <c r="K4017" s="69" t="s">
        <v>2442</v>
      </c>
      <c r="M4017" s="69" t="s">
        <v>6</v>
      </c>
    </row>
    <row r="4018" spans="2:13">
      <c r="B4018" s="69">
        <v>4016</v>
      </c>
      <c r="C4018" s="69">
        <v>287</v>
      </c>
      <c r="D4018" s="69">
        <v>39</v>
      </c>
      <c r="E4018" s="69">
        <v>38</v>
      </c>
      <c r="F4018" s="69">
        <v>0</v>
      </c>
      <c r="G4018" s="69" t="s">
        <v>2023</v>
      </c>
      <c r="H4018" s="69" t="s">
        <v>52</v>
      </c>
      <c r="I4018" s="69" t="s">
        <v>2435</v>
      </c>
      <c r="J4018" s="69" t="s">
        <v>55</v>
      </c>
      <c r="K4018" s="69" t="s">
        <v>93</v>
      </c>
      <c r="M4018" s="69" t="s">
        <v>6</v>
      </c>
    </row>
    <row r="4019" spans="2:13">
      <c r="B4019" s="69">
        <v>4017</v>
      </c>
      <c r="C4019" s="69">
        <v>287</v>
      </c>
      <c r="D4019" s="69">
        <v>39</v>
      </c>
      <c r="E4019" s="69">
        <v>39</v>
      </c>
      <c r="F4019" s="69">
        <v>0</v>
      </c>
      <c r="G4019" s="69" t="s">
        <v>2023</v>
      </c>
      <c r="H4019" s="69" t="s">
        <v>52</v>
      </c>
      <c r="I4019" s="69" t="s">
        <v>2435</v>
      </c>
      <c r="J4019" s="69" t="s">
        <v>64</v>
      </c>
      <c r="K4019" s="69" t="s">
        <v>94</v>
      </c>
      <c r="M4019" s="69" t="s">
        <v>6</v>
      </c>
    </row>
    <row r="5681" spans="11:11">
      <c r="K5681" s="69" t="s">
        <v>2024</v>
      </c>
    </row>
  </sheetData>
  <sheetProtection sort="0" autoFilter="0" pivotTables="0"/>
  <conditionalFormatting sqref="A1">
    <cfRule type="expression" dxfId="124" priority="2346">
      <formula>OR($J691="checklist", $J691="checklist-flat")</formula>
    </cfRule>
  </conditionalFormatting>
  <conditionalFormatting sqref="J1 L1:M1 J691:K691 M691 J692:M839 J840 L840:M840 J4026:J4027 L4026:M4027 J2:M690 J4028:M5680 L5681:M5681 J5681 J841:M2806 L2807:M2807 J2807 J5682:M1048576 J2808:M4025">
    <cfRule type="expression" dxfId="123" priority="1">
      <formula>OR($J1="checklist", $J1="checklist-flat")</formula>
    </cfRule>
    <cfRule type="expression" dxfId="122" priority="2">
      <formula>OR($J1="Sectiont", $J1="section")</formula>
    </cfRule>
  </conditionalFormatting>
  <conditionalFormatting sqref="K1">
    <cfRule type="expression" dxfId="121" priority="2342">
      <formula>OR($J840="checklist", $J840="checklist-flat")</formula>
    </cfRule>
  </conditionalFormatting>
  <conditionalFormatting sqref="K4026">
    <cfRule type="expression" dxfId="120" priority="2344">
      <formula>OR($J4027="checklist", $J4027="checklist-flat")</formula>
    </cfRule>
  </conditionalFormatting>
  <conditionalFormatting sqref="K5681">
    <cfRule type="expression" dxfId="119" priority="2353">
      <formula>OR($J2807="checklist", $J2807="checklist-flat")</formula>
    </cfRule>
    <cfRule type="expression" dxfId="118" priority="2354">
      <formula>OR($J2807="Sectiont", $J2807="section")</formula>
    </cfRule>
  </conditionalFormatting>
  <pageMargins left="0.7" right="0.7" top="0.75" bottom="0.75" header="0.3" footer="0.3"/>
  <pageSetup paperSize="9" fitToWidth="0" fitToHeight="0" orientation="landscape" r:id="rId1"/>
  <drawing r:id="rId2"/>
  <legacyDrawing r:id="rId3"/>
  <tableParts count="1">
    <tablePart r:id="rId4"/>
  </tableParts>
  <extLst>
    <ext xmlns:x15="http://schemas.microsoft.com/office/spreadsheetml/2010/11/main" uri="{3A4CF648-6AED-40f4-86FF-DC5316D8AED3}">
      <x14:slicerList xmlns:x14="http://schemas.microsoft.com/office/spreadsheetml/2009/9/main">
        <x14:slicer r:id="rId5"/>
      </x14:slicerList>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9A8F704-5FD2-4C27-B5C6-6F4D1B029690}">
  <sheetPr codeName="Sheet1"/>
  <dimension ref="A3:N2719"/>
  <sheetViews>
    <sheetView topLeftCell="A2660" zoomScale="55" zoomScaleNormal="55" workbookViewId="0">
      <selection activeCell="H2689" sqref="H2689"/>
    </sheetView>
  </sheetViews>
  <sheetFormatPr defaultRowHeight="13.5"/>
  <cols>
    <col min="1" max="2" width="17.25" customWidth="1"/>
    <col min="3" max="3" width="17.125" customWidth="1"/>
    <col min="4" max="4" width="16.625" customWidth="1"/>
    <col min="5" max="5" width="16.125" customWidth="1"/>
    <col min="6" max="6" width="14.875" customWidth="1"/>
    <col min="7" max="7" width="51.375" customWidth="1"/>
    <col min="8" max="8" width="19.75" bestFit="1" customWidth="1"/>
    <col min="9" max="9" width="85" customWidth="1"/>
    <col min="10" max="10" width="12.75" customWidth="1"/>
    <col min="11" max="11" width="19.75" customWidth="1"/>
    <col min="12" max="12" width="23.625" customWidth="1"/>
    <col min="13" max="13" width="29.875" customWidth="1"/>
    <col min="14" max="14" width="29.5" customWidth="1"/>
    <col min="15" max="15" width="18.75" customWidth="1"/>
    <col min="16" max="16" width="15.25" customWidth="1"/>
    <col min="17" max="17" width="16.875" customWidth="1"/>
  </cols>
  <sheetData>
    <row r="3" spans="1:14">
      <c r="A3" t="s">
        <v>5</v>
      </c>
      <c r="B3" t="s">
        <v>46</v>
      </c>
      <c r="C3" s="9" t="s">
        <v>2443</v>
      </c>
      <c r="D3" t="s">
        <v>2444</v>
      </c>
      <c r="E3" t="s">
        <v>2445</v>
      </c>
      <c r="F3" t="s">
        <v>3</v>
      </c>
      <c r="G3" t="s">
        <v>478</v>
      </c>
      <c r="H3" t="s">
        <v>48</v>
      </c>
      <c r="I3" t="s">
        <v>49</v>
      </c>
      <c r="J3" t="s">
        <v>50</v>
      </c>
      <c r="K3" t="s">
        <v>2446</v>
      </c>
      <c r="L3" t="s">
        <v>2447</v>
      </c>
      <c r="M3" t="s">
        <v>2448</v>
      </c>
      <c r="N3" t="s">
        <v>2449</v>
      </c>
    </row>
    <row r="4" spans="1:14" ht="15" customHeight="1">
      <c r="A4" t="s">
        <v>28</v>
      </c>
      <c r="B4" t="str">
        <f ca="1">IF(OR(changes[[#This Row],[Type]]="Checklist",changes[[#This Row],[Type]]="checklist-flat"),1+IF(changes[[#This Row],[Type of change]] = "Edit",COUNTIFS($I$4:changes[[#This Row],[Name]],changes[[#This Row],[Name]], $E$4:changes[[#This Row],[Type of change]], "Edit")),B3)</f>
        <v>Version</v>
      </c>
      <c r="C4" s="16">
        <v>44483</v>
      </c>
      <c r="D4" s="1" t="s">
        <v>2450</v>
      </c>
      <c r="E4" t="s">
        <v>19</v>
      </c>
      <c r="F4" s="10"/>
      <c r="G4" s="10" t="s">
        <v>478</v>
      </c>
      <c r="J4" s="24"/>
    </row>
    <row r="5" spans="1:14">
      <c r="A5" t="s">
        <v>28</v>
      </c>
      <c r="B5" t="str">
        <f ca="1">IF(OR(changes[[#This Row],[Type]]="Checklist",changes[[#This Row],[Type]]="checklist-flat"),1+IF(changes[[#This Row],[Type of change]] = "Edit",COUNTIFS($I$4:changes[[#This Row],[Name]],changes[[#This Row],[Name]], $E$4:changes[[#This Row],[Type of change]], "Edit")),B4)</f>
        <v>Version</v>
      </c>
      <c r="C5" s="16">
        <v>44483</v>
      </c>
      <c r="D5" s="1" t="s">
        <v>2450</v>
      </c>
      <c r="E5" t="s">
        <v>19</v>
      </c>
      <c r="F5" s="10"/>
      <c r="G5" s="10" t="s">
        <v>478</v>
      </c>
    </row>
    <row r="6" spans="1:14" ht="15.75">
      <c r="A6" t="s">
        <v>28</v>
      </c>
      <c r="B6">
        <f ca="1">IF(OR(changes[[#This Row],[Type]]="Checklist",changes[[#This Row],[Type]]="checklist-flat"),1+IF(changes[[#This Row],[Type of change]] = "Edit",COUNTIFS($I$4:changes[[#This Row],[Name]],changes[[#This Row],[Name]], $E$4:changes[[#This Row],[Type of change]], "Edit")),B5)</f>
        <v>2</v>
      </c>
      <c r="C6" s="16">
        <v>44483</v>
      </c>
      <c r="D6" s="1" t="s">
        <v>2451</v>
      </c>
      <c r="E6" t="s">
        <v>15</v>
      </c>
      <c r="F6" s="10"/>
      <c r="G6" s="10" t="s">
        <v>1684</v>
      </c>
      <c r="H6" s="11" t="s">
        <v>478</v>
      </c>
      <c r="I6" s="11" t="s">
        <v>1684</v>
      </c>
      <c r="J6" s="2"/>
      <c r="K6" s="2"/>
      <c r="M6" s="2"/>
    </row>
    <row r="7" spans="1:14" ht="15.75">
      <c r="A7" t="s">
        <v>28</v>
      </c>
      <c r="B7">
        <f ca="1">IF(OR(changes[[#This Row],[Type]]="Checklist",changes[[#This Row],[Type]]="checklist-flat"),1+IF(changes[[#This Row],[Type of change]] = "Edit",COUNTIFS($I$4:changes[[#This Row],[Name]],changes[[#This Row],[Name]], $E$4:changes[[#This Row],[Type of change]], "Edit")),B6)</f>
        <v>2</v>
      </c>
      <c r="C7" s="16">
        <v>44483</v>
      </c>
      <c r="D7" s="1" t="s">
        <v>2451</v>
      </c>
      <c r="E7" t="s">
        <v>15</v>
      </c>
      <c r="F7" s="10"/>
      <c r="G7" s="10" t="s">
        <v>1684</v>
      </c>
      <c r="H7" s="11" t="s">
        <v>55</v>
      </c>
      <c r="I7" s="11" t="s">
        <v>1685</v>
      </c>
      <c r="J7" s="2"/>
      <c r="K7" s="2"/>
      <c r="M7" s="2"/>
    </row>
    <row r="8" spans="1:14" ht="15.75">
      <c r="A8" t="s">
        <v>28</v>
      </c>
      <c r="B8">
        <f ca="1">IF(OR(changes[[#This Row],[Type]]="Checklist",changes[[#This Row],[Type]]="checklist-flat"),1+IF(changes[[#This Row],[Type of change]] = "Edit",COUNTIFS($I$4:changes[[#This Row],[Name]],changes[[#This Row],[Name]], $E$4:changes[[#This Row],[Type of change]], "Edit")),B7)</f>
        <v>2</v>
      </c>
      <c r="C8" s="16">
        <v>44483</v>
      </c>
      <c r="D8" s="1" t="s">
        <v>2451</v>
      </c>
      <c r="E8" t="s">
        <v>15</v>
      </c>
      <c r="F8" s="10"/>
      <c r="G8" s="10" t="s">
        <v>1684</v>
      </c>
      <c r="H8" s="11" t="s">
        <v>951</v>
      </c>
      <c r="I8" s="11" t="s">
        <v>1686</v>
      </c>
      <c r="J8" s="2"/>
      <c r="K8" s="2"/>
      <c r="M8" s="2"/>
    </row>
    <row r="9" spans="1:14" ht="15.75">
      <c r="A9" t="s">
        <v>28</v>
      </c>
      <c r="B9">
        <f ca="1">IF(OR(changes[[#This Row],[Type]]="Checklist",changes[[#This Row],[Type]]="checklist-flat"),1+IF(changes[[#This Row],[Type of change]] = "Edit",COUNTIFS($I$4:changes[[#This Row],[Name]],changes[[#This Row],[Name]], $E$4:changes[[#This Row],[Type of change]], "Edit")),B8)</f>
        <v>2</v>
      </c>
      <c r="C9" s="16">
        <v>44483</v>
      </c>
      <c r="D9" s="1" t="s">
        <v>2451</v>
      </c>
      <c r="E9" t="s">
        <v>15</v>
      </c>
      <c r="F9" s="10"/>
      <c r="G9" s="10" t="s">
        <v>1684</v>
      </c>
      <c r="H9" s="11" t="s">
        <v>951</v>
      </c>
      <c r="I9" s="11" t="s">
        <v>1687</v>
      </c>
      <c r="J9" s="2"/>
      <c r="K9" s="2"/>
      <c r="M9" s="2"/>
    </row>
    <row r="10" spans="1:14" ht="15.75">
      <c r="A10" t="s">
        <v>28</v>
      </c>
      <c r="B10">
        <f ca="1">IF(OR(changes[[#This Row],[Type]]="Checklist",changes[[#This Row],[Type]]="checklist-flat"),1+IF(changes[[#This Row],[Type of change]] = "Edit",COUNTIFS($I$4:changes[[#This Row],[Name]],changes[[#This Row],[Name]], $E$4:changes[[#This Row],[Type of change]], "Edit")),B9)</f>
        <v>2</v>
      </c>
      <c r="C10" s="16">
        <v>44483</v>
      </c>
      <c r="D10" s="1" t="s">
        <v>2451</v>
      </c>
      <c r="E10" t="s">
        <v>15</v>
      </c>
      <c r="F10" s="10"/>
      <c r="G10" s="10" t="s">
        <v>1684</v>
      </c>
      <c r="H10" s="11" t="s">
        <v>951</v>
      </c>
      <c r="I10" s="11" t="s">
        <v>1688</v>
      </c>
      <c r="J10" s="2"/>
      <c r="K10" s="2"/>
      <c r="M10" s="2"/>
    </row>
    <row r="11" spans="1:14" ht="15.75">
      <c r="A11" t="s">
        <v>28</v>
      </c>
      <c r="B11">
        <f ca="1">IF(OR(changes[[#This Row],[Type]]="Checklist",changes[[#This Row],[Type]]="checklist-flat"),1+IF(changes[[#This Row],[Type of change]] = "Edit",COUNTIFS($I$4:changes[[#This Row],[Name]],changes[[#This Row],[Name]], $E$4:changes[[#This Row],[Type of change]], "Edit")),B10)</f>
        <v>2</v>
      </c>
      <c r="C11" s="16">
        <v>44483</v>
      </c>
      <c r="D11" s="1" t="s">
        <v>2451</v>
      </c>
      <c r="E11" t="s">
        <v>15</v>
      </c>
      <c r="F11" s="10"/>
      <c r="G11" s="10" t="s">
        <v>1684</v>
      </c>
      <c r="H11" s="11" t="s">
        <v>951</v>
      </c>
      <c r="I11" s="11" t="s">
        <v>1689</v>
      </c>
      <c r="J11" s="2"/>
      <c r="K11" s="2"/>
      <c r="M11" s="2"/>
    </row>
    <row r="12" spans="1:14" ht="15.75">
      <c r="A12" t="s">
        <v>28</v>
      </c>
      <c r="B12">
        <f ca="1">IF(OR(changes[[#This Row],[Type]]="Checklist",changes[[#This Row],[Type]]="checklist-flat"),1+IF(changes[[#This Row],[Type of change]] = "Edit",COUNTIFS($I$4:changes[[#This Row],[Name]],changes[[#This Row],[Name]], $E$4:changes[[#This Row],[Type of change]], "Edit")),B11)</f>
        <v>2</v>
      </c>
      <c r="C12" s="16">
        <v>44483</v>
      </c>
      <c r="D12" s="1" t="s">
        <v>2451</v>
      </c>
      <c r="E12" t="s">
        <v>15</v>
      </c>
      <c r="F12" s="10"/>
      <c r="G12" s="10" t="s">
        <v>1684</v>
      </c>
      <c r="H12" s="11" t="s">
        <v>55</v>
      </c>
      <c r="I12" s="11" t="s">
        <v>1690</v>
      </c>
      <c r="J12" s="2"/>
      <c r="K12" s="2"/>
      <c r="M12" s="2"/>
    </row>
    <row r="13" spans="1:14" ht="15.75">
      <c r="A13" t="s">
        <v>28</v>
      </c>
      <c r="B13">
        <f ca="1">IF(OR(changes[[#This Row],[Type]]="Checklist",changes[[#This Row],[Type]]="checklist-flat"),1+IF(changes[[#This Row],[Type of change]] = "Edit",COUNTIFS($I$4:changes[[#This Row],[Name]],changes[[#This Row],[Name]], $E$4:changes[[#This Row],[Type of change]], "Edit")),B12)</f>
        <v>2</v>
      </c>
      <c r="C13" s="16">
        <v>44483</v>
      </c>
      <c r="D13" s="1" t="s">
        <v>2451</v>
      </c>
      <c r="E13" t="s">
        <v>15</v>
      </c>
      <c r="F13" s="10"/>
      <c r="G13" s="10" t="s">
        <v>1684</v>
      </c>
      <c r="H13" s="11" t="s">
        <v>55</v>
      </c>
      <c r="I13" s="11" t="s">
        <v>1691</v>
      </c>
      <c r="J13" s="2"/>
      <c r="K13" s="2"/>
      <c r="M13" s="2"/>
    </row>
    <row r="14" spans="1:14" ht="15.75">
      <c r="A14" t="s">
        <v>28</v>
      </c>
      <c r="B14">
        <f ca="1">IF(OR(changes[[#This Row],[Type]]="Checklist",changes[[#This Row],[Type]]="checklist-flat"),1+IF(changes[[#This Row],[Type of change]] = "Edit",COUNTIFS($I$4:changes[[#This Row],[Name]],changes[[#This Row],[Name]], $E$4:changes[[#This Row],[Type of change]], "Edit")),B13)</f>
        <v>2</v>
      </c>
      <c r="C14" s="16">
        <v>44483</v>
      </c>
      <c r="D14" s="1" t="s">
        <v>2451</v>
      </c>
      <c r="E14" t="s">
        <v>15</v>
      </c>
      <c r="F14" s="10"/>
      <c r="G14" s="10" t="s">
        <v>1684</v>
      </c>
      <c r="H14" s="11" t="s">
        <v>951</v>
      </c>
      <c r="I14" s="11" t="s">
        <v>1692</v>
      </c>
      <c r="J14" s="2"/>
      <c r="K14" s="2"/>
      <c r="M14" s="2"/>
    </row>
    <row r="15" spans="1:14" ht="15.75">
      <c r="A15" t="s">
        <v>28</v>
      </c>
      <c r="B15">
        <f ca="1">IF(OR(changes[[#This Row],[Type]]="Checklist",changes[[#This Row],[Type]]="checklist-flat"),1+IF(changes[[#This Row],[Type of change]] = "Edit",COUNTIFS($I$4:changes[[#This Row],[Name]],changes[[#This Row],[Name]], $E$4:changes[[#This Row],[Type of change]], "Edit")),B14)</f>
        <v>2</v>
      </c>
      <c r="C15" s="16">
        <v>44483</v>
      </c>
      <c r="D15" s="1" t="s">
        <v>2451</v>
      </c>
      <c r="E15" t="s">
        <v>15</v>
      </c>
      <c r="F15" s="10"/>
      <c r="G15" s="10" t="s">
        <v>1684</v>
      </c>
      <c r="H15" s="11" t="s">
        <v>55</v>
      </c>
      <c r="I15" s="11" t="s">
        <v>1690</v>
      </c>
      <c r="J15" s="2"/>
      <c r="K15" s="2"/>
      <c r="M15" s="2"/>
    </row>
    <row r="16" spans="1:14" ht="15.75">
      <c r="A16" t="s">
        <v>28</v>
      </c>
      <c r="B16">
        <f ca="1">IF(OR(changes[[#This Row],[Type]]="Checklist",changes[[#This Row],[Type]]="checklist-flat"),1+IF(changes[[#This Row],[Type of change]] = "Edit",COUNTIFS($I$4:changes[[#This Row],[Name]],changes[[#This Row],[Name]], $E$4:changes[[#This Row],[Type of change]], "Edit")),B15)</f>
        <v>2</v>
      </c>
      <c r="C16" s="16">
        <v>44483</v>
      </c>
      <c r="D16" s="1" t="s">
        <v>2451</v>
      </c>
      <c r="E16" t="s">
        <v>15</v>
      </c>
      <c r="F16" s="10"/>
      <c r="G16" s="10" t="s">
        <v>1684</v>
      </c>
      <c r="H16" s="11" t="s">
        <v>55</v>
      </c>
      <c r="I16" s="11" t="s">
        <v>62</v>
      </c>
      <c r="J16" s="2"/>
      <c r="K16" s="2"/>
      <c r="M16" s="2"/>
    </row>
    <row r="17" spans="1:13" ht="15.75">
      <c r="A17" t="s">
        <v>28</v>
      </c>
      <c r="B17">
        <f ca="1">IF(OR(changes[[#This Row],[Type]]="Checklist",changes[[#This Row],[Type]]="checklist-flat"),1+IF(changes[[#This Row],[Type of change]] = "Edit",COUNTIFS($I$4:changes[[#This Row],[Name]],changes[[#This Row],[Name]], $E$4:changes[[#This Row],[Type of change]], "Edit")),B16)</f>
        <v>3</v>
      </c>
      <c r="C17" s="16">
        <v>44483</v>
      </c>
      <c r="D17" s="1" t="s">
        <v>2451</v>
      </c>
      <c r="E17" t="s">
        <v>15</v>
      </c>
      <c r="F17" s="10"/>
      <c r="G17" s="10" t="s">
        <v>1684</v>
      </c>
      <c r="H17" s="11" t="s">
        <v>478</v>
      </c>
      <c r="I17" s="11" t="s">
        <v>1684</v>
      </c>
      <c r="J17" s="2"/>
      <c r="K17" s="2"/>
      <c r="M17" s="2"/>
    </row>
    <row r="18" spans="1:13" ht="15.75">
      <c r="A18" t="s">
        <v>28</v>
      </c>
      <c r="B18">
        <f ca="1">IF(OR(changes[[#This Row],[Type]]="Checklist",changes[[#This Row],[Type]]="checklist-flat"),1+IF(changes[[#This Row],[Type of change]] = "Edit",COUNTIFS($I$4:changes[[#This Row],[Name]],changes[[#This Row],[Name]], $E$4:changes[[#This Row],[Type of change]], "Edit")),B17)</f>
        <v>3</v>
      </c>
      <c r="C18" s="16">
        <v>44483</v>
      </c>
      <c r="D18" s="1" t="s">
        <v>2451</v>
      </c>
      <c r="E18" t="s">
        <v>15</v>
      </c>
      <c r="F18" s="10"/>
      <c r="G18" s="10" t="s">
        <v>1684</v>
      </c>
      <c r="H18" s="11" t="s">
        <v>55</v>
      </c>
      <c r="I18" s="11" t="s">
        <v>1685</v>
      </c>
      <c r="J18" s="2"/>
      <c r="K18" s="2"/>
      <c r="M18" s="2"/>
    </row>
    <row r="19" spans="1:13" ht="15.75">
      <c r="A19" t="s">
        <v>28</v>
      </c>
      <c r="B19">
        <f ca="1">IF(OR(changes[[#This Row],[Type]]="Checklist",changes[[#This Row],[Type]]="checklist-flat"),1+IF(changes[[#This Row],[Type of change]] = "Edit",COUNTIFS($I$4:changes[[#This Row],[Name]],changes[[#This Row],[Name]], $E$4:changes[[#This Row],[Type of change]], "Edit")),B18)</f>
        <v>3</v>
      </c>
      <c r="C19" s="16">
        <v>44483</v>
      </c>
      <c r="D19" s="1" t="s">
        <v>2451</v>
      </c>
      <c r="E19" t="s">
        <v>15</v>
      </c>
      <c r="F19" s="10"/>
      <c r="G19" s="10" t="s">
        <v>1684</v>
      </c>
      <c r="H19" s="11" t="s">
        <v>951</v>
      </c>
      <c r="I19" s="11" t="s">
        <v>1686</v>
      </c>
      <c r="J19" s="2"/>
      <c r="K19" s="2"/>
      <c r="M19" s="2"/>
    </row>
    <row r="20" spans="1:13" ht="15.75">
      <c r="A20" t="s">
        <v>28</v>
      </c>
      <c r="B20">
        <f ca="1">IF(OR(changes[[#This Row],[Type]]="Checklist",changes[[#This Row],[Type]]="checklist-flat"),1+IF(changes[[#This Row],[Type of change]] = "Edit",COUNTIFS($I$4:changes[[#This Row],[Name]],changes[[#This Row],[Name]], $E$4:changes[[#This Row],[Type of change]], "Edit")),B19)</f>
        <v>3</v>
      </c>
      <c r="C20" s="16">
        <v>44483</v>
      </c>
      <c r="D20" s="1" t="s">
        <v>2451</v>
      </c>
      <c r="E20" t="s">
        <v>15</v>
      </c>
      <c r="F20" s="10"/>
      <c r="G20" s="10" t="s">
        <v>1684</v>
      </c>
      <c r="H20" s="11" t="s">
        <v>951</v>
      </c>
      <c r="I20" s="11" t="s">
        <v>1687</v>
      </c>
      <c r="J20" s="2"/>
      <c r="K20" s="2"/>
      <c r="M20" s="2"/>
    </row>
    <row r="21" spans="1:13" ht="15.75">
      <c r="A21" t="s">
        <v>28</v>
      </c>
      <c r="B21">
        <f ca="1">IF(OR(changes[[#This Row],[Type]]="Checklist",changes[[#This Row],[Type]]="checklist-flat"),1+IF(changes[[#This Row],[Type of change]] = "Edit",COUNTIFS($I$4:changes[[#This Row],[Name]],changes[[#This Row],[Name]], $E$4:changes[[#This Row],[Type of change]], "Edit")),B20)</f>
        <v>3</v>
      </c>
      <c r="C21" s="16">
        <v>44483</v>
      </c>
      <c r="D21" s="1" t="s">
        <v>2451</v>
      </c>
      <c r="E21" t="s">
        <v>15</v>
      </c>
      <c r="F21" s="10"/>
      <c r="G21" s="10" t="s">
        <v>1684</v>
      </c>
      <c r="H21" s="11" t="s">
        <v>951</v>
      </c>
      <c r="I21" s="11" t="s">
        <v>1688</v>
      </c>
      <c r="J21" s="2"/>
      <c r="K21" s="2"/>
      <c r="M21" s="2"/>
    </row>
    <row r="22" spans="1:13" ht="15.75">
      <c r="A22" t="s">
        <v>28</v>
      </c>
      <c r="B22">
        <f ca="1">IF(OR(changes[[#This Row],[Type]]="Checklist",changes[[#This Row],[Type]]="checklist-flat"),1+IF(changes[[#This Row],[Type of change]] = "Edit",COUNTIFS($I$4:changes[[#This Row],[Name]],changes[[#This Row],[Name]], $E$4:changes[[#This Row],[Type of change]], "Edit")),B21)</f>
        <v>3</v>
      </c>
      <c r="C22" s="16">
        <v>44483</v>
      </c>
      <c r="D22" s="1" t="s">
        <v>2451</v>
      </c>
      <c r="E22" t="s">
        <v>15</v>
      </c>
      <c r="F22" s="10"/>
      <c r="G22" s="10" t="s">
        <v>1684</v>
      </c>
      <c r="H22" s="11" t="s">
        <v>951</v>
      </c>
      <c r="I22" s="11" t="s">
        <v>1689</v>
      </c>
      <c r="J22" s="2"/>
      <c r="K22" s="2"/>
      <c r="M22" s="2"/>
    </row>
    <row r="23" spans="1:13" ht="15.75">
      <c r="A23" t="s">
        <v>28</v>
      </c>
      <c r="B23">
        <f ca="1">IF(OR(changes[[#This Row],[Type]]="Checklist",changes[[#This Row],[Type]]="checklist-flat"),1+IF(changes[[#This Row],[Type of change]] = "Edit",COUNTIFS($I$4:changes[[#This Row],[Name]],changes[[#This Row],[Name]], $E$4:changes[[#This Row],[Type of change]], "Edit")),B22)</f>
        <v>3</v>
      </c>
      <c r="C23" s="16">
        <v>44483</v>
      </c>
      <c r="D23" s="1" t="s">
        <v>2451</v>
      </c>
      <c r="E23" t="s">
        <v>15</v>
      </c>
      <c r="F23" s="10"/>
      <c r="G23" s="10" t="s">
        <v>1684</v>
      </c>
      <c r="H23" s="11" t="s">
        <v>55</v>
      </c>
      <c r="I23" s="11" t="s">
        <v>1690</v>
      </c>
      <c r="J23" s="2"/>
      <c r="K23" s="2"/>
      <c r="M23" s="2"/>
    </row>
    <row r="24" spans="1:13" ht="15.75">
      <c r="A24" t="s">
        <v>28</v>
      </c>
      <c r="B24">
        <f ca="1">IF(OR(changes[[#This Row],[Type]]="Checklist",changes[[#This Row],[Type]]="checklist-flat"),1+IF(changes[[#This Row],[Type of change]] = "Edit",COUNTIFS($I$4:changes[[#This Row],[Name]],changes[[#This Row],[Name]], $E$4:changes[[#This Row],[Type of change]], "Edit")),B23)</f>
        <v>3</v>
      </c>
      <c r="C24" s="16">
        <v>44483</v>
      </c>
      <c r="D24" s="1" t="s">
        <v>2451</v>
      </c>
      <c r="E24" t="s">
        <v>15</v>
      </c>
      <c r="F24" s="10"/>
      <c r="G24" s="10" t="s">
        <v>1684</v>
      </c>
      <c r="H24" s="11" t="s">
        <v>55</v>
      </c>
      <c r="I24" s="11" t="s">
        <v>1691</v>
      </c>
      <c r="J24" s="2"/>
      <c r="K24" s="2"/>
      <c r="M24" s="2"/>
    </row>
    <row r="25" spans="1:13" ht="15.75">
      <c r="A25" t="s">
        <v>28</v>
      </c>
      <c r="B25">
        <f ca="1">IF(OR(changes[[#This Row],[Type]]="Checklist",changes[[#This Row],[Type]]="checklist-flat"),1+IF(changes[[#This Row],[Type of change]] = "Edit",COUNTIFS($I$4:changes[[#This Row],[Name]],changes[[#This Row],[Name]], $E$4:changes[[#This Row],[Type of change]], "Edit")),B24)</f>
        <v>3</v>
      </c>
      <c r="C25" s="16">
        <v>44483</v>
      </c>
      <c r="D25" s="1" t="s">
        <v>2451</v>
      </c>
      <c r="E25" t="s">
        <v>15</v>
      </c>
      <c r="F25" s="10"/>
      <c r="G25" s="10" t="s">
        <v>1684</v>
      </c>
      <c r="H25" s="11" t="s">
        <v>951</v>
      </c>
      <c r="I25" s="11" t="s">
        <v>1692</v>
      </c>
      <c r="J25" s="2"/>
      <c r="K25" s="2"/>
      <c r="M25" s="2"/>
    </row>
    <row r="26" spans="1:13" ht="15.75">
      <c r="A26" t="s">
        <v>28</v>
      </c>
      <c r="B26">
        <f ca="1">IF(OR(changes[[#This Row],[Type]]="Checklist",changes[[#This Row],[Type]]="checklist-flat"),1+IF(changes[[#This Row],[Type of change]] = "Edit",COUNTIFS($I$4:changes[[#This Row],[Name]],changes[[#This Row],[Name]], $E$4:changes[[#This Row],[Type of change]], "Edit")),B25)</f>
        <v>3</v>
      </c>
      <c r="C26" s="16">
        <v>44483</v>
      </c>
      <c r="D26" s="1" t="s">
        <v>2451</v>
      </c>
      <c r="E26" t="s">
        <v>15</v>
      </c>
      <c r="F26" s="10"/>
      <c r="G26" s="10" t="s">
        <v>1684</v>
      </c>
      <c r="H26" s="11" t="s">
        <v>55</v>
      </c>
      <c r="I26" s="11" t="s">
        <v>1690</v>
      </c>
      <c r="J26" s="2"/>
      <c r="K26" s="2"/>
      <c r="M26" s="2"/>
    </row>
    <row r="27" spans="1:13" ht="15.75">
      <c r="A27" t="s">
        <v>28</v>
      </c>
      <c r="B27">
        <f ca="1">IF(OR(changes[[#This Row],[Type]]="Checklist",changes[[#This Row],[Type]]="checklist-flat"),1+IF(changes[[#This Row],[Type of change]] = "Edit",COUNTIFS($I$4:changes[[#This Row],[Name]],changes[[#This Row],[Name]], $E$4:changes[[#This Row],[Type of change]], "Edit")),B26)</f>
        <v>3</v>
      </c>
      <c r="C27" s="16">
        <v>44483</v>
      </c>
      <c r="D27" s="1" t="s">
        <v>2451</v>
      </c>
      <c r="E27" t="s">
        <v>15</v>
      </c>
      <c r="F27" s="10"/>
      <c r="G27" s="10" t="s">
        <v>1684</v>
      </c>
      <c r="H27" s="11" t="s">
        <v>55</v>
      </c>
      <c r="I27" s="11" t="s">
        <v>63</v>
      </c>
      <c r="J27" s="2"/>
      <c r="K27" s="2"/>
      <c r="M27" s="2"/>
    </row>
    <row r="28" spans="1:13" ht="15.75">
      <c r="A28" t="s">
        <v>28</v>
      </c>
      <c r="B28">
        <f ca="1">IF(OR(changes[[#This Row],[Type]]="Checklist",changes[[#This Row],[Type]]="checklist-flat"),1+IF(changes[[#This Row],[Type of change]] = "Edit",COUNTIFS($I$4:changes[[#This Row],[Name]],changes[[#This Row],[Name]], $E$4:changes[[#This Row],[Type of change]], "Edit")),B27)</f>
        <v>3</v>
      </c>
      <c r="C28" s="16">
        <v>44483</v>
      </c>
      <c r="D28" s="1" t="s">
        <v>2451</v>
      </c>
      <c r="E28" t="s">
        <v>15</v>
      </c>
      <c r="F28" s="10"/>
      <c r="G28" s="10" t="s">
        <v>1684</v>
      </c>
      <c r="H28" s="11" t="s">
        <v>994</v>
      </c>
      <c r="I28" s="11" t="s">
        <v>65</v>
      </c>
      <c r="J28" s="2"/>
      <c r="K28" s="2"/>
      <c r="M28" s="2"/>
    </row>
    <row r="29" spans="1:13" ht="15.75">
      <c r="A29" t="s">
        <v>28</v>
      </c>
      <c r="B29">
        <f ca="1">IF(OR(changes[[#This Row],[Type]]="Checklist",changes[[#This Row],[Type]]="checklist-flat"),1+IF(changes[[#This Row],[Type of change]] = "Edit",COUNTIFS($I$4:changes[[#This Row],[Name]],changes[[#This Row],[Name]], $E$4:changes[[#This Row],[Type of change]], "Edit")),B28)</f>
        <v>3</v>
      </c>
      <c r="C29" s="16">
        <v>44483</v>
      </c>
      <c r="D29" s="1" t="s">
        <v>2451</v>
      </c>
      <c r="E29" t="s">
        <v>15</v>
      </c>
      <c r="F29" s="10"/>
      <c r="G29" s="10" t="s">
        <v>1684</v>
      </c>
      <c r="H29" s="11" t="s">
        <v>55</v>
      </c>
      <c r="I29" s="11" t="s">
        <v>1679</v>
      </c>
      <c r="J29" s="2"/>
      <c r="K29" s="2"/>
      <c r="M29" s="2"/>
    </row>
    <row r="30" spans="1:13" ht="15.75">
      <c r="A30" t="s">
        <v>28</v>
      </c>
      <c r="B30">
        <f ca="1">IF(OR(changes[[#This Row],[Type]]="Checklist",changes[[#This Row],[Type]]="checklist-flat"),1+IF(changes[[#This Row],[Type of change]] = "Edit",COUNTIFS($I$4:changes[[#This Row],[Name]],changes[[#This Row],[Name]], $E$4:changes[[#This Row],[Type of change]], "Edit")),B29)</f>
        <v>2</v>
      </c>
      <c r="C30" s="16">
        <v>44483</v>
      </c>
      <c r="D30" s="1" t="s">
        <v>2451</v>
      </c>
      <c r="E30" t="s">
        <v>15</v>
      </c>
      <c r="F30" s="10"/>
      <c r="G30" s="10" t="s">
        <v>1993</v>
      </c>
      <c r="H30" s="11" t="s">
        <v>478</v>
      </c>
      <c r="I30" s="11" t="s">
        <v>1993</v>
      </c>
      <c r="J30" s="2"/>
      <c r="K30" s="2"/>
      <c r="M30" s="2"/>
    </row>
    <row r="31" spans="1:13" ht="15.75">
      <c r="A31" t="s">
        <v>28</v>
      </c>
      <c r="B31">
        <f ca="1">IF(OR(changes[[#This Row],[Type]]="Checklist",changes[[#This Row],[Type]]="checklist-flat"),1+IF(changes[[#This Row],[Type of change]] = "Edit",COUNTIFS($I$4:changes[[#This Row],[Name]],changes[[#This Row],[Name]], $E$4:changes[[#This Row],[Type of change]], "Edit")),B30)</f>
        <v>2</v>
      </c>
      <c r="C31" s="16">
        <v>44483</v>
      </c>
      <c r="D31" s="1" t="s">
        <v>2451</v>
      </c>
      <c r="E31" t="s">
        <v>15</v>
      </c>
      <c r="F31" s="10"/>
      <c r="G31" s="10" t="s">
        <v>1993</v>
      </c>
      <c r="H31" s="11" t="s">
        <v>479</v>
      </c>
      <c r="I31" s="11" t="s">
        <v>1982</v>
      </c>
      <c r="J31" s="2"/>
      <c r="K31" s="2"/>
      <c r="M31" s="2"/>
    </row>
    <row r="32" spans="1:13" ht="15.75">
      <c r="A32" t="s">
        <v>28</v>
      </c>
      <c r="B32">
        <f ca="1">IF(OR(changes[[#This Row],[Type]]="Checklist",changes[[#This Row],[Type]]="checklist-flat"),1+IF(changes[[#This Row],[Type of change]] = "Edit",COUNTIFS($I$4:changes[[#This Row],[Name]],changes[[#This Row],[Name]], $E$4:changes[[#This Row],[Type of change]], "Edit")),B31)</f>
        <v>2</v>
      </c>
      <c r="C32" s="16">
        <v>44483</v>
      </c>
      <c r="D32" s="1" t="s">
        <v>2451</v>
      </c>
      <c r="E32" t="s">
        <v>15</v>
      </c>
      <c r="F32" s="10"/>
      <c r="G32" s="10" t="s">
        <v>1993</v>
      </c>
      <c r="H32" s="11" t="s">
        <v>55</v>
      </c>
      <c r="I32" s="11" t="s">
        <v>2452</v>
      </c>
      <c r="J32" s="2"/>
      <c r="K32" s="2"/>
      <c r="M32" s="2"/>
    </row>
    <row r="33" spans="1:13" ht="15.75">
      <c r="A33" t="s">
        <v>28</v>
      </c>
      <c r="B33">
        <f ca="1">IF(OR(changes[[#This Row],[Type]]="Checklist",changes[[#This Row],[Type]]="checklist-flat"),1+IF(changes[[#This Row],[Type of change]] = "Edit",COUNTIFS($I$4:changes[[#This Row],[Name]],changes[[#This Row],[Name]], $E$4:changes[[#This Row],[Type of change]], "Edit")),B32)</f>
        <v>2</v>
      </c>
      <c r="C33" s="16">
        <v>44483</v>
      </c>
      <c r="D33" s="1" t="s">
        <v>2451</v>
      </c>
      <c r="E33" t="s">
        <v>15</v>
      </c>
      <c r="F33" s="10"/>
      <c r="G33" s="10" t="s">
        <v>1993</v>
      </c>
      <c r="H33" s="11" t="s">
        <v>55</v>
      </c>
      <c r="I33" s="11" t="s">
        <v>1995</v>
      </c>
      <c r="J33" s="2"/>
      <c r="K33" s="2"/>
      <c r="M33" s="2"/>
    </row>
    <row r="34" spans="1:13" ht="15.75">
      <c r="A34" t="s">
        <v>28</v>
      </c>
      <c r="B34">
        <f ca="1">IF(OR(changes[[#This Row],[Type]]="Checklist",changes[[#This Row],[Type]]="checklist-flat"),1+IF(changes[[#This Row],[Type of change]] = "Edit",COUNTIFS($I$4:changes[[#This Row],[Name]],changes[[#This Row],[Name]], $E$4:changes[[#This Row],[Type of change]], "Edit")),B33)</f>
        <v>2</v>
      </c>
      <c r="C34" s="16">
        <v>44483</v>
      </c>
      <c r="D34" s="1" t="s">
        <v>2451</v>
      </c>
      <c r="E34" t="s">
        <v>15</v>
      </c>
      <c r="F34" s="10"/>
      <c r="G34" s="10" t="s">
        <v>1993</v>
      </c>
      <c r="H34" s="11" t="s">
        <v>479</v>
      </c>
      <c r="I34" s="11" t="s">
        <v>1625</v>
      </c>
      <c r="J34" s="2"/>
      <c r="K34" s="2"/>
      <c r="M34" s="2"/>
    </row>
    <row r="35" spans="1:13" ht="15.75">
      <c r="A35" t="s">
        <v>28</v>
      </c>
      <c r="B35">
        <f ca="1">IF(OR(changes[[#This Row],[Type]]="Checklist",changes[[#This Row],[Type]]="checklist-flat"),1+IF(changes[[#This Row],[Type of change]] = "Edit",COUNTIFS($I$4:changes[[#This Row],[Name]],changes[[#This Row],[Name]], $E$4:changes[[#This Row],[Type of change]], "Edit")),B34)</f>
        <v>2</v>
      </c>
      <c r="C35" s="16">
        <v>44483</v>
      </c>
      <c r="D35" s="1" t="s">
        <v>2451</v>
      </c>
      <c r="E35" t="s">
        <v>15</v>
      </c>
      <c r="F35" s="10"/>
      <c r="G35" s="10" t="s">
        <v>1993</v>
      </c>
      <c r="H35" s="11" t="s">
        <v>55</v>
      </c>
      <c r="I35" s="11" t="s">
        <v>1996</v>
      </c>
      <c r="J35" s="2"/>
      <c r="K35" s="2"/>
      <c r="M35" s="2"/>
    </row>
    <row r="36" spans="1:13" ht="15.75">
      <c r="A36" t="s">
        <v>28</v>
      </c>
      <c r="B36">
        <f ca="1">IF(OR(changes[[#This Row],[Type]]="Checklist",changes[[#This Row],[Type]]="checklist-flat"),1+IF(changes[[#This Row],[Type of change]] = "Edit",COUNTIFS($I$4:changes[[#This Row],[Name]],changes[[#This Row],[Name]], $E$4:changes[[#This Row],[Type of change]], "Edit")),B35)</f>
        <v>2</v>
      </c>
      <c r="C36" s="16">
        <v>44483</v>
      </c>
      <c r="D36" s="1" t="s">
        <v>2451</v>
      </c>
      <c r="E36" t="s">
        <v>15</v>
      </c>
      <c r="F36" s="10"/>
      <c r="G36" s="10" t="s">
        <v>1993</v>
      </c>
      <c r="H36" s="11" t="s">
        <v>55</v>
      </c>
      <c r="I36" s="11" t="s">
        <v>1997</v>
      </c>
      <c r="J36" s="2"/>
      <c r="K36" s="2"/>
      <c r="M36" s="2"/>
    </row>
    <row r="37" spans="1:13" ht="15.75">
      <c r="A37" t="s">
        <v>28</v>
      </c>
      <c r="B37">
        <f ca="1">IF(OR(changes[[#This Row],[Type]]="Checklist",changes[[#This Row],[Type]]="checklist-flat"),1+IF(changes[[#This Row],[Type of change]] = "Edit",COUNTIFS($I$4:changes[[#This Row],[Name]],changes[[#This Row],[Name]], $E$4:changes[[#This Row],[Type of change]], "Edit")),B36)</f>
        <v>2</v>
      </c>
      <c r="C37" s="16">
        <v>44483</v>
      </c>
      <c r="D37" s="1" t="s">
        <v>2451</v>
      </c>
      <c r="E37" t="s">
        <v>15</v>
      </c>
      <c r="F37" s="10"/>
      <c r="G37" s="10" t="s">
        <v>1993</v>
      </c>
      <c r="H37" s="11" t="s">
        <v>55</v>
      </c>
      <c r="I37" s="11" t="s">
        <v>1998</v>
      </c>
      <c r="J37" s="2"/>
      <c r="K37" s="2"/>
      <c r="M37" s="2"/>
    </row>
    <row r="38" spans="1:13" ht="15.75">
      <c r="A38" t="s">
        <v>28</v>
      </c>
      <c r="B38">
        <f ca="1">IF(OR(changes[[#This Row],[Type]]="Checklist",changes[[#This Row],[Type]]="checklist-flat"),1+IF(changes[[#This Row],[Type of change]] = "Edit",COUNTIFS($I$4:changes[[#This Row],[Name]],changes[[#This Row],[Name]], $E$4:changes[[#This Row],[Type of change]], "Edit")),B37)</f>
        <v>2</v>
      </c>
      <c r="C38" s="16">
        <v>44483</v>
      </c>
      <c r="D38" s="1" t="s">
        <v>2451</v>
      </c>
      <c r="E38" t="s">
        <v>15</v>
      </c>
      <c r="F38" s="10"/>
      <c r="G38" s="10" t="s">
        <v>1993</v>
      </c>
      <c r="H38" s="11" t="s">
        <v>55</v>
      </c>
      <c r="I38" s="11" t="s">
        <v>1999</v>
      </c>
      <c r="J38" s="2"/>
      <c r="K38" s="2"/>
      <c r="M38" s="2"/>
    </row>
    <row r="39" spans="1:13" ht="15.75" customHeight="1">
      <c r="A39" t="s">
        <v>28</v>
      </c>
      <c r="B39">
        <f ca="1">IF(OR(changes[[#This Row],[Type]]="Checklist",changes[[#This Row],[Type]]="checklist-flat"),1+IF(changes[[#This Row],[Type of change]] = "Edit",COUNTIFS($I$4:changes[[#This Row],[Name]],changes[[#This Row],[Name]], $E$4:changes[[#This Row],[Type of change]], "Edit")),B38)</f>
        <v>1</v>
      </c>
      <c r="C39" s="16">
        <v>44483</v>
      </c>
      <c r="D39" s="1" t="s">
        <v>2451</v>
      </c>
      <c r="E39" s="1" t="s">
        <v>2453</v>
      </c>
      <c r="F39" s="10"/>
      <c r="G39" s="10" t="s">
        <v>2454</v>
      </c>
      <c r="H39" s="1" t="s">
        <v>478</v>
      </c>
      <c r="I39" s="1" t="s">
        <v>2454</v>
      </c>
      <c r="J39" s="1"/>
      <c r="K39" s="2"/>
      <c r="M39" s="2"/>
    </row>
    <row r="40" spans="1:13" ht="15.75" customHeight="1">
      <c r="A40" t="s">
        <v>28</v>
      </c>
      <c r="B40">
        <f ca="1">IF(OR(changes[[#This Row],[Type]]="Checklist",changes[[#This Row],[Type]]="checklist-flat"),1+IF(changes[[#This Row],[Type of change]] = "Edit",COUNTIFS($I$4:changes[[#This Row],[Name]],changes[[#This Row],[Name]], $E$4:changes[[#This Row],[Type of change]], "Edit")),B39)</f>
        <v>1</v>
      </c>
      <c r="C40" s="16">
        <v>44483</v>
      </c>
      <c r="D40" s="1" t="s">
        <v>2451</v>
      </c>
      <c r="E40" s="1" t="s">
        <v>2453</v>
      </c>
      <c r="F40" s="10"/>
      <c r="G40" s="10" t="s">
        <v>2454</v>
      </c>
      <c r="H40" s="1" t="s">
        <v>55</v>
      </c>
      <c r="I40" s="1" t="s">
        <v>1962</v>
      </c>
      <c r="J40" s="1"/>
      <c r="K40" s="2"/>
      <c r="M40" s="2"/>
    </row>
    <row r="41" spans="1:13" ht="15.75" customHeight="1">
      <c r="A41" t="s">
        <v>28</v>
      </c>
      <c r="B41">
        <f ca="1">IF(OR(changes[[#This Row],[Type]]="Checklist",changes[[#This Row],[Type]]="checklist-flat"),1+IF(changes[[#This Row],[Type of change]] = "Edit",COUNTIFS($I$4:changes[[#This Row],[Name]],changes[[#This Row],[Name]], $E$4:changes[[#This Row],[Type of change]], "Edit")),B40)</f>
        <v>1</v>
      </c>
      <c r="C41" s="16">
        <v>44483</v>
      </c>
      <c r="D41" s="1" t="s">
        <v>2451</v>
      </c>
      <c r="E41" s="1" t="s">
        <v>2453</v>
      </c>
      <c r="F41" s="10"/>
      <c r="G41" s="10" t="s">
        <v>2454</v>
      </c>
      <c r="H41" s="1" t="s">
        <v>55</v>
      </c>
      <c r="I41" s="1" t="s">
        <v>1963</v>
      </c>
      <c r="J41" s="1"/>
      <c r="K41" s="2"/>
      <c r="M41" s="2"/>
    </row>
    <row r="42" spans="1:13" ht="15.75" customHeight="1">
      <c r="A42" t="s">
        <v>28</v>
      </c>
      <c r="B42">
        <f ca="1">IF(OR(changes[[#This Row],[Type]]="Checklist",changes[[#This Row],[Type]]="checklist-flat"),1+IF(changes[[#This Row],[Type of change]] = "Edit",COUNTIFS($I$4:changes[[#This Row],[Name]],changes[[#This Row],[Name]], $E$4:changes[[#This Row],[Type of change]], "Edit")),B41)</f>
        <v>1</v>
      </c>
      <c r="C42" s="16">
        <v>44483</v>
      </c>
      <c r="D42" s="1" t="s">
        <v>2451</v>
      </c>
      <c r="E42" s="1" t="s">
        <v>2453</v>
      </c>
      <c r="F42" s="10"/>
      <c r="G42" s="10" t="s">
        <v>2454</v>
      </c>
      <c r="H42" s="1" t="s">
        <v>55</v>
      </c>
      <c r="I42" s="1" t="s">
        <v>1964</v>
      </c>
      <c r="J42" s="1"/>
      <c r="K42" s="2"/>
      <c r="M42" s="2"/>
    </row>
    <row r="43" spans="1:13" ht="15.75" customHeight="1">
      <c r="A43" t="s">
        <v>28</v>
      </c>
      <c r="B43">
        <f ca="1">IF(OR(changes[[#This Row],[Type]]="Checklist",changes[[#This Row],[Type]]="checklist-flat"),1+IF(changes[[#This Row],[Type of change]] = "Edit",COUNTIFS($I$4:changes[[#This Row],[Name]],changes[[#This Row],[Name]], $E$4:changes[[#This Row],[Type of change]], "Edit")),B42)</f>
        <v>1</v>
      </c>
      <c r="C43" s="16">
        <v>44483</v>
      </c>
      <c r="D43" s="1" t="s">
        <v>2451</v>
      </c>
      <c r="E43" s="1" t="s">
        <v>2453</v>
      </c>
      <c r="F43" s="10"/>
      <c r="G43" s="10" t="s">
        <v>2454</v>
      </c>
      <c r="H43" s="1" t="s">
        <v>55</v>
      </c>
      <c r="I43" s="1" t="s">
        <v>1965</v>
      </c>
      <c r="J43" s="1"/>
      <c r="K43" s="2"/>
      <c r="M43" s="2"/>
    </row>
    <row r="44" spans="1:13" ht="15.75" customHeight="1">
      <c r="A44" t="s">
        <v>28</v>
      </c>
      <c r="B44">
        <f ca="1">IF(OR(changes[[#This Row],[Type]]="Checklist",changes[[#This Row],[Type]]="checklist-flat"),1+IF(changes[[#This Row],[Type of change]] = "Edit",COUNTIFS($I$4:changes[[#This Row],[Name]],changes[[#This Row],[Name]], $E$4:changes[[#This Row],[Type of change]], "Edit")),B43)</f>
        <v>1</v>
      </c>
      <c r="C44" s="16">
        <v>44483</v>
      </c>
      <c r="D44" s="1" t="s">
        <v>2451</v>
      </c>
      <c r="E44" s="1" t="s">
        <v>2453</v>
      </c>
      <c r="F44" s="10"/>
      <c r="G44" s="10" t="s">
        <v>2454</v>
      </c>
      <c r="H44" s="1" t="s">
        <v>55</v>
      </c>
      <c r="I44" s="1" t="s">
        <v>1966</v>
      </c>
      <c r="J44" s="1"/>
      <c r="K44" s="2"/>
      <c r="M44" s="2"/>
    </row>
    <row r="45" spans="1:13" ht="15.75" customHeight="1">
      <c r="A45" t="s">
        <v>28</v>
      </c>
      <c r="B45">
        <f ca="1">IF(OR(changes[[#This Row],[Type]]="Checklist",changes[[#This Row],[Type]]="checklist-flat"),1+IF(changes[[#This Row],[Type of change]] = "Edit",COUNTIFS($I$4:changes[[#This Row],[Name]],changes[[#This Row],[Name]], $E$4:changes[[#This Row],[Type of change]], "Edit")),B44)</f>
        <v>1</v>
      </c>
      <c r="C45" s="16">
        <v>44483</v>
      </c>
      <c r="D45" s="1" t="s">
        <v>2451</v>
      </c>
      <c r="E45" s="1" t="s">
        <v>2453</v>
      </c>
      <c r="F45" s="10"/>
      <c r="G45" s="10" t="s">
        <v>2454</v>
      </c>
      <c r="H45" s="1" t="s">
        <v>55</v>
      </c>
      <c r="I45" s="1" t="s">
        <v>1967</v>
      </c>
      <c r="J45" s="1"/>
      <c r="K45" s="2"/>
      <c r="M45" s="2"/>
    </row>
    <row r="46" spans="1:13" ht="15.75" customHeight="1">
      <c r="A46" t="s">
        <v>28</v>
      </c>
      <c r="B46">
        <f ca="1">IF(OR(changes[[#This Row],[Type]]="Checklist",changes[[#This Row],[Type]]="checklist-flat"),1+IF(changes[[#This Row],[Type of change]] = "Edit",COUNTIFS($I$4:changes[[#This Row],[Name]],changes[[#This Row],[Name]], $E$4:changes[[#This Row],[Type of change]], "Edit")),B45)</f>
        <v>1</v>
      </c>
      <c r="C46" s="16">
        <v>44483</v>
      </c>
      <c r="D46" s="1" t="s">
        <v>2451</v>
      </c>
      <c r="E46" s="1" t="s">
        <v>2453</v>
      </c>
      <c r="F46" s="10"/>
      <c r="G46" s="10" t="s">
        <v>2454</v>
      </c>
      <c r="H46" s="1" t="s">
        <v>55</v>
      </c>
      <c r="I46" s="1" t="s">
        <v>1969</v>
      </c>
      <c r="J46" s="1"/>
      <c r="K46" s="2"/>
      <c r="M46" s="2"/>
    </row>
    <row r="47" spans="1:13" ht="15.75" customHeight="1">
      <c r="A47" t="s">
        <v>28</v>
      </c>
      <c r="B47">
        <f ca="1">IF(OR(changes[[#This Row],[Type]]="Checklist",changes[[#This Row],[Type]]="checklist-flat"),1+IF(changes[[#This Row],[Type of change]] = "Edit",COUNTIFS($I$4:changes[[#This Row],[Name]],changes[[#This Row],[Name]], $E$4:changes[[#This Row],[Type of change]], "Edit")),B46)</f>
        <v>1</v>
      </c>
      <c r="C47" s="16">
        <v>44483</v>
      </c>
      <c r="D47" s="1" t="s">
        <v>2451</v>
      </c>
      <c r="E47" s="1" t="s">
        <v>2453</v>
      </c>
      <c r="F47" s="10"/>
      <c r="G47" s="10" t="s">
        <v>2454</v>
      </c>
      <c r="H47" s="1" t="s">
        <v>55</v>
      </c>
      <c r="I47" s="1" t="s">
        <v>1971</v>
      </c>
      <c r="J47" s="1"/>
      <c r="K47" s="2"/>
      <c r="M47" s="2"/>
    </row>
    <row r="48" spans="1:13" ht="15.75" customHeight="1">
      <c r="A48" t="s">
        <v>28</v>
      </c>
      <c r="B48">
        <f ca="1">IF(OR(changes[[#This Row],[Type]]="Checklist",changes[[#This Row],[Type]]="checklist-flat"),1+IF(changes[[#This Row],[Type of change]] = "Edit",COUNTIFS($I$4:changes[[#This Row],[Name]],changes[[#This Row],[Name]], $E$4:changes[[#This Row],[Type of change]], "Edit")),B47)</f>
        <v>1</v>
      </c>
      <c r="C48" s="16">
        <v>44483</v>
      </c>
      <c r="D48" s="1" t="s">
        <v>2451</v>
      </c>
      <c r="E48" s="1" t="s">
        <v>2453</v>
      </c>
      <c r="F48" s="10"/>
      <c r="G48" s="10" t="s">
        <v>2454</v>
      </c>
      <c r="H48" s="1" t="s">
        <v>55</v>
      </c>
      <c r="I48" s="1" t="s">
        <v>1973</v>
      </c>
      <c r="J48" s="1"/>
      <c r="K48" s="2"/>
      <c r="M48" s="2"/>
    </row>
    <row r="49" spans="1:13" ht="15.75" customHeight="1">
      <c r="A49" t="s">
        <v>28</v>
      </c>
      <c r="B49">
        <f ca="1">IF(OR(changes[[#This Row],[Type]]="Checklist",changes[[#This Row],[Type]]="checklist-flat"),1+IF(changes[[#This Row],[Type of change]] = "Edit",COUNTIFS($I$4:changes[[#This Row],[Name]],changes[[#This Row],[Name]], $E$4:changes[[#This Row],[Type of change]], "Edit")),B48)</f>
        <v>1</v>
      </c>
      <c r="C49" s="16">
        <v>44483</v>
      </c>
      <c r="D49" s="1" t="s">
        <v>2451</v>
      </c>
      <c r="E49" s="1" t="s">
        <v>2453</v>
      </c>
      <c r="F49" s="10"/>
      <c r="G49" s="10" t="s">
        <v>2454</v>
      </c>
      <c r="H49" s="1" t="s">
        <v>55</v>
      </c>
      <c r="I49" s="1" t="s">
        <v>1974</v>
      </c>
      <c r="J49" s="1"/>
      <c r="K49" s="1"/>
      <c r="M49" s="2"/>
    </row>
    <row r="50" spans="1:13" ht="15.75" customHeight="1">
      <c r="A50" t="s">
        <v>28</v>
      </c>
      <c r="B50">
        <f ca="1">IF(OR(changes[[#This Row],[Type]]="Checklist",changes[[#This Row],[Type]]="checklist-flat"),1+IF(changes[[#This Row],[Type of change]] = "Edit",COUNTIFS($I$4:changes[[#This Row],[Name]],changes[[#This Row],[Name]], $E$4:changes[[#This Row],[Type of change]], "Edit")),B49)</f>
        <v>1</v>
      </c>
      <c r="C50" s="16">
        <v>44483</v>
      </c>
      <c r="D50" s="1" t="s">
        <v>2451</v>
      </c>
      <c r="E50" s="1" t="s">
        <v>2453</v>
      </c>
      <c r="F50" s="10"/>
      <c r="G50" s="10" t="s">
        <v>2454</v>
      </c>
      <c r="H50" s="1" t="s">
        <v>55</v>
      </c>
      <c r="I50" s="1" t="s">
        <v>1679</v>
      </c>
      <c r="J50" s="1"/>
      <c r="K50" s="1"/>
      <c r="M50" s="2"/>
    </row>
    <row r="51" spans="1:13" ht="15.75">
      <c r="A51" t="s">
        <v>28</v>
      </c>
      <c r="B51">
        <f ca="1">IF(OR(changes[[#This Row],[Type]]="Checklist",changes[[#This Row],[Type]]="checklist-flat"),1+IF(changes[[#This Row],[Type of change]] = "Edit",COUNTIFS($I$4:changes[[#This Row],[Name]],changes[[#This Row],[Name]], $E$4:changes[[#This Row],[Type of change]], "Edit")),B50)</f>
        <v>1</v>
      </c>
      <c r="C51" s="16">
        <v>44484</v>
      </c>
      <c r="D51" s="1" t="s">
        <v>2451</v>
      </c>
      <c r="E51" t="s">
        <v>19</v>
      </c>
      <c r="F51" s="10"/>
      <c r="G51" s="10" t="s">
        <v>2455</v>
      </c>
      <c r="H51" s="2" t="s">
        <v>478</v>
      </c>
      <c r="I51" s="25" t="s">
        <v>2455</v>
      </c>
      <c r="J51" s="2"/>
      <c r="K51" s="2"/>
      <c r="M51" s="2"/>
    </row>
    <row r="52" spans="1:13" ht="15.75">
      <c r="A52" t="s">
        <v>28</v>
      </c>
      <c r="B52">
        <f ca="1">IF(OR(changes[[#This Row],[Type]]="Checklist",changes[[#This Row],[Type]]="checklist-flat"),1+IF(changes[[#This Row],[Type of change]] = "Edit",COUNTIFS($I$4:changes[[#This Row],[Name]],changes[[#This Row],[Name]], $E$4:changes[[#This Row],[Type of change]], "Edit")),B51)</f>
        <v>1</v>
      </c>
      <c r="C52" s="16">
        <v>44484</v>
      </c>
      <c r="D52" s="26" t="s">
        <v>2451</v>
      </c>
      <c r="E52" s="27" t="s">
        <v>19</v>
      </c>
      <c r="F52" s="10"/>
      <c r="G52" s="10" t="s">
        <v>2455</v>
      </c>
      <c r="H52" s="2" t="s">
        <v>479</v>
      </c>
      <c r="I52" s="25" t="s">
        <v>1716</v>
      </c>
      <c r="J52" s="2"/>
      <c r="K52" s="2"/>
      <c r="M52" s="2"/>
    </row>
    <row r="53" spans="1:13" ht="15.75">
      <c r="A53" t="s">
        <v>28</v>
      </c>
      <c r="B53">
        <f ca="1">IF(OR(changes[[#This Row],[Type]]="Checklist",changes[[#This Row],[Type]]="checklist-flat"),1+IF(changes[[#This Row],[Type of change]] = "Edit",COUNTIFS($I$4:changes[[#This Row],[Name]],changes[[#This Row],[Name]], $E$4:changes[[#This Row],[Type of change]], "Edit")),B52)</f>
        <v>1</v>
      </c>
      <c r="C53" s="16">
        <v>44484</v>
      </c>
      <c r="D53" s="26" t="s">
        <v>2451</v>
      </c>
      <c r="E53" s="27" t="s">
        <v>19</v>
      </c>
      <c r="F53" s="10"/>
      <c r="G53" s="10" t="s">
        <v>2455</v>
      </c>
      <c r="H53" s="2" t="s">
        <v>214</v>
      </c>
      <c r="I53" s="25" t="s">
        <v>1613</v>
      </c>
      <c r="J53" s="2"/>
      <c r="K53" s="2"/>
      <c r="M53" s="2"/>
    </row>
    <row r="54" spans="1:13" ht="15.75">
      <c r="A54" t="s">
        <v>28</v>
      </c>
      <c r="B54">
        <f ca="1">IF(OR(changes[[#This Row],[Type]]="Checklist",changes[[#This Row],[Type]]="checklist-flat"),1+IF(changes[[#This Row],[Type of change]] = "Edit",COUNTIFS($I$4:changes[[#This Row],[Name]],changes[[#This Row],[Name]], $E$4:changes[[#This Row],[Type of change]], "Edit")),B53)</f>
        <v>1</v>
      </c>
      <c r="C54" s="16">
        <v>44484</v>
      </c>
      <c r="D54" s="26" t="s">
        <v>2451</v>
      </c>
      <c r="E54" s="27" t="s">
        <v>19</v>
      </c>
      <c r="F54" s="10"/>
      <c r="G54" s="10" t="s">
        <v>2455</v>
      </c>
      <c r="H54" s="2" t="s">
        <v>214</v>
      </c>
      <c r="I54" s="25" t="s">
        <v>1614</v>
      </c>
      <c r="J54" s="2"/>
      <c r="K54" s="2"/>
      <c r="M54" s="2"/>
    </row>
    <row r="55" spans="1:13" ht="15.75">
      <c r="A55" t="s">
        <v>28</v>
      </c>
      <c r="B55">
        <f ca="1">IF(OR(changes[[#This Row],[Type]]="Checklist",changes[[#This Row],[Type]]="checklist-flat"),1+IF(changes[[#This Row],[Type of change]] = "Edit",COUNTIFS($I$4:changes[[#This Row],[Name]],changes[[#This Row],[Name]], $E$4:changes[[#This Row],[Type of change]], "Edit")),B54)</f>
        <v>1</v>
      </c>
      <c r="C55" s="16">
        <v>44484</v>
      </c>
      <c r="D55" s="26" t="s">
        <v>2451</v>
      </c>
      <c r="E55" s="27" t="s">
        <v>19</v>
      </c>
      <c r="F55" s="10"/>
      <c r="G55" s="10" t="s">
        <v>2455</v>
      </c>
      <c r="H55" s="2" t="s">
        <v>55</v>
      </c>
      <c r="I55" s="25" t="s">
        <v>1718</v>
      </c>
      <c r="J55" s="2"/>
      <c r="K55" s="2"/>
      <c r="M55" s="2"/>
    </row>
    <row r="56" spans="1:13" ht="15.75">
      <c r="A56" t="s">
        <v>28</v>
      </c>
      <c r="B56">
        <f ca="1">IF(OR(changes[[#This Row],[Type]]="Checklist",changes[[#This Row],[Type]]="checklist-flat"),1+IF(changes[[#This Row],[Type of change]] = "Edit",COUNTIFS($I$4:changes[[#This Row],[Name]],changes[[#This Row],[Name]], $E$4:changes[[#This Row],[Type of change]], "Edit")),B55)</f>
        <v>1</v>
      </c>
      <c r="C56" s="16">
        <v>44484</v>
      </c>
      <c r="D56" s="26" t="s">
        <v>2451</v>
      </c>
      <c r="E56" s="27" t="s">
        <v>19</v>
      </c>
      <c r="F56" s="10"/>
      <c r="G56" s="10" t="s">
        <v>2455</v>
      </c>
      <c r="H56" s="2" t="s">
        <v>479</v>
      </c>
      <c r="I56" s="25" t="s">
        <v>1719</v>
      </c>
      <c r="J56" s="2"/>
      <c r="K56" s="2"/>
      <c r="M56" s="2"/>
    </row>
    <row r="57" spans="1:13" ht="15.75">
      <c r="A57" t="s">
        <v>28</v>
      </c>
      <c r="B57">
        <f ca="1">IF(OR(changes[[#This Row],[Type]]="Checklist",changes[[#This Row],[Type]]="checklist-flat"),1+IF(changes[[#This Row],[Type of change]] = "Edit",COUNTIFS($I$4:changes[[#This Row],[Name]],changes[[#This Row],[Name]], $E$4:changes[[#This Row],[Type of change]], "Edit")),B56)</f>
        <v>1</v>
      </c>
      <c r="C57" s="16">
        <v>44484</v>
      </c>
      <c r="D57" s="26" t="s">
        <v>2451</v>
      </c>
      <c r="E57" s="27" t="s">
        <v>19</v>
      </c>
      <c r="F57" s="10"/>
      <c r="G57" s="10" t="s">
        <v>2455</v>
      </c>
      <c r="H57" s="2" t="s">
        <v>55</v>
      </c>
      <c r="I57" s="25" t="s">
        <v>1720</v>
      </c>
      <c r="J57" s="2"/>
      <c r="K57" s="2"/>
      <c r="M57" s="2"/>
    </row>
    <row r="58" spans="1:13" ht="15.75">
      <c r="A58" t="s">
        <v>28</v>
      </c>
      <c r="B58">
        <f ca="1">IF(OR(changes[[#This Row],[Type]]="Checklist",changes[[#This Row],[Type]]="checklist-flat"),1+IF(changes[[#This Row],[Type of change]] = "Edit",COUNTIFS($I$4:changes[[#This Row],[Name]],changes[[#This Row],[Name]], $E$4:changes[[#This Row],[Type of change]], "Edit")),B57)</f>
        <v>1</v>
      </c>
      <c r="C58" s="16">
        <v>44484</v>
      </c>
      <c r="D58" s="26" t="s">
        <v>2451</v>
      </c>
      <c r="E58" s="27" t="s">
        <v>19</v>
      </c>
      <c r="F58" s="10"/>
      <c r="G58" s="10" t="s">
        <v>2455</v>
      </c>
      <c r="H58" s="2" t="s">
        <v>55</v>
      </c>
      <c r="I58" s="25" t="s">
        <v>474</v>
      </c>
      <c r="J58" s="2"/>
      <c r="K58" s="2"/>
      <c r="M58" s="2"/>
    </row>
    <row r="59" spans="1:13" ht="15.75">
      <c r="A59" t="s">
        <v>28</v>
      </c>
      <c r="B59">
        <f ca="1">IF(OR(changes[[#This Row],[Type]]="Checklist",changes[[#This Row],[Type]]="checklist-flat"),1+IF(changes[[#This Row],[Type of change]] = "Edit",COUNTIFS($I$4:changes[[#This Row],[Name]],changes[[#This Row],[Name]], $E$4:changes[[#This Row],[Type of change]], "Edit")),B58)</f>
        <v>1</v>
      </c>
      <c r="C59" s="16">
        <v>44484</v>
      </c>
      <c r="D59" s="26" t="s">
        <v>2451</v>
      </c>
      <c r="E59" s="27" t="s">
        <v>19</v>
      </c>
      <c r="F59" s="10"/>
      <c r="G59" s="10" t="s">
        <v>2455</v>
      </c>
      <c r="H59" s="2" t="s">
        <v>55</v>
      </c>
      <c r="I59" s="25" t="s">
        <v>2456</v>
      </c>
      <c r="J59" s="2"/>
      <c r="K59" s="2"/>
      <c r="M59" s="2"/>
    </row>
    <row r="60" spans="1:13" ht="15.75">
      <c r="A60" t="s">
        <v>28</v>
      </c>
      <c r="B60">
        <f ca="1">IF(OR(changes[[#This Row],[Type]]="Checklist",changes[[#This Row],[Type]]="checklist-flat"),1+IF(changes[[#This Row],[Type of change]] = "Edit",COUNTIFS($I$4:changes[[#This Row],[Name]],changes[[#This Row],[Name]], $E$4:changes[[#This Row],[Type of change]], "Edit")),B59)</f>
        <v>1</v>
      </c>
      <c r="C60" s="16">
        <v>44484</v>
      </c>
      <c r="D60" s="26" t="s">
        <v>2451</v>
      </c>
      <c r="E60" s="27" t="s">
        <v>19</v>
      </c>
      <c r="F60" s="10"/>
      <c r="G60" s="10" t="s">
        <v>2455</v>
      </c>
      <c r="H60" s="2" t="s">
        <v>55</v>
      </c>
      <c r="I60" s="25" t="s">
        <v>476</v>
      </c>
      <c r="J60" s="2"/>
      <c r="K60" s="2"/>
      <c r="M60" s="2"/>
    </row>
    <row r="61" spans="1:13" ht="15.75">
      <c r="A61" t="s">
        <v>28</v>
      </c>
      <c r="B61">
        <f ca="1">IF(OR(changes[[#This Row],[Type]]="Checklist",changes[[#This Row],[Type]]="checklist-flat"),1+IF(changes[[#This Row],[Type of change]] = "Edit",COUNTIFS($I$4:changes[[#This Row],[Name]],changes[[#This Row],[Name]], $E$4:changes[[#This Row],[Type of change]], "Edit")),B60)</f>
        <v>1</v>
      </c>
      <c r="C61" s="16">
        <v>44484</v>
      </c>
      <c r="D61" s="26" t="s">
        <v>2451</v>
      </c>
      <c r="E61" s="27" t="s">
        <v>19</v>
      </c>
      <c r="F61" s="10"/>
      <c r="G61" s="10" t="s">
        <v>2455</v>
      </c>
      <c r="H61" s="2" t="s">
        <v>479</v>
      </c>
      <c r="I61" s="25" t="s">
        <v>1721</v>
      </c>
      <c r="J61" s="2"/>
      <c r="K61" s="2"/>
      <c r="M61" s="2"/>
    </row>
    <row r="62" spans="1:13" ht="15.75">
      <c r="A62" t="s">
        <v>28</v>
      </c>
      <c r="B62">
        <f ca="1">IF(OR(changes[[#This Row],[Type]]="Checklist",changes[[#This Row],[Type]]="checklist-flat"),1+IF(changes[[#This Row],[Type of change]] = "Edit",COUNTIFS($I$4:changes[[#This Row],[Name]],changes[[#This Row],[Name]], $E$4:changes[[#This Row],[Type of change]], "Edit")),B61)</f>
        <v>1</v>
      </c>
      <c r="C62" s="16">
        <v>44484</v>
      </c>
      <c r="D62" s="26" t="s">
        <v>2451</v>
      </c>
      <c r="E62" s="27" t="s">
        <v>19</v>
      </c>
      <c r="F62" s="10"/>
      <c r="G62" s="10" t="s">
        <v>2455</v>
      </c>
      <c r="H62" s="2" t="s">
        <v>55</v>
      </c>
      <c r="I62" s="25" t="s">
        <v>1722</v>
      </c>
      <c r="J62" s="2"/>
      <c r="K62" s="2"/>
      <c r="M62" s="2"/>
    </row>
    <row r="63" spans="1:13" ht="15.75">
      <c r="A63" t="s">
        <v>28</v>
      </c>
      <c r="B63">
        <f ca="1">IF(OR(changes[[#This Row],[Type]]="Checklist",changes[[#This Row],[Type]]="checklist-flat"),1+IF(changes[[#This Row],[Type of change]] = "Edit",COUNTIFS($I$4:changes[[#This Row],[Name]],changes[[#This Row],[Name]], $E$4:changes[[#This Row],[Type of change]], "Edit")),B62)</f>
        <v>1</v>
      </c>
      <c r="C63" s="16">
        <v>44484</v>
      </c>
      <c r="D63" s="26" t="s">
        <v>2451</v>
      </c>
      <c r="E63" s="27" t="s">
        <v>19</v>
      </c>
      <c r="F63" s="10"/>
      <c r="G63" s="10" t="s">
        <v>2455</v>
      </c>
      <c r="H63" s="2" t="s">
        <v>55</v>
      </c>
      <c r="I63" s="25" t="s">
        <v>1723</v>
      </c>
      <c r="J63" s="2"/>
      <c r="K63" s="2"/>
      <c r="M63" s="2"/>
    </row>
    <row r="64" spans="1:13" ht="15.75">
      <c r="A64" t="s">
        <v>28</v>
      </c>
      <c r="B64">
        <f ca="1">IF(OR(changes[[#This Row],[Type]]="Checklist",changes[[#This Row],[Type]]="checklist-flat"),1+IF(changes[[#This Row],[Type of change]] = "Edit",COUNTIFS($I$4:changes[[#This Row],[Name]],changes[[#This Row],[Name]], $E$4:changes[[#This Row],[Type of change]], "Edit")),B63)</f>
        <v>1</v>
      </c>
      <c r="C64" s="16">
        <v>44484</v>
      </c>
      <c r="D64" s="26" t="s">
        <v>2451</v>
      </c>
      <c r="E64" s="27" t="s">
        <v>19</v>
      </c>
      <c r="F64" s="10"/>
      <c r="G64" s="10" t="s">
        <v>2455</v>
      </c>
      <c r="H64" s="2" t="s">
        <v>55</v>
      </c>
      <c r="I64" s="25" t="s">
        <v>1724</v>
      </c>
      <c r="J64" s="2"/>
      <c r="K64" s="2"/>
      <c r="M64" s="2"/>
    </row>
    <row r="65" spans="1:13" ht="15.75">
      <c r="A65" t="s">
        <v>28</v>
      </c>
      <c r="B65">
        <f ca="1">IF(OR(changes[[#This Row],[Type]]="Checklist",changes[[#This Row],[Type]]="checklist-flat"),1+IF(changes[[#This Row],[Type of change]] = "Edit",COUNTIFS($I$4:changes[[#This Row],[Name]],changes[[#This Row],[Name]], $E$4:changes[[#This Row],[Type of change]], "Edit")),B64)</f>
        <v>1</v>
      </c>
      <c r="C65" s="16">
        <v>44484</v>
      </c>
      <c r="D65" s="26" t="s">
        <v>2451</v>
      </c>
      <c r="E65" s="27" t="s">
        <v>19</v>
      </c>
      <c r="F65" s="10"/>
      <c r="G65" s="10" t="s">
        <v>2455</v>
      </c>
      <c r="H65" s="2" t="s">
        <v>55</v>
      </c>
      <c r="I65" s="25" t="s">
        <v>1725</v>
      </c>
      <c r="J65" s="2"/>
      <c r="K65" s="2"/>
      <c r="M65" s="2"/>
    </row>
    <row r="66" spans="1:13" ht="15.75">
      <c r="A66" t="s">
        <v>28</v>
      </c>
      <c r="B66">
        <f ca="1">IF(OR(changes[[#This Row],[Type]]="Checklist",changes[[#This Row],[Type]]="checklist-flat"),1+IF(changes[[#This Row],[Type of change]] = "Edit",COUNTIFS($I$4:changes[[#This Row],[Name]],changes[[#This Row],[Name]], $E$4:changes[[#This Row],[Type of change]], "Edit")),B65)</f>
        <v>1</v>
      </c>
      <c r="C66" s="16">
        <v>44484</v>
      </c>
      <c r="D66" s="26" t="s">
        <v>2451</v>
      </c>
      <c r="E66" s="27" t="s">
        <v>19</v>
      </c>
      <c r="F66" s="10"/>
      <c r="G66" s="10" t="s">
        <v>2455</v>
      </c>
      <c r="H66" s="2" t="s">
        <v>55</v>
      </c>
      <c r="I66" s="25" t="s">
        <v>1726</v>
      </c>
      <c r="J66" s="2"/>
      <c r="K66" s="2"/>
      <c r="M66" s="2"/>
    </row>
    <row r="67" spans="1:13" ht="15.75">
      <c r="A67" t="s">
        <v>28</v>
      </c>
      <c r="B67">
        <f ca="1">IF(OR(changes[[#This Row],[Type]]="Checklist",changes[[#This Row],[Type]]="checklist-flat"),1+IF(changes[[#This Row],[Type of change]] = "Edit",COUNTIFS($I$4:changes[[#This Row],[Name]],changes[[#This Row],[Name]], $E$4:changes[[#This Row],[Type of change]], "Edit")),B66)</f>
        <v>1</v>
      </c>
      <c r="C67" s="16">
        <v>44484</v>
      </c>
      <c r="D67" s="1" t="s">
        <v>2451</v>
      </c>
      <c r="E67" t="s">
        <v>19</v>
      </c>
      <c r="F67" s="10"/>
      <c r="G67" s="10" t="s">
        <v>2455</v>
      </c>
      <c r="H67" s="2" t="s">
        <v>951</v>
      </c>
      <c r="I67" s="25" t="s">
        <v>1727</v>
      </c>
      <c r="J67" s="2"/>
      <c r="K67" s="2"/>
      <c r="M67" s="2"/>
    </row>
    <row r="68" spans="1:13" ht="15.75">
      <c r="A68" t="s">
        <v>28</v>
      </c>
      <c r="B68">
        <f ca="1">IF(OR(changes[[#This Row],[Type]]="Checklist",changes[[#This Row],[Type]]="checklist-flat"),1+IF(changes[[#This Row],[Type of change]] = "Edit",COUNTIFS($I$4:changes[[#This Row],[Name]],changes[[#This Row],[Name]], $E$4:changes[[#This Row],[Type of change]], "Edit")),B67)</f>
        <v>1</v>
      </c>
      <c r="C68" s="16">
        <v>44484</v>
      </c>
      <c r="D68" s="1" t="s">
        <v>2451</v>
      </c>
      <c r="E68" t="s">
        <v>19</v>
      </c>
      <c r="F68" s="10"/>
      <c r="G68" s="10" t="s">
        <v>2455</v>
      </c>
      <c r="H68" s="2" t="s">
        <v>951</v>
      </c>
      <c r="I68" s="25" t="s">
        <v>1728</v>
      </c>
      <c r="J68" s="2"/>
      <c r="K68" s="2"/>
      <c r="M68" s="2"/>
    </row>
    <row r="69" spans="1:13" ht="15.75">
      <c r="A69" t="s">
        <v>28</v>
      </c>
      <c r="B69">
        <f ca="1">IF(OR(changes[[#This Row],[Type]]="Checklist",changes[[#This Row],[Type]]="checklist-flat"),1+IF(changes[[#This Row],[Type of change]] = "Edit",COUNTIFS($I$4:changes[[#This Row],[Name]],changes[[#This Row],[Name]], $E$4:changes[[#This Row],[Type of change]], "Edit")),B68)</f>
        <v>1</v>
      </c>
      <c r="C69" s="16">
        <v>44484</v>
      </c>
      <c r="D69" s="1" t="s">
        <v>2451</v>
      </c>
      <c r="E69" t="s">
        <v>19</v>
      </c>
      <c r="F69" s="10"/>
      <c r="G69" s="10" t="s">
        <v>2455</v>
      </c>
      <c r="H69" s="2" t="s">
        <v>55</v>
      </c>
      <c r="I69" s="25" t="s">
        <v>1729</v>
      </c>
      <c r="J69" s="2"/>
      <c r="K69" s="2"/>
      <c r="M69" s="2"/>
    </row>
    <row r="70" spans="1:13" ht="15.75">
      <c r="A70" t="s">
        <v>28</v>
      </c>
      <c r="B70">
        <f ca="1">IF(OR(changes[[#This Row],[Type]]="Checklist",changes[[#This Row],[Type]]="checklist-flat"),1+IF(changes[[#This Row],[Type of change]] = "Edit",COUNTIFS($I$4:changes[[#This Row],[Name]],changes[[#This Row],[Name]], $E$4:changes[[#This Row],[Type of change]], "Edit")),B69)</f>
        <v>1</v>
      </c>
      <c r="C70" s="16">
        <v>44484</v>
      </c>
      <c r="D70" s="1" t="s">
        <v>2451</v>
      </c>
      <c r="E70" t="s">
        <v>19</v>
      </c>
      <c r="F70" s="10"/>
      <c r="G70" s="10" t="s">
        <v>2455</v>
      </c>
      <c r="H70" s="2" t="s">
        <v>55</v>
      </c>
      <c r="I70" s="25" t="s">
        <v>1730</v>
      </c>
      <c r="J70" s="2"/>
      <c r="K70" s="2"/>
      <c r="M70" s="2"/>
    </row>
    <row r="71" spans="1:13" ht="15.75">
      <c r="A71" t="s">
        <v>28</v>
      </c>
      <c r="B71">
        <f ca="1">IF(OR(changes[[#This Row],[Type]]="Checklist",changes[[#This Row],[Type]]="checklist-flat"),1+IF(changes[[#This Row],[Type of change]] = "Edit",COUNTIFS($I$4:changes[[#This Row],[Name]],changes[[#This Row],[Name]], $E$4:changes[[#This Row],[Type of change]], "Edit")),B70)</f>
        <v>1</v>
      </c>
      <c r="C71" s="16">
        <v>44484</v>
      </c>
      <c r="D71" s="1" t="s">
        <v>2451</v>
      </c>
      <c r="E71" t="s">
        <v>19</v>
      </c>
      <c r="F71" s="10"/>
      <c r="G71" s="10" t="s">
        <v>2455</v>
      </c>
      <c r="H71" s="2" t="s">
        <v>55</v>
      </c>
      <c r="I71" s="25" t="s">
        <v>1731</v>
      </c>
      <c r="J71" s="2"/>
      <c r="K71" s="2"/>
      <c r="M71" s="2"/>
    </row>
    <row r="72" spans="1:13" ht="15.75">
      <c r="A72" t="s">
        <v>28</v>
      </c>
      <c r="B72">
        <f ca="1">IF(OR(changes[[#This Row],[Type]]="Checklist",changes[[#This Row],[Type]]="checklist-flat"),1+IF(changes[[#This Row],[Type of change]] = "Edit",COUNTIFS($I$4:changes[[#This Row],[Name]],changes[[#This Row],[Name]], $E$4:changes[[#This Row],[Type of change]], "Edit")),B71)</f>
        <v>1</v>
      </c>
      <c r="C72" s="16">
        <v>44484</v>
      </c>
      <c r="D72" s="1" t="s">
        <v>2451</v>
      </c>
      <c r="E72" t="s">
        <v>19</v>
      </c>
      <c r="F72" s="10"/>
      <c r="G72" s="10" t="s">
        <v>2455</v>
      </c>
      <c r="H72" s="2" t="s">
        <v>55</v>
      </c>
      <c r="I72" s="25" t="s">
        <v>1732</v>
      </c>
      <c r="J72" s="2"/>
      <c r="K72" s="2"/>
      <c r="M72" s="2"/>
    </row>
    <row r="73" spans="1:13" ht="15.75">
      <c r="A73" t="s">
        <v>28</v>
      </c>
      <c r="B73">
        <f ca="1">IF(OR(changes[[#This Row],[Type]]="Checklist",changes[[#This Row],[Type]]="checklist-flat"),1+IF(changes[[#This Row],[Type of change]] = "Edit",COUNTIFS($I$4:changes[[#This Row],[Name]],changes[[#This Row],[Name]], $E$4:changes[[#This Row],[Type of change]], "Edit")),B72)</f>
        <v>1</v>
      </c>
      <c r="C73" s="16">
        <v>44484</v>
      </c>
      <c r="D73" s="1" t="s">
        <v>2451</v>
      </c>
      <c r="E73" t="s">
        <v>19</v>
      </c>
      <c r="F73" s="10"/>
      <c r="G73" s="10" t="s">
        <v>2455</v>
      </c>
      <c r="H73" s="2" t="s">
        <v>55</v>
      </c>
      <c r="I73" s="25" t="s">
        <v>1583</v>
      </c>
      <c r="J73" s="2"/>
      <c r="K73" s="2"/>
      <c r="M73" s="2"/>
    </row>
    <row r="74" spans="1:13" ht="15.75">
      <c r="A74" t="s">
        <v>28</v>
      </c>
      <c r="B74">
        <f ca="1">IF(OR(changes[[#This Row],[Type]]="Checklist",changes[[#This Row],[Type]]="checklist-flat"),1+IF(changes[[#This Row],[Type of change]] = "Edit",COUNTIFS($I$4:changes[[#This Row],[Name]],changes[[#This Row],[Name]], $E$4:changes[[#This Row],[Type of change]], "Edit")),B73)</f>
        <v>1</v>
      </c>
      <c r="C74" s="16">
        <v>44484</v>
      </c>
      <c r="D74" s="1" t="s">
        <v>2451</v>
      </c>
      <c r="E74" t="s">
        <v>19</v>
      </c>
      <c r="F74" s="10"/>
      <c r="G74" s="10" t="s">
        <v>2455</v>
      </c>
      <c r="H74" s="2" t="s">
        <v>55</v>
      </c>
      <c r="I74" s="25" t="s">
        <v>1733</v>
      </c>
      <c r="J74" s="2"/>
      <c r="K74" s="2"/>
      <c r="M74" s="2"/>
    </row>
    <row r="75" spans="1:13" ht="15.75">
      <c r="A75" t="s">
        <v>28</v>
      </c>
      <c r="B75">
        <f ca="1">IF(OR(changes[[#This Row],[Type]]="Checklist",changes[[#This Row],[Type]]="checklist-flat"),1+IF(changes[[#This Row],[Type of change]] = "Edit",COUNTIFS($I$4:changes[[#This Row],[Name]],changes[[#This Row],[Name]], $E$4:changes[[#This Row],[Type of change]], "Edit")),B74)</f>
        <v>1</v>
      </c>
      <c r="C75" s="16">
        <v>44484</v>
      </c>
      <c r="D75" s="1" t="s">
        <v>2451</v>
      </c>
      <c r="E75" t="s">
        <v>19</v>
      </c>
      <c r="F75" s="10"/>
      <c r="G75" s="10" t="s">
        <v>2455</v>
      </c>
      <c r="H75" s="2" t="s">
        <v>479</v>
      </c>
      <c r="I75" s="25" t="s">
        <v>1734</v>
      </c>
      <c r="J75" s="2"/>
      <c r="K75" s="2"/>
      <c r="M75" s="2"/>
    </row>
    <row r="76" spans="1:13" ht="15.75">
      <c r="A76" t="s">
        <v>28</v>
      </c>
      <c r="B76">
        <f ca="1">IF(OR(changes[[#This Row],[Type]]="Checklist",changes[[#This Row],[Type]]="checklist-flat"),1+IF(changes[[#This Row],[Type of change]] = "Edit",COUNTIFS($I$4:changes[[#This Row],[Name]],changes[[#This Row],[Name]], $E$4:changes[[#This Row],[Type of change]], "Edit")),B75)</f>
        <v>1</v>
      </c>
      <c r="C76" s="16">
        <v>44484</v>
      </c>
      <c r="D76" s="1" t="s">
        <v>2451</v>
      </c>
      <c r="E76" t="s">
        <v>19</v>
      </c>
      <c r="F76" s="10"/>
      <c r="G76" s="10" t="s">
        <v>2455</v>
      </c>
      <c r="H76" s="2" t="s">
        <v>55</v>
      </c>
      <c r="I76" s="25" t="s">
        <v>1736</v>
      </c>
      <c r="J76" s="2"/>
      <c r="K76" s="2"/>
      <c r="M76" s="2"/>
    </row>
    <row r="77" spans="1:13" ht="15.75">
      <c r="A77" t="s">
        <v>28</v>
      </c>
      <c r="B77">
        <f ca="1">IF(OR(changes[[#This Row],[Type]]="Checklist",changes[[#This Row],[Type]]="checklist-flat"),1+IF(changes[[#This Row],[Type of change]] = "Edit",COUNTIFS($I$4:changes[[#This Row],[Name]],changes[[#This Row],[Name]], $E$4:changes[[#This Row],[Type of change]], "Edit")),B76)</f>
        <v>1</v>
      </c>
      <c r="C77" s="16">
        <v>44484</v>
      </c>
      <c r="D77" s="1" t="s">
        <v>2451</v>
      </c>
      <c r="E77" t="s">
        <v>19</v>
      </c>
      <c r="F77" s="10"/>
      <c r="G77" s="10" t="s">
        <v>2455</v>
      </c>
      <c r="H77" s="2" t="s">
        <v>55</v>
      </c>
      <c r="I77" s="25" t="s">
        <v>1737</v>
      </c>
      <c r="J77" s="2"/>
      <c r="K77" s="2"/>
      <c r="M77" s="2"/>
    </row>
    <row r="78" spans="1:13" ht="15.75">
      <c r="A78" t="s">
        <v>28</v>
      </c>
      <c r="B78">
        <f ca="1">IF(OR(changes[[#This Row],[Type]]="Checklist",changes[[#This Row],[Type]]="checklist-flat"),1+IF(changes[[#This Row],[Type of change]] = "Edit",COUNTIFS($I$4:changes[[#This Row],[Name]],changes[[#This Row],[Name]], $E$4:changes[[#This Row],[Type of change]], "Edit")),B77)</f>
        <v>1</v>
      </c>
      <c r="C78" s="16">
        <v>44484</v>
      </c>
      <c r="D78" s="1" t="s">
        <v>2451</v>
      </c>
      <c r="E78" t="s">
        <v>19</v>
      </c>
      <c r="F78" s="10"/>
      <c r="G78" s="10" t="s">
        <v>2455</v>
      </c>
      <c r="H78" s="2" t="s">
        <v>55</v>
      </c>
      <c r="I78" s="25" t="s">
        <v>1738</v>
      </c>
      <c r="J78" s="2"/>
      <c r="K78" s="2"/>
      <c r="M78" s="2"/>
    </row>
    <row r="79" spans="1:13" ht="15.75">
      <c r="A79" t="s">
        <v>28</v>
      </c>
      <c r="B79">
        <f ca="1">IF(OR(changes[[#This Row],[Type]]="Checklist",changes[[#This Row],[Type]]="checklist-flat"),1+IF(changes[[#This Row],[Type of change]] = "Edit",COUNTIFS($I$4:changes[[#This Row],[Name]],changes[[#This Row],[Name]], $E$4:changes[[#This Row],[Type of change]], "Edit")),B78)</f>
        <v>1</v>
      </c>
      <c r="C79" s="16">
        <v>44484</v>
      </c>
      <c r="D79" s="1" t="s">
        <v>2451</v>
      </c>
      <c r="E79" t="s">
        <v>19</v>
      </c>
      <c r="F79" s="10"/>
      <c r="G79" s="10" t="s">
        <v>2455</v>
      </c>
      <c r="H79" s="2" t="s">
        <v>479</v>
      </c>
      <c r="I79" s="25" t="s">
        <v>1739</v>
      </c>
      <c r="J79" s="2"/>
      <c r="K79" s="2"/>
      <c r="M79" s="2"/>
    </row>
    <row r="80" spans="1:13" ht="14.25" customHeight="1">
      <c r="A80" t="s">
        <v>28</v>
      </c>
      <c r="B80">
        <f ca="1">IF(OR(changes[[#This Row],[Type]]="Checklist",changes[[#This Row],[Type]]="checklist-flat"),1+IF(changes[[#This Row],[Type of change]] = "Edit",COUNTIFS($I$4:changes[[#This Row],[Name]],changes[[#This Row],[Name]], $E$4:changes[[#This Row],[Type of change]], "Edit")),B79)</f>
        <v>1</v>
      </c>
      <c r="C80" s="16">
        <v>44484</v>
      </c>
      <c r="D80" s="1" t="s">
        <v>2451</v>
      </c>
      <c r="E80" t="s">
        <v>19</v>
      </c>
      <c r="F80" s="10"/>
      <c r="G80" s="10" t="s">
        <v>2455</v>
      </c>
      <c r="H80" s="2" t="s">
        <v>214</v>
      </c>
      <c r="I80" s="25" t="s">
        <v>1741</v>
      </c>
      <c r="J80" s="2"/>
      <c r="K80" s="2"/>
      <c r="M80" s="2"/>
    </row>
    <row r="81" spans="1:13" ht="14.25" customHeight="1">
      <c r="A81" t="s">
        <v>28</v>
      </c>
      <c r="B81">
        <f ca="1">IF(OR(changes[[#This Row],[Type]]="Checklist",changes[[#This Row],[Type]]="checklist-flat"),1+IF(changes[[#This Row],[Type of change]] = "Edit",COUNTIFS($I$4:changes[[#This Row],[Name]],changes[[#This Row],[Name]], $E$4:changes[[#This Row],[Type of change]], "Edit")),B80)</f>
        <v>1</v>
      </c>
      <c r="C81" s="16">
        <v>44484</v>
      </c>
      <c r="D81" s="1" t="s">
        <v>2451</v>
      </c>
      <c r="E81" t="s">
        <v>19</v>
      </c>
      <c r="F81" s="10"/>
      <c r="G81" s="10" t="s">
        <v>2455</v>
      </c>
      <c r="H81" s="2" t="s">
        <v>214</v>
      </c>
      <c r="I81" s="25" t="s">
        <v>1618</v>
      </c>
      <c r="J81" s="2" t="s">
        <v>1742</v>
      </c>
      <c r="K81" s="2"/>
      <c r="M81" s="2"/>
    </row>
    <row r="82" spans="1:13" ht="14.25" customHeight="1">
      <c r="A82" t="s">
        <v>28</v>
      </c>
      <c r="B82">
        <f ca="1">IF(OR(changes[[#This Row],[Type]]="Checklist",changes[[#This Row],[Type]]="checklist-flat"),1+IF(changes[[#This Row],[Type of change]] = "Edit",COUNTIFS($I$4:changes[[#This Row],[Name]],changes[[#This Row],[Name]], $E$4:changes[[#This Row],[Type of change]], "Edit")),B81)</f>
        <v>1</v>
      </c>
      <c r="C82" s="16">
        <v>44484</v>
      </c>
      <c r="D82" s="1" t="s">
        <v>2451</v>
      </c>
      <c r="E82" t="s">
        <v>19</v>
      </c>
      <c r="F82" s="10"/>
      <c r="G82" s="10" t="s">
        <v>2455</v>
      </c>
      <c r="H82" s="2" t="s">
        <v>214</v>
      </c>
      <c r="I82" s="25" t="s">
        <v>1619</v>
      </c>
      <c r="J82" s="2" t="s">
        <v>1742</v>
      </c>
      <c r="K82" s="2"/>
      <c r="M82" s="2"/>
    </row>
    <row r="83" spans="1:13" ht="14.25" customHeight="1">
      <c r="A83" t="s">
        <v>28</v>
      </c>
      <c r="B83">
        <f ca="1">IF(OR(changes[[#This Row],[Type]]="Checklist",changes[[#This Row],[Type]]="checklist-flat"),1+IF(changes[[#This Row],[Type of change]] = "Edit",COUNTIFS($I$4:changes[[#This Row],[Name]],changes[[#This Row],[Name]], $E$4:changes[[#This Row],[Type of change]], "Edit")),B82)</f>
        <v>1</v>
      </c>
      <c r="C83" s="16">
        <v>44484</v>
      </c>
      <c r="D83" s="1" t="s">
        <v>2451</v>
      </c>
      <c r="E83" t="s">
        <v>19</v>
      </c>
      <c r="F83" s="10"/>
      <c r="G83" s="10" t="s">
        <v>2455</v>
      </c>
      <c r="H83" s="2" t="s">
        <v>214</v>
      </c>
      <c r="I83" s="25" t="s">
        <v>1620</v>
      </c>
      <c r="J83" s="2" t="s">
        <v>1743</v>
      </c>
      <c r="K83" s="2"/>
      <c r="M83" s="2"/>
    </row>
    <row r="84" spans="1:13" ht="14.25" customHeight="1">
      <c r="A84" t="s">
        <v>28</v>
      </c>
      <c r="B84">
        <f ca="1">IF(OR(changes[[#This Row],[Type]]="Checklist",changes[[#This Row],[Type]]="checklist-flat"),1+IF(changes[[#This Row],[Type of change]] = "Edit",COUNTIFS($I$4:changes[[#This Row],[Name]],changes[[#This Row],[Name]], $E$4:changes[[#This Row],[Type of change]], "Edit")),B83)</f>
        <v>1</v>
      </c>
      <c r="C84" s="16">
        <v>44484</v>
      </c>
      <c r="D84" s="1" t="s">
        <v>2451</v>
      </c>
      <c r="E84" t="s">
        <v>19</v>
      </c>
      <c r="F84" s="10"/>
      <c r="G84" s="10" t="s">
        <v>2455</v>
      </c>
      <c r="H84" s="2" t="s">
        <v>437</v>
      </c>
      <c r="I84" s="25" t="s">
        <v>1621</v>
      </c>
      <c r="J84" s="2"/>
      <c r="K84" s="2"/>
      <c r="M84" s="2"/>
    </row>
    <row r="85" spans="1:13" ht="14.25" customHeight="1">
      <c r="A85" t="s">
        <v>28</v>
      </c>
      <c r="B85">
        <f ca="1">IF(OR(changes[[#This Row],[Type]]="Checklist",changes[[#This Row],[Type]]="checklist-flat"),1+IF(changes[[#This Row],[Type of change]] = "Edit",COUNTIFS($I$4:changes[[#This Row],[Name]],changes[[#This Row],[Name]], $E$4:changes[[#This Row],[Type of change]], "Edit")),B84)</f>
        <v>1</v>
      </c>
      <c r="C85" s="16">
        <v>44484</v>
      </c>
      <c r="D85" s="1" t="s">
        <v>2451</v>
      </c>
      <c r="E85" t="s">
        <v>19</v>
      </c>
      <c r="F85" s="10"/>
      <c r="G85" s="10" t="s">
        <v>2455</v>
      </c>
      <c r="H85" s="2" t="s">
        <v>55</v>
      </c>
      <c r="I85" s="25" t="s">
        <v>1581</v>
      </c>
      <c r="J85" s="2"/>
      <c r="K85" s="2"/>
      <c r="M85" s="2"/>
    </row>
    <row r="86" spans="1:13" ht="14.25" customHeight="1">
      <c r="A86" t="s">
        <v>28</v>
      </c>
      <c r="B86">
        <f ca="1">IF(OR(changes[[#This Row],[Type]]="Checklist",changes[[#This Row],[Type]]="checklist-flat"),1+IF(changes[[#This Row],[Type of change]] = "Edit",COUNTIFS($I$4:changes[[#This Row],[Name]],changes[[#This Row],[Name]], $E$4:changes[[#This Row],[Type of change]], "Edit")),B85)</f>
        <v>1</v>
      </c>
      <c r="C86" s="16">
        <v>44484</v>
      </c>
      <c r="D86" s="1" t="s">
        <v>2451</v>
      </c>
      <c r="E86" t="s">
        <v>19</v>
      </c>
      <c r="F86" s="10"/>
      <c r="G86" s="10" t="s">
        <v>2455</v>
      </c>
      <c r="H86" s="2" t="s">
        <v>55</v>
      </c>
      <c r="I86" s="25" t="s">
        <v>1582</v>
      </c>
      <c r="J86" s="2"/>
      <c r="K86" s="2"/>
      <c r="M86" s="2"/>
    </row>
    <row r="87" spans="1:13" ht="14.25" customHeight="1">
      <c r="A87" t="s">
        <v>28</v>
      </c>
      <c r="B87">
        <f ca="1">IF(OR(changes[[#This Row],[Type]]="Checklist",changes[[#This Row],[Type]]="checklist-flat"),1+IF(changes[[#This Row],[Type of change]] = "Edit",COUNTIFS($I$4:changes[[#This Row],[Name]],changes[[#This Row],[Name]], $E$4:changes[[#This Row],[Type of change]], "Edit")),B86)</f>
        <v>1</v>
      </c>
      <c r="C87" s="16">
        <v>44484</v>
      </c>
      <c r="D87" s="1" t="s">
        <v>2451</v>
      </c>
      <c r="E87" t="s">
        <v>19</v>
      </c>
      <c r="F87" s="10"/>
      <c r="G87" s="10" t="s">
        <v>2455</v>
      </c>
      <c r="H87" s="2" t="s">
        <v>479</v>
      </c>
      <c r="I87" s="25" t="s">
        <v>1744</v>
      </c>
      <c r="J87" s="2"/>
      <c r="K87" s="2"/>
      <c r="M87" s="2"/>
    </row>
    <row r="88" spans="1:13" ht="14.25" customHeight="1">
      <c r="A88" t="s">
        <v>28</v>
      </c>
      <c r="B88">
        <f ca="1">IF(OR(changes[[#This Row],[Type]]="Checklist",changes[[#This Row],[Type]]="checklist-flat"),1+IF(changes[[#This Row],[Type of change]] = "Edit",COUNTIFS($I$4:changes[[#This Row],[Name]],changes[[#This Row],[Name]], $E$4:changes[[#This Row],[Type of change]], "Edit")),B87)</f>
        <v>1</v>
      </c>
      <c r="C88" s="16">
        <v>44484</v>
      </c>
      <c r="D88" s="1" t="s">
        <v>2451</v>
      </c>
      <c r="E88" t="s">
        <v>19</v>
      </c>
      <c r="F88" s="10"/>
      <c r="G88" s="10" t="s">
        <v>2455</v>
      </c>
      <c r="H88" s="2" t="s">
        <v>55</v>
      </c>
      <c r="I88" s="25" t="s">
        <v>1745</v>
      </c>
      <c r="J88" s="2"/>
      <c r="K88" s="2"/>
      <c r="M88" s="2"/>
    </row>
    <row r="89" spans="1:13" ht="14.25" customHeight="1">
      <c r="A89" t="s">
        <v>28</v>
      </c>
      <c r="B89">
        <f ca="1">IF(OR(changes[[#This Row],[Type]]="Checklist",changes[[#This Row],[Type]]="checklist-flat"),1+IF(changes[[#This Row],[Type of change]] = "Edit",COUNTIFS($I$4:changes[[#This Row],[Name]],changes[[#This Row],[Name]], $E$4:changes[[#This Row],[Type of change]], "Edit")),B88)</f>
        <v>1</v>
      </c>
      <c r="C89" s="16">
        <v>44484</v>
      </c>
      <c r="D89" s="1" t="s">
        <v>2451</v>
      </c>
      <c r="E89" t="s">
        <v>19</v>
      </c>
      <c r="F89" s="10"/>
      <c r="G89" s="10" t="s">
        <v>2455</v>
      </c>
      <c r="H89" s="2" t="s">
        <v>55</v>
      </c>
      <c r="I89" s="25" t="s">
        <v>1746</v>
      </c>
      <c r="J89" s="2"/>
      <c r="K89" s="2"/>
      <c r="M89" s="2"/>
    </row>
    <row r="90" spans="1:13" ht="14.25" customHeight="1">
      <c r="A90" t="s">
        <v>28</v>
      </c>
      <c r="B90">
        <f ca="1">IF(OR(changes[[#This Row],[Type]]="Checklist",changes[[#This Row],[Type]]="checklist-flat"),1+IF(changes[[#This Row],[Type of change]] = "Edit",COUNTIFS($I$4:changes[[#This Row],[Name]],changes[[#This Row],[Name]], $E$4:changes[[#This Row],[Type of change]], "Edit")),B89)</f>
        <v>1</v>
      </c>
      <c r="C90" s="16">
        <v>44484</v>
      </c>
      <c r="D90" s="1" t="s">
        <v>2451</v>
      </c>
      <c r="E90" t="s">
        <v>19</v>
      </c>
      <c r="F90" s="10"/>
      <c r="G90" s="10" t="s">
        <v>2455</v>
      </c>
      <c r="H90" s="2" t="s">
        <v>437</v>
      </c>
      <c r="I90" s="25" t="s">
        <v>1747</v>
      </c>
      <c r="J90" s="2"/>
      <c r="K90" s="2"/>
      <c r="M90" s="2"/>
    </row>
    <row r="91" spans="1:13" ht="14.25" customHeight="1">
      <c r="A91" t="s">
        <v>28</v>
      </c>
      <c r="B91">
        <f ca="1">IF(OR(changes[[#This Row],[Type]]="Checklist",changes[[#This Row],[Type]]="checklist-flat"),1+IF(changes[[#This Row],[Type of change]] = "Edit",COUNTIFS($I$4:changes[[#This Row],[Name]],changes[[#This Row],[Name]], $E$4:changes[[#This Row],[Type of change]], "Edit")),B90)</f>
        <v>1</v>
      </c>
      <c r="C91" s="16">
        <v>44484</v>
      </c>
      <c r="D91" s="1" t="s">
        <v>2451</v>
      </c>
      <c r="E91" t="s">
        <v>19</v>
      </c>
      <c r="F91" s="10"/>
      <c r="G91" s="10" t="s">
        <v>2455</v>
      </c>
      <c r="H91" s="2" t="s">
        <v>55</v>
      </c>
      <c r="I91" s="25" t="s">
        <v>1748</v>
      </c>
      <c r="J91" s="2"/>
      <c r="K91" s="2"/>
      <c r="M91" s="2"/>
    </row>
    <row r="92" spans="1:13">
      <c r="A92" t="s">
        <v>28</v>
      </c>
      <c r="B92">
        <f ca="1">IF(OR(changes[[#This Row],[Type]]="Checklist",changes[[#This Row],[Type]]="checklist-flat"),1+IF(changes[[#This Row],[Type of change]] = "Edit",COUNTIFS($I$4:changes[[#This Row],[Name]],changes[[#This Row],[Name]], $E$4:changes[[#This Row],[Type of change]], "Edit")),B91)</f>
        <v>1</v>
      </c>
      <c r="C92" s="16">
        <v>44484</v>
      </c>
      <c r="D92" s="1" t="s">
        <v>2451</v>
      </c>
      <c r="E92" s="1" t="s">
        <v>19</v>
      </c>
      <c r="F92" s="10"/>
      <c r="G92" s="10" t="s">
        <v>2455</v>
      </c>
      <c r="H92" s="1" t="s">
        <v>55</v>
      </c>
      <c r="I92" s="1" t="s">
        <v>1749</v>
      </c>
      <c r="J92" s="2"/>
      <c r="K92" s="2"/>
      <c r="M92" s="2"/>
    </row>
    <row r="93" spans="1:13">
      <c r="A93" t="s">
        <v>28</v>
      </c>
      <c r="B93">
        <f ca="1">IF(OR(changes[[#This Row],[Type]]="Checklist",changes[[#This Row],[Type]]="checklist-flat"),1+IF(changes[[#This Row],[Type of change]] = "Edit",COUNTIFS($I$4:changes[[#This Row],[Name]],changes[[#This Row],[Name]], $E$4:changes[[#This Row],[Type of change]], "Edit")),B92)</f>
        <v>1</v>
      </c>
      <c r="C93" s="16">
        <v>44484</v>
      </c>
      <c r="D93" s="1" t="s">
        <v>2451</v>
      </c>
      <c r="E93" s="1" t="s">
        <v>19</v>
      </c>
      <c r="F93" s="10"/>
      <c r="G93" s="10" t="s">
        <v>2455</v>
      </c>
      <c r="H93" s="1" t="s">
        <v>55</v>
      </c>
      <c r="I93" s="1" t="s">
        <v>1750</v>
      </c>
      <c r="J93" s="2"/>
      <c r="K93" s="2"/>
      <c r="M93" s="2"/>
    </row>
    <row r="94" spans="1:13">
      <c r="A94" t="s">
        <v>28</v>
      </c>
      <c r="B94">
        <f ca="1">IF(OR(changes[[#This Row],[Type]]="Checklist",changes[[#This Row],[Type]]="checklist-flat"),1+IF(changes[[#This Row],[Type of change]] = "Edit",COUNTIFS($I$4:changes[[#This Row],[Name]],changes[[#This Row],[Name]], $E$4:changes[[#This Row],[Type of change]], "Edit")),B93)</f>
        <v>1</v>
      </c>
      <c r="C94" s="16">
        <v>44484</v>
      </c>
      <c r="D94" s="1" t="s">
        <v>2451</v>
      </c>
      <c r="E94" s="1" t="s">
        <v>19</v>
      </c>
      <c r="F94" s="10"/>
      <c r="G94" s="10" t="s">
        <v>2455</v>
      </c>
      <c r="H94" s="1" t="s">
        <v>479</v>
      </c>
      <c r="I94" s="1" t="s">
        <v>1751</v>
      </c>
      <c r="J94" s="2"/>
      <c r="K94" s="2"/>
      <c r="M94" s="2"/>
    </row>
    <row r="95" spans="1:13">
      <c r="A95" t="s">
        <v>28</v>
      </c>
      <c r="B95">
        <f ca="1">IF(OR(changes[[#This Row],[Type]]="Checklist",changes[[#This Row],[Type]]="checklist-flat"),1+IF(changes[[#This Row],[Type of change]] = "Edit",COUNTIFS($I$4:changes[[#This Row],[Name]],changes[[#This Row],[Name]], $E$4:changes[[#This Row],[Type of change]], "Edit")),B94)</f>
        <v>1</v>
      </c>
      <c r="C95" s="16">
        <v>44484</v>
      </c>
      <c r="D95" s="1" t="s">
        <v>2451</v>
      </c>
      <c r="E95" s="1" t="s">
        <v>19</v>
      </c>
      <c r="F95" s="10"/>
      <c r="G95" s="10" t="s">
        <v>2455</v>
      </c>
      <c r="H95" s="1" t="s">
        <v>55</v>
      </c>
      <c r="I95" s="1" t="s">
        <v>1752</v>
      </c>
      <c r="J95" s="2"/>
      <c r="K95" s="2"/>
      <c r="M95" s="2"/>
    </row>
    <row r="96" spans="1:13">
      <c r="A96" t="s">
        <v>28</v>
      </c>
      <c r="B96">
        <f ca="1">IF(OR(changes[[#This Row],[Type]]="Checklist",changes[[#This Row],[Type]]="checklist-flat"),1+IF(changes[[#This Row],[Type of change]] = "Edit",COUNTIFS($I$4:changes[[#This Row],[Name]],changes[[#This Row],[Name]], $E$4:changes[[#This Row],[Type of change]], "Edit")),B95)</f>
        <v>1</v>
      </c>
      <c r="C96" s="16">
        <v>44484</v>
      </c>
      <c r="D96" s="1" t="s">
        <v>2451</v>
      </c>
      <c r="E96" s="1" t="s">
        <v>19</v>
      </c>
      <c r="F96" s="10"/>
      <c r="G96" s="10" t="s">
        <v>2455</v>
      </c>
      <c r="H96" s="1" t="s">
        <v>994</v>
      </c>
      <c r="I96" s="1" t="s">
        <v>1753</v>
      </c>
      <c r="J96" s="2"/>
      <c r="K96" s="2"/>
      <c r="M96" s="2"/>
    </row>
    <row r="97" spans="1:13">
      <c r="A97" t="s">
        <v>28</v>
      </c>
      <c r="B97">
        <f ca="1">IF(OR(changes[[#This Row],[Type]]="Checklist",changes[[#This Row],[Type]]="checklist-flat"),1+IF(changes[[#This Row],[Type of change]] = "Edit",COUNTIFS($I$4:changes[[#This Row],[Name]],changes[[#This Row],[Name]], $E$4:changes[[#This Row],[Type of change]], "Edit")),B96)</f>
        <v>1</v>
      </c>
      <c r="C97" s="16">
        <v>44484</v>
      </c>
      <c r="D97" s="1" t="s">
        <v>2451</v>
      </c>
      <c r="E97" s="1" t="s">
        <v>19</v>
      </c>
      <c r="F97" s="10"/>
      <c r="G97" s="10" t="s">
        <v>2455</v>
      </c>
      <c r="H97" s="1" t="s">
        <v>55</v>
      </c>
      <c r="I97" s="1" t="s">
        <v>1754</v>
      </c>
      <c r="J97" s="2"/>
      <c r="K97" s="2"/>
      <c r="M97" s="2"/>
    </row>
    <row r="98" spans="1:13">
      <c r="A98" t="s">
        <v>28</v>
      </c>
      <c r="B98">
        <f ca="1">IF(OR(changes[[#This Row],[Type]]="Checklist",changes[[#This Row],[Type]]="checklist-flat"),1+IF(changes[[#This Row],[Type of change]] = "Edit",COUNTIFS($I$4:changes[[#This Row],[Name]],changes[[#This Row],[Name]], $E$4:changes[[#This Row],[Type of change]], "Edit")),B97)</f>
        <v>1</v>
      </c>
      <c r="C98" s="16">
        <v>44484</v>
      </c>
      <c r="D98" s="1" t="s">
        <v>2451</v>
      </c>
      <c r="E98" s="1" t="s">
        <v>19</v>
      </c>
      <c r="F98" s="10"/>
      <c r="G98" s="10" t="s">
        <v>2457</v>
      </c>
      <c r="H98" s="1" t="s">
        <v>478</v>
      </c>
      <c r="I98" s="1" t="s">
        <v>2457</v>
      </c>
      <c r="J98" s="2"/>
      <c r="K98" s="2"/>
      <c r="M98" s="2"/>
    </row>
    <row r="99" spans="1:13">
      <c r="A99" t="s">
        <v>28</v>
      </c>
      <c r="B99">
        <f ca="1">IF(OR(changes[[#This Row],[Type]]="Checklist",changes[[#This Row],[Type]]="checklist-flat"),1+IF(changes[[#This Row],[Type of change]] = "Edit",COUNTIFS($I$4:changes[[#This Row],[Name]],changes[[#This Row],[Name]], $E$4:changes[[#This Row],[Type of change]], "Edit")),B98)</f>
        <v>1</v>
      </c>
      <c r="C99" s="16">
        <v>44484</v>
      </c>
      <c r="D99" s="1" t="s">
        <v>2451</v>
      </c>
      <c r="E99" s="1" t="s">
        <v>19</v>
      </c>
      <c r="F99" s="10"/>
      <c r="G99" s="10" t="s">
        <v>2457</v>
      </c>
      <c r="H99" s="1" t="s">
        <v>55</v>
      </c>
      <c r="I99" s="1" t="s">
        <v>62</v>
      </c>
      <c r="J99" s="2"/>
      <c r="K99" s="2"/>
      <c r="M99" s="2"/>
    </row>
    <row r="100" spans="1:13">
      <c r="A100" t="s">
        <v>28</v>
      </c>
      <c r="B100">
        <f ca="1">IF(OR(changes[[#This Row],[Type]]="Checklist",changes[[#This Row],[Type]]="checklist-flat"),1+IF(changes[[#This Row],[Type of change]] = "Edit",COUNTIFS($I$4:changes[[#This Row],[Name]],changes[[#This Row],[Name]], $E$4:changes[[#This Row],[Type of change]], "Edit")),B99)</f>
        <v>1</v>
      </c>
      <c r="C100" s="16">
        <v>44484</v>
      </c>
      <c r="D100" s="1" t="s">
        <v>2451</v>
      </c>
      <c r="E100" s="1" t="s">
        <v>19</v>
      </c>
      <c r="F100" s="10"/>
      <c r="G100" s="10" t="s">
        <v>2457</v>
      </c>
      <c r="H100" s="1" t="s">
        <v>55</v>
      </c>
      <c r="I100" s="1" t="s">
        <v>63</v>
      </c>
      <c r="J100" s="2"/>
      <c r="K100" s="2"/>
      <c r="M100" s="2"/>
    </row>
    <row r="101" spans="1:13">
      <c r="A101" t="s">
        <v>28</v>
      </c>
      <c r="B101">
        <f ca="1">IF(OR(changes[[#This Row],[Type]]="Checklist",changes[[#This Row],[Type]]="checklist-flat"),1+IF(changes[[#This Row],[Type of change]] = "Edit",COUNTIFS($I$4:changes[[#This Row],[Name]],changes[[#This Row],[Name]], $E$4:changes[[#This Row],[Type of change]], "Edit")),B100)</f>
        <v>1</v>
      </c>
      <c r="C101" s="16">
        <v>44484</v>
      </c>
      <c r="D101" s="1" t="s">
        <v>2451</v>
      </c>
      <c r="E101" s="1" t="s">
        <v>19</v>
      </c>
      <c r="F101" s="10"/>
      <c r="G101" s="10" t="s">
        <v>2457</v>
      </c>
      <c r="H101" s="1" t="s">
        <v>994</v>
      </c>
      <c r="I101" s="1" t="s">
        <v>65</v>
      </c>
      <c r="J101" s="2"/>
      <c r="K101" s="2"/>
      <c r="M101" s="2"/>
    </row>
    <row r="102" spans="1:13">
      <c r="A102" t="s">
        <v>28</v>
      </c>
      <c r="B102">
        <f ca="1">IF(OR(changes[[#This Row],[Type]]="Checklist",changes[[#This Row],[Type]]="checklist-flat"),1+IF(changes[[#This Row],[Type of change]] = "Edit",COUNTIFS($I$4:changes[[#This Row],[Name]],changes[[#This Row],[Name]], $E$4:changes[[#This Row],[Type of change]], "Edit")),B101)</f>
        <v>2</v>
      </c>
      <c r="C102" s="16">
        <v>44484</v>
      </c>
      <c r="D102" s="1" t="s">
        <v>2451</v>
      </c>
      <c r="E102" s="1" t="s">
        <v>15</v>
      </c>
      <c r="F102" s="10"/>
      <c r="G102" s="10" t="s">
        <v>1715</v>
      </c>
      <c r="H102" s="1" t="s">
        <v>478</v>
      </c>
      <c r="I102" s="1" t="s">
        <v>1715</v>
      </c>
      <c r="J102" s="2"/>
      <c r="K102" s="2"/>
      <c r="M102" s="2"/>
    </row>
    <row r="103" spans="1:13">
      <c r="A103" t="s">
        <v>28</v>
      </c>
      <c r="B103">
        <f ca="1">IF(OR(changes[[#This Row],[Type]]="Checklist",changes[[#This Row],[Type]]="checklist-flat"),1+IF(changes[[#This Row],[Type of change]] = "Edit",COUNTIFS($I$4:changes[[#This Row],[Name]],changes[[#This Row],[Name]], $E$4:changes[[#This Row],[Type of change]], "Edit")),B102)</f>
        <v>2</v>
      </c>
      <c r="C103" s="16">
        <v>44484</v>
      </c>
      <c r="D103" s="1" t="s">
        <v>2451</v>
      </c>
      <c r="E103" s="1" t="s">
        <v>15</v>
      </c>
      <c r="F103" s="10"/>
      <c r="G103" s="10" t="s">
        <v>1576</v>
      </c>
      <c r="H103" s="1" t="s">
        <v>478</v>
      </c>
      <c r="I103" s="1" t="s">
        <v>1576</v>
      </c>
      <c r="J103" s="2"/>
      <c r="K103" s="2"/>
      <c r="M103" s="2"/>
    </row>
    <row r="104" spans="1:13">
      <c r="A104" t="s">
        <v>28</v>
      </c>
      <c r="B104">
        <f ca="1">IF(OR(changes[[#This Row],[Type]]="Checklist",changes[[#This Row],[Type]]="checklist-flat"),1+IF(changes[[#This Row],[Type of change]] = "Edit",COUNTIFS($I$4:changes[[#This Row],[Name]],changes[[#This Row],[Name]], $E$4:changes[[#This Row],[Type of change]], "Edit")),B103)</f>
        <v>1</v>
      </c>
      <c r="C104" s="16">
        <v>44503</v>
      </c>
      <c r="D104" s="1" t="s">
        <v>2458</v>
      </c>
      <c r="E104" t="s">
        <v>2453</v>
      </c>
      <c r="F104" s="10"/>
      <c r="G104" s="10" t="s">
        <v>2459</v>
      </c>
      <c r="H104" s="1" t="s">
        <v>478</v>
      </c>
      <c r="I104" s="1" t="s">
        <v>2459</v>
      </c>
      <c r="J104" s="1"/>
      <c r="K104" s="1"/>
      <c r="M104" s="2"/>
    </row>
    <row r="105" spans="1:13">
      <c r="A105" t="s">
        <v>28</v>
      </c>
      <c r="B105">
        <f ca="1">IF(OR(changes[[#This Row],[Type]]="Checklist",changes[[#This Row],[Type]]="checklist-flat"),1+IF(changes[[#This Row],[Type of change]] = "Edit",COUNTIFS($I$4:changes[[#This Row],[Name]],changes[[#This Row],[Name]], $E$4:changes[[#This Row],[Type of change]], "Edit")),B104)</f>
        <v>1</v>
      </c>
      <c r="C105" s="16">
        <v>44503</v>
      </c>
      <c r="D105" s="1" t="s">
        <v>2458</v>
      </c>
      <c r="E105" t="s">
        <v>2453</v>
      </c>
      <c r="F105" s="10"/>
      <c r="G105" s="10" t="s">
        <v>2459</v>
      </c>
      <c r="H105" s="1" t="s">
        <v>55</v>
      </c>
      <c r="I105" s="1" t="s">
        <v>127</v>
      </c>
      <c r="J105" s="1"/>
      <c r="K105" s="1"/>
      <c r="M105" s="2"/>
    </row>
    <row r="106" spans="1:13">
      <c r="A106" t="s">
        <v>28</v>
      </c>
      <c r="B106">
        <f ca="1">IF(OR(changes[[#This Row],[Type]]="Checklist",changes[[#This Row],[Type]]="checklist-flat"),1+IF(changes[[#This Row],[Type of change]] = "Edit",COUNTIFS($I$4:changes[[#This Row],[Name]],changes[[#This Row],[Name]], $E$4:changes[[#This Row],[Type of change]], "Edit")),B105)</f>
        <v>1</v>
      </c>
      <c r="C106" s="16">
        <v>44503</v>
      </c>
      <c r="D106" s="1" t="s">
        <v>2458</v>
      </c>
      <c r="E106" t="s">
        <v>2453</v>
      </c>
      <c r="F106" s="10"/>
      <c r="G106" s="10" t="s">
        <v>2459</v>
      </c>
      <c r="H106" s="1" t="s">
        <v>55</v>
      </c>
      <c r="I106" s="1" t="s">
        <v>128</v>
      </c>
      <c r="J106" s="1"/>
      <c r="K106" s="1"/>
      <c r="M106" s="2"/>
    </row>
    <row r="107" spans="1:13">
      <c r="A107" t="s">
        <v>28</v>
      </c>
      <c r="B107">
        <f ca="1">IF(OR(changes[[#This Row],[Type]]="Checklist",changes[[#This Row],[Type]]="checklist-flat"),1+IF(changes[[#This Row],[Type of change]] = "Edit",COUNTIFS($I$4:changes[[#This Row],[Name]],changes[[#This Row],[Name]], $E$4:changes[[#This Row],[Type of change]], "Edit")),B106)</f>
        <v>1</v>
      </c>
      <c r="C107" s="16">
        <v>44503</v>
      </c>
      <c r="D107" s="1" t="s">
        <v>2458</v>
      </c>
      <c r="E107" t="s">
        <v>2453</v>
      </c>
      <c r="F107" s="10"/>
      <c r="G107" s="10" t="s">
        <v>2459</v>
      </c>
      <c r="H107" s="1" t="s">
        <v>55</v>
      </c>
      <c r="I107" s="1" t="s">
        <v>2127</v>
      </c>
      <c r="J107" s="1"/>
      <c r="K107" s="1"/>
      <c r="M107" s="2"/>
    </row>
    <row r="108" spans="1:13">
      <c r="A108" t="s">
        <v>28</v>
      </c>
      <c r="B108">
        <f ca="1">IF(OR(changes[[#This Row],[Type]]="Checklist",changes[[#This Row],[Type]]="checklist-flat"),1+IF(changes[[#This Row],[Type of change]] = "Edit",COUNTIFS($I$4:changes[[#This Row],[Name]],changes[[#This Row],[Name]], $E$4:changes[[#This Row],[Type of change]], "Edit")),B107)</f>
        <v>1</v>
      </c>
      <c r="C108" s="16">
        <v>44503</v>
      </c>
      <c r="D108" s="1" t="s">
        <v>2458</v>
      </c>
      <c r="E108" t="s">
        <v>2453</v>
      </c>
      <c r="F108" s="10"/>
      <c r="G108" s="10" t="s">
        <v>2459</v>
      </c>
      <c r="H108" s="1" t="s">
        <v>55</v>
      </c>
      <c r="I108" s="1" t="s">
        <v>129</v>
      </c>
      <c r="J108" s="1"/>
      <c r="K108" s="1"/>
      <c r="M108" s="2"/>
    </row>
    <row r="109" spans="1:13">
      <c r="A109" t="s">
        <v>28</v>
      </c>
      <c r="B109">
        <f ca="1">IF(OR(changes[[#This Row],[Type]]="Checklist",changes[[#This Row],[Type]]="checklist-flat"),1+IF(changes[[#This Row],[Type of change]] = "Edit",COUNTIFS($I$4:changes[[#This Row],[Name]],changes[[#This Row],[Name]], $E$4:changes[[#This Row],[Type of change]], "Edit")),B108)</f>
        <v>1</v>
      </c>
      <c r="C109" s="16">
        <v>44503</v>
      </c>
      <c r="D109" s="1" t="s">
        <v>2458</v>
      </c>
      <c r="E109" t="s">
        <v>2453</v>
      </c>
      <c r="F109" s="10"/>
      <c r="G109" s="10" t="s">
        <v>2459</v>
      </c>
      <c r="H109" s="1" t="s">
        <v>55</v>
      </c>
      <c r="I109" s="1" t="s">
        <v>166</v>
      </c>
      <c r="J109" s="1"/>
      <c r="K109" s="1"/>
      <c r="M109" s="2"/>
    </row>
    <row r="110" spans="1:13">
      <c r="A110" t="s">
        <v>28</v>
      </c>
      <c r="B110">
        <f ca="1">IF(OR(changes[[#This Row],[Type]]="Checklist",changes[[#This Row],[Type]]="checklist-flat"),1+IF(changes[[#This Row],[Type of change]] = "Edit",COUNTIFS($I$4:changes[[#This Row],[Name]],changes[[#This Row],[Name]], $E$4:changes[[#This Row],[Type of change]], "Edit")),B109)</f>
        <v>1</v>
      </c>
      <c r="C110" s="16">
        <v>44503</v>
      </c>
      <c r="D110" s="1" t="s">
        <v>2458</v>
      </c>
      <c r="E110" t="s">
        <v>2453</v>
      </c>
      <c r="F110" s="10"/>
      <c r="G110" s="10" t="s">
        <v>2459</v>
      </c>
      <c r="H110" s="1" t="s">
        <v>55</v>
      </c>
      <c r="I110" s="1" t="s">
        <v>176</v>
      </c>
      <c r="J110" s="1"/>
      <c r="K110" s="1"/>
      <c r="M110" s="2"/>
    </row>
    <row r="111" spans="1:13">
      <c r="A111" t="s">
        <v>28</v>
      </c>
      <c r="B111">
        <f ca="1">IF(OR(changes[[#This Row],[Type]]="Checklist",changes[[#This Row],[Type]]="checklist-flat"),1+IF(changes[[#This Row],[Type of change]] = "Edit",COUNTIFS($I$4:changes[[#This Row],[Name]],changes[[#This Row],[Name]], $E$4:changes[[#This Row],[Type of change]], "Edit")),B110)</f>
        <v>1</v>
      </c>
      <c r="C111" s="16">
        <v>44503</v>
      </c>
      <c r="D111" s="1" t="s">
        <v>2458</v>
      </c>
      <c r="E111" t="s">
        <v>2453</v>
      </c>
      <c r="F111" s="10"/>
      <c r="G111" s="10" t="s">
        <v>2459</v>
      </c>
      <c r="H111" s="1" t="s">
        <v>55</v>
      </c>
      <c r="I111" s="1" t="s">
        <v>139</v>
      </c>
      <c r="J111" s="1"/>
      <c r="K111" s="1"/>
      <c r="M111" s="2"/>
    </row>
    <row r="112" spans="1:13">
      <c r="A112" t="s">
        <v>28</v>
      </c>
      <c r="B112">
        <f ca="1">IF(OR(changes[[#This Row],[Type]]="Checklist",changes[[#This Row],[Type]]="checklist-flat"),1+IF(changes[[#This Row],[Type of change]] = "Edit",COUNTIFS($I$4:changes[[#This Row],[Name]],changes[[#This Row],[Name]], $E$4:changes[[#This Row],[Type of change]], "Edit")),B111)</f>
        <v>1</v>
      </c>
      <c r="C112" s="16">
        <v>44503</v>
      </c>
      <c r="D112" s="1" t="s">
        <v>2458</v>
      </c>
      <c r="E112" t="s">
        <v>2453</v>
      </c>
      <c r="F112" s="10"/>
      <c r="G112" s="10" t="s">
        <v>140</v>
      </c>
      <c r="H112" s="1" t="s">
        <v>478</v>
      </c>
      <c r="I112" s="1" t="s">
        <v>140</v>
      </c>
      <c r="J112" s="1"/>
      <c r="K112" s="1"/>
      <c r="M112" s="2"/>
    </row>
    <row r="113" spans="1:13">
      <c r="A113" t="s">
        <v>28</v>
      </c>
      <c r="B113">
        <f ca="1">IF(OR(changes[[#This Row],[Type]]="Checklist",changes[[#This Row],[Type]]="checklist-flat"),1+IF(changes[[#This Row],[Type of change]] = "Edit",COUNTIFS($I$4:changes[[#This Row],[Name]],changes[[#This Row],[Name]], $E$4:changes[[#This Row],[Type of change]], "Edit")),B112)</f>
        <v>1</v>
      </c>
      <c r="C113" s="16">
        <v>44503</v>
      </c>
      <c r="D113" s="1" t="s">
        <v>2458</v>
      </c>
      <c r="E113" t="s">
        <v>2453</v>
      </c>
      <c r="F113" s="10"/>
      <c r="G113" s="10" t="s">
        <v>140</v>
      </c>
      <c r="H113" s="1" t="s">
        <v>55</v>
      </c>
      <c r="I113" s="1" t="s">
        <v>141</v>
      </c>
      <c r="J113" s="1"/>
      <c r="K113" s="1"/>
      <c r="M113" s="2"/>
    </row>
    <row r="114" spans="1:13">
      <c r="A114" t="s">
        <v>28</v>
      </c>
      <c r="B114">
        <f ca="1">IF(OR(changes[[#This Row],[Type]]="Checklist",changes[[#This Row],[Type]]="checklist-flat"),1+IF(changes[[#This Row],[Type of change]] = "Edit",COUNTIFS($I$4:changes[[#This Row],[Name]],changes[[#This Row],[Name]], $E$4:changes[[#This Row],[Type of change]], "Edit")),B113)</f>
        <v>1</v>
      </c>
      <c r="C114" s="16">
        <v>44503</v>
      </c>
      <c r="D114" s="1" t="s">
        <v>2458</v>
      </c>
      <c r="E114" t="s">
        <v>2453</v>
      </c>
      <c r="F114" s="10"/>
      <c r="G114" s="10" t="s">
        <v>140</v>
      </c>
      <c r="H114" s="1" t="s">
        <v>55</v>
      </c>
      <c r="I114" s="1" t="s">
        <v>142</v>
      </c>
      <c r="J114" s="1"/>
      <c r="K114" s="1"/>
      <c r="M114" s="2"/>
    </row>
    <row r="115" spans="1:13" ht="15.75">
      <c r="A115" t="s">
        <v>28</v>
      </c>
      <c r="B115">
        <f ca="1">IF(OR(changes[[#This Row],[Type]]="Checklist",changes[[#This Row],[Type]]="checklist-flat"),1+IF(changes[[#This Row],[Type of change]] = "Edit",COUNTIFS($I$4:changes[[#This Row],[Name]],changes[[#This Row],[Name]], $E$4:changes[[#This Row],[Type of change]], "Edit")),B114)</f>
        <v>1</v>
      </c>
      <c r="C115" s="16">
        <v>44503</v>
      </c>
      <c r="D115" s="1" t="s">
        <v>2458</v>
      </c>
      <c r="E115" t="s">
        <v>2453</v>
      </c>
      <c r="F115" s="10"/>
      <c r="G115" s="10" t="s">
        <v>140</v>
      </c>
      <c r="H115" t="s">
        <v>55</v>
      </c>
      <c r="I115" t="s">
        <v>143</v>
      </c>
      <c r="J115" s="28"/>
      <c r="K115" s="2"/>
      <c r="M115" s="2"/>
    </row>
    <row r="116" spans="1:13">
      <c r="A116" t="s">
        <v>28</v>
      </c>
      <c r="B116">
        <f ca="1">IF(OR(changes[[#This Row],[Type]]="Checklist",changes[[#This Row],[Type]]="checklist-flat"),1+IF(changes[[#This Row],[Type of change]] = "Edit",COUNTIFS($I$4:changes[[#This Row],[Name]],changes[[#This Row],[Name]], $E$4:changes[[#This Row],[Type of change]], "Edit")),B115)</f>
        <v>1</v>
      </c>
      <c r="C116" s="16">
        <v>44503</v>
      </c>
      <c r="D116" s="1" t="s">
        <v>2458</v>
      </c>
      <c r="E116" t="s">
        <v>2453</v>
      </c>
      <c r="F116" s="10"/>
      <c r="G116" s="10" t="s">
        <v>140</v>
      </c>
      <c r="H116" t="s">
        <v>55</v>
      </c>
      <c r="I116" t="s">
        <v>144</v>
      </c>
      <c r="M116" s="2"/>
    </row>
    <row r="117" spans="1:13">
      <c r="A117" t="s">
        <v>28</v>
      </c>
      <c r="B117">
        <f ca="1">IF(OR(changes[[#This Row],[Type]]="Checklist",changes[[#This Row],[Type]]="checklist-flat"),1+IF(changes[[#This Row],[Type of change]] = "Edit",COUNTIFS($I$4:changes[[#This Row],[Name]],changes[[#This Row],[Name]], $E$4:changes[[#This Row],[Type of change]], "Edit")),B116)</f>
        <v>1</v>
      </c>
      <c r="C117" s="16">
        <v>44503</v>
      </c>
      <c r="D117" s="1" t="s">
        <v>2458</v>
      </c>
      <c r="E117" t="s">
        <v>2453</v>
      </c>
      <c r="F117" s="10"/>
      <c r="G117" s="10" t="s">
        <v>140</v>
      </c>
      <c r="H117" t="s">
        <v>55</v>
      </c>
      <c r="I117" t="s">
        <v>145</v>
      </c>
      <c r="M117" s="2"/>
    </row>
    <row r="118" spans="1:13">
      <c r="A118" t="s">
        <v>28</v>
      </c>
      <c r="B118">
        <f ca="1">IF(OR(changes[[#This Row],[Type]]="Checklist",changes[[#This Row],[Type]]="checklist-flat"),1+IF(changes[[#This Row],[Type of change]] = "Edit",COUNTIFS($I$4:changes[[#This Row],[Name]],changes[[#This Row],[Name]], $E$4:changes[[#This Row],[Type of change]], "Edit")),B117)</f>
        <v>1</v>
      </c>
      <c r="C118" s="16">
        <v>44503</v>
      </c>
      <c r="D118" s="1" t="s">
        <v>2458</v>
      </c>
      <c r="E118" t="s">
        <v>2453</v>
      </c>
      <c r="F118" s="10"/>
      <c r="G118" s="10" t="s">
        <v>140</v>
      </c>
      <c r="H118" t="s">
        <v>55</v>
      </c>
      <c r="I118" t="s">
        <v>146</v>
      </c>
      <c r="M118" s="2"/>
    </row>
    <row r="119" spans="1:13">
      <c r="A119" t="s">
        <v>28</v>
      </c>
      <c r="B119">
        <f ca="1">IF(OR(changes[[#This Row],[Type]]="Checklist",changes[[#This Row],[Type]]="checklist-flat"),1+IF(changes[[#This Row],[Type of change]] = "Edit",COUNTIFS($I$4:changes[[#This Row],[Name]],changes[[#This Row],[Name]], $E$4:changes[[#This Row],[Type of change]], "Edit")),B118)</f>
        <v>1</v>
      </c>
      <c r="C119" s="16">
        <v>44503</v>
      </c>
      <c r="D119" s="1" t="s">
        <v>2458</v>
      </c>
      <c r="E119" t="s">
        <v>2453</v>
      </c>
      <c r="F119" s="10"/>
      <c r="G119" s="10" t="s">
        <v>140</v>
      </c>
      <c r="H119" t="s">
        <v>55</v>
      </c>
      <c r="I119" t="s">
        <v>147</v>
      </c>
      <c r="M119" s="2"/>
    </row>
    <row r="120" spans="1:13">
      <c r="A120" t="s">
        <v>28</v>
      </c>
      <c r="B120">
        <f ca="1">IF(OR(changes[[#This Row],[Type]]="Checklist",changes[[#This Row],[Type]]="checklist-flat"),1+IF(changes[[#This Row],[Type of change]] = "Edit",COUNTIFS($I$4:changes[[#This Row],[Name]],changes[[#This Row],[Name]], $E$4:changes[[#This Row],[Type of change]], "Edit")),B119)</f>
        <v>1</v>
      </c>
      <c r="C120" s="16">
        <v>44503</v>
      </c>
      <c r="D120" s="1" t="s">
        <v>2458</v>
      </c>
      <c r="E120" t="s">
        <v>2453</v>
      </c>
      <c r="F120" s="10"/>
      <c r="G120" s="10" t="s">
        <v>140</v>
      </c>
      <c r="H120" t="s">
        <v>55</v>
      </c>
      <c r="I120" t="s">
        <v>148</v>
      </c>
      <c r="M120" s="2"/>
    </row>
    <row r="121" spans="1:13">
      <c r="A121" t="s">
        <v>28</v>
      </c>
      <c r="B121">
        <f ca="1">IF(OR(changes[[#This Row],[Type]]="Checklist",changes[[#This Row],[Type]]="checklist-flat"),1+IF(changes[[#This Row],[Type of change]] = "Edit",COUNTIFS($I$4:changes[[#This Row],[Name]],changes[[#This Row],[Name]], $E$4:changes[[#This Row],[Type of change]], "Edit")),B120)</f>
        <v>1</v>
      </c>
      <c r="C121" s="16">
        <v>44503</v>
      </c>
      <c r="D121" s="1" t="s">
        <v>2458</v>
      </c>
      <c r="E121" t="s">
        <v>2453</v>
      </c>
      <c r="F121" s="10"/>
      <c r="G121" s="10" t="s">
        <v>140</v>
      </c>
      <c r="H121" s="10" t="s">
        <v>55</v>
      </c>
      <c r="I121" t="s">
        <v>2460</v>
      </c>
      <c r="M121" s="2"/>
    </row>
    <row r="122" spans="1:13">
      <c r="A122" t="s">
        <v>28</v>
      </c>
      <c r="B122">
        <f ca="1">IF(OR(changes[[#This Row],[Type]]="Checklist",changes[[#This Row],[Type]]="checklist-flat"),1+IF(changes[[#This Row],[Type of change]] = "Edit",COUNTIFS($I$4:changes[[#This Row],[Name]],changes[[#This Row],[Name]], $E$4:changes[[#This Row],[Type of change]], "Edit")),B121)</f>
        <v>1</v>
      </c>
      <c r="C122" s="16">
        <v>44503</v>
      </c>
      <c r="D122" s="1" t="s">
        <v>2458</v>
      </c>
      <c r="E122" t="s">
        <v>2453</v>
      </c>
      <c r="F122" s="10"/>
      <c r="G122" s="10" t="s">
        <v>140</v>
      </c>
      <c r="H122" s="10" t="s">
        <v>55</v>
      </c>
      <c r="I122" t="s">
        <v>150</v>
      </c>
      <c r="M122" s="2"/>
    </row>
    <row r="123" spans="1:13">
      <c r="A123" t="s">
        <v>28</v>
      </c>
      <c r="B123">
        <f ca="1">IF(OR(changes[[#This Row],[Type]]="Checklist",changes[[#This Row],[Type]]="checklist-flat"),1+IF(changes[[#This Row],[Type of change]] = "Edit",COUNTIFS($I$4:changes[[#This Row],[Name]],changes[[#This Row],[Name]], $E$4:changes[[#This Row],[Type of change]], "Edit")),B122)</f>
        <v>1</v>
      </c>
      <c r="C123" s="16">
        <v>44503</v>
      </c>
      <c r="D123" s="1" t="s">
        <v>2458</v>
      </c>
      <c r="E123" t="s">
        <v>15</v>
      </c>
      <c r="F123" s="10"/>
      <c r="G123" s="10" t="s">
        <v>140</v>
      </c>
      <c r="H123" s="10" t="s">
        <v>951</v>
      </c>
      <c r="I123" t="s">
        <v>113</v>
      </c>
      <c r="M123" s="2"/>
    </row>
    <row r="124" spans="1:13">
      <c r="A124" t="s">
        <v>28</v>
      </c>
      <c r="B124">
        <f ca="1">IF(OR(changes[[#This Row],[Type]]="Checklist",changes[[#This Row],[Type]]="checklist-flat"),1+IF(changes[[#This Row],[Type of change]] = "Edit",COUNTIFS($I$4:changes[[#This Row],[Name]],changes[[#This Row],[Name]], $E$4:changes[[#This Row],[Type of change]], "Edit")),B123)</f>
        <v>1</v>
      </c>
      <c r="C124" s="16">
        <v>44515</v>
      </c>
      <c r="D124" s="1" t="s">
        <v>2458</v>
      </c>
      <c r="E124" t="s">
        <v>2453</v>
      </c>
      <c r="F124" s="10"/>
      <c r="G124" s="10" t="s">
        <v>164</v>
      </c>
      <c r="H124" s="10" t="s">
        <v>478</v>
      </c>
      <c r="I124" t="s">
        <v>164</v>
      </c>
      <c r="M124" s="2"/>
    </row>
    <row r="125" spans="1:13">
      <c r="A125" t="s">
        <v>28</v>
      </c>
      <c r="B125">
        <f ca="1">IF(OR(changes[[#This Row],[Type]]="Checklist",changes[[#This Row],[Type]]="checklist-flat"),1+IF(changes[[#This Row],[Type of change]] = "Edit",COUNTIFS($I$4:changes[[#This Row],[Name]],changes[[#This Row],[Name]], $E$4:changes[[#This Row],[Type of change]], "Edit")),B124)</f>
        <v>1</v>
      </c>
      <c r="C125" s="16">
        <v>44515</v>
      </c>
      <c r="D125" s="1" t="s">
        <v>2458</v>
      </c>
      <c r="E125" t="s">
        <v>2453</v>
      </c>
      <c r="F125" s="10"/>
      <c r="G125" s="10" t="s">
        <v>164</v>
      </c>
      <c r="H125" s="10" t="s">
        <v>55</v>
      </c>
      <c r="I125" t="s">
        <v>127</v>
      </c>
      <c r="M125" s="2"/>
    </row>
    <row r="126" spans="1:13">
      <c r="A126" t="s">
        <v>28</v>
      </c>
      <c r="B126">
        <f ca="1">IF(OR(changes[[#This Row],[Type]]="Checklist",changes[[#This Row],[Type]]="checklist-flat"),1+IF(changes[[#This Row],[Type of change]] = "Edit",COUNTIFS($I$4:changes[[#This Row],[Name]],changes[[#This Row],[Name]], $E$4:changes[[#This Row],[Type of change]], "Edit")),B125)</f>
        <v>1</v>
      </c>
      <c r="C126" s="16">
        <v>44515</v>
      </c>
      <c r="D126" s="1" t="s">
        <v>2458</v>
      </c>
      <c r="E126" t="s">
        <v>2453</v>
      </c>
      <c r="F126" s="10"/>
      <c r="G126" s="10" t="s">
        <v>164</v>
      </c>
      <c r="H126" s="10" t="s">
        <v>55</v>
      </c>
      <c r="I126" t="s">
        <v>128</v>
      </c>
      <c r="M126" s="2"/>
    </row>
    <row r="127" spans="1:13">
      <c r="A127" t="s">
        <v>28</v>
      </c>
      <c r="B127">
        <f ca="1">IF(OR(changes[[#This Row],[Type]]="Checklist",changes[[#This Row],[Type]]="checklist-flat"),1+IF(changes[[#This Row],[Type of change]] = "Edit",COUNTIFS($I$4:changes[[#This Row],[Name]],changes[[#This Row],[Name]], $E$4:changes[[#This Row],[Type of change]], "Edit")),B126)</f>
        <v>1</v>
      </c>
      <c r="C127" s="16">
        <v>44515</v>
      </c>
      <c r="D127" s="1" t="s">
        <v>2458</v>
      </c>
      <c r="E127" t="s">
        <v>2453</v>
      </c>
      <c r="F127" s="10"/>
      <c r="G127" s="10" t="s">
        <v>164</v>
      </c>
      <c r="H127" s="10" t="s">
        <v>55</v>
      </c>
      <c r="I127" t="s">
        <v>2127</v>
      </c>
      <c r="M127" s="2"/>
    </row>
    <row r="128" spans="1:13">
      <c r="A128" t="s">
        <v>28</v>
      </c>
      <c r="B128">
        <f ca="1">IF(OR(changes[[#This Row],[Type]]="Checklist",changes[[#This Row],[Type]]="checklist-flat"),1+IF(changes[[#This Row],[Type of change]] = "Edit",COUNTIFS($I$4:changes[[#This Row],[Name]],changes[[#This Row],[Name]], $E$4:changes[[#This Row],[Type of change]], "Edit")),B127)</f>
        <v>1</v>
      </c>
      <c r="C128" s="16">
        <v>44515</v>
      </c>
      <c r="D128" s="1" t="s">
        <v>2458</v>
      </c>
      <c r="E128" t="s">
        <v>2453</v>
      </c>
      <c r="F128" s="10"/>
      <c r="G128" s="10" t="s">
        <v>164</v>
      </c>
      <c r="H128" s="10" t="s">
        <v>55</v>
      </c>
      <c r="I128" t="s">
        <v>129</v>
      </c>
      <c r="M128" s="2"/>
    </row>
    <row r="129" spans="1:13">
      <c r="A129" t="s">
        <v>28</v>
      </c>
      <c r="B129">
        <f ca="1">IF(OR(changes[[#This Row],[Type]]="Checklist",changes[[#This Row],[Type]]="checklist-flat"),1+IF(changes[[#This Row],[Type of change]] = "Edit",COUNTIFS($I$4:changes[[#This Row],[Name]],changes[[#This Row],[Name]], $E$4:changes[[#This Row],[Type of change]], "Edit")),B128)</f>
        <v>1</v>
      </c>
      <c r="C129" s="16">
        <v>44515</v>
      </c>
      <c r="D129" s="1" t="s">
        <v>2458</v>
      </c>
      <c r="E129" t="s">
        <v>2453</v>
      </c>
      <c r="F129" s="10"/>
      <c r="G129" s="10" t="s">
        <v>164</v>
      </c>
      <c r="H129" s="10" t="s">
        <v>55</v>
      </c>
      <c r="I129" t="s">
        <v>166</v>
      </c>
      <c r="M129" s="2"/>
    </row>
    <row r="130" spans="1:13">
      <c r="A130" t="s">
        <v>28</v>
      </c>
      <c r="B130">
        <f ca="1">IF(OR(changes[[#This Row],[Type]]="Checklist",changes[[#This Row],[Type]]="checklist-flat"),1+IF(changes[[#This Row],[Type of change]] = "Edit",COUNTIFS($I$4:changes[[#This Row],[Name]],changes[[#This Row],[Name]], $E$4:changes[[#This Row],[Type of change]], "Edit")),B129)</f>
        <v>1</v>
      </c>
      <c r="C130" s="16">
        <v>44515</v>
      </c>
      <c r="D130" s="1" t="s">
        <v>2458</v>
      </c>
      <c r="E130" t="s">
        <v>2453</v>
      </c>
      <c r="F130" s="10"/>
      <c r="G130" s="10" t="s">
        <v>164</v>
      </c>
      <c r="H130" s="10" t="s">
        <v>55</v>
      </c>
      <c r="I130" t="s">
        <v>167</v>
      </c>
      <c r="M130" s="2"/>
    </row>
    <row r="131" spans="1:13">
      <c r="A131" t="s">
        <v>28</v>
      </c>
      <c r="B131">
        <f ca="1">IF(OR(changes[[#This Row],[Type]]="Checklist",changes[[#This Row],[Type]]="checklist-flat"),1+IF(changes[[#This Row],[Type of change]] = "Edit",COUNTIFS($I$4:changes[[#This Row],[Name]],changes[[#This Row],[Name]], $E$4:changes[[#This Row],[Type of change]], "Edit")),B130)</f>
        <v>1</v>
      </c>
      <c r="C131" s="16">
        <v>44515</v>
      </c>
      <c r="D131" s="1" t="s">
        <v>2458</v>
      </c>
      <c r="E131" t="s">
        <v>2453</v>
      </c>
      <c r="F131" s="10"/>
      <c r="G131" s="10" t="s">
        <v>164</v>
      </c>
      <c r="H131" s="10" t="s">
        <v>55</v>
      </c>
      <c r="I131" t="s">
        <v>147</v>
      </c>
      <c r="M131" s="2"/>
    </row>
    <row r="132" spans="1:13">
      <c r="A132" t="s">
        <v>28</v>
      </c>
      <c r="B132">
        <f ca="1">IF(OR(changes[[#This Row],[Type]]="Checklist",changes[[#This Row],[Type]]="checklist-flat"),1+IF(changes[[#This Row],[Type of change]] = "Edit",COUNTIFS($I$4:changes[[#This Row],[Name]],changes[[#This Row],[Name]], $E$4:changes[[#This Row],[Type of change]], "Edit")),B131)</f>
        <v>1</v>
      </c>
      <c r="C132" s="16">
        <v>44515</v>
      </c>
      <c r="D132" s="1" t="s">
        <v>2458</v>
      </c>
      <c r="E132" t="s">
        <v>2453</v>
      </c>
      <c r="F132" s="10"/>
      <c r="G132" s="10" t="s">
        <v>151</v>
      </c>
      <c r="H132" s="10" t="s">
        <v>478</v>
      </c>
      <c r="I132" t="s">
        <v>151</v>
      </c>
      <c r="M132" s="2"/>
    </row>
    <row r="133" spans="1:13">
      <c r="A133" t="s">
        <v>28</v>
      </c>
      <c r="B133">
        <f ca="1">IF(OR(changes[[#This Row],[Type]]="Checklist",changes[[#This Row],[Type]]="checklist-flat"),1+IF(changes[[#This Row],[Type of change]] = "Edit",COUNTIFS($I$4:changes[[#This Row],[Name]],changes[[#This Row],[Name]], $E$4:changes[[#This Row],[Type of change]], "Edit")),B132)</f>
        <v>1</v>
      </c>
      <c r="C133" s="16">
        <v>44515</v>
      </c>
      <c r="D133" s="1" t="s">
        <v>2458</v>
      </c>
      <c r="E133" t="s">
        <v>2453</v>
      </c>
      <c r="F133" s="10"/>
      <c r="G133" s="10" t="s">
        <v>151</v>
      </c>
      <c r="H133" s="10" t="s">
        <v>55</v>
      </c>
      <c r="I133" t="s">
        <v>127</v>
      </c>
      <c r="M133" s="2"/>
    </row>
    <row r="134" spans="1:13">
      <c r="A134" t="s">
        <v>28</v>
      </c>
      <c r="B134">
        <f ca="1">IF(OR(changes[[#This Row],[Type]]="Checklist",changes[[#This Row],[Type]]="checklist-flat"),1+IF(changes[[#This Row],[Type of change]] = "Edit",COUNTIFS($I$4:changes[[#This Row],[Name]],changes[[#This Row],[Name]], $E$4:changes[[#This Row],[Type of change]], "Edit")),B133)</f>
        <v>1</v>
      </c>
      <c r="C134" s="16">
        <v>44515</v>
      </c>
      <c r="D134" s="1" t="s">
        <v>2458</v>
      </c>
      <c r="E134" t="s">
        <v>2453</v>
      </c>
      <c r="F134" s="10"/>
      <c r="G134" s="10" t="s">
        <v>151</v>
      </c>
      <c r="H134" s="10" t="s">
        <v>55</v>
      </c>
      <c r="I134" t="s">
        <v>152</v>
      </c>
      <c r="M134" s="2"/>
    </row>
    <row r="135" spans="1:13">
      <c r="A135" t="s">
        <v>28</v>
      </c>
      <c r="B135">
        <f ca="1">IF(OR(changes[[#This Row],[Type]]="Checklist",changes[[#This Row],[Type]]="checklist-flat"),1+IF(changes[[#This Row],[Type of change]] = "Edit",COUNTIFS($I$4:changes[[#This Row],[Name]],changes[[#This Row],[Name]], $E$4:changes[[#This Row],[Type of change]], "Edit")),B134)</f>
        <v>1</v>
      </c>
      <c r="C135" s="16">
        <v>44515</v>
      </c>
      <c r="D135" s="1" t="s">
        <v>2458</v>
      </c>
      <c r="E135" t="s">
        <v>2453</v>
      </c>
      <c r="F135" s="10"/>
      <c r="G135" s="10" t="s">
        <v>151</v>
      </c>
      <c r="H135" s="10" t="s">
        <v>951</v>
      </c>
      <c r="I135" t="s">
        <v>153</v>
      </c>
      <c r="M135" s="2"/>
    </row>
    <row r="136" spans="1:13">
      <c r="A136" t="s">
        <v>28</v>
      </c>
      <c r="B136">
        <f ca="1">IF(OR(changes[[#This Row],[Type]]="Checklist",changes[[#This Row],[Type]]="checklist-flat"),1+IF(changes[[#This Row],[Type of change]] = "Edit",COUNTIFS($I$4:changes[[#This Row],[Name]],changes[[#This Row],[Name]], $E$4:changes[[#This Row],[Type of change]], "Edit")),B135)</f>
        <v>1</v>
      </c>
      <c r="C136" s="16">
        <v>44515</v>
      </c>
      <c r="D136" s="1" t="s">
        <v>2458</v>
      </c>
      <c r="E136" t="s">
        <v>2453</v>
      </c>
      <c r="F136" s="10"/>
      <c r="G136" s="10" t="s">
        <v>151</v>
      </c>
      <c r="H136" s="10" t="s">
        <v>951</v>
      </c>
      <c r="I136" t="s">
        <v>154</v>
      </c>
      <c r="M136" s="2"/>
    </row>
    <row r="137" spans="1:13">
      <c r="A137" t="s">
        <v>28</v>
      </c>
      <c r="B137">
        <f ca="1">IF(OR(changes[[#This Row],[Type]]="Checklist",changes[[#This Row],[Type]]="checklist-flat"),1+IF(changes[[#This Row],[Type of change]] = "Edit",COUNTIFS($I$4:changes[[#This Row],[Name]],changes[[#This Row],[Name]], $E$4:changes[[#This Row],[Type of change]], "Edit")),B136)</f>
        <v>1</v>
      </c>
      <c r="C137" s="16">
        <v>44515</v>
      </c>
      <c r="D137" s="1" t="s">
        <v>2458</v>
      </c>
      <c r="E137" t="s">
        <v>2453</v>
      </c>
      <c r="F137" s="10"/>
      <c r="G137" s="10" t="s">
        <v>151</v>
      </c>
      <c r="H137" s="10" t="s">
        <v>951</v>
      </c>
      <c r="I137" t="s">
        <v>155</v>
      </c>
      <c r="M137" s="2"/>
    </row>
    <row r="138" spans="1:13">
      <c r="A138" t="s">
        <v>28</v>
      </c>
      <c r="B138">
        <f ca="1">IF(OR(changes[[#This Row],[Type]]="Checklist",changes[[#This Row],[Type]]="checklist-flat"),1+IF(changes[[#This Row],[Type of change]] = "Edit",COUNTIFS($I$4:changes[[#This Row],[Name]],changes[[#This Row],[Name]], $E$4:changes[[#This Row],[Type of change]], "Edit")),B137)</f>
        <v>1</v>
      </c>
      <c r="C138" s="16">
        <v>44515</v>
      </c>
      <c r="D138" s="1" t="s">
        <v>2458</v>
      </c>
      <c r="E138" t="s">
        <v>10</v>
      </c>
      <c r="F138" s="10"/>
      <c r="G138" s="10" t="s">
        <v>151</v>
      </c>
      <c r="H138" s="10" t="s">
        <v>55</v>
      </c>
      <c r="I138" t="s">
        <v>1581</v>
      </c>
      <c r="M138" s="2"/>
    </row>
    <row r="139" spans="1:13">
      <c r="A139" t="s">
        <v>28</v>
      </c>
      <c r="B139">
        <f ca="1">IF(OR(changes[[#This Row],[Type]]="Checklist",changes[[#This Row],[Type]]="checklist-flat"),1+IF(changes[[#This Row],[Type of change]] = "Edit",COUNTIFS($I$4:changes[[#This Row],[Name]],changes[[#This Row],[Name]], $E$4:changes[[#This Row],[Type of change]], "Edit")),B138)</f>
        <v>1</v>
      </c>
      <c r="C139" s="16">
        <v>44515</v>
      </c>
      <c r="D139" s="1" t="s">
        <v>2458</v>
      </c>
      <c r="E139" t="s">
        <v>10</v>
      </c>
      <c r="F139" s="10"/>
      <c r="G139" s="10" t="s">
        <v>151</v>
      </c>
      <c r="H139" s="10" t="s">
        <v>55</v>
      </c>
      <c r="I139" t="s">
        <v>1582</v>
      </c>
      <c r="M139" s="2"/>
    </row>
    <row r="140" spans="1:13">
      <c r="A140" t="s">
        <v>28</v>
      </c>
      <c r="B140">
        <f ca="1">IF(OR(changes[[#This Row],[Type]]="Checklist",changes[[#This Row],[Type]]="checklist-flat"),1+IF(changes[[#This Row],[Type of change]] = "Edit",COUNTIFS($I$4:changes[[#This Row],[Name]],changes[[#This Row],[Name]], $E$4:changes[[#This Row],[Type of change]], "Edit")),B139)</f>
        <v>1</v>
      </c>
      <c r="C140" s="16">
        <v>44515</v>
      </c>
      <c r="D140" s="1" t="s">
        <v>2458</v>
      </c>
      <c r="E140" t="s">
        <v>10</v>
      </c>
      <c r="F140" s="10"/>
      <c r="G140" s="10" t="s">
        <v>151</v>
      </c>
      <c r="H140" s="10" t="s">
        <v>55</v>
      </c>
      <c r="I140" t="s">
        <v>1581</v>
      </c>
      <c r="M140" s="2"/>
    </row>
    <row r="141" spans="1:13">
      <c r="A141" t="s">
        <v>28</v>
      </c>
      <c r="B141">
        <f ca="1">IF(OR(changes[[#This Row],[Type]]="Checklist",changes[[#This Row],[Type]]="checklist-flat"),1+IF(changes[[#This Row],[Type of change]] = "Edit",COUNTIFS($I$4:changes[[#This Row],[Name]],changes[[#This Row],[Name]], $E$4:changes[[#This Row],[Type of change]], "Edit")),B140)</f>
        <v>1</v>
      </c>
      <c r="C141" s="16">
        <v>44515</v>
      </c>
      <c r="D141" s="1" t="s">
        <v>2458</v>
      </c>
      <c r="E141" t="s">
        <v>10</v>
      </c>
      <c r="F141" s="10"/>
      <c r="G141" s="10" t="s">
        <v>151</v>
      </c>
      <c r="H141" s="10" t="s">
        <v>55</v>
      </c>
      <c r="I141" s="10" t="s">
        <v>1582</v>
      </c>
      <c r="J141" s="29"/>
      <c r="K141" s="2"/>
      <c r="M141" s="2"/>
    </row>
    <row r="142" spans="1:13">
      <c r="A142" t="s">
        <v>28</v>
      </c>
      <c r="B142">
        <f ca="1">IF(OR(changes[[#This Row],[Type]]="Checklist",changes[[#This Row],[Type]]="checklist-flat"),1+IF(changes[[#This Row],[Type of change]] = "Edit",COUNTIFS($I$4:changes[[#This Row],[Name]],changes[[#This Row],[Name]], $E$4:changes[[#This Row],[Type of change]], "Edit")),B141)</f>
        <v>1</v>
      </c>
      <c r="C142" s="16">
        <v>44515</v>
      </c>
      <c r="D142" s="1" t="s">
        <v>2458</v>
      </c>
      <c r="E142" t="s">
        <v>2453</v>
      </c>
      <c r="F142" s="10"/>
      <c r="G142" s="10" t="s">
        <v>1755</v>
      </c>
      <c r="H142" s="10" t="s">
        <v>478</v>
      </c>
      <c r="I142" s="10" t="s">
        <v>1755</v>
      </c>
      <c r="K142" s="2"/>
      <c r="M142" s="2"/>
    </row>
    <row r="143" spans="1:13">
      <c r="A143" t="s">
        <v>28</v>
      </c>
      <c r="B143">
        <f ca="1">IF(OR(changes[[#This Row],[Type]]="Checklist",changes[[#This Row],[Type]]="checklist-flat"),1+IF(changes[[#This Row],[Type of change]] = "Edit",COUNTIFS($I$4:changes[[#This Row],[Name]],changes[[#This Row],[Name]], $E$4:changes[[#This Row],[Type of change]], "Edit")),B142)</f>
        <v>1</v>
      </c>
      <c r="C143" s="16">
        <v>44515</v>
      </c>
      <c r="D143" s="1" t="s">
        <v>2458</v>
      </c>
      <c r="E143" t="s">
        <v>2453</v>
      </c>
      <c r="F143" s="10"/>
      <c r="G143" s="10" t="s">
        <v>1755</v>
      </c>
      <c r="H143" s="10" t="s">
        <v>479</v>
      </c>
      <c r="I143" s="10" t="s">
        <v>1716</v>
      </c>
      <c r="K143" s="2"/>
      <c r="M143" s="2"/>
    </row>
    <row r="144" spans="1:13">
      <c r="A144" t="s">
        <v>28</v>
      </c>
      <c r="B144">
        <f ca="1">IF(OR(changes[[#This Row],[Type]]="Checklist",changes[[#This Row],[Type]]="checklist-flat"),1+IF(changes[[#This Row],[Type of change]] = "Edit",COUNTIFS($I$4:changes[[#This Row],[Name]],changes[[#This Row],[Name]], $E$4:changes[[#This Row],[Type of change]], "Edit")),B143)</f>
        <v>1</v>
      </c>
      <c r="C144" s="16">
        <v>44515</v>
      </c>
      <c r="D144" s="1" t="s">
        <v>2458</v>
      </c>
      <c r="E144" t="s">
        <v>2453</v>
      </c>
      <c r="F144" s="10"/>
      <c r="G144" s="10" t="s">
        <v>1755</v>
      </c>
      <c r="H144" s="10" t="s">
        <v>214</v>
      </c>
      <c r="I144" s="10" t="s">
        <v>1613</v>
      </c>
      <c r="K144" s="2"/>
      <c r="M144" s="2"/>
    </row>
    <row r="145" spans="1:13">
      <c r="A145" t="s">
        <v>28</v>
      </c>
      <c r="B145">
        <f ca="1">IF(OR(changes[[#This Row],[Type]]="Checklist",changes[[#This Row],[Type]]="checklist-flat"),1+IF(changes[[#This Row],[Type of change]] = "Edit",COUNTIFS($I$4:changes[[#This Row],[Name]],changes[[#This Row],[Name]], $E$4:changes[[#This Row],[Type of change]], "Edit")),B144)</f>
        <v>1</v>
      </c>
      <c r="C145" s="16">
        <v>44515</v>
      </c>
      <c r="D145" s="1" t="s">
        <v>2458</v>
      </c>
      <c r="E145" t="s">
        <v>2453</v>
      </c>
      <c r="F145" s="10"/>
      <c r="G145" s="10" t="s">
        <v>1755</v>
      </c>
      <c r="H145" s="10" t="s">
        <v>214</v>
      </c>
      <c r="I145" s="10" t="s">
        <v>1614</v>
      </c>
      <c r="K145" s="2"/>
      <c r="M145" s="2"/>
    </row>
    <row r="146" spans="1:13">
      <c r="A146" t="s">
        <v>28</v>
      </c>
      <c r="B146">
        <f ca="1">IF(OR(changes[[#This Row],[Type]]="Checklist",changes[[#This Row],[Type]]="checklist-flat"),1+IF(changes[[#This Row],[Type of change]] = "Edit",COUNTIFS($I$4:changes[[#This Row],[Name]],changes[[#This Row],[Name]], $E$4:changes[[#This Row],[Type of change]], "Edit")),B145)</f>
        <v>1</v>
      </c>
      <c r="C146" s="16">
        <v>44515</v>
      </c>
      <c r="D146" s="1" t="s">
        <v>2458</v>
      </c>
      <c r="E146" t="s">
        <v>2453</v>
      </c>
      <c r="F146" s="10"/>
      <c r="G146" s="10" t="s">
        <v>1755</v>
      </c>
      <c r="H146" s="10" t="s">
        <v>55</v>
      </c>
      <c r="I146" s="10" t="s">
        <v>1718</v>
      </c>
      <c r="K146" s="2"/>
      <c r="M146" s="2"/>
    </row>
    <row r="147" spans="1:13">
      <c r="A147" t="s">
        <v>28</v>
      </c>
      <c r="B147">
        <f ca="1">IF(OR(changes[[#This Row],[Type]]="Checklist",changes[[#This Row],[Type]]="checklist-flat"),1+IF(changes[[#This Row],[Type of change]] = "Edit",COUNTIFS($I$4:changes[[#This Row],[Name]],changes[[#This Row],[Name]], $E$4:changes[[#This Row],[Type of change]], "Edit")),B146)</f>
        <v>1</v>
      </c>
      <c r="C147" s="16">
        <v>44515</v>
      </c>
      <c r="D147" s="1" t="s">
        <v>2458</v>
      </c>
      <c r="E147" t="s">
        <v>2453</v>
      </c>
      <c r="F147" s="10"/>
      <c r="G147" s="10" t="s">
        <v>1755</v>
      </c>
      <c r="H147" s="10" t="s">
        <v>479</v>
      </c>
      <c r="I147" s="10" t="s">
        <v>1719</v>
      </c>
      <c r="K147" s="2"/>
      <c r="M147" s="2"/>
    </row>
    <row r="148" spans="1:13">
      <c r="A148" t="s">
        <v>28</v>
      </c>
      <c r="B148">
        <f ca="1">IF(OR(changes[[#This Row],[Type]]="Checklist",changes[[#This Row],[Type]]="checklist-flat"),1+IF(changes[[#This Row],[Type of change]] = "Edit",COUNTIFS($I$4:changes[[#This Row],[Name]],changes[[#This Row],[Name]], $E$4:changes[[#This Row],[Type of change]], "Edit")),B147)</f>
        <v>1</v>
      </c>
      <c r="C148" s="16">
        <v>44515</v>
      </c>
      <c r="D148" s="1" t="s">
        <v>2458</v>
      </c>
      <c r="E148" t="s">
        <v>2453</v>
      </c>
      <c r="F148" s="10"/>
      <c r="G148" s="10" t="s">
        <v>1755</v>
      </c>
      <c r="H148" s="30" t="s">
        <v>55</v>
      </c>
      <c r="I148" s="30" t="s">
        <v>1720</v>
      </c>
      <c r="K148" s="2"/>
      <c r="M148" s="2"/>
    </row>
    <row r="149" spans="1:13">
      <c r="A149" t="s">
        <v>28</v>
      </c>
      <c r="B149">
        <f ca="1">IF(OR(changes[[#This Row],[Type]]="Checklist",changes[[#This Row],[Type]]="checklist-flat"),1+IF(changes[[#This Row],[Type of change]] = "Edit",COUNTIFS($I$4:changes[[#This Row],[Name]],changes[[#This Row],[Name]], $E$4:changes[[#This Row],[Type of change]], "Edit")),B148)</f>
        <v>1</v>
      </c>
      <c r="C149" s="16">
        <v>44515</v>
      </c>
      <c r="D149" s="1" t="s">
        <v>2458</v>
      </c>
      <c r="E149" t="s">
        <v>2453</v>
      </c>
      <c r="F149" s="10"/>
      <c r="G149" s="10" t="s">
        <v>1755</v>
      </c>
      <c r="H149" s="30" t="s">
        <v>55</v>
      </c>
      <c r="I149" s="30" t="s">
        <v>474</v>
      </c>
      <c r="K149" s="2"/>
      <c r="M149" s="2"/>
    </row>
    <row r="150" spans="1:13">
      <c r="A150" t="s">
        <v>28</v>
      </c>
      <c r="B150">
        <f ca="1">IF(OR(changes[[#This Row],[Type]]="Checklist",changes[[#This Row],[Type]]="checklist-flat"),1+IF(changes[[#This Row],[Type of change]] = "Edit",COUNTIFS($I$4:changes[[#This Row],[Name]],changes[[#This Row],[Name]], $E$4:changes[[#This Row],[Type of change]], "Edit")),B149)</f>
        <v>1</v>
      </c>
      <c r="C150" s="16">
        <v>44515</v>
      </c>
      <c r="D150" s="1" t="s">
        <v>2458</v>
      </c>
      <c r="E150" t="s">
        <v>2453</v>
      </c>
      <c r="F150" s="10"/>
      <c r="G150" s="10" t="s">
        <v>1755</v>
      </c>
      <c r="H150" s="30" t="s">
        <v>55</v>
      </c>
      <c r="I150" s="30" t="s">
        <v>2456</v>
      </c>
      <c r="K150" s="2"/>
      <c r="M150" s="2"/>
    </row>
    <row r="151" spans="1:13">
      <c r="A151" t="s">
        <v>28</v>
      </c>
      <c r="B151">
        <f ca="1">IF(OR(changes[[#This Row],[Type]]="Checklist",changes[[#This Row],[Type]]="checklist-flat"),1+IF(changes[[#This Row],[Type of change]] = "Edit",COUNTIFS($I$4:changes[[#This Row],[Name]],changes[[#This Row],[Name]], $E$4:changes[[#This Row],[Type of change]], "Edit")),B150)</f>
        <v>1</v>
      </c>
      <c r="C151" s="16">
        <v>44515</v>
      </c>
      <c r="D151" s="1" t="s">
        <v>2458</v>
      </c>
      <c r="E151" t="s">
        <v>2453</v>
      </c>
      <c r="F151" s="10"/>
      <c r="G151" s="10" t="s">
        <v>1755</v>
      </c>
      <c r="H151" s="30" t="s">
        <v>55</v>
      </c>
      <c r="I151" s="30" t="s">
        <v>476</v>
      </c>
      <c r="K151" s="2"/>
      <c r="M151" s="2"/>
    </row>
    <row r="152" spans="1:13">
      <c r="A152" t="s">
        <v>28</v>
      </c>
      <c r="B152">
        <f ca="1">IF(OR(changes[[#This Row],[Type]]="Checklist",changes[[#This Row],[Type]]="checklist-flat"),1+IF(changes[[#This Row],[Type of change]] = "Edit",COUNTIFS($I$4:changes[[#This Row],[Name]],changes[[#This Row],[Name]], $E$4:changes[[#This Row],[Type of change]], "Edit")),B151)</f>
        <v>1</v>
      </c>
      <c r="C152" s="16">
        <v>44515</v>
      </c>
      <c r="D152" s="1" t="s">
        <v>2458</v>
      </c>
      <c r="E152" t="s">
        <v>2453</v>
      </c>
      <c r="F152" s="10"/>
      <c r="G152" s="10" t="s">
        <v>1755</v>
      </c>
      <c r="H152" s="30" t="s">
        <v>479</v>
      </c>
      <c r="I152" s="30" t="s">
        <v>1734</v>
      </c>
      <c r="K152" s="2"/>
      <c r="M152" s="2"/>
    </row>
    <row r="153" spans="1:13">
      <c r="A153" t="s">
        <v>28</v>
      </c>
      <c r="B153">
        <f ca="1">IF(OR(changes[[#This Row],[Type]]="Checklist",changes[[#This Row],[Type]]="checklist-flat"),1+IF(changes[[#This Row],[Type of change]] = "Edit",COUNTIFS($I$4:changes[[#This Row],[Name]],changes[[#This Row],[Name]], $E$4:changes[[#This Row],[Type of change]], "Edit")),B152)</f>
        <v>1</v>
      </c>
      <c r="C153" s="16">
        <v>44515</v>
      </c>
      <c r="D153" s="1" t="s">
        <v>2458</v>
      </c>
      <c r="E153" t="s">
        <v>2453</v>
      </c>
      <c r="F153" s="10"/>
      <c r="G153" s="10" t="s">
        <v>1755</v>
      </c>
      <c r="H153" s="30" t="s">
        <v>55</v>
      </c>
      <c r="I153" s="30" t="s">
        <v>1735</v>
      </c>
      <c r="K153" s="2"/>
      <c r="M153" s="2"/>
    </row>
    <row r="154" spans="1:13">
      <c r="A154" t="s">
        <v>28</v>
      </c>
      <c r="B154">
        <f ca="1">IF(OR(changes[[#This Row],[Type]]="Checklist",changes[[#This Row],[Type]]="checklist-flat"),1+IF(changes[[#This Row],[Type of change]] = "Edit",COUNTIFS($I$4:changes[[#This Row],[Name]],changes[[#This Row],[Name]], $E$4:changes[[#This Row],[Type of change]], "Edit")),B153)</f>
        <v>1</v>
      </c>
      <c r="C154" s="16">
        <v>44515</v>
      </c>
      <c r="D154" s="1" t="s">
        <v>2458</v>
      </c>
      <c r="E154" t="s">
        <v>2453</v>
      </c>
      <c r="F154" s="10"/>
      <c r="G154" s="10" t="s">
        <v>1755</v>
      </c>
      <c r="H154" s="30" t="s">
        <v>55</v>
      </c>
      <c r="I154" s="30" t="s">
        <v>1736</v>
      </c>
      <c r="K154" s="2"/>
      <c r="M154" s="2"/>
    </row>
    <row r="155" spans="1:13">
      <c r="A155" t="s">
        <v>28</v>
      </c>
      <c r="B155">
        <f ca="1">IF(OR(changes[[#This Row],[Type]]="Checklist",changes[[#This Row],[Type]]="checklist-flat"),1+IF(changes[[#This Row],[Type of change]] = "Edit",COUNTIFS($I$4:changes[[#This Row],[Name]],changes[[#This Row],[Name]], $E$4:changes[[#This Row],[Type of change]], "Edit")),B154)</f>
        <v>1</v>
      </c>
      <c r="C155" s="16">
        <v>44515</v>
      </c>
      <c r="D155" s="1" t="s">
        <v>2458</v>
      </c>
      <c r="E155" t="s">
        <v>2453</v>
      </c>
      <c r="F155" s="10"/>
      <c r="G155" s="10" t="s">
        <v>1755</v>
      </c>
      <c r="H155" s="30" t="s">
        <v>55</v>
      </c>
      <c r="I155" s="30" t="s">
        <v>1737</v>
      </c>
      <c r="K155" s="2"/>
      <c r="M155" s="2"/>
    </row>
    <row r="156" spans="1:13">
      <c r="A156" t="s">
        <v>28</v>
      </c>
      <c r="B156">
        <f ca="1">IF(OR(changes[[#This Row],[Type]]="Checklist",changes[[#This Row],[Type]]="checklist-flat"),1+IF(changes[[#This Row],[Type of change]] = "Edit",COUNTIFS($I$4:changes[[#This Row],[Name]],changes[[#This Row],[Name]], $E$4:changes[[#This Row],[Type of change]], "Edit")),B155)</f>
        <v>1</v>
      </c>
      <c r="C156" s="16">
        <v>44515</v>
      </c>
      <c r="D156" s="1" t="s">
        <v>2458</v>
      </c>
      <c r="E156" t="s">
        <v>2453</v>
      </c>
      <c r="F156" s="10"/>
      <c r="G156" s="10" t="s">
        <v>1755</v>
      </c>
      <c r="H156" s="30" t="s">
        <v>55</v>
      </c>
      <c r="I156" s="30" t="s">
        <v>1738</v>
      </c>
      <c r="K156" s="2"/>
      <c r="M156" s="2"/>
    </row>
    <row r="157" spans="1:13">
      <c r="A157" t="s">
        <v>28</v>
      </c>
      <c r="B157">
        <f ca="1">IF(OR(changes[[#This Row],[Type]]="Checklist",changes[[#This Row],[Type]]="checklist-flat"),1+IF(changes[[#This Row],[Type of change]] = "Edit",COUNTIFS($I$4:changes[[#This Row],[Name]],changes[[#This Row],[Name]], $E$4:changes[[#This Row],[Type of change]], "Edit")),B156)</f>
        <v>1</v>
      </c>
      <c r="C157" s="16">
        <v>44515</v>
      </c>
      <c r="D157" s="1" t="s">
        <v>2458</v>
      </c>
      <c r="E157" t="s">
        <v>2453</v>
      </c>
      <c r="F157" s="10"/>
      <c r="G157" s="10" t="s">
        <v>1755</v>
      </c>
      <c r="H157" s="30" t="s">
        <v>479</v>
      </c>
      <c r="I157" s="30" t="s">
        <v>1739</v>
      </c>
      <c r="K157" s="2"/>
      <c r="M157" s="2"/>
    </row>
    <row r="158" spans="1:13">
      <c r="A158" t="s">
        <v>28</v>
      </c>
      <c r="B158">
        <f ca="1">IF(OR(changes[[#This Row],[Type]]="Checklist",changes[[#This Row],[Type]]="checklist-flat"),1+IF(changes[[#This Row],[Type of change]] = "Edit",COUNTIFS($I$4:changes[[#This Row],[Name]],changes[[#This Row],[Name]], $E$4:changes[[#This Row],[Type of change]], "Edit")),B157)</f>
        <v>1</v>
      </c>
      <c r="C158" s="16">
        <v>44515</v>
      </c>
      <c r="D158" s="1" t="s">
        <v>2458</v>
      </c>
      <c r="E158" t="s">
        <v>2453</v>
      </c>
      <c r="F158" s="10"/>
      <c r="G158" s="10" t="s">
        <v>1755</v>
      </c>
      <c r="H158" s="30" t="s">
        <v>214</v>
      </c>
      <c r="I158" s="30" t="s">
        <v>1741</v>
      </c>
      <c r="K158" s="2"/>
      <c r="M158" s="2"/>
    </row>
    <row r="159" spans="1:13">
      <c r="A159" t="s">
        <v>28</v>
      </c>
      <c r="B159">
        <f ca="1">IF(OR(changes[[#This Row],[Type]]="Checklist",changes[[#This Row],[Type]]="checklist-flat"),1+IF(changes[[#This Row],[Type of change]] = "Edit",COUNTIFS($I$4:changes[[#This Row],[Name]],changes[[#This Row],[Name]], $E$4:changes[[#This Row],[Type of change]], "Edit")),B158)</f>
        <v>1</v>
      </c>
      <c r="C159" s="16">
        <v>44515</v>
      </c>
      <c r="D159" s="1" t="s">
        <v>2458</v>
      </c>
      <c r="E159" t="s">
        <v>2453</v>
      </c>
      <c r="F159" s="10"/>
      <c r="G159" s="10" t="s">
        <v>1755</v>
      </c>
      <c r="H159" s="30" t="s">
        <v>214</v>
      </c>
      <c r="I159" s="30" t="s">
        <v>1618</v>
      </c>
      <c r="K159" s="2"/>
      <c r="M159" s="2"/>
    </row>
    <row r="160" spans="1:13">
      <c r="A160" t="s">
        <v>28</v>
      </c>
      <c r="B160">
        <f ca="1">IF(OR(changes[[#This Row],[Type]]="Checklist",changes[[#This Row],[Type]]="checklist-flat"),1+IF(changes[[#This Row],[Type of change]] = "Edit",COUNTIFS($I$4:changes[[#This Row],[Name]],changes[[#This Row],[Name]], $E$4:changes[[#This Row],[Type of change]], "Edit")),B159)</f>
        <v>1</v>
      </c>
      <c r="C160" s="16">
        <v>44515</v>
      </c>
      <c r="D160" s="1" t="s">
        <v>2458</v>
      </c>
      <c r="E160" t="s">
        <v>2453</v>
      </c>
      <c r="F160" s="10"/>
      <c r="G160" s="10" t="s">
        <v>1755</v>
      </c>
      <c r="H160" s="30" t="s">
        <v>214</v>
      </c>
      <c r="I160" s="30" t="s">
        <v>1619</v>
      </c>
      <c r="K160" s="2"/>
      <c r="M160" s="2"/>
    </row>
    <row r="161" spans="1:13">
      <c r="A161" t="s">
        <v>28</v>
      </c>
      <c r="B161">
        <f ca="1">IF(OR(changes[[#This Row],[Type]]="Checklist",changes[[#This Row],[Type]]="checklist-flat"),1+IF(changes[[#This Row],[Type of change]] = "Edit",COUNTIFS($I$4:changes[[#This Row],[Name]],changes[[#This Row],[Name]], $E$4:changes[[#This Row],[Type of change]], "Edit")),B160)</f>
        <v>1</v>
      </c>
      <c r="C161" s="16">
        <v>44515</v>
      </c>
      <c r="D161" s="1" t="s">
        <v>2458</v>
      </c>
      <c r="E161" t="s">
        <v>2453</v>
      </c>
      <c r="F161" s="10"/>
      <c r="G161" s="10" t="s">
        <v>1755</v>
      </c>
      <c r="H161" s="30" t="s">
        <v>214</v>
      </c>
      <c r="I161" s="30" t="s">
        <v>1620</v>
      </c>
      <c r="K161" s="2"/>
      <c r="M161" s="2"/>
    </row>
    <row r="162" spans="1:13">
      <c r="A162" t="s">
        <v>28</v>
      </c>
      <c r="B162">
        <f ca="1">IF(OR(changes[[#This Row],[Type]]="Checklist",changes[[#This Row],[Type]]="checklist-flat"),1+IF(changes[[#This Row],[Type of change]] = "Edit",COUNTIFS($I$4:changes[[#This Row],[Name]],changes[[#This Row],[Name]], $E$4:changes[[#This Row],[Type of change]], "Edit")),B161)</f>
        <v>1</v>
      </c>
      <c r="C162" s="16">
        <v>44515</v>
      </c>
      <c r="D162" s="1" t="s">
        <v>2458</v>
      </c>
      <c r="E162" t="s">
        <v>2453</v>
      </c>
      <c r="F162" s="10"/>
      <c r="G162" s="10" t="s">
        <v>1755</v>
      </c>
      <c r="H162" s="30" t="s">
        <v>437</v>
      </c>
      <c r="I162" s="30" t="s">
        <v>1621</v>
      </c>
      <c r="K162" s="2"/>
      <c r="M162" s="2"/>
    </row>
    <row r="163" spans="1:13">
      <c r="A163" t="s">
        <v>28</v>
      </c>
      <c r="B163">
        <f ca="1">IF(OR(changes[[#This Row],[Type]]="Checklist",changes[[#This Row],[Type]]="checklist-flat"),1+IF(changes[[#This Row],[Type of change]] = "Edit",COUNTIFS($I$4:changes[[#This Row],[Name]],changes[[#This Row],[Name]], $E$4:changes[[#This Row],[Type of change]], "Edit")),B162)</f>
        <v>1</v>
      </c>
      <c r="C163" s="16">
        <v>44515</v>
      </c>
      <c r="D163" s="1" t="s">
        <v>2458</v>
      </c>
      <c r="E163" t="s">
        <v>2453</v>
      </c>
      <c r="F163" s="10"/>
      <c r="G163" s="10" t="s">
        <v>1755</v>
      </c>
      <c r="H163" s="30" t="s">
        <v>55</v>
      </c>
      <c r="I163" s="30" t="s">
        <v>1581</v>
      </c>
      <c r="K163" s="2"/>
      <c r="M163" s="2"/>
    </row>
    <row r="164" spans="1:13">
      <c r="A164" t="s">
        <v>28</v>
      </c>
      <c r="B164">
        <f ca="1">IF(OR(changes[[#This Row],[Type]]="Checklist",changes[[#This Row],[Type]]="checklist-flat"),1+IF(changes[[#This Row],[Type of change]] = "Edit",COUNTIFS($I$4:changes[[#This Row],[Name]],changes[[#This Row],[Name]], $E$4:changes[[#This Row],[Type of change]], "Edit")),B163)</f>
        <v>1</v>
      </c>
      <c r="C164" s="16">
        <v>44515</v>
      </c>
      <c r="D164" s="1" t="s">
        <v>2458</v>
      </c>
      <c r="E164" t="s">
        <v>2453</v>
      </c>
      <c r="F164" s="10"/>
      <c r="G164" s="10" t="s">
        <v>1755</v>
      </c>
      <c r="H164" s="30" t="s">
        <v>55</v>
      </c>
      <c r="I164" s="30" t="s">
        <v>1582</v>
      </c>
      <c r="K164" s="2"/>
      <c r="M164" s="2"/>
    </row>
    <row r="165" spans="1:13">
      <c r="A165" t="s">
        <v>28</v>
      </c>
      <c r="B165">
        <f ca="1">IF(OR(changes[[#This Row],[Type]]="Checklist",changes[[#This Row],[Type]]="checklist-flat"),1+IF(changes[[#This Row],[Type of change]] = "Edit",COUNTIFS($I$4:changes[[#This Row],[Name]],changes[[#This Row],[Name]], $E$4:changes[[#This Row],[Type of change]], "Edit")),B164)</f>
        <v>1</v>
      </c>
      <c r="C165" s="16">
        <v>44515</v>
      </c>
      <c r="D165" s="1" t="s">
        <v>2458</v>
      </c>
      <c r="E165" t="s">
        <v>2453</v>
      </c>
      <c r="F165" s="10"/>
      <c r="G165" s="10" t="s">
        <v>1755</v>
      </c>
      <c r="H165" s="30" t="s">
        <v>479</v>
      </c>
      <c r="I165" s="30" t="s">
        <v>1744</v>
      </c>
      <c r="K165" s="2"/>
      <c r="M165" s="2"/>
    </row>
    <row r="166" spans="1:13">
      <c r="A166" t="s">
        <v>28</v>
      </c>
      <c r="B166">
        <f ca="1">IF(OR(changes[[#This Row],[Type]]="Checklist",changes[[#This Row],[Type]]="checklist-flat"),1+IF(changes[[#This Row],[Type of change]] = "Edit",COUNTIFS($I$4:changes[[#This Row],[Name]],changes[[#This Row],[Name]], $E$4:changes[[#This Row],[Type of change]], "Edit")),B165)</f>
        <v>1</v>
      </c>
      <c r="C166" s="16">
        <v>44515</v>
      </c>
      <c r="D166" s="1" t="s">
        <v>2458</v>
      </c>
      <c r="E166" t="s">
        <v>2453</v>
      </c>
      <c r="F166" s="10"/>
      <c r="G166" s="10" t="s">
        <v>1755</v>
      </c>
      <c r="H166" s="30" t="s">
        <v>55</v>
      </c>
      <c r="I166" s="30" t="s">
        <v>1745</v>
      </c>
      <c r="K166" s="2"/>
      <c r="M166" s="2"/>
    </row>
    <row r="167" spans="1:13">
      <c r="A167" t="s">
        <v>28</v>
      </c>
      <c r="B167">
        <f ca="1">IF(OR(changes[[#This Row],[Type]]="Checklist",changes[[#This Row],[Type]]="checklist-flat"),1+IF(changes[[#This Row],[Type of change]] = "Edit",COUNTIFS($I$4:changes[[#This Row],[Name]],changes[[#This Row],[Name]], $E$4:changes[[#This Row],[Type of change]], "Edit")),B166)</f>
        <v>1</v>
      </c>
      <c r="C167" s="16">
        <v>44515</v>
      </c>
      <c r="D167" s="1" t="s">
        <v>2458</v>
      </c>
      <c r="E167" t="s">
        <v>2453</v>
      </c>
      <c r="F167" s="10"/>
      <c r="G167" s="10" t="s">
        <v>1755</v>
      </c>
      <c r="H167" s="30" t="s">
        <v>55</v>
      </c>
      <c r="I167" s="30" t="s">
        <v>1746</v>
      </c>
      <c r="K167" s="2"/>
      <c r="M167" s="2"/>
    </row>
    <row r="168" spans="1:13">
      <c r="A168" t="s">
        <v>28</v>
      </c>
      <c r="B168">
        <f ca="1">IF(OR(changes[[#This Row],[Type]]="Checklist",changes[[#This Row],[Type]]="checklist-flat"),1+IF(changes[[#This Row],[Type of change]] = "Edit",COUNTIFS($I$4:changes[[#This Row],[Name]],changes[[#This Row],[Name]], $E$4:changes[[#This Row],[Type of change]], "Edit")),B167)</f>
        <v>1</v>
      </c>
      <c r="C168" s="16">
        <v>44515</v>
      </c>
      <c r="D168" s="1" t="s">
        <v>2458</v>
      </c>
      <c r="E168" t="s">
        <v>2453</v>
      </c>
      <c r="F168" s="10"/>
      <c r="G168" s="10" t="s">
        <v>1755</v>
      </c>
      <c r="H168" s="30" t="s">
        <v>437</v>
      </c>
      <c r="I168" s="30" t="s">
        <v>1747</v>
      </c>
      <c r="K168" s="2"/>
      <c r="M168" s="2"/>
    </row>
    <row r="169" spans="1:13">
      <c r="A169" t="s">
        <v>28</v>
      </c>
      <c r="B169">
        <f ca="1">IF(OR(changes[[#This Row],[Type]]="Checklist",changes[[#This Row],[Type]]="checklist-flat"),1+IF(changes[[#This Row],[Type of change]] = "Edit",COUNTIFS($I$4:changes[[#This Row],[Name]],changes[[#This Row],[Name]], $E$4:changes[[#This Row],[Type of change]], "Edit")),B168)</f>
        <v>1</v>
      </c>
      <c r="C169" s="16">
        <v>44515</v>
      </c>
      <c r="D169" s="1" t="s">
        <v>2458</v>
      </c>
      <c r="E169" t="s">
        <v>2453</v>
      </c>
      <c r="F169" s="10"/>
      <c r="G169" s="10" t="s">
        <v>1755</v>
      </c>
      <c r="H169" s="30" t="s">
        <v>55</v>
      </c>
      <c r="I169" s="30" t="s">
        <v>1748</v>
      </c>
      <c r="K169" s="2"/>
      <c r="M169" s="2"/>
    </row>
    <row r="170" spans="1:13">
      <c r="A170" t="s">
        <v>28</v>
      </c>
      <c r="B170">
        <f ca="1">IF(OR(changes[[#This Row],[Type]]="Checklist",changes[[#This Row],[Type]]="checklist-flat"),1+IF(changes[[#This Row],[Type of change]] = "Edit",COUNTIFS($I$4:changes[[#This Row],[Name]],changes[[#This Row],[Name]], $E$4:changes[[#This Row],[Type of change]], "Edit")),B169)</f>
        <v>1</v>
      </c>
      <c r="C170" s="16">
        <v>44515</v>
      </c>
      <c r="D170" s="1" t="s">
        <v>2458</v>
      </c>
      <c r="E170" t="s">
        <v>2453</v>
      </c>
      <c r="F170" s="10"/>
      <c r="G170" s="10" t="s">
        <v>1755</v>
      </c>
      <c r="H170" s="30" t="s">
        <v>55</v>
      </c>
      <c r="I170" s="30" t="s">
        <v>1749</v>
      </c>
      <c r="K170" s="2"/>
      <c r="M170" s="2"/>
    </row>
    <row r="171" spans="1:13">
      <c r="A171" t="s">
        <v>28</v>
      </c>
      <c r="B171">
        <f ca="1">IF(OR(changes[[#This Row],[Type]]="Checklist",changes[[#This Row],[Type]]="checklist-flat"),1+IF(changes[[#This Row],[Type of change]] = "Edit",COUNTIFS($I$4:changes[[#This Row],[Name]],changes[[#This Row],[Name]], $E$4:changes[[#This Row],[Type of change]], "Edit")),B170)</f>
        <v>1</v>
      </c>
      <c r="C171" s="16">
        <v>44515</v>
      </c>
      <c r="D171" s="1" t="s">
        <v>2458</v>
      </c>
      <c r="E171" t="s">
        <v>2453</v>
      </c>
      <c r="F171" s="10"/>
      <c r="G171" s="10" t="s">
        <v>1755</v>
      </c>
      <c r="H171" s="30" t="s">
        <v>55</v>
      </c>
      <c r="I171" s="30" t="s">
        <v>1750</v>
      </c>
      <c r="K171" s="2"/>
      <c r="M171" s="2"/>
    </row>
    <row r="172" spans="1:13">
      <c r="A172" t="s">
        <v>28</v>
      </c>
      <c r="B172">
        <f ca="1">IF(OR(changes[[#This Row],[Type]]="Checklist",changes[[#This Row],[Type]]="checklist-flat"),1+IF(changes[[#This Row],[Type of change]] = "Edit",COUNTIFS($I$4:changes[[#This Row],[Name]],changes[[#This Row],[Name]], $E$4:changes[[#This Row],[Type of change]], "Edit")),B171)</f>
        <v>1</v>
      </c>
      <c r="C172" s="16">
        <v>44515</v>
      </c>
      <c r="D172" s="1" t="s">
        <v>2458</v>
      </c>
      <c r="E172" t="s">
        <v>2453</v>
      </c>
      <c r="F172" s="10"/>
      <c r="G172" s="10" t="s">
        <v>1755</v>
      </c>
      <c r="H172" s="30" t="s">
        <v>479</v>
      </c>
      <c r="I172" s="30" t="s">
        <v>1751</v>
      </c>
      <c r="K172" s="2"/>
      <c r="M172" s="2"/>
    </row>
    <row r="173" spans="1:13">
      <c r="A173" t="s">
        <v>28</v>
      </c>
      <c r="B173">
        <f ca="1">IF(OR(changes[[#This Row],[Type]]="Checklist",changes[[#This Row],[Type]]="checklist-flat"),1+IF(changes[[#This Row],[Type of change]] = "Edit",COUNTIFS($I$4:changes[[#This Row],[Name]],changes[[#This Row],[Name]], $E$4:changes[[#This Row],[Type of change]], "Edit")),B172)</f>
        <v>1</v>
      </c>
      <c r="C173" s="16">
        <v>44515</v>
      </c>
      <c r="D173" s="1" t="s">
        <v>2458</v>
      </c>
      <c r="E173" t="s">
        <v>2453</v>
      </c>
      <c r="F173" s="10"/>
      <c r="G173" s="10" t="s">
        <v>1755</v>
      </c>
      <c r="H173" s="30" t="s">
        <v>55</v>
      </c>
      <c r="I173" s="30" t="s">
        <v>1752</v>
      </c>
      <c r="K173" s="2"/>
      <c r="M173" s="2"/>
    </row>
    <row r="174" spans="1:13">
      <c r="A174" t="s">
        <v>28</v>
      </c>
      <c r="B174">
        <f ca="1">IF(OR(changes[[#This Row],[Type]]="Checklist",changes[[#This Row],[Type]]="checklist-flat"),1+IF(changes[[#This Row],[Type of change]] = "Edit",COUNTIFS($I$4:changes[[#This Row],[Name]],changes[[#This Row],[Name]], $E$4:changes[[#This Row],[Type of change]], "Edit")),B173)</f>
        <v>1</v>
      </c>
      <c r="C174" s="16">
        <v>44515</v>
      </c>
      <c r="D174" s="1" t="s">
        <v>2458</v>
      </c>
      <c r="E174" t="s">
        <v>2453</v>
      </c>
      <c r="F174" s="10"/>
      <c r="G174" s="10" t="s">
        <v>1755</v>
      </c>
      <c r="H174" s="30" t="s">
        <v>994</v>
      </c>
      <c r="I174" s="30" t="s">
        <v>1753</v>
      </c>
      <c r="K174" s="2"/>
      <c r="M174" s="2"/>
    </row>
    <row r="175" spans="1:13">
      <c r="A175" t="s">
        <v>28</v>
      </c>
      <c r="B175">
        <f ca="1">IF(OR(changes[[#This Row],[Type]]="Checklist",changes[[#This Row],[Type]]="checklist-flat"),1+IF(changes[[#This Row],[Type of change]] = "Edit",COUNTIFS($I$4:changes[[#This Row],[Name]],changes[[#This Row],[Name]], $E$4:changes[[#This Row],[Type of change]], "Edit")),B174)</f>
        <v>1</v>
      </c>
      <c r="C175" s="16">
        <v>44515</v>
      </c>
      <c r="D175" s="1" t="s">
        <v>2458</v>
      </c>
      <c r="E175" t="s">
        <v>2453</v>
      </c>
      <c r="F175" s="10"/>
      <c r="G175" s="10" t="s">
        <v>1755</v>
      </c>
      <c r="H175" s="30" t="s">
        <v>55</v>
      </c>
      <c r="I175" s="30" t="s">
        <v>1754</v>
      </c>
      <c r="K175" s="2"/>
      <c r="M175" s="2"/>
    </row>
    <row r="176" spans="1:13">
      <c r="A176" t="s">
        <v>28</v>
      </c>
      <c r="B176">
        <f ca="1">IF(OR(changes[[#This Row],[Type]]="Checklist",changes[[#This Row],[Type]]="checklist-flat"),1+IF(changes[[#This Row],[Type of change]] = "Edit",COUNTIFS($I$4:changes[[#This Row],[Name]],changes[[#This Row],[Name]], $E$4:changes[[#This Row],[Type of change]], "Edit")),B175)</f>
        <v>2</v>
      </c>
      <c r="C176" s="16">
        <v>44530</v>
      </c>
      <c r="D176" s="1" t="s">
        <v>2458</v>
      </c>
      <c r="E176" t="s">
        <v>15</v>
      </c>
      <c r="F176" s="10"/>
      <c r="G176" s="10" t="s">
        <v>106</v>
      </c>
      <c r="H176" t="s">
        <v>54</v>
      </c>
      <c r="I176" t="s">
        <v>106</v>
      </c>
      <c r="K176" s="2"/>
      <c r="M176" s="2"/>
    </row>
    <row r="177" spans="1:13">
      <c r="A177" t="s">
        <v>28</v>
      </c>
      <c r="B177">
        <f ca="1">IF(OR(changes[[#This Row],[Type]]="Checklist",changes[[#This Row],[Type]]="checklist-flat"),1+IF(changes[[#This Row],[Type of change]] = "Edit",COUNTIFS($I$4:changes[[#This Row],[Name]],changes[[#This Row],[Name]], $E$4:changes[[#This Row],[Type of change]], "Edit")),B176)</f>
        <v>2</v>
      </c>
      <c r="C177" s="16">
        <v>44530</v>
      </c>
      <c r="D177" s="1" t="s">
        <v>2458</v>
      </c>
      <c r="E177" t="s">
        <v>15</v>
      </c>
      <c r="F177" s="10"/>
      <c r="G177" s="10" t="s">
        <v>106</v>
      </c>
      <c r="H177" t="s">
        <v>55</v>
      </c>
      <c r="I177" t="s">
        <v>107</v>
      </c>
      <c r="K177" s="2"/>
      <c r="M177" s="2"/>
    </row>
    <row r="178" spans="1:13">
      <c r="A178" t="s">
        <v>28</v>
      </c>
      <c r="B178">
        <f ca="1">IF(OR(changes[[#This Row],[Type]]="Checklist",changes[[#This Row],[Type]]="checklist-flat"),1+IF(changes[[#This Row],[Type of change]] = "Edit",COUNTIFS($I$4:changes[[#This Row],[Name]],changes[[#This Row],[Name]], $E$4:changes[[#This Row],[Type of change]], "Edit")),B177)</f>
        <v>2</v>
      </c>
      <c r="C178" s="16">
        <v>44530</v>
      </c>
      <c r="D178" s="1" t="s">
        <v>2458</v>
      </c>
      <c r="E178" t="s">
        <v>15</v>
      </c>
      <c r="F178" s="10"/>
      <c r="G178" s="10" t="s">
        <v>106</v>
      </c>
      <c r="H178" t="s">
        <v>55</v>
      </c>
      <c r="I178" t="s">
        <v>108</v>
      </c>
      <c r="K178" s="2"/>
      <c r="M178" s="2"/>
    </row>
    <row r="179" spans="1:13">
      <c r="A179" t="s">
        <v>28</v>
      </c>
      <c r="B179">
        <f ca="1">IF(OR(changes[[#This Row],[Type]]="Checklist",changes[[#This Row],[Type]]="checklist-flat"),1+IF(changes[[#This Row],[Type of change]] = "Edit",COUNTIFS($I$4:changes[[#This Row],[Name]],changes[[#This Row],[Name]], $E$4:changes[[#This Row],[Type of change]], "Edit")),B178)</f>
        <v>2</v>
      </c>
      <c r="C179" s="16">
        <v>44530</v>
      </c>
      <c r="D179" s="1" t="s">
        <v>2458</v>
      </c>
      <c r="E179" t="s">
        <v>15</v>
      </c>
      <c r="F179" s="10"/>
      <c r="G179" s="10" t="s">
        <v>106</v>
      </c>
      <c r="H179" t="s">
        <v>55</v>
      </c>
      <c r="I179" t="s">
        <v>2190</v>
      </c>
      <c r="K179" s="2"/>
      <c r="M179" s="2"/>
    </row>
    <row r="180" spans="1:13">
      <c r="A180" t="s">
        <v>28</v>
      </c>
      <c r="B180">
        <f ca="1">IF(OR(changes[[#This Row],[Type]]="Checklist",changes[[#This Row],[Type]]="checklist-flat"),1+IF(changes[[#This Row],[Type of change]] = "Edit",COUNTIFS($I$4:changes[[#This Row],[Name]],changes[[#This Row],[Name]], $E$4:changes[[#This Row],[Type of change]], "Edit")),B179)</f>
        <v>2</v>
      </c>
      <c r="C180" s="16">
        <v>44530</v>
      </c>
      <c r="D180" s="1" t="s">
        <v>2458</v>
      </c>
      <c r="E180" t="s">
        <v>15</v>
      </c>
      <c r="F180" s="10"/>
      <c r="G180" s="10" t="s">
        <v>106</v>
      </c>
      <c r="H180" t="s">
        <v>55</v>
      </c>
      <c r="I180" t="s">
        <v>110</v>
      </c>
      <c r="K180" s="2"/>
      <c r="M180" s="2"/>
    </row>
    <row r="181" spans="1:13">
      <c r="A181" t="s">
        <v>28</v>
      </c>
      <c r="B181">
        <f ca="1">IF(OR(changes[[#This Row],[Type]]="Checklist",changes[[#This Row],[Type]]="checklist-flat"),1+IF(changes[[#This Row],[Type of change]] = "Edit",COUNTIFS($I$4:changes[[#This Row],[Name]],changes[[#This Row],[Name]], $E$4:changes[[#This Row],[Type of change]], "Edit")),B180)</f>
        <v>2</v>
      </c>
      <c r="C181" s="16">
        <v>44530</v>
      </c>
      <c r="D181" s="1" t="s">
        <v>2458</v>
      </c>
      <c r="E181" t="s">
        <v>15</v>
      </c>
      <c r="F181" s="10"/>
      <c r="G181" s="10" t="s">
        <v>106</v>
      </c>
      <c r="H181" t="s">
        <v>55</v>
      </c>
      <c r="I181" t="s">
        <v>111</v>
      </c>
      <c r="K181" s="2"/>
      <c r="M181" s="2"/>
    </row>
    <row r="182" spans="1:13">
      <c r="A182" t="s">
        <v>28</v>
      </c>
      <c r="B182">
        <f ca="1">IF(OR(changes[[#This Row],[Type]]="Checklist",changes[[#This Row],[Type]]="checklist-flat"),1+IF(changes[[#This Row],[Type of change]] = "Edit",COUNTIFS($I$4:changes[[#This Row],[Name]],changes[[#This Row],[Name]], $E$4:changes[[#This Row],[Type of change]], "Edit")),B181)</f>
        <v>2</v>
      </c>
      <c r="C182" s="16">
        <v>44530</v>
      </c>
      <c r="D182" s="1" t="s">
        <v>2458</v>
      </c>
      <c r="E182" t="s">
        <v>15</v>
      </c>
      <c r="F182" s="10"/>
      <c r="G182" s="10" t="s">
        <v>106</v>
      </c>
      <c r="H182" t="s">
        <v>99</v>
      </c>
      <c r="I182" t="s">
        <v>112</v>
      </c>
      <c r="K182" s="2"/>
      <c r="M182" s="2"/>
    </row>
    <row r="183" spans="1:13">
      <c r="A183" t="s">
        <v>28</v>
      </c>
      <c r="B183">
        <f ca="1">IF(OR(changes[[#This Row],[Type]]="Checklist",changes[[#This Row],[Type]]="checklist-flat"),1+IF(changes[[#This Row],[Type of change]] = "Edit",COUNTIFS($I$4:changes[[#This Row],[Name]],changes[[#This Row],[Name]], $E$4:changes[[#This Row],[Type of change]], "Edit")),B182)</f>
        <v>2</v>
      </c>
      <c r="C183" s="16">
        <v>44530</v>
      </c>
      <c r="D183" s="1" t="s">
        <v>2458</v>
      </c>
      <c r="E183" t="s">
        <v>15</v>
      </c>
      <c r="F183" s="10"/>
      <c r="G183" s="10" t="s">
        <v>106</v>
      </c>
      <c r="H183" t="s">
        <v>99</v>
      </c>
      <c r="I183" t="s">
        <v>113</v>
      </c>
      <c r="K183" s="2"/>
      <c r="M183" s="2"/>
    </row>
    <row r="184" spans="1:13">
      <c r="A184" t="s">
        <v>28</v>
      </c>
      <c r="B184">
        <f ca="1">IF(OR(changes[[#This Row],[Type]]="Checklist",changes[[#This Row],[Type]]="checklist-flat"),1+IF(changes[[#This Row],[Type of change]] = "Edit",COUNTIFS($I$4:changes[[#This Row],[Name]],changes[[#This Row],[Name]], $E$4:changes[[#This Row],[Type of change]], "Edit")),B183)</f>
        <v>2</v>
      </c>
      <c r="C184" s="16">
        <v>44530</v>
      </c>
      <c r="D184" s="1" t="s">
        <v>2458</v>
      </c>
      <c r="E184" t="s">
        <v>15</v>
      </c>
      <c r="F184" s="10"/>
      <c r="G184" s="10" t="s">
        <v>106</v>
      </c>
      <c r="H184" t="s">
        <v>99</v>
      </c>
      <c r="I184" t="s">
        <v>114</v>
      </c>
      <c r="K184" s="2"/>
      <c r="M184" s="2"/>
    </row>
    <row r="185" spans="1:13">
      <c r="A185" t="s">
        <v>28</v>
      </c>
      <c r="B185">
        <f ca="1">IF(OR(changes[[#This Row],[Type]]="Checklist",changes[[#This Row],[Type]]="checklist-flat"),1+IF(changes[[#This Row],[Type of change]] = "Edit",COUNTIFS($I$4:changes[[#This Row],[Name]],changes[[#This Row],[Name]], $E$4:changes[[#This Row],[Type of change]], "Edit")),B184)</f>
        <v>2</v>
      </c>
      <c r="C185" s="16">
        <v>44530</v>
      </c>
      <c r="D185" s="1" t="s">
        <v>2458</v>
      </c>
      <c r="E185" t="s">
        <v>15</v>
      </c>
      <c r="F185" s="10"/>
      <c r="G185" s="10" t="s">
        <v>106</v>
      </c>
      <c r="H185" t="s">
        <v>55</v>
      </c>
      <c r="I185" t="s">
        <v>123</v>
      </c>
      <c r="K185" s="2"/>
      <c r="M185" s="2"/>
    </row>
    <row r="186" spans="1:13">
      <c r="A186" t="s">
        <v>28</v>
      </c>
      <c r="B186">
        <f ca="1">IF(OR(changes[[#This Row],[Type]]="Checklist",changes[[#This Row],[Type]]="checklist-flat"),1+IF(changes[[#This Row],[Type of change]] = "Edit",COUNTIFS($I$4:changes[[#This Row],[Name]],changes[[#This Row],[Name]], $E$4:changes[[#This Row],[Type of change]], "Edit")),B185)</f>
        <v>2</v>
      </c>
      <c r="C186" s="16">
        <v>44530</v>
      </c>
      <c r="D186" s="1" t="s">
        <v>2458</v>
      </c>
      <c r="E186" t="s">
        <v>15</v>
      </c>
      <c r="F186" s="10"/>
      <c r="G186" s="10" t="s">
        <v>106</v>
      </c>
      <c r="H186" t="s">
        <v>55</v>
      </c>
      <c r="I186" t="s">
        <v>124</v>
      </c>
      <c r="K186" s="2"/>
      <c r="M186" s="2"/>
    </row>
    <row r="187" spans="1:13">
      <c r="A187" t="s">
        <v>28</v>
      </c>
      <c r="B187">
        <f ca="1">IF(OR(changes[[#This Row],[Type]]="Checklist",changes[[#This Row],[Type]]="checklist-flat"),1+IF(changes[[#This Row],[Type of change]] = "Edit",COUNTIFS($I$4:changes[[#This Row],[Name]],changes[[#This Row],[Name]], $E$4:changes[[#This Row],[Type of change]], "Edit")),B186)</f>
        <v>2</v>
      </c>
      <c r="C187" s="16">
        <v>44530</v>
      </c>
      <c r="D187" s="1" t="s">
        <v>2458</v>
      </c>
      <c r="E187" t="s">
        <v>15</v>
      </c>
      <c r="F187" s="10"/>
      <c r="G187" s="10" t="s">
        <v>106</v>
      </c>
      <c r="H187" t="s">
        <v>55</v>
      </c>
      <c r="I187" t="s">
        <v>125</v>
      </c>
      <c r="K187" s="2"/>
      <c r="M187" s="2"/>
    </row>
    <row r="188" spans="1:13">
      <c r="A188" t="s">
        <v>28</v>
      </c>
      <c r="B188">
        <f ca="1">IF(OR(changes[[#This Row],[Type]]="Checklist",changes[[#This Row],[Type]]="checklist-flat"),1+IF(changes[[#This Row],[Type of change]] = "Edit",COUNTIFS($I$4:changes[[#This Row],[Name]],changes[[#This Row],[Name]], $E$4:changes[[#This Row],[Type of change]], "Edit")),B187)</f>
        <v>2</v>
      </c>
      <c r="C188" s="16">
        <v>44530</v>
      </c>
      <c r="D188" s="1" t="s">
        <v>2458</v>
      </c>
      <c r="E188" t="s">
        <v>15</v>
      </c>
      <c r="F188" s="10"/>
      <c r="G188" s="10" t="s">
        <v>2461</v>
      </c>
      <c r="H188" t="s">
        <v>478</v>
      </c>
      <c r="I188" t="s">
        <v>2461</v>
      </c>
      <c r="K188" s="2"/>
      <c r="M188" s="2"/>
    </row>
    <row r="189" spans="1:13">
      <c r="A189" t="s">
        <v>28</v>
      </c>
      <c r="B189">
        <f ca="1">IF(OR(changes[[#This Row],[Type]]="Checklist",changes[[#This Row],[Type]]="checklist-flat"),1+IF(changes[[#This Row],[Type of change]] = "Edit",COUNTIFS($I$4:changes[[#This Row],[Name]],changes[[#This Row],[Name]], $E$4:changes[[#This Row],[Type of change]], "Edit")),B188)</f>
        <v>2</v>
      </c>
      <c r="C189" s="16">
        <v>44530</v>
      </c>
      <c r="D189" s="1" t="s">
        <v>2458</v>
      </c>
      <c r="E189" t="s">
        <v>15</v>
      </c>
      <c r="F189" s="10"/>
      <c r="G189" s="10" t="s">
        <v>2461</v>
      </c>
      <c r="H189" t="s">
        <v>479</v>
      </c>
      <c r="I189" t="s">
        <v>1716</v>
      </c>
      <c r="K189" s="2"/>
      <c r="M189" s="2"/>
    </row>
    <row r="190" spans="1:13">
      <c r="A190" t="s">
        <v>28</v>
      </c>
      <c r="B190">
        <f ca="1">IF(OR(changes[[#This Row],[Type]]="Checklist",changes[[#This Row],[Type]]="checklist-flat"),1+IF(changes[[#This Row],[Type of change]] = "Edit",COUNTIFS($I$4:changes[[#This Row],[Name]],changes[[#This Row],[Name]], $E$4:changes[[#This Row],[Type of change]], "Edit")),B189)</f>
        <v>2</v>
      </c>
      <c r="C190" s="16">
        <v>44530</v>
      </c>
      <c r="D190" s="1" t="s">
        <v>2458</v>
      </c>
      <c r="E190" t="s">
        <v>15</v>
      </c>
      <c r="F190" s="10"/>
      <c r="G190" s="10" t="s">
        <v>2461</v>
      </c>
      <c r="H190" t="s">
        <v>55</v>
      </c>
      <c r="I190" t="s">
        <v>1779</v>
      </c>
      <c r="K190" s="2"/>
      <c r="M190" s="2"/>
    </row>
    <row r="191" spans="1:13">
      <c r="A191" t="s">
        <v>28</v>
      </c>
      <c r="B191">
        <f ca="1">IF(OR(changes[[#This Row],[Type]]="Checklist",changes[[#This Row],[Type]]="checklist-flat"),1+IF(changes[[#This Row],[Type of change]] = "Edit",COUNTIFS($I$4:changes[[#This Row],[Name]],changes[[#This Row],[Name]], $E$4:changes[[#This Row],[Type of change]], "Edit")),B190)</f>
        <v>2</v>
      </c>
      <c r="C191" s="16">
        <v>44530</v>
      </c>
      <c r="D191" s="1" t="s">
        <v>2458</v>
      </c>
      <c r="E191" t="s">
        <v>15</v>
      </c>
      <c r="F191" s="10"/>
      <c r="G191" s="10" t="s">
        <v>2461</v>
      </c>
      <c r="H191" t="s">
        <v>214</v>
      </c>
      <c r="I191" t="s">
        <v>1613</v>
      </c>
      <c r="K191" s="2"/>
      <c r="M191" s="2"/>
    </row>
    <row r="192" spans="1:13">
      <c r="A192" t="s">
        <v>28</v>
      </c>
      <c r="B192">
        <f ca="1">IF(OR(changes[[#This Row],[Type]]="Checklist",changes[[#This Row],[Type]]="checklist-flat"),1+IF(changes[[#This Row],[Type of change]] = "Edit",COUNTIFS($I$4:changes[[#This Row],[Name]],changes[[#This Row],[Name]], $E$4:changes[[#This Row],[Type of change]], "Edit")),B191)</f>
        <v>2</v>
      </c>
      <c r="C192" s="16">
        <v>44530</v>
      </c>
      <c r="D192" s="1" t="s">
        <v>2458</v>
      </c>
      <c r="E192" t="s">
        <v>15</v>
      </c>
      <c r="F192" s="10"/>
      <c r="G192" s="10" t="s">
        <v>2461</v>
      </c>
      <c r="H192" t="s">
        <v>214</v>
      </c>
      <c r="I192" t="s">
        <v>1614</v>
      </c>
      <c r="K192" s="2"/>
      <c r="M192" s="2"/>
    </row>
    <row r="193" spans="1:13">
      <c r="A193" t="s">
        <v>28</v>
      </c>
      <c r="B193">
        <f ca="1">IF(OR(changes[[#This Row],[Type]]="Checklist",changes[[#This Row],[Type]]="checklist-flat"),1+IF(changes[[#This Row],[Type of change]] = "Edit",COUNTIFS($I$4:changes[[#This Row],[Name]],changes[[#This Row],[Name]], $E$4:changes[[#This Row],[Type of change]], "Edit")),B192)</f>
        <v>2</v>
      </c>
      <c r="C193" s="16">
        <v>44530</v>
      </c>
      <c r="D193" s="1" t="s">
        <v>2458</v>
      </c>
      <c r="E193" t="s">
        <v>15</v>
      </c>
      <c r="F193" s="10"/>
      <c r="G193" s="10" t="s">
        <v>2461</v>
      </c>
      <c r="H193" t="s">
        <v>55</v>
      </c>
      <c r="I193" t="s">
        <v>1718</v>
      </c>
      <c r="K193" s="2"/>
      <c r="M193" s="2"/>
    </row>
    <row r="194" spans="1:13">
      <c r="A194" t="s">
        <v>28</v>
      </c>
      <c r="B194">
        <f ca="1">IF(OR(changes[[#This Row],[Type]]="Checklist",changes[[#This Row],[Type]]="checklist-flat"),1+IF(changes[[#This Row],[Type of change]] = "Edit",COUNTIFS($I$4:changes[[#This Row],[Name]],changes[[#This Row],[Name]], $E$4:changes[[#This Row],[Type of change]], "Edit")),B193)</f>
        <v>2</v>
      </c>
      <c r="C194" s="16">
        <v>44530</v>
      </c>
      <c r="D194" s="1" t="s">
        <v>2458</v>
      </c>
      <c r="E194" t="s">
        <v>15</v>
      </c>
      <c r="F194" s="10"/>
      <c r="G194" s="10" t="s">
        <v>2461</v>
      </c>
      <c r="H194" t="s">
        <v>479</v>
      </c>
      <c r="I194" t="s">
        <v>1780</v>
      </c>
      <c r="K194" s="2"/>
      <c r="M194" s="2"/>
    </row>
    <row r="195" spans="1:13">
      <c r="A195" t="s">
        <v>28</v>
      </c>
      <c r="B195">
        <f ca="1">IF(OR(changes[[#This Row],[Type]]="Checklist",changes[[#This Row],[Type]]="checklist-flat"),1+IF(changes[[#This Row],[Type of change]] = "Edit",COUNTIFS($I$4:changes[[#This Row],[Name]],changes[[#This Row],[Name]], $E$4:changes[[#This Row],[Type of change]], "Edit")),B194)</f>
        <v>2</v>
      </c>
      <c r="C195" s="16">
        <v>44530</v>
      </c>
      <c r="D195" s="1" t="s">
        <v>2458</v>
      </c>
      <c r="E195" t="s">
        <v>15</v>
      </c>
      <c r="F195" s="10"/>
      <c r="G195" s="10" t="s">
        <v>2461</v>
      </c>
      <c r="H195" t="s">
        <v>55</v>
      </c>
      <c r="I195" t="s">
        <v>1781</v>
      </c>
      <c r="K195" s="2"/>
      <c r="M195" s="2"/>
    </row>
    <row r="196" spans="1:13">
      <c r="A196" t="s">
        <v>28</v>
      </c>
      <c r="B196">
        <f ca="1">IF(OR(changes[[#This Row],[Type]]="Checklist",changes[[#This Row],[Type]]="checklist-flat"),1+IF(changes[[#This Row],[Type of change]] = "Edit",COUNTIFS($I$4:changes[[#This Row],[Name]],changes[[#This Row],[Name]], $E$4:changes[[#This Row],[Type of change]], "Edit")),B195)</f>
        <v>2</v>
      </c>
      <c r="C196" s="16">
        <v>44530</v>
      </c>
      <c r="D196" s="1" t="s">
        <v>2458</v>
      </c>
      <c r="E196" t="s">
        <v>15</v>
      </c>
      <c r="F196" s="10"/>
      <c r="G196" s="10" t="s">
        <v>2461</v>
      </c>
      <c r="H196" t="s">
        <v>55</v>
      </c>
      <c r="I196" t="s">
        <v>2462</v>
      </c>
      <c r="K196" s="2"/>
      <c r="M196" s="2"/>
    </row>
    <row r="197" spans="1:13">
      <c r="A197" t="s">
        <v>28</v>
      </c>
      <c r="B197">
        <f ca="1">IF(OR(changes[[#This Row],[Type]]="Checklist",changes[[#This Row],[Type]]="checklist-flat"),1+IF(changes[[#This Row],[Type of change]] = "Edit",COUNTIFS($I$4:changes[[#This Row],[Name]],changes[[#This Row],[Name]], $E$4:changes[[#This Row],[Type of change]], "Edit")),B196)</f>
        <v>2</v>
      </c>
      <c r="C197" s="16">
        <v>44530</v>
      </c>
      <c r="D197" s="1" t="s">
        <v>2458</v>
      </c>
      <c r="E197" t="s">
        <v>15</v>
      </c>
      <c r="F197" s="10"/>
      <c r="G197" s="10" t="s">
        <v>2461</v>
      </c>
      <c r="H197" t="s">
        <v>479</v>
      </c>
      <c r="I197" t="s">
        <v>1721</v>
      </c>
      <c r="K197" s="2"/>
      <c r="M197" s="2"/>
    </row>
    <row r="198" spans="1:13">
      <c r="A198" t="s">
        <v>28</v>
      </c>
      <c r="B198">
        <f ca="1">IF(OR(changes[[#This Row],[Type]]="Checklist",changes[[#This Row],[Type]]="checklist-flat"),1+IF(changes[[#This Row],[Type of change]] = "Edit",COUNTIFS($I$4:changes[[#This Row],[Name]],changes[[#This Row],[Name]], $E$4:changes[[#This Row],[Type of change]], "Edit")),B197)</f>
        <v>2</v>
      </c>
      <c r="C198" s="16">
        <v>44530</v>
      </c>
      <c r="D198" s="1" t="s">
        <v>2458</v>
      </c>
      <c r="E198" t="s">
        <v>15</v>
      </c>
      <c r="F198" s="10"/>
      <c r="G198" s="10" t="s">
        <v>2461</v>
      </c>
      <c r="H198" t="s">
        <v>55</v>
      </c>
      <c r="I198" t="s">
        <v>1722</v>
      </c>
      <c r="K198" s="2"/>
      <c r="M198" s="2"/>
    </row>
    <row r="199" spans="1:13">
      <c r="A199" t="s">
        <v>28</v>
      </c>
      <c r="B199">
        <f ca="1">IF(OR(changes[[#This Row],[Type]]="Checklist",changes[[#This Row],[Type]]="checklist-flat"),1+IF(changes[[#This Row],[Type of change]] = "Edit",COUNTIFS($I$4:changes[[#This Row],[Name]],changes[[#This Row],[Name]], $E$4:changes[[#This Row],[Type of change]], "Edit")),B198)</f>
        <v>2</v>
      </c>
      <c r="C199" s="16">
        <v>44530</v>
      </c>
      <c r="D199" s="1" t="s">
        <v>2458</v>
      </c>
      <c r="E199" t="s">
        <v>15</v>
      </c>
      <c r="F199" s="10"/>
      <c r="G199" s="10" t="s">
        <v>2461</v>
      </c>
      <c r="H199" t="s">
        <v>479</v>
      </c>
      <c r="I199" t="s">
        <v>1734</v>
      </c>
      <c r="K199" s="2"/>
      <c r="M199" s="2"/>
    </row>
    <row r="200" spans="1:13">
      <c r="A200" t="s">
        <v>28</v>
      </c>
      <c r="B200">
        <f ca="1">IF(OR(changes[[#This Row],[Type]]="Checklist",changes[[#This Row],[Type]]="checklist-flat"),1+IF(changes[[#This Row],[Type of change]] = "Edit",COUNTIFS($I$4:changes[[#This Row],[Name]],changes[[#This Row],[Name]], $E$4:changes[[#This Row],[Type of change]], "Edit")),B199)</f>
        <v>2</v>
      </c>
      <c r="C200" s="16">
        <v>44530</v>
      </c>
      <c r="D200" s="1" t="s">
        <v>2458</v>
      </c>
      <c r="E200" t="s">
        <v>15</v>
      </c>
      <c r="F200" s="10"/>
      <c r="G200" s="10" t="s">
        <v>2461</v>
      </c>
      <c r="H200" t="s">
        <v>55</v>
      </c>
      <c r="I200" t="s">
        <v>1737</v>
      </c>
      <c r="K200" s="2"/>
      <c r="M200" s="2"/>
    </row>
    <row r="201" spans="1:13">
      <c r="A201" t="s">
        <v>28</v>
      </c>
      <c r="B201">
        <f ca="1">IF(OR(changes[[#This Row],[Type]]="Checklist",changes[[#This Row],[Type]]="checklist-flat"),1+IF(changes[[#This Row],[Type of change]] = "Edit",COUNTIFS($I$4:changes[[#This Row],[Name]],changes[[#This Row],[Name]], $E$4:changes[[#This Row],[Type of change]], "Edit")),B200)</f>
        <v>2</v>
      </c>
      <c r="C201" s="16">
        <v>44530</v>
      </c>
      <c r="D201" s="1" t="s">
        <v>2458</v>
      </c>
      <c r="E201" t="s">
        <v>15</v>
      </c>
      <c r="F201" s="10"/>
      <c r="G201" s="10" t="s">
        <v>2461</v>
      </c>
      <c r="H201" t="s">
        <v>64</v>
      </c>
      <c r="I201" t="s">
        <v>65</v>
      </c>
      <c r="K201" s="2"/>
      <c r="M201" s="2"/>
    </row>
    <row r="202" spans="1:13">
      <c r="A202" t="s">
        <v>28</v>
      </c>
      <c r="B202">
        <f ca="1">IF(OR(changes[[#This Row],[Type]]="Checklist",changes[[#This Row],[Type]]="checklist-flat"),1+IF(changes[[#This Row],[Type of change]] = "Edit",COUNTIFS($I$4:changes[[#This Row],[Name]],changes[[#This Row],[Name]], $E$4:changes[[#This Row],[Type of change]], "Edit")),B201)</f>
        <v>2</v>
      </c>
      <c r="C202" s="16">
        <v>44530</v>
      </c>
      <c r="D202" s="1" t="s">
        <v>2458</v>
      </c>
      <c r="E202" t="s">
        <v>15</v>
      </c>
      <c r="F202" s="10"/>
      <c r="G202" s="10" t="s">
        <v>2461</v>
      </c>
      <c r="H202" t="s">
        <v>55</v>
      </c>
      <c r="I202" t="s">
        <v>1784</v>
      </c>
      <c r="K202" s="2"/>
      <c r="M202" s="2"/>
    </row>
    <row r="203" spans="1:13">
      <c r="A203" t="s">
        <v>28</v>
      </c>
      <c r="B203">
        <f ca="1">IF(OR(changes[[#This Row],[Type]]="Checklist",changes[[#This Row],[Type]]="checklist-flat"),1+IF(changes[[#This Row],[Type of change]] = "Edit",COUNTIFS($I$4:changes[[#This Row],[Name]],changes[[#This Row],[Name]], $E$4:changes[[#This Row],[Type of change]], "Edit")),B202)</f>
        <v>2</v>
      </c>
      <c r="C203" s="16">
        <v>44530</v>
      </c>
      <c r="D203" s="1" t="s">
        <v>2458</v>
      </c>
      <c r="E203" t="s">
        <v>15</v>
      </c>
      <c r="F203" s="10"/>
      <c r="G203" s="10" t="s">
        <v>2461</v>
      </c>
      <c r="H203" t="s">
        <v>55</v>
      </c>
      <c r="I203" t="s">
        <v>1738</v>
      </c>
      <c r="K203" s="2"/>
      <c r="M203" s="2"/>
    </row>
    <row r="204" spans="1:13">
      <c r="A204" t="s">
        <v>28</v>
      </c>
      <c r="B204">
        <f ca="1">IF(OR(changes[[#This Row],[Type]]="Checklist",changes[[#This Row],[Type]]="checklist-flat"),1+IF(changes[[#This Row],[Type of change]] = "Edit",COUNTIFS($I$4:changes[[#This Row],[Name]],changes[[#This Row],[Name]], $E$4:changes[[#This Row],[Type of change]], "Edit")),B203)</f>
        <v>2</v>
      </c>
      <c r="C204" s="16">
        <v>44530</v>
      </c>
      <c r="D204" s="1" t="s">
        <v>2458</v>
      </c>
      <c r="E204" t="s">
        <v>15</v>
      </c>
      <c r="F204" s="10"/>
      <c r="G204" s="10" t="s">
        <v>2461</v>
      </c>
      <c r="H204" t="s">
        <v>479</v>
      </c>
      <c r="I204" t="s">
        <v>1739</v>
      </c>
      <c r="K204" s="2"/>
      <c r="M204" s="2"/>
    </row>
    <row r="205" spans="1:13">
      <c r="A205" t="s">
        <v>28</v>
      </c>
      <c r="B205">
        <f ca="1">IF(OR(changes[[#This Row],[Type]]="Checklist",changes[[#This Row],[Type]]="checklist-flat"),1+IF(changes[[#This Row],[Type of change]] = "Edit",COUNTIFS($I$4:changes[[#This Row],[Name]],changes[[#This Row],[Name]], $E$4:changes[[#This Row],[Type of change]], "Edit")),B204)</f>
        <v>2</v>
      </c>
      <c r="C205" s="16">
        <v>44530</v>
      </c>
      <c r="D205" s="1" t="s">
        <v>2458</v>
      </c>
      <c r="E205" t="s">
        <v>15</v>
      </c>
      <c r="F205" s="10"/>
      <c r="G205" s="10" t="s">
        <v>2461</v>
      </c>
      <c r="H205" t="s">
        <v>55</v>
      </c>
      <c r="I205" t="s">
        <v>1621</v>
      </c>
      <c r="K205" s="2"/>
      <c r="M205" s="2"/>
    </row>
    <row r="206" spans="1:13">
      <c r="A206" t="s">
        <v>28</v>
      </c>
      <c r="B206">
        <f ca="1">IF(OR(changes[[#This Row],[Type]]="Checklist",changes[[#This Row],[Type]]="checklist-flat"),1+IF(changes[[#This Row],[Type of change]] = "Edit",COUNTIFS($I$4:changes[[#This Row],[Name]],changes[[#This Row],[Name]], $E$4:changes[[#This Row],[Type of change]], "Edit")),B205)</f>
        <v>2</v>
      </c>
      <c r="C206" s="16">
        <v>44530</v>
      </c>
      <c r="D206" s="1" t="s">
        <v>2458</v>
      </c>
      <c r="E206" t="s">
        <v>15</v>
      </c>
      <c r="F206" s="10"/>
      <c r="G206" s="10" t="s">
        <v>2461</v>
      </c>
      <c r="H206" t="s">
        <v>55</v>
      </c>
      <c r="I206" t="s">
        <v>1581</v>
      </c>
      <c r="K206" s="2"/>
      <c r="M206" s="2"/>
    </row>
    <row r="207" spans="1:13">
      <c r="A207" t="s">
        <v>28</v>
      </c>
      <c r="B207">
        <f ca="1">IF(OR(changes[[#This Row],[Type]]="Checklist",changes[[#This Row],[Type]]="checklist-flat"),1+IF(changes[[#This Row],[Type of change]] = "Edit",COUNTIFS($I$4:changes[[#This Row],[Name]],changes[[#This Row],[Name]], $E$4:changes[[#This Row],[Type of change]], "Edit")),B206)</f>
        <v>2</v>
      </c>
      <c r="C207" s="16">
        <v>44530</v>
      </c>
      <c r="D207" s="1" t="s">
        <v>2458</v>
      </c>
      <c r="E207" t="s">
        <v>15</v>
      </c>
      <c r="F207" s="10"/>
      <c r="G207" s="10" t="s">
        <v>2461</v>
      </c>
      <c r="H207" t="s">
        <v>479</v>
      </c>
      <c r="I207" t="s">
        <v>1751</v>
      </c>
      <c r="K207" s="2"/>
      <c r="M207" s="2"/>
    </row>
    <row r="208" spans="1:13">
      <c r="A208" t="s">
        <v>28</v>
      </c>
      <c r="B208">
        <f ca="1">IF(OR(changes[[#This Row],[Type]]="Checklist",changes[[#This Row],[Type]]="checklist-flat"),1+IF(changes[[#This Row],[Type of change]] = "Edit",COUNTIFS($I$4:changes[[#This Row],[Name]],changes[[#This Row],[Name]], $E$4:changes[[#This Row],[Type of change]], "Edit")),B207)</f>
        <v>2</v>
      </c>
      <c r="C208" s="16">
        <v>44530</v>
      </c>
      <c r="D208" s="1" t="s">
        <v>2458</v>
      </c>
      <c r="E208" t="s">
        <v>15</v>
      </c>
      <c r="F208" s="10"/>
      <c r="G208" s="10" t="s">
        <v>2461</v>
      </c>
      <c r="H208" t="s">
        <v>55</v>
      </c>
      <c r="I208" t="s">
        <v>1752</v>
      </c>
      <c r="K208" s="2"/>
      <c r="M208" s="2"/>
    </row>
    <row r="209" spans="1:13">
      <c r="A209" t="s">
        <v>28</v>
      </c>
      <c r="B209">
        <f ca="1">IF(OR(changes[[#This Row],[Type]]="Checklist",changes[[#This Row],[Type]]="checklist-flat"),1+IF(changes[[#This Row],[Type of change]] = "Edit",COUNTIFS($I$4:changes[[#This Row],[Name]],changes[[#This Row],[Name]], $E$4:changes[[#This Row],[Type of change]], "Edit")),B208)</f>
        <v>2</v>
      </c>
      <c r="C209" s="16">
        <v>44530</v>
      </c>
      <c r="D209" s="1" t="s">
        <v>2458</v>
      </c>
      <c r="E209" t="s">
        <v>15</v>
      </c>
      <c r="F209" s="10"/>
      <c r="G209" s="10" t="s">
        <v>2461</v>
      </c>
      <c r="H209" t="s">
        <v>64</v>
      </c>
      <c r="I209" t="s">
        <v>65</v>
      </c>
      <c r="K209" s="2"/>
      <c r="M209" s="2"/>
    </row>
    <row r="210" spans="1:13">
      <c r="A210" t="s">
        <v>28</v>
      </c>
      <c r="B210">
        <f ca="1">IF(OR(changes[[#This Row],[Type]]="Checklist",changes[[#This Row],[Type]]="checklist-flat"),1+IF(changes[[#This Row],[Type of change]] = "Edit",COUNTIFS($I$4:changes[[#This Row],[Name]],changes[[#This Row],[Name]], $E$4:changes[[#This Row],[Type of change]], "Edit")),B209)</f>
        <v>2</v>
      </c>
      <c r="C210" s="16">
        <v>44530</v>
      </c>
      <c r="D210" s="1" t="s">
        <v>2458</v>
      </c>
      <c r="E210" t="s">
        <v>15</v>
      </c>
      <c r="F210" s="10"/>
      <c r="G210" s="10" t="s">
        <v>2461</v>
      </c>
      <c r="H210" t="s">
        <v>55</v>
      </c>
      <c r="I210" t="s">
        <v>1754</v>
      </c>
      <c r="K210" s="2"/>
      <c r="M210" s="2"/>
    </row>
    <row r="211" spans="1:13">
      <c r="A211" t="s">
        <v>28</v>
      </c>
      <c r="B211">
        <f ca="1">IF(OR(changes[[#This Row],[Type]]="Checklist",changes[[#This Row],[Type]]="checklist-flat"),1+IF(changes[[#This Row],[Type of change]] = "Edit",COUNTIFS($I$4:changes[[#This Row],[Name]],changes[[#This Row],[Name]], $E$4:changes[[#This Row],[Type of change]], "Edit")),B210)</f>
        <v>2</v>
      </c>
      <c r="C211" s="16">
        <v>44530</v>
      </c>
      <c r="D211" s="1" t="s">
        <v>2458</v>
      </c>
      <c r="E211" t="s">
        <v>15</v>
      </c>
      <c r="F211" s="10"/>
      <c r="G211" s="10" t="s">
        <v>1702</v>
      </c>
      <c r="H211" t="s">
        <v>54</v>
      </c>
      <c r="I211" t="s">
        <v>1702</v>
      </c>
      <c r="K211" s="2"/>
      <c r="M211" s="2"/>
    </row>
    <row r="212" spans="1:13">
      <c r="A212" t="s">
        <v>28</v>
      </c>
      <c r="B212">
        <f ca="1">IF(OR(changes[[#This Row],[Type]]="Checklist",changes[[#This Row],[Type]]="checklist-flat"),1+IF(changes[[#This Row],[Type of change]] = "Edit",COUNTIFS($I$4:changes[[#This Row],[Name]],changes[[#This Row],[Name]], $E$4:changes[[#This Row],[Type of change]], "Edit")),B211)</f>
        <v>2</v>
      </c>
      <c r="C212" s="16">
        <v>44530</v>
      </c>
      <c r="D212" s="1" t="s">
        <v>2458</v>
      </c>
      <c r="E212" t="s">
        <v>15</v>
      </c>
      <c r="F212" s="10"/>
      <c r="G212" s="10" t="s">
        <v>1702</v>
      </c>
      <c r="H212" t="s">
        <v>55</v>
      </c>
      <c r="I212" t="s">
        <v>1703</v>
      </c>
      <c r="K212" s="2"/>
      <c r="M212" s="2"/>
    </row>
    <row r="213" spans="1:13">
      <c r="A213" t="s">
        <v>28</v>
      </c>
      <c r="B213">
        <f ca="1">IF(OR(changes[[#This Row],[Type]]="Checklist",changes[[#This Row],[Type]]="checklist-flat"),1+IF(changes[[#This Row],[Type of change]] = "Edit",COUNTIFS($I$4:changes[[#This Row],[Name]],changes[[#This Row],[Name]], $E$4:changes[[#This Row],[Type of change]], "Edit")),B212)</f>
        <v>2</v>
      </c>
      <c r="C213" s="16">
        <v>44530</v>
      </c>
      <c r="D213" s="1" t="s">
        <v>2458</v>
      </c>
      <c r="E213" t="s">
        <v>15</v>
      </c>
      <c r="F213" s="10"/>
      <c r="G213" s="10" t="s">
        <v>1702</v>
      </c>
      <c r="H213" t="s">
        <v>55</v>
      </c>
      <c r="I213" t="s">
        <v>1704</v>
      </c>
      <c r="K213" s="2"/>
      <c r="M213" s="2"/>
    </row>
    <row r="214" spans="1:13">
      <c r="A214" t="s">
        <v>28</v>
      </c>
      <c r="B214">
        <f ca="1">IF(OR(changes[[#This Row],[Type]]="Checklist",changes[[#This Row],[Type]]="checklist-flat"),1+IF(changes[[#This Row],[Type of change]] = "Edit",COUNTIFS($I$4:changes[[#This Row],[Name]],changes[[#This Row],[Name]], $E$4:changes[[#This Row],[Type of change]], "Edit")),B213)</f>
        <v>2</v>
      </c>
      <c r="C214" s="16">
        <v>44530</v>
      </c>
      <c r="D214" s="1" t="s">
        <v>2458</v>
      </c>
      <c r="E214" t="s">
        <v>15</v>
      </c>
      <c r="F214" s="10"/>
      <c r="G214" s="10" t="s">
        <v>1702</v>
      </c>
      <c r="H214" t="s">
        <v>55</v>
      </c>
      <c r="I214" t="s">
        <v>1705</v>
      </c>
      <c r="K214" s="2"/>
      <c r="M214" s="2"/>
    </row>
    <row r="215" spans="1:13">
      <c r="A215" t="s">
        <v>28</v>
      </c>
      <c r="B215">
        <f ca="1">IF(OR(changes[[#This Row],[Type]]="Checklist",changes[[#This Row],[Type]]="checklist-flat"),1+IF(changes[[#This Row],[Type of change]] = "Edit",COUNTIFS($I$4:changes[[#This Row],[Name]],changes[[#This Row],[Name]], $E$4:changes[[#This Row],[Type of change]], "Edit")),B214)</f>
        <v>2</v>
      </c>
      <c r="C215" s="16">
        <v>44530</v>
      </c>
      <c r="D215" s="1" t="s">
        <v>2458</v>
      </c>
      <c r="E215" t="s">
        <v>15</v>
      </c>
      <c r="F215" s="10"/>
      <c r="G215" s="10" t="s">
        <v>1702</v>
      </c>
      <c r="H215" t="s">
        <v>55</v>
      </c>
      <c r="I215" t="s">
        <v>2463</v>
      </c>
      <c r="K215" s="2"/>
      <c r="M215" s="2"/>
    </row>
    <row r="216" spans="1:13">
      <c r="A216" t="s">
        <v>28</v>
      </c>
      <c r="B216">
        <f ca="1">IF(OR(changes[[#This Row],[Type]]="Checklist",changes[[#This Row],[Type]]="checklist-flat"),1+IF(changes[[#This Row],[Type of change]] = "Edit",COUNTIFS($I$4:changes[[#This Row],[Name]],changes[[#This Row],[Name]], $E$4:changes[[#This Row],[Type of change]], "Edit")),B215)</f>
        <v>2</v>
      </c>
      <c r="C216" s="16">
        <v>44530</v>
      </c>
      <c r="D216" s="1" t="s">
        <v>2458</v>
      </c>
      <c r="E216" t="s">
        <v>15</v>
      </c>
      <c r="F216" s="10"/>
      <c r="G216" s="10" t="s">
        <v>1702</v>
      </c>
      <c r="H216" t="s">
        <v>55</v>
      </c>
      <c r="I216" t="s">
        <v>1707</v>
      </c>
      <c r="K216" s="2"/>
      <c r="M216" s="2"/>
    </row>
    <row r="217" spans="1:13">
      <c r="A217" t="s">
        <v>28</v>
      </c>
      <c r="B217">
        <f ca="1">IF(OR(changes[[#This Row],[Type]]="Checklist",changes[[#This Row],[Type]]="checklist-flat"),1+IF(changes[[#This Row],[Type of change]] = "Edit",COUNTIFS($I$4:changes[[#This Row],[Name]],changes[[#This Row],[Name]], $E$4:changes[[#This Row],[Type of change]], "Edit")),B216)</f>
        <v>2</v>
      </c>
      <c r="C217" s="16">
        <v>44530</v>
      </c>
      <c r="D217" s="1" t="s">
        <v>2458</v>
      </c>
      <c r="E217" t="s">
        <v>15</v>
      </c>
      <c r="F217" s="10"/>
      <c r="G217" s="10" t="s">
        <v>1702</v>
      </c>
      <c r="H217" t="s">
        <v>55</v>
      </c>
      <c r="I217" t="s">
        <v>1708</v>
      </c>
      <c r="K217" s="2"/>
      <c r="M217" s="2"/>
    </row>
    <row r="218" spans="1:13">
      <c r="A218" t="s">
        <v>28</v>
      </c>
      <c r="B218">
        <f ca="1">IF(OR(changes[[#This Row],[Type]]="Checklist",changes[[#This Row],[Type]]="checklist-flat"),1+IF(changes[[#This Row],[Type of change]] = "Edit",COUNTIFS($I$4:changes[[#This Row],[Name]],changes[[#This Row],[Name]], $E$4:changes[[#This Row],[Type of change]], "Edit")),B217)</f>
        <v>2</v>
      </c>
      <c r="C218" s="16">
        <v>44530</v>
      </c>
      <c r="D218" s="1" t="s">
        <v>2458</v>
      </c>
      <c r="E218" t="s">
        <v>15</v>
      </c>
      <c r="F218" s="10"/>
      <c r="G218" s="10" t="s">
        <v>1702</v>
      </c>
      <c r="H218" t="s">
        <v>55</v>
      </c>
      <c r="I218" t="s">
        <v>1709</v>
      </c>
      <c r="K218" s="2"/>
      <c r="M218" s="2"/>
    </row>
    <row r="219" spans="1:13">
      <c r="A219" t="s">
        <v>28</v>
      </c>
      <c r="B219">
        <f ca="1">IF(OR(changes[[#This Row],[Type]]="Checklist",changes[[#This Row],[Type]]="checklist-flat"),1+IF(changes[[#This Row],[Type of change]] = "Edit",COUNTIFS($I$4:changes[[#This Row],[Name]],changes[[#This Row],[Name]], $E$4:changes[[#This Row],[Type of change]], "Edit")),B218)</f>
        <v>2</v>
      </c>
      <c r="C219" s="16">
        <v>44530</v>
      </c>
      <c r="D219" s="1" t="s">
        <v>2458</v>
      </c>
      <c r="E219" t="s">
        <v>15</v>
      </c>
      <c r="F219" s="10"/>
      <c r="G219" s="10" t="s">
        <v>1702</v>
      </c>
      <c r="H219" t="s">
        <v>55</v>
      </c>
      <c r="I219" t="s">
        <v>1710</v>
      </c>
      <c r="K219" s="2"/>
      <c r="M219" s="2"/>
    </row>
    <row r="220" spans="1:13">
      <c r="A220" t="s">
        <v>28</v>
      </c>
      <c r="B220">
        <f ca="1">IF(OR(changes[[#This Row],[Type]]="Checklist",changes[[#This Row],[Type]]="checklist-flat"),1+IF(changes[[#This Row],[Type of change]] = "Edit",COUNTIFS($I$4:changes[[#This Row],[Name]],changes[[#This Row],[Name]], $E$4:changes[[#This Row],[Type of change]], "Edit")),B219)</f>
        <v>2</v>
      </c>
      <c r="C220" s="16">
        <v>44530</v>
      </c>
      <c r="D220" s="1" t="s">
        <v>2458</v>
      </c>
      <c r="E220" t="s">
        <v>15</v>
      </c>
      <c r="F220" s="10"/>
      <c r="G220" s="10" t="s">
        <v>1702</v>
      </c>
      <c r="H220" t="s">
        <v>55</v>
      </c>
      <c r="I220" t="s">
        <v>1711</v>
      </c>
      <c r="K220" s="2"/>
      <c r="M220" s="2"/>
    </row>
    <row r="221" spans="1:13">
      <c r="A221" t="s">
        <v>28</v>
      </c>
      <c r="B221">
        <f ca="1">IF(OR(changes[[#This Row],[Type]]="Checklist",changes[[#This Row],[Type]]="checklist-flat"),1+IF(changes[[#This Row],[Type of change]] = "Edit",COUNTIFS($I$4:changes[[#This Row],[Name]],changes[[#This Row],[Name]], $E$4:changes[[#This Row],[Type of change]], "Edit")),B220)</f>
        <v>2</v>
      </c>
      <c r="C221" s="16">
        <v>44530</v>
      </c>
      <c r="D221" s="1" t="s">
        <v>2458</v>
      </c>
      <c r="E221" t="s">
        <v>15</v>
      </c>
      <c r="F221" s="10"/>
      <c r="G221" s="10" t="s">
        <v>1702</v>
      </c>
      <c r="H221" t="s">
        <v>55</v>
      </c>
      <c r="I221" t="s">
        <v>1712</v>
      </c>
      <c r="K221" s="2"/>
      <c r="M221" s="2"/>
    </row>
    <row r="222" spans="1:13">
      <c r="A222" t="s">
        <v>28</v>
      </c>
      <c r="B222">
        <f ca="1">IF(OR(changes[[#This Row],[Type]]="Checklist",changes[[#This Row],[Type]]="checklist-flat"),1+IF(changes[[#This Row],[Type of change]] = "Edit",COUNTIFS($I$4:changes[[#This Row],[Name]],changes[[#This Row],[Name]], $E$4:changes[[#This Row],[Type of change]], "Edit")),B221)</f>
        <v>2</v>
      </c>
      <c r="C222" s="16">
        <v>44530</v>
      </c>
      <c r="D222" s="1" t="s">
        <v>2458</v>
      </c>
      <c r="E222" t="s">
        <v>15</v>
      </c>
      <c r="F222" s="10"/>
      <c r="G222" s="10" t="s">
        <v>1702</v>
      </c>
      <c r="H222" t="s">
        <v>55</v>
      </c>
      <c r="I222" t="s">
        <v>1713</v>
      </c>
      <c r="K222" s="2"/>
      <c r="M222" s="2"/>
    </row>
    <row r="223" spans="1:13">
      <c r="A223" t="s">
        <v>28</v>
      </c>
      <c r="B223">
        <f ca="1">IF(OR(changes[[#This Row],[Type]]="Checklist",changes[[#This Row],[Type]]="checklist-flat"),1+IF(changes[[#This Row],[Type of change]] = "Edit",COUNTIFS($I$4:changes[[#This Row],[Name]],changes[[#This Row],[Name]], $E$4:changes[[#This Row],[Type of change]], "Edit")),B222)</f>
        <v>2</v>
      </c>
      <c r="C223" s="16">
        <v>44530</v>
      </c>
      <c r="D223" s="1" t="s">
        <v>2458</v>
      </c>
      <c r="E223" t="s">
        <v>15</v>
      </c>
      <c r="F223" s="10"/>
      <c r="G223" s="10" t="s">
        <v>1702</v>
      </c>
      <c r="H223" t="s">
        <v>55</v>
      </c>
      <c r="I223" t="s">
        <v>1714</v>
      </c>
      <c r="K223" s="2"/>
      <c r="M223" s="2"/>
    </row>
    <row r="224" spans="1:13">
      <c r="A224" t="s">
        <v>28</v>
      </c>
      <c r="B224">
        <f ca="1">IF(OR(changes[[#This Row],[Type]]="Checklist",changes[[#This Row],[Type]]="checklist-flat"),1+IF(changes[[#This Row],[Type of change]] = "Edit",COUNTIFS($I$4:changes[[#This Row],[Name]],changes[[#This Row],[Name]], $E$4:changes[[#This Row],[Type of change]], "Edit")),B223)</f>
        <v>2</v>
      </c>
      <c r="C224" s="16">
        <v>44530</v>
      </c>
      <c r="D224" s="1" t="s">
        <v>2458</v>
      </c>
      <c r="E224" t="s">
        <v>15</v>
      </c>
      <c r="F224" s="10"/>
      <c r="G224" s="10" t="s">
        <v>1755</v>
      </c>
      <c r="H224" t="s">
        <v>478</v>
      </c>
      <c r="I224" t="s">
        <v>1755</v>
      </c>
      <c r="K224" s="2"/>
      <c r="M224" s="2"/>
    </row>
    <row r="225" spans="1:13">
      <c r="A225" t="s">
        <v>28</v>
      </c>
      <c r="B225">
        <f ca="1">IF(OR(changes[[#This Row],[Type]]="Checklist",changes[[#This Row],[Type]]="checklist-flat"),1+IF(changes[[#This Row],[Type of change]] = "Edit",COUNTIFS($I$4:changes[[#This Row],[Name]],changes[[#This Row],[Name]], $E$4:changes[[#This Row],[Type of change]], "Edit")),B224)</f>
        <v>2</v>
      </c>
      <c r="C225" s="16">
        <v>44530</v>
      </c>
      <c r="D225" s="1" t="s">
        <v>2458</v>
      </c>
      <c r="E225" t="s">
        <v>15</v>
      </c>
      <c r="F225" s="10"/>
      <c r="G225" s="10" t="s">
        <v>1755</v>
      </c>
      <c r="H225" t="s">
        <v>479</v>
      </c>
      <c r="I225" t="s">
        <v>1716</v>
      </c>
      <c r="K225" s="2"/>
      <c r="M225" s="2"/>
    </row>
    <row r="226" spans="1:13">
      <c r="A226" t="s">
        <v>28</v>
      </c>
      <c r="B226">
        <f ca="1">IF(OR(changes[[#This Row],[Type]]="Checklist",changes[[#This Row],[Type]]="checklist-flat"),1+IF(changes[[#This Row],[Type of change]] = "Edit",COUNTIFS($I$4:changes[[#This Row],[Name]],changes[[#This Row],[Name]], $E$4:changes[[#This Row],[Type of change]], "Edit")),B225)</f>
        <v>2</v>
      </c>
      <c r="C226" s="16">
        <v>44530</v>
      </c>
      <c r="D226" s="1" t="s">
        <v>2458</v>
      </c>
      <c r="E226" t="s">
        <v>15</v>
      </c>
      <c r="F226" s="10"/>
      <c r="G226" s="10" t="s">
        <v>1755</v>
      </c>
      <c r="H226" t="s">
        <v>55</v>
      </c>
      <c r="I226" t="s">
        <v>1717</v>
      </c>
      <c r="K226" s="2"/>
      <c r="M226" s="2"/>
    </row>
    <row r="227" spans="1:13">
      <c r="A227" t="s">
        <v>28</v>
      </c>
      <c r="B227">
        <f ca="1">IF(OR(changes[[#This Row],[Type]]="Checklist",changes[[#This Row],[Type]]="checklist-flat"),1+IF(changes[[#This Row],[Type of change]] = "Edit",COUNTIFS($I$4:changes[[#This Row],[Name]],changes[[#This Row],[Name]], $E$4:changes[[#This Row],[Type of change]], "Edit")),B226)</f>
        <v>2</v>
      </c>
      <c r="C227" s="16">
        <v>44530</v>
      </c>
      <c r="D227" s="1" t="s">
        <v>2458</v>
      </c>
      <c r="E227" t="s">
        <v>15</v>
      </c>
      <c r="F227" s="10"/>
      <c r="G227" s="10" t="s">
        <v>1755</v>
      </c>
      <c r="H227" t="s">
        <v>214</v>
      </c>
      <c r="I227" t="s">
        <v>1613</v>
      </c>
      <c r="K227" s="2"/>
      <c r="M227" s="2"/>
    </row>
    <row r="228" spans="1:13">
      <c r="A228" t="s">
        <v>28</v>
      </c>
      <c r="B228">
        <f ca="1">IF(OR(changes[[#This Row],[Type]]="Checklist",changes[[#This Row],[Type]]="checklist-flat"),1+IF(changes[[#This Row],[Type of change]] = "Edit",COUNTIFS($I$4:changes[[#This Row],[Name]],changes[[#This Row],[Name]], $E$4:changes[[#This Row],[Type of change]], "Edit")),B227)</f>
        <v>2</v>
      </c>
      <c r="C228" s="16">
        <v>44530</v>
      </c>
      <c r="D228" s="1" t="s">
        <v>2458</v>
      </c>
      <c r="E228" t="s">
        <v>15</v>
      </c>
      <c r="F228" s="10"/>
      <c r="G228" s="10" t="s">
        <v>1755</v>
      </c>
      <c r="H228" t="s">
        <v>214</v>
      </c>
      <c r="I228" t="s">
        <v>1614</v>
      </c>
      <c r="K228" s="2"/>
      <c r="M228" s="2"/>
    </row>
    <row r="229" spans="1:13">
      <c r="A229" t="s">
        <v>28</v>
      </c>
      <c r="B229">
        <f ca="1">IF(OR(changes[[#This Row],[Type]]="Checklist",changes[[#This Row],[Type]]="checklist-flat"),1+IF(changes[[#This Row],[Type of change]] = "Edit",COUNTIFS($I$4:changes[[#This Row],[Name]],changes[[#This Row],[Name]], $E$4:changes[[#This Row],[Type of change]], "Edit")),B228)</f>
        <v>2</v>
      </c>
      <c r="C229" s="16">
        <v>44530</v>
      </c>
      <c r="D229" s="1" t="s">
        <v>2458</v>
      </c>
      <c r="E229" t="s">
        <v>15</v>
      </c>
      <c r="F229" s="10"/>
      <c r="G229" s="10" t="s">
        <v>1755</v>
      </c>
      <c r="H229" t="s">
        <v>55</v>
      </c>
      <c r="I229" t="s">
        <v>1718</v>
      </c>
      <c r="K229" s="2"/>
      <c r="M229" s="2"/>
    </row>
    <row r="230" spans="1:13">
      <c r="A230" t="s">
        <v>28</v>
      </c>
      <c r="B230">
        <f ca="1">IF(OR(changes[[#This Row],[Type]]="Checklist",changes[[#This Row],[Type]]="checklist-flat"),1+IF(changes[[#This Row],[Type of change]] = "Edit",COUNTIFS($I$4:changes[[#This Row],[Name]],changes[[#This Row],[Name]], $E$4:changes[[#This Row],[Type of change]], "Edit")),B229)</f>
        <v>2</v>
      </c>
      <c r="C230" s="16">
        <v>44530</v>
      </c>
      <c r="D230" s="1" t="s">
        <v>2458</v>
      </c>
      <c r="E230" t="s">
        <v>15</v>
      </c>
      <c r="F230" s="10"/>
      <c r="G230" s="10" t="s">
        <v>1755</v>
      </c>
      <c r="H230" t="s">
        <v>479</v>
      </c>
      <c r="I230" t="s">
        <v>1719</v>
      </c>
      <c r="K230" s="2"/>
      <c r="M230" s="2"/>
    </row>
    <row r="231" spans="1:13">
      <c r="A231" t="s">
        <v>28</v>
      </c>
      <c r="B231">
        <f ca="1">IF(OR(changes[[#This Row],[Type]]="Checklist",changes[[#This Row],[Type]]="checklist-flat"),1+IF(changes[[#This Row],[Type of change]] = "Edit",COUNTIFS($I$4:changes[[#This Row],[Name]],changes[[#This Row],[Name]], $E$4:changes[[#This Row],[Type of change]], "Edit")),B230)</f>
        <v>2</v>
      </c>
      <c r="C231" s="16">
        <v>44530</v>
      </c>
      <c r="D231" s="1" t="s">
        <v>2458</v>
      </c>
      <c r="E231" t="s">
        <v>15</v>
      </c>
      <c r="F231" s="10"/>
      <c r="G231" s="10" t="s">
        <v>1755</v>
      </c>
      <c r="H231" t="s">
        <v>55</v>
      </c>
      <c r="I231" t="s">
        <v>1720</v>
      </c>
      <c r="K231" s="2"/>
      <c r="M231" s="2"/>
    </row>
    <row r="232" spans="1:13">
      <c r="A232" t="s">
        <v>28</v>
      </c>
      <c r="B232">
        <f ca="1">IF(OR(changes[[#This Row],[Type]]="Checklist",changes[[#This Row],[Type]]="checklist-flat"),1+IF(changes[[#This Row],[Type of change]] = "Edit",COUNTIFS($I$4:changes[[#This Row],[Name]],changes[[#This Row],[Name]], $E$4:changes[[#This Row],[Type of change]], "Edit")),B231)</f>
        <v>2</v>
      </c>
      <c r="C232" s="16">
        <v>44530</v>
      </c>
      <c r="D232" s="1" t="s">
        <v>2458</v>
      </c>
      <c r="E232" t="s">
        <v>15</v>
      </c>
      <c r="F232" s="10"/>
      <c r="G232" s="10" t="s">
        <v>1755</v>
      </c>
      <c r="H232" t="s">
        <v>55</v>
      </c>
      <c r="I232" t="s">
        <v>474</v>
      </c>
      <c r="K232" s="2"/>
      <c r="M232" s="2"/>
    </row>
    <row r="233" spans="1:13">
      <c r="A233" t="s">
        <v>28</v>
      </c>
      <c r="B233">
        <f ca="1">IF(OR(changes[[#This Row],[Type]]="Checklist",changes[[#This Row],[Type]]="checklist-flat"),1+IF(changes[[#This Row],[Type of change]] = "Edit",COUNTIFS($I$4:changes[[#This Row],[Name]],changes[[#This Row],[Name]], $E$4:changes[[#This Row],[Type of change]], "Edit")),B232)</f>
        <v>2</v>
      </c>
      <c r="C233" s="16">
        <v>44530</v>
      </c>
      <c r="D233" s="1" t="s">
        <v>2458</v>
      </c>
      <c r="E233" t="s">
        <v>15</v>
      </c>
      <c r="F233" s="10"/>
      <c r="G233" s="10" t="s">
        <v>1755</v>
      </c>
      <c r="H233" t="s">
        <v>55</v>
      </c>
      <c r="I233" t="s">
        <v>2456</v>
      </c>
      <c r="K233" s="2"/>
      <c r="M233" s="2"/>
    </row>
    <row r="234" spans="1:13">
      <c r="A234" t="s">
        <v>28</v>
      </c>
      <c r="B234">
        <f ca="1">IF(OR(changes[[#This Row],[Type]]="Checklist",changes[[#This Row],[Type]]="checklist-flat"),1+IF(changes[[#This Row],[Type of change]] = "Edit",COUNTIFS($I$4:changes[[#This Row],[Name]],changes[[#This Row],[Name]], $E$4:changes[[#This Row],[Type of change]], "Edit")),B233)</f>
        <v>2</v>
      </c>
      <c r="C234" s="16">
        <v>44530</v>
      </c>
      <c r="D234" s="1" t="s">
        <v>2458</v>
      </c>
      <c r="E234" t="s">
        <v>15</v>
      </c>
      <c r="F234" s="10"/>
      <c r="G234" s="10" t="s">
        <v>1755</v>
      </c>
      <c r="H234" t="s">
        <v>55</v>
      </c>
      <c r="I234" t="s">
        <v>476</v>
      </c>
      <c r="K234" s="2"/>
      <c r="M234" s="2"/>
    </row>
    <row r="235" spans="1:13">
      <c r="A235" t="s">
        <v>28</v>
      </c>
      <c r="B235">
        <f ca="1">IF(OR(changes[[#This Row],[Type]]="Checklist",changes[[#This Row],[Type]]="checklist-flat"),1+IF(changes[[#This Row],[Type of change]] = "Edit",COUNTIFS($I$4:changes[[#This Row],[Name]],changes[[#This Row],[Name]], $E$4:changes[[#This Row],[Type of change]], "Edit")),B234)</f>
        <v>2</v>
      </c>
      <c r="C235" s="16">
        <v>44530</v>
      </c>
      <c r="D235" s="1" t="s">
        <v>2458</v>
      </c>
      <c r="E235" t="s">
        <v>15</v>
      </c>
      <c r="F235" s="10"/>
      <c r="G235" s="10" t="s">
        <v>1755</v>
      </c>
      <c r="H235" t="s">
        <v>479</v>
      </c>
      <c r="I235" t="s">
        <v>1734</v>
      </c>
      <c r="K235" s="2"/>
      <c r="M235" s="2"/>
    </row>
    <row r="236" spans="1:13">
      <c r="A236" t="s">
        <v>28</v>
      </c>
      <c r="B236">
        <f ca="1">IF(OR(changes[[#This Row],[Type]]="Checklist",changes[[#This Row],[Type]]="checklist-flat"),1+IF(changes[[#This Row],[Type of change]] = "Edit",COUNTIFS($I$4:changes[[#This Row],[Name]],changes[[#This Row],[Name]], $E$4:changes[[#This Row],[Type of change]], "Edit")),B235)</f>
        <v>2</v>
      </c>
      <c r="C236" s="16">
        <v>44530</v>
      </c>
      <c r="D236" s="1" t="s">
        <v>2458</v>
      </c>
      <c r="E236" t="s">
        <v>15</v>
      </c>
      <c r="F236" s="10"/>
      <c r="G236" s="10" t="s">
        <v>1755</v>
      </c>
      <c r="H236" t="s">
        <v>55</v>
      </c>
      <c r="I236" t="s">
        <v>1735</v>
      </c>
      <c r="K236" s="2"/>
      <c r="M236" s="2"/>
    </row>
    <row r="237" spans="1:13">
      <c r="A237" t="s">
        <v>28</v>
      </c>
      <c r="B237">
        <f ca="1">IF(OR(changes[[#This Row],[Type]]="Checklist",changes[[#This Row],[Type]]="checklist-flat"),1+IF(changes[[#This Row],[Type of change]] = "Edit",COUNTIFS($I$4:changes[[#This Row],[Name]],changes[[#This Row],[Name]], $E$4:changes[[#This Row],[Type of change]], "Edit")),B236)</f>
        <v>2</v>
      </c>
      <c r="C237" s="16">
        <v>44530</v>
      </c>
      <c r="D237" s="1" t="s">
        <v>2458</v>
      </c>
      <c r="E237" t="s">
        <v>15</v>
      </c>
      <c r="F237" s="10"/>
      <c r="G237" s="10" t="s">
        <v>1755</v>
      </c>
      <c r="H237" t="s">
        <v>55</v>
      </c>
      <c r="I237" t="s">
        <v>1736</v>
      </c>
      <c r="K237" s="2"/>
      <c r="M237" s="2"/>
    </row>
    <row r="238" spans="1:13">
      <c r="A238" t="s">
        <v>28</v>
      </c>
      <c r="B238">
        <f ca="1">IF(OR(changes[[#This Row],[Type]]="Checklist",changes[[#This Row],[Type]]="checklist-flat"),1+IF(changes[[#This Row],[Type of change]] = "Edit",COUNTIFS($I$4:changes[[#This Row],[Name]],changes[[#This Row],[Name]], $E$4:changes[[#This Row],[Type of change]], "Edit")),B237)</f>
        <v>2</v>
      </c>
      <c r="C238" s="16">
        <v>44530</v>
      </c>
      <c r="D238" s="1" t="s">
        <v>2458</v>
      </c>
      <c r="E238" t="s">
        <v>15</v>
      </c>
      <c r="F238" s="10"/>
      <c r="G238" s="10" t="s">
        <v>1755</v>
      </c>
      <c r="H238" t="s">
        <v>55</v>
      </c>
      <c r="I238" t="s">
        <v>1737</v>
      </c>
      <c r="K238" s="2"/>
      <c r="M238" s="2"/>
    </row>
    <row r="239" spans="1:13">
      <c r="A239" t="s">
        <v>28</v>
      </c>
      <c r="B239">
        <f ca="1">IF(OR(changes[[#This Row],[Type]]="Checklist",changes[[#This Row],[Type]]="checklist-flat"),1+IF(changes[[#This Row],[Type of change]] = "Edit",COUNTIFS($I$4:changes[[#This Row],[Name]],changes[[#This Row],[Name]], $E$4:changes[[#This Row],[Type of change]], "Edit")),B238)</f>
        <v>2</v>
      </c>
      <c r="C239" s="16">
        <v>44530</v>
      </c>
      <c r="D239" s="1" t="s">
        <v>2458</v>
      </c>
      <c r="E239" t="s">
        <v>15</v>
      </c>
      <c r="F239" s="10"/>
      <c r="G239" s="10" t="s">
        <v>1755</v>
      </c>
      <c r="H239" t="s">
        <v>55</v>
      </c>
      <c r="I239" t="s">
        <v>1738</v>
      </c>
      <c r="K239" s="2"/>
      <c r="M239" s="2"/>
    </row>
    <row r="240" spans="1:13">
      <c r="A240" t="s">
        <v>28</v>
      </c>
      <c r="B240">
        <f ca="1">IF(OR(changes[[#This Row],[Type]]="Checklist",changes[[#This Row],[Type]]="checklist-flat"),1+IF(changes[[#This Row],[Type of change]] = "Edit",COUNTIFS($I$4:changes[[#This Row],[Name]],changes[[#This Row],[Name]], $E$4:changes[[#This Row],[Type of change]], "Edit")),B239)</f>
        <v>2</v>
      </c>
      <c r="C240" s="16">
        <v>44530</v>
      </c>
      <c r="D240" s="1" t="s">
        <v>2458</v>
      </c>
      <c r="E240" t="s">
        <v>15</v>
      </c>
      <c r="F240" s="10"/>
      <c r="G240" s="10" t="s">
        <v>1755</v>
      </c>
      <c r="H240" t="s">
        <v>479</v>
      </c>
      <c r="I240" t="s">
        <v>1739</v>
      </c>
      <c r="K240" s="2"/>
      <c r="M240" s="2"/>
    </row>
    <row r="241" spans="1:13">
      <c r="A241" t="s">
        <v>28</v>
      </c>
      <c r="B241">
        <f ca="1">IF(OR(changes[[#This Row],[Type]]="Checklist",changes[[#This Row],[Type]]="checklist-flat"),1+IF(changes[[#This Row],[Type of change]] = "Edit",COUNTIFS($I$4:changes[[#This Row],[Name]],changes[[#This Row],[Name]], $E$4:changes[[#This Row],[Type of change]], "Edit")),B240)</f>
        <v>2</v>
      </c>
      <c r="C241" s="16">
        <v>44530</v>
      </c>
      <c r="D241" s="1" t="s">
        <v>2458</v>
      </c>
      <c r="E241" t="s">
        <v>15</v>
      </c>
      <c r="F241" s="10"/>
      <c r="G241" s="10" t="s">
        <v>1755</v>
      </c>
      <c r="H241" t="s">
        <v>55</v>
      </c>
      <c r="I241" t="s">
        <v>1740</v>
      </c>
      <c r="K241" s="2"/>
      <c r="M241" s="2"/>
    </row>
    <row r="242" spans="1:13">
      <c r="A242" t="s">
        <v>28</v>
      </c>
      <c r="B242">
        <f ca="1">IF(OR(changes[[#This Row],[Type]]="Checklist",changes[[#This Row],[Type]]="checklist-flat"),1+IF(changes[[#This Row],[Type of change]] = "Edit",COUNTIFS($I$4:changes[[#This Row],[Name]],changes[[#This Row],[Name]], $E$4:changes[[#This Row],[Type of change]], "Edit")),B241)</f>
        <v>2</v>
      </c>
      <c r="C242" s="16">
        <v>44530</v>
      </c>
      <c r="D242" s="1" t="s">
        <v>2458</v>
      </c>
      <c r="E242" t="s">
        <v>15</v>
      </c>
      <c r="F242" s="10"/>
      <c r="G242" s="10" t="s">
        <v>1755</v>
      </c>
      <c r="H242" t="s">
        <v>214</v>
      </c>
      <c r="I242" t="s">
        <v>1741</v>
      </c>
      <c r="K242" s="2"/>
      <c r="M242" s="2"/>
    </row>
    <row r="243" spans="1:13">
      <c r="A243" t="s">
        <v>28</v>
      </c>
      <c r="B243">
        <f ca="1">IF(OR(changes[[#This Row],[Type]]="Checklist",changes[[#This Row],[Type]]="checklist-flat"),1+IF(changes[[#This Row],[Type of change]] = "Edit",COUNTIFS($I$4:changes[[#This Row],[Name]],changes[[#This Row],[Name]], $E$4:changes[[#This Row],[Type of change]], "Edit")),B242)</f>
        <v>2</v>
      </c>
      <c r="C243" s="16">
        <v>44530</v>
      </c>
      <c r="D243" s="1" t="s">
        <v>2458</v>
      </c>
      <c r="E243" t="s">
        <v>15</v>
      </c>
      <c r="F243" s="10"/>
      <c r="G243" s="10" t="s">
        <v>1755</v>
      </c>
      <c r="H243" t="s">
        <v>214</v>
      </c>
      <c r="I243" t="s">
        <v>1618</v>
      </c>
      <c r="K243" s="2"/>
      <c r="M243" s="2"/>
    </row>
    <row r="244" spans="1:13">
      <c r="A244" t="s">
        <v>28</v>
      </c>
      <c r="B244">
        <f ca="1">IF(OR(changes[[#This Row],[Type]]="Checklist",changes[[#This Row],[Type]]="checklist-flat"),1+IF(changes[[#This Row],[Type of change]] = "Edit",COUNTIFS($I$4:changes[[#This Row],[Name]],changes[[#This Row],[Name]], $E$4:changes[[#This Row],[Type of change]], "Edit")),B243)</f>
        <v>2</v>
      </c>
      <c r="C244" s="16">
        <v>44530</v>
      </c>
      <c r="D244" s="1" t="s">
        <v>2458</v>
      </c>
      <c r="E244" t="s">
        <v>15</v>
      </c>
      <c r="F244" s="10"/>
      <c r="G244" s="10" t="s">
        <v>1755</v>
      </c>
      <c r="H244" t="s">
        <v>214</v>
      </c>
      <c r="I244" t="s">
        <v>1619</v>
      </c>
      <c r="K244" s="2"/>
      <c r="M244" s="2"/>
    </row>
    <row r="245" spans="1:13">
      <c r="A245" t="s">
        <v>28</v>
      </c>
      <c r="B245">
        <f ca="1">IF(OR(changes[[#This Row],[Type]]="Checklist",changes[[#This Row],[Type]]="checklist-flat"),1+IF(changes[[#This Row],[Type of change]] = "Edit",COUNTIFS($I$4:changes[[#This Row],[Name]],changes[[#This Row],[Name]], $E$4:changes[[#This Row],[Type of change]], "Edit")),B244)</f>
        <v>2</v>
      </c>
      <c r="C245" s="16">
        <v>44530</v>
      </c>
      <c r="D245" s="1" t="s">
        <v>2458</v>
      </c>
      <c r="E245" t="s">
        <v>15</v>
      </c>
      <c r="F245" s="10"/>
      <c r="G245" s="10" t="s">
        <v>1755</v>
      </c>
      <c r="H245" t="s">
        <v>214</v>
      </c>
      <c r="I245" t="s">
        <v>1620</v>
      </c>
      <c r="K245" s="2"/>
      <c r="M245" s="2"/>
    </row>
    <row r="246" spans="1:13">
      <c r="A246" t="s">
        <v>28</v>
      </c>
      <c r="B246">
        <f ca="1">IF(OR(changes[[#This Row],[Type]]="Checklist",changes[[#This Row],[Type]]="checklist-flat"),1+IF(changes[[#This Row],[Type of change]] = "Edit",COUNTIFS($I$4:changes[[#This Row],[Name]],changes[[#This Row],[Name]], $E$4:changes[[#This Row],[Type of change]], "Edit")),B245)</f>
        <v>2</v>
      </c>
      <c r="C246" s="16">
        <v>44530</v>
      </c>
      <c r="D246" s="1" t="s">
        <v>2458</v>
      </c>
      <c r="E246" t="s">
        <v>15</v>
      </c>
      <c r="F246" s="10"/>
      <c r="G246" s="10" t="s">
        <v>1755</v>
      </c>
      <c r="H246" t="s">
        <v>437</v>
      </c>
      <c r="I246" t="s">
        <v>1621</v>
      </c>
      <c r="K246" s="2"/>
      <c r="M246" s="2"/>
    </row>
    <row r="247" spans="1:13">
      <c r="A247" t="s">
        <v>28</v>
      </c>
      <c r="B247">
        <f ca="1">IF(OR(changes[[#This Row],[Type]]="Checklist",changes[[#This Row],[Type]]="checklist-flat"),1+IF(changes[[#This Row],[Type of change]] = "Edit",COUNTIFS($I$4:changes[[#This Row],[Name]],changes[[#This Row],[Name]], $E$4:changes[[#This Row],[Type of change]], "Edit")),B246)</f>
        <v>2</v>
      </c>
      <c r="C247" s="16">
        <v>44530</v>
      </c>
      <c r="D247" s="1" t="s">
        <v>2458</v>
      </c>
      <c r="E247" t="s">
        <v>15</v>
      </c>
      <c r="F247" s="10"/>
      <c r="G247" s="10" t="s">
        <v>1755</v>
      </c>
      <c r="H247" t="s">
        <v>55</v>
      </c>
      <c r="I247" t="s">
        <v>1581</v>
      </c>
      <c r="K247" s="2"/>
      <c r="M247" s="2"/>
    </row>
    <row r="248" spans="1:13">
      <c r="A248" t="s">
        <v>28</v>
      </c>
      <c r="B248">
        <f ca="1">IF(OR(changes[[#This Row],[Type]]="Checklist",changes[[#This Row],[Type]]="checklist-flat"),1+IF(changes[[#This Row],[Type of change]] = "Edit",COUNTIFS($I$4:changes[[#This Row],[Name]],changes[[#This Row],[Name]], $E$4:changes[[#This Row],[Type of change]], "Edit")),B247)</f>
        <v>2</v>
      </c>
      <c r="C248" s="16">
        <v>44530</v>
      </c>
      <c r="D248" s="1" t="s">
        <v>2458</v>
      </c>
      <c r="E248" t="s">
        <v>15</v>
      </c>
      <c r="F248" s="10"/>
      <c r="G248" s="10" t="s">
        <v>1755</v>
      </c>
      <c r="H248" t="s">
        <v>55</v>
      </c>
      <c r="I248" t="s">
        <v>1582</v>
      </c>
      <c r="K248" s="2"/>
      <c r="M248" s="2"/>
    </row>
    <row r="249" spans="1:13">
      <c r="A249" t="s">
        <v>28</v>
      </c>
      <c r="B249">
        <f ca="1">IF(OR(changes[[#This Row],[Type]]="Checklist",changes[[#This Row],[Type]]="checklist-flat"),1+IF(changes[[#This Row],[Type of change]] = "Edit",COUNTIFS($I$4:changes[[#This Row],[Name]],changes[[#This Row],[Name]], $E$4:changes[[#This Row],[Type of change]], "Edit")),B248)</f>
        <v>2</v>
      </c>
      <c r="C249" s="16">
        <v>44530</v>
      </c>
      <c r="D249" s="1" t="s">
        <v>2458</v>
      </c>
      <c r="E249" t="s">
        <v>15</v>
      </c>
      <c r="F249" s="10"/>
      <c r="G249" s="10" t="s">
        <v>1755</v>
      </c>
      <c r="H249" t="s">
        <v>479</v>
      </c>
      <c r="I249" t="s">
        <v>1744</v>
      </c>
      <c r="K249" s="2"/>
      <c r="M249" s="2"/>
    </row>
    <row r="250" spans="1:13">
      <c r="A250" t="s">
        <v>28</v>
      </c>
      <c r="B250">
        <f ca="1">IF(OR(changes[[#This Row],[Type]]="Checklist",changes[[#This Row],[Type]]="checklist-flat"),1+IF(changes[[#This Row],[Type of change]] = "Edit",COUNTIFS($I$4:changes[[#This Row],[Name]],changes[[#This Row],[Name]], $E$4:changes[[#This Row],[Type of change]], "Edit")),B249)</f>
        <v>2</v>
      </c>
      <c r="C250" s="16">
        <v>44530</v>
      </c>
      <c r="D250" s="1" t="s">
        <v>2458</v>
      </c>
      <c r="E250" t="s">
        <v>15</v>
      </c>
      <c r="F250" s="10"/>
      <c r="G250" s="10" t="s">
        <v>1755</v>
      </c>
      <c r="H250" t="s">
        <v>55</v>
      </c>
      <c r="I250" t="s">
        <v>1745</v>
      </c>
      <c r="K250" s="2"/>
      <c r="M250" s="2"/>
    </row>
    <row r="251" spans="1:13">
      <c r="A251" t="s">
        <v>28</v>
      </c>
      <c r="B251">
        <f ca="1">IF(OR(changes[[#This Row],[Type]]="Checklist",changes[[#This Row],[Type]]="checklist-flat"),1+IF(changes[[#This Row],[Type of change]] = "Edit",COUNTIFS($I$4:changes[[#This Row],[Name]],changes[[#This Row],[Name]], $E$4:changes[[#This Row],[Type of change]], "Edit")),B250)</f>
        <v>2</v>
      </c>
      <c r="C251" s="16">
        <v>44530</v>
      </c>
      <c r="D251" s="1" t="s">
        <v>2458</v>
      </c>
      <c r="E251" t="s">
        <v>15</v>
      </c>
      <c r="F251" s="10"/>
      <c r="G251" s="10" t="s">
        <v>1755</v>
      </c>
      <c r="H251" t="s">
        <v>55</v>
      </c>
      <c r="I251" t="s">
        <v>1746</v>
      </c>
      <c r="K251" s="2"/>
      <c r="M251" s="2"/>
    </row>
    <row r="252" spans="1:13">
      <c r="A252" t="s">
        <v>28</v>
      </c>
      <c r="B252">
        <f ca="1">IF(OR(changes[[#This Row],[Type]]="Checklist",changes[[#This Row],[Type]]="checklist-flat"),1+IF(changes[[#This Row],[Type of change]] = "Edit",COUNTIFS($I$4:changes[[#This Row],[Name]],changes[[#This Row],[Name]], $E$4:changes[[#This Row],[Type of change]], "Edit")),B251)</f>
        <v>2</v>
      </c>
      <c r="C252" s="16">
        <v>44530</v>
      </c>
      <c r="D252" s="1" t="s">
        <v>2458</v>
      </c>
      <c r="E252" t="s">
        <v>15</v>
      </c>
      <c r="F252" s="10"/>
      <c r="G252" s="10" t="s">
        <v>1755</v>
      </c>
      <c r="H252" t="s">
        <v>437</v>
      </c>
      <c r="I252" t="s">
        <v>1747</v>
      </c>
      <c r="K252" s="2"/>
      <c r="M252" s="2"/>
    </row>
    <row r="253" spans="1:13">
      <c r="A253" t="s">
        <v>28</v>
      </c>
      <c r="B253">
        <f ca="1">IF(OR(changes[[#This Row],[Type]]="Checklist",changes[[#This Row],[Type]]="checklist-flat"),1+IF(changes[[#This Row],[Type of change]] = "Edit",COUNTIFS($I$4:changes[[#This Row],[Name]],changes[[#This Row],[Name]], $E$4:changes[[#This Row],[Type of change]], "Edit")),B252)</f>
        <v>2</v>
      </c>
      <c r="C253" s="16">
        <v>44530</v>
      </c>
      <c r="D253" s="1" t="s">
        <v>2458</v>
      </c>
      <c r="E253" t="s">
        <v>15</v>
      </c>
      <c r="F253" s="10"/>
      <c r="G253" s="10" t="s">
        <v>1755</v>
      </c>
      <c r="H253" t="s">
        <v>55</v>
      </c>
      <c r="I253" t="s">
        <v>1748</v>
      </c>
      <c r="K253" s="2"/>
      <c r="M253" s="2"/>
    </row>
    <row r="254" spans="1:13">
      <c r="A254" t="s">
        <v>28</v>
      </c>
      <c r="B254">
        <f ca="1">IF(OR(changes[[#This Row],[Type]]="Checklist",changes[[#This Row],[Type]]="checklist-flat"),1+IF(changes[[#This Row],[Type of change]] = "Edit",COUNTIFS($I$4:changes[[#This Row],[Name]],changes[[#This Row],[Name]], $E$4:changes[[#This Row],[Type of change]], "Edit")),B253)</f>
        <v>2</v>
      </c>
      <c r="C254" s="16">
        <v>44530</v>
      </c>
      <c r="D254" s="1" t="s">
        <v>2458</v>
      </c>
      <c r="E254" t="s">
        <v>15</v>
      </c>
      <c r="F254" s="10"/>
      <c r="G254" s="10" t="s">
        <v>1755</v>
      </c>
      <c r="H254" t="s">
        <v>55</v>
      </c>
      <c r="I254" t="s">
        <v>1749</v>
      </c>
      <c r="K254" s="2"/>
      <c r="M254" s="2"/>
    </row>
    <row r="255" spans="1:13">
      <c r="A255" t="s">
        <v>28</v>
      </c>
      <c r="B255">
        <f ca="1">IF(OR(changes[[#This Row],[Type]]="Checklist",changes[[#This Row],[Type]]="checklist-flat"),1+IF(changes[[#This Row],[Type of change]] = "Edit",COUNTIFS($I$4:changes[[#This Row],[Name]],changes[[#This Row],[Name]], $E$4:changes[[#This Row],[Type of change]], "Edit")),B254)</f>
        <v>2</v>
      </c>
      <c r="C255" s="16">
        <v>44530</v>
      </c>
      <c r="D255" s="1" t="s">
        <v>2458</v>
      </c>
      <c r="E255" t="s">
        <v>15</v>
      </c>
      <c r="F255" s="10"/>
      <c r="G255" s="10" t="s">
        <v>1755</v>
      </c>
      <c r="H255" t="s">
        <v>55</v>
      </c>
      <c r="I255" t="s">
        <v>1750</v>
      </c>
      <c r="K255" s="2"/>
      <c r="M255" s="2"/>
    </row>
    <row r="256" spans="1:13">
      <c r="A256" t="s">
        <v>28</v>
      </c>
      <c r="B256">
        <f ca="1">IF(OR(changes[[#This Row],[Type]]="Checklist",changes[[#This Row],[Type]]="checklist-flat"),1+IF(changes[[#This Row],[Type of change]] = "Edit",COUNTIFS($I$4:changes[[#This Row],[Name]],changes[[#This Row],[Name]], $E$4:changes[[#This Row],[Type of change]], "Edit")),B255)</f>
        <v>2</v>
      </c>
      <c r="C256" s="16">
        <v>44530</v>
      </c>
      <c r="D256" s="1" t="s">
        <v>2458</v>
      </c>
      <c r="E256" t="s">
        <v>15</v>
      </c>
      <c r="F256" s="10"/>
      <c r="G256" s="10" t="s">
        <v>1755</v>
      </c>
      <c r="H256" t="s">
        <v>479</v>
      </c>
      <c r="I256" t="s">
        <v>1751</v>
      </c>
      <c r="K256" s="2"/>
      <c r="M256" s="2"/>
    </row>
    <row r="257" spans="1:13">
      <c r="A257" t="s">
        <v>28</v>
      </c>
      <c r="B257">
        <f ca="1">IF(OR(changes[[#This Row],[Type]]="Checklist",changes[[#This Row],[Type]]="checklist-flat"),1+IF(changes[[#This Row],[Type of change]] = "Edit",COUNTIFS($I$4:changes[[#This Row],[Name]],changes[[#This Row],[Name]], $E$4:changes[[#This Row],[Type of change]], "Edit")),B256)</f>
        <v>2</v>
      </c>
      <c r="C257" s="16">
        <v>44530</v>
      </c>
      <c r="D257" s="1" t="s">
        <v>2458</v>
      </c>
      <c r="E257" t="s">
        <v>15</v>
      </c>
      <c r="F257" s="10"/>
      <c r="G257" s="10" t="s">
        <v>1755</v>
      </c>
      <c r="H257" t="s">
        <v>55</v>
      </c>
      <c r="I257" t="s">
        <v>1752</v>
      </c>
      <c r="K257" s="2"/>
      <c r="M257" s="2"/>
    </row>
    <row r="258" spans="1:13">
      <c r="A258" t="s">
        <v>28</v>
      </c>
      <c r="B258">
        <f ca="1">IF(OR(changes[[#This Row],[Type]]="Checklist",changes[[#This Row],[Type]]="checklist-flat"),1+IF(changes[[#This Row],[Type of change]] = "Edit",COUNTIFS($I$4:changes[[#This Row],[Name]],changes[[#This Row],[Name]], $E$4:changes[[#This Row],[Type of change]], "Edit")),B257)</f>
        <v>2</v>
      </c>
      <c r="C258" s="16">
        <v>44530</v>
      </c>
      <c r="D258" s="1" t="s">
        <v>2458</v>
      </c>
      <c r="E258" t="s">
        <v>15</v>
      </c>
      <c r="F258" s="10"/>
      <c r="G258" s="10" t="s">
        <v>1755</v>
      </c>
      <c r="H258" t="s">
        <v>64</v>
      </c>
      <c r="I258" t="s">
        <v>1753</v>
      </c>
      <c r="K258" s="2"/>
      <c r="M258" s="2"/>
    </row>
    <row r="259" spans="1:13">
      <c r="A259" t="s">
        <v>28</v>
      </c>
      <c r="B259">
        <f ca="1">IF(OR(changes[[#This Row],[Type]]="Checklist",changes[[#This Row],[Type]]="checklist-flat"),1+IF(changes[[#This Row],[Type of change]] = "Edit",COUNTIFS($I$4:changes[[#This Row],[Name]],changes[[#This Row],[Name]], $E$4:changes[[#This Row],[Type of change]], "Edit")),B258)</f>
        <v>2</v>
      </c>
      <c r="C259" s="16">
        <v>44530</v>
      </c>
      <c r="D259" s="1" t="s">
        <v>2458</v>
      </c>
      <c r="E259" t="s">
        <v>15</v>
      </c>
      <c r="F259" s="10"/>
      <c r="G259" s="10" t="s">
        <v>1755</v>
      </c>
      <c r="H259" t="s">
        <v>55</v>
      </c>
      <c r="I259" t="s">
        <v>1754</v>
      </c>
      <c r="K259" s="2"/>
      <c r="M259" s="2"/>
    </row>
    <row r="260" spans="1:13">
      <c r="A260" t="s">
        <v>28</v>
      </c>
      <c r="B260">
        <f ca="1">IF(OR(changes[[#This Row],[Type]]="Checklist",changes[[#This Row],[Type]]="checklist-flat"),1+IF(changes[[#This Row],[Type of change]] = "Edit",COUNTIFS($I$4:changes[[#This Row],[Name]],changes[[#This Row],[Name]], $E$4:changes[[#This Row],[Type of change]], "Edit")),B259)</f>
        <v>3</v>
      </c>
      <c r="C260" s="16">
        <v>44530</v>
      </c>
      <c r="D260" s="1" t="s">
        <v>2458</v>
      </c>
      <c r="E260" t="s">
        <v>15</v>
      </c>
      <c r="F260" s="10"/>
      <c r="G260" s="10" t="s">
        <v>1715</v>
      </c>
      <c r="H260" t="s">
        <v>478</v>
      </c>
      <c r="I260" t="s">
        <v>1715</v>
      </c>
      <c r="K260" s="2"/>
      <c r="M260" s="2"/>
    </row>
    <row r="261" spans="1:13">
      <c r="A261" t="s">
        <v>28</v>
      </c>
      <c r="B261">
        <f ca="1">IF(OR(changes[[#This Row],[Type]]="Checklist",changes[[#This Row],[Type]]="checklist-flat"),1+IF(changes[[#This Row],[Type of change]] = "Edit",COUNTIFS($I$4:changes[[#This Row],[Name]],changes[[#This Row],[Name]], $E$4:changes[[#This Row],[Type of change]], "Edit")),B260)</f>
        <v>3</v>
      </c>
      <c r="C261" s="16">
        <v>44530</v>
      </c>
      <c r="D261" s="1" t="s">
        <v>2458</v>
      </c>
      <c r="E261" t="s">
        <v>15</v>
      </c>
      <c r="F261" s="10"/>
      <c r="G261" s="10" t="s">
        <v>1715</v>
      </c>
      <c r="H261" t="s">
        <v>479</v>
      </c>
      <c r="I261" t="s">
        <v>1716</v>
      </c>
      <c r="K261" s="2"/>
      <c r="M261" s="2"/>
    </row>
    <row r="262" spans="1:13">
      <c r="A262" t="s">
        <v>28</v>
      </c>
      <c r="B262">
        <f ca="1">IF(OR(changes[[#This Row],[Type]]="Checklist",changes[[#This Row],[Type]]="checklist-flat"),1+IF(changes[[#This Row],[Type of change]] = "Edit",COUNTIFS($I$4:changes[[#This Row],[Name]],changes[[#This Row],[Name]], $E$4:changes[[#This Row],[Type of change]], "Edit")),B261)</f>
        <v>3</v>
      </c>
      <c r="C262" s="16">
        <v>44530</v>
      </c>
      <c r="D262" s="1" t="s">
        <v>2458</v>
      </c>
      <c r="E262" t="s">
        <v>15</v>
      </c>
      <c r="F262" s="10"/>
      <c r="G262" s="10" t="s">
        <v>1715</v>
      </c>
      <c r="H262" t="s">
        <v>55</v>
      </c>
      <c r="I262" t="s">
        <v>1717</v>
      </c>
      <c r="K262" s="2"/>
      <c r="M262" s="2"/>
    </row>
    <row r="263" spans="1:13">
      <c r="A263" t="s">
        <v>28</v>
      </c>
      <c r="B263">
        <f ca="1">IF(OR(changes[[#This Row],[Type]]="Checklist",changes[[#This Row],[Type]]="checklist-flat"),1+IF(changes[[#This Row],[Type of change]] = "Edit",COUNTIFS($I$4:changes[[#This Row],[Name]],changes[[#This Row],[Name]], $E$4:changes[[#This Row],[Type of change]], "Edit")),B262)</f>
        <v>3</v>
      </c>
      <c r="C263" s="16">
        <v>44530</v>
      </c>
      <c r="D263" s="1" t="s">
        <v>2458</v>
      </c>
      <c r="E263" t="s">
        <v>15</v>
      </c>
      <c r="F263" s="10"/>
      <c r="G263" s="10" t="s">
        <v>1715</v>
      </c>
      <c r="H263" t="s">
        <v>214</v>
      </c>
      <c r="I263" t="s">
        <v>1613</v>
      </c>
      <c r="K263" s="2"/>
      <c r="M263" s="2"/>
    </row>
    <row r="264" spans="1:13">
      <c r="A264" t="s">
        <v>28</v>
      </c>
      <c r="B264">
        <f ca="1">IF(OR(changes[[#This Row],[Type]]="Checklist",changes[[#This Row],[Type]]="checklist-flat"),1+IF(changes[[#This Row],[Type of change]] = "Edit",COUNTIFS($I$4:changes[[#This Row],[Name]],changes[[#This Row],[Name]], $E$4:changes[[#This Row],[Type of change]], "Edit")),B263)</f>
        <v>3</v>
      </c>
      <c r="C264" s="16">
        <v>44530</v>
      </c>
      <c r="D264" s="1" t="s">
        <v>2458</v>
      </c>
      <c r="E264" t="s">
        <v>15</v>
      </c>
      <c r="F264" s="10"/>
      <c r="G264" s="10" t="s">
        <v>1715</v>
      </c>
      <c r="H264" t="s">
        <v>214</v>
      </c>
      <c r="I264" t="s">
        <v>1614</v>
      </c>
      <c r="K264" s="2"/>
      <c r="M264" s="2"/>
    </row>
    <row r="265" spans="1:13">
      <c r="A265" t="s">
        <v>28</v>
      </c>
      <c r="B265">
        <f ca="1">IF(OR(changes[[#This Row],[Type]]="Checklist",changes[[#This Row],[Type]]="checklist-flat"),1+IF(changes[[#This Row],[Type of change]] = "Edit",COUNTIFS($I$4:changes[[#This Row],[Name]],changes[[#This Row],[Name]], $E$4:changes[[#This Row],[Type of change]], "Edit")),B264)</f>
        <v>3</v>
      </c>
      <c r="C265" s="16">
        <v>44530</v>
      </c>
      <c r="D265" s="1" t="s">
        <v>2458</v>
      </c>
      <c r="E265" t="s">
        <v>15</v>
      </c>
      <c r="F265" s="10"/>
      <c r="G265" s="10" t="s">
        <v>1715</v>
      </c>
      <c r="H265" t="s">
        <v>55</v>
      </c>
      <c r="I265" t="s">
        <v>1718</v>
      </c>
      <c r="K265" s="2"/>
      <c r="M265" s="2"/>
    </row>
    <row r="266" spans="1:13">
      <c r="A266" t="s">
        <v>28</v>
      </c>
      <c r="B266">
        <f ca="1">IF(OR(changes[[#This Row],[Type]]="Checklist",changes[[#This Row],[Type]]="checklist-flat"),1+IF(changes[[#This Row],[Type of change]] = "Edit",COUNTIFS($I$4:changes[[#This Row],[Name]],changes[[#This Row],[Name]], $E$4:changes[[#This Row],[Type of change]], "Edit")),B265)</f>
        <v>3</v>
      </c>
      <c r="C266" s="16">
        <v>44530</v>
      </c>
      <c r="D266" s="1" t="s">
        <v>2458</v>
      </c>
      <c r="E266" t="s">
        <v>15</v>
      </c>
      <c r="F266" s="10"/>
      <c r="G266" s="10" t="s">
        <v>1715</v>
      </c>
      <c r="H266" t="s">
        <v>479</v>
      </c>
      <c r="I266" t="s">
        <v>1719</v>
      </c>
      <c r="K266" s="2"/>
      <c r="M266" s="2"/>
    </row>
    <row r="267" spans="1:13">
      <c r="A267" t="s">
        <v>28</v>
      </c>
      <c r="B267">
        <f ca="1">IF(OR(changes[[#This Row],[Type]]="Checklist",changes[[#This Row],[Type]]="checklist-flat"),1+IF(changes[[#This Row],[Type of change]] = "Edit",COUNTIFS($I$4:changes[[#This Row],[Name]],changes[[#This Row],[Name]], $E$4:changes[[#This Row],[Type of change]], "Edit")),B266)</f>
        <v>3</v>
      </c>
      <c r="C267" s="16">
        <v>44530</v>
      </c>
      <c r="D267" s="1" t="s">
        <v>2458</v>
      </c>
      <c r="E267" t="s">
        <v>15</v>
      </c>
      <c r="F267" s="10"/>
      <c r="G267" s="10" t="s">
        <v>1715</v>
      </c>
      <c r="H267" t="s">
        <v>55</v>
      </c>
      <c r="I267" t="s">
        <v>1720</v>
      </c>
      <c r="K267" s="2"/>
      <c r="M267" s="2"/>
    </row>
    <row r="268" spans="1:13">
      <c r="A268" t="s">
        <v>28</v>
      </c>
      <c r="B268">
        <f ca="1">IF(OR(changes[[#This Row],[Type]]="Checklist",changes[[#This Row],[Type]]="checklist-flat"),1+IF(changes[[#This Row],[Type of change]] = "Edit",COUNTIFS($I$4:changes[[#This Row],[Name]],changes[[#This Row],[Name]], $E$4:changes[[#This Row],[Type of change]], "Edit")),B267)</f>
        <v>3</v>
      </c>
      <c r="C268" s="16">
        <v>44530</v>
      </c>
      <c r="D268" s="1" t="s">
        <v>2458</v>
      </c>
      <c r="E268" t="s">
        <v>15</v>
      </c>
      <c r="F268" s="10"/>
      <c r="G268" s="10" t="s">
        <v>1715</v>
      </c>
      <c r="H268" t="s">
        <v>55</v>
      </c>
      <c r="I268" t="s">
        <v>474</v>
      </c>
      <c r="K268" s="2"/>
      <c r="M268" s="2"/>
    </row>
    <row r="269" spans="1:13">
      <c r="A269" t="s">
        <v>28</v>
      </c>
      <c r="B269">
        <f ca="1">IF(OR(changes[[#This Row],[Type]]="Checklist",changes[[#This Row],[Type]]="checklist-flat"),1+IF(changes[[#This Row],[Type of change]] = "Edit",COUNTIFS($I$4:changes[[#This Row],[Name]],changes[[#This Row],[Name]], $E$4:changes[[#This Row],[Type of change]], "Edit")),B268)</f>
        <v>3</v>
      </c>
      <c r="C269" s="16">
        <v>44530</v>
      </c>
      <c r="D269" s="1" t="s">
        <v>2458</v>
      </c>
      <c r="E269" t="s">
        <v>15</v>
      </c>
      <c r="F269" s="10"/>
      <c r="G269" s="10" t="s">
        <v>1715</v>
      </c>
      <c r="H269" t="s">
        <v>55</v>
      </c>
      <c r="I269" t="s">
        <v>2456</v>
      </c>
      <c r="K269" s="2"/>
      <c r="M269" s="2"/>
    </row>
    <row r="270" spans="1:13">
      <c r="A270" t="s">
        <v>28</v>
      </c>
      <c r="B270">
        <f ca="1">IF(OR(changes[[#This Row],[Type]]="Checklist",changes[[#This Row],[Type]]="checklist-flat"),1+IF(changes[[#This Row],[Type of change]] = "Edit",COUNTIFS($I$4:changes[[#This Row],[Name]],changes[[#This Row],[Name]], $E$4:changes[[#This Row],[Type of change]], "Edit")),B269)</f>
        <v>3</v>
      </c>
      <c r="C270" s="16">
        <v>44530</v>
      </c>
      <c r="D270" s="1" t="s">
        <v>2458</v>
      </c>
      <c r="E270" t="s">
        <v>15</v>
      </c>
      <c r="F270" s="10"/>
      <c r="G270" s="10" t="s">
        <v>1715</v>
      </c>
      <c r="H270" t="s">
        <v>55</v>
      </c>
      <c r="I270" t="s">
        <v>476</v>
      </c>
      <c r="K270" s="2"/>
      <c r="M270" s="2"/>
    </row>
    <row r="271" spans="1:13">
      <c r="A271" t="s">
        <v>28</v>
      </c>
      <c r="B271">
        <f ca="1">IF(OR(changes[[#This Row],[Type]]="Checklist",changes[[#This Row],[Type]]="checklist-flat"),1+IF(changes[[#This Row],[Type of change]] = "Edit",COUNTIFS($I$4:changes[[#This Row],[Name]],changes[[#This Row],[Name]], $E$4:changes[[#This Row],[Type of change]], "Edit")),B270)</f>
        <v>3</v>
      </c>
      <c r="C271" s="16">
        <v>44530</v>
      </c>
      <c r="D271" s="1" t="s">
        <v>2458</v>
      </c>
      <c r="E271" t="s">
        <v>15</v>
      </c>
      <c r="F271" s="10"/>
      <c r="G271" s="10" t="s">
        <v>1715</v>
      </c>
      <c r="H271" t="s">
        <v>479</v>
      </c>
      <c r="I271" t="s">
        <v>1721</v>
      </c>
      <c r="K271" s="2"/>
      <c r="M271" s="2"/>
    </row>
    <row r="272" spans="1:13">
      <c r="A272" t="s">
        <v>28</v>
      </c>
      <c r="B272">
        <f ca="1">IF(OR(changes[[#This Row],[Type]]="Checklist",changes[[#This Row],[Type]]="checklist-flat"),1+IF(changes[[#This Row],[Type of change]] = "Edit",COUNTIFS($I$4:changes[[#This Row],[Name]],changes[[#This Row],[Name]], $E$4:changes[[#This Row],[Type of change]], "Edit")),B271)</f>
        <v>3</v>
      </c>
      <c r="C272" s="16">
        <v>44530</v>
      </c>
      <c r="D272" s="1" t="s">
        <v>2458</v>
      </c>
      <c r="E272" t="s">
        <v>15</v>
      </c>
      <c r="F272" s="10"/>
      <c r="G272" s="10" t="s">
        <v>1715</v>
      </c>
      <c r="H272" t="s">
        <v>55</v>
      </c>
      <c r="I272" t="s">
        <v>1722</v>
      </c>
      <c r="K272" s="2"/>
      <c r="M272" s="2"/>
    </row>
    <row r="273" spans="1:13">
      <c r="A273" t="s">
        <v>28</v>
      </c>
      <c r="B273">
        <f ca="1">IF(OR(changes[[#This Row],[Type]]="Checklist",changes[[#This Row],[Type]]="checklist-flat"),1+IF(changes[[#This Row],[Type of change]] = "Edit",COUNTIFS($I$4:changes[[#This Row],[Name]],changes[[#This Row],[Name]], $E$4:changes[[#This Row],[Type of change]], "Edit")),B272)</f>
        <v>3</v>
      </c>
      <c r="C273" s="16">
        <v>44530</v>
      </c>
      <c r="D273" s="1" t="s">
        <v>2458</v>
      </c>
      <c r="E273" t="s">
        <v>15</v>
      </c>
      <c r="F273" s="10"/>
      <c r="G273" s="10" t="s">
        <v>1715</v>
      </c>
      <c r="H273" t="s">
        <v>55</v>
      </c>
      <c r="I273" t="s">
        <v>1723</v>
      </c>
      <c r="K273" s="2"/>
      <c r="M273" s="2"/>
    </row>
    <row r="274" spans="1:13">
      <c r="A274" t="s">
        <v>28</v>
      </c>
      <c r="B274">
        <f ca="1">IF(OR(changes[[#This Row],[Type]]="Checklist",changes[[#This Row],[Type]]="checklist-flat"),1+IF(changes[[#This Row],[Type of change]] = "Edit",COUNTIFS($I$4:changes[[#This Row],[Name]],changes[[#This Row],[Name]], $E$4:changes[[#This Row],[Type of change]], "Edit")),B273)</f>
        <v>3</v>
      </c>
      <c r="C274" s="16">
        <v>44530</v>
      </c>
      <c r="D274" s="1" t="s">
        <v>2458</v>
      </c>
      <c r="E274" t="s">
        <v>15</v>
      </c>
      <c r="F274" s="10"/>
      <c r="G274" s="10" t="s">
        <v>1715</v>
      </c>
      <c r="H274" t="s">
        <v>55</v>
      </c>
      <c r="I274" t="s">
        <v>1724</v>
      </c>
      <c r="K274" s="2"/>
      <c r="M274" s="2"/>
    </row>
    <row r="275" spans="1:13">
      <c r="A275" t="s">
        <v>28</v>
      </c>
      <c r="B275">
        <f ca="1">IF(OR(changes[[#This Row],[Type]]="Checklist",changes[[#This Row],[Type]]="checklist-flat"),1+IF(changes[[#This Row],[Type of change]] = "Edit",COUNTIFS($I$4:changes[[#This Row],[Name]],changes[[#This Row],[Name]], $E$4:changes[[#This Row],[Type of change]], "Edit")),B274)</f>
        <v>3</v>
      </c>
      <c r="C275" s="16">
        <v>44530</v>
      </c>
      <c r="D275" s="1" t="s">
        <v>2458</v>
      </c>
      <c r="E275" t="s">
        <v>15</v>
      </c>
      <c r="F275" s="10"/>
      <c r="G275" s="10" t="s">
        <v>1715</v>
      </c>
      <c r="H275" t="s">
        <v>55</v>
      </c>
      <c r="I275" t="s">
        <v>1725</v>
      </c>
      <c r="K275" s="2"/>
      <c r="M275" s="2"/>
    </row>
    <row r="276" spans="1:13">
      <c r="A276" t="s">
        <v>28</v>
      </c>
      <c r="B276">
        <f ca="1">IF(OR(changes[[#This Row],[Type]]="Checklist",changes[[#This Row],[Type]]="checklist-flat"),1+IF(changes[[#This Row],[Type of change]] = "Edit",COUNTIFS($I$4:changes[[#This Row],[Name]],changes[[#This Row],[Name]], $E$4:changes[[#This Row],[Type of change]], "Edit")),B275)</f>
        <v>3</v>
      </c>
      <c r="C276" s="16">
        <v>44530</v>
      </c>
      <c r="D276" s="1" t="s">
        <v>2458</v>
      </c>
      <c r="E276" t="s">
        <v>15</v>
      </c>
      <c r="F276" s="10"/>
      <c r="G276" s="10" t="s">
        <v>1715</v>
      </c>
      <c r="H276" t="s">
        <v>55</v>
      </c>
      <c r="I276" t="s">
        <v>1726</v>
      </c>
      <c r="K276" s="2"/>
      <c r="M276" s="2"/>
    </row>
    <row r="277" spans="1:13">
      <c r="A277" t="s">
        <v>28</v>
      </c>
      <c r="B277">
        <f ca="1">IF(OR(changes[[#This Row],[Type]]="Checklist",changes[[#This Row],[Type]]="checklist-flat"),1+IF(changes[[#This Row],[Type of change]] = "Edit",COUNTIFS($I$4:changes[[#This Row],[Name]],changes[[#This Row],[Name]], $E$4:changes[[#This Row],[Type of change]], "Edit")),B276)</f>
        <v>3</v>
      </c>
      <c r="C277" s="16">
        <v>44530</v>
      </c>
      <c r="D277" s="1" t="s">
        <v>2458</v>
      </c>
      <c r="E277" t="s">
        <v>15</v>
      </c>
      <c r="F277" s="10"/>
      <c r="G277" s="10" t="s">
        <v>1715</v>
      </c>
      <c r="H277" t="s">
        <v>99</v>
      </c>
      <c r="I277" t="s">
        <v>1727</v>
      </c>
      <c r="K277" s="2"/>
      <c r="M277" s="2"/>
    </row>
    <row r="278" spans="1:13">
      <c r="A278" t="s">
        <v>28</v>
      </c>
      <c r="B278">
        <f ca="1">IF(OR(changes[[#This Row],[Type]]="Checklist",changes[[#This Row],[Type]]="checklist-flat"),1+IF(changes[[#This Row],[Type of change]] = "Edit",COUNTIFS($I$4:changes[[#This Row],[Name]],changes[[#This Row],[Name]], $E$4:changes[[#This Row],[Type of change]], "Edit")),B277)</f>
        <v>3</v>
      </c>
      <c r="C278" s="16">
        <v>44530</v>
      </c>
      <c r="D278" s="1" t="s">
        <v>2458</v>
      </c>
      <c r="E278" t="s">
        <v>15</v>
      </c>
      <c r="F278" s="10"/>
      <c r="G278" s="10" t="s">
        <v>1715</v>
      </c>
      <c r="H278" t="s">
        <v>99</v>
      </c>
      <c r="I278" t="s">
        <v>1728</v>
      </c>
      <c r="K278" s="2"/>
      <c r="M278" s="2"/>
    </row>
    <row r="279" spans="1:13">
      <c r="A279" t="s">
        <v>28</v>
      </c>
      <c r="B279">
        <f ca="1">IF(OR(changes[[#This Row],[Type]]="Checklist",changes[[#This Row],[Type]]="checklist-flat"),1+IF(changes[[#This Row],[Type of change]] = "Edit",COUNTIFS($I$4:changes[[#This Row],[Name]],changes[[#This Row],[Name]], $E$4:changes[[#This Row],[Type of change]], "Edit")),B278)</f>
        <v>3</v>
      </c>
      <c r="C279" s="16">
        <v>44530</v>
      </c>
      <c r="D279" s="1" t="s">
        <v>2458</v>
      </c>
      <c r="E279" t="s">
        <v>15</v>
      </c>
      <c r="F279" s="10"/>
      <c r="G279" s="10" t="s">
        <v>1715</v>
      </c>
      <c r="H279" t="s">
        <v>55</v>
      </c>
      <c r="I279" t="s">
        <v>1729</v>
      </c>
      <c r="K279" s="2"/>
      <c r="M279" s="2"/>
    </row>
    <row r="280" spans="1:13">
      <c r="A280" t="s">
        <v>28</v>
      </c>
      <c r="B280">
        <f ca="1">IF(OR(changes[[#This Row],[Type]]="Checklist",changes[[#This Row],[Type]]="checklist-flat"),1+IF(changes[[#This Row],[Type of change]] = "Edit",COUNTIFS($I$4:changes[[#This Row],[Name]],changes[[#This Row],[Name]], $E$4:changes[[#This Row],[Type of change]], "Edit")),B279)</f>
        <v>3</v>
      </c>
      <c r="C280" s="16">
        <v>44530</v>
      </c>
      <c r="D280" s="1" t="s">
        <v>2458</v>
      </c>
      <c r="E280" t="s">
        <v>15</v>
      </c>
      <c r="F280" s="10"/>
      <c r="G280" s="10" t="s">
        <v>1715</v>
      </c>
      <c r="H280" t="s">
        <v>55</v>
      </c>
      <c r="I280" t="s">
        <v>1730</v>
      </c>
      <c r="K280" s="2"/>
      <c r="M280" s="2"/>
    </row>
    <row r="281" spans="1:13">
      <c r="A281" t="s">
        <v>28</v>
      </c>
      <c r="B281">
        <f ca="1">IF(OR(changes[[#This Row],[Type]]="Checklist",changes[[#This Row],[Type]]="checklist-flat"),1+IF(changes[[#This Row],[Type of change]] = "Edit",COUNTIFS($I$4:changes[[#This Row],[Name]],changes[[#This Row],[Name]], $E$4:changes[[#This Row],[Type of change]], "Edit")),B280)</f>
        <v>3</v>
      </c>
      <c r="C281" s="16">
        <v>44530</v>
      </c>
      <c r="D281" s="1" t="s">
        <v>2458</v>
      </c>
      <c r="E281" t="s">
        <v>15</v>
      </c>
      <c r="F281" s="10"/>
      <c r="G281" s="10" t="s">
        <v>1715</v>
      </c>
      <c r="H281" t="s">
        <v>55</v>
      </c>
      <c r="I281" t="s">
        <v>1731</v>
      </c>
      <c r="K281" s="2"/>
      <c r="M281" s="2"/>
    </row>
    <row r="282" spans="1:13">
      <c r="A282" t="s">
        <v>28</v>
      </c>
      <c r="B282">
        <f ca="1">IF(OR(changes[[#This Row],[Type]]="Checklist",changes[[#This Row],[Type]]="checklist-flat"),1+IF(changes[[#This Row],[Type of change]] = "Edit",COUNTIFS($I$4:changes[[#This Row],[Name]],changes[[#This Row],[Name]], $E$4:changes[[#This Row],[Type of change]], "Edit")),B281)</f>
        <v>3</v>
      </c>
      <c r="C282" s="16">
        <v>44530</v>
      </c>
      <c r="D282" s="1" t="s">
        <v>2458</v>
      </c>
      <c r="E282" t="s">
        <v>15</v>
      </c>
      <c r="F282" s="10"/>
      <c r="G282" s="10" t="s">
        <v>1715</v>
      </c>
      <c r="H282" t="s">
        <v>55</v>
      </c>
      <c r="I282" t="s">
        <v>1732</v>
      </c>
      <c r="K282" s="2"/>
      <c r="M282" s="2"/>
    </row>
    <row r="283" spans="1:13">
      <c r="A283" t="s">
        <v>28</v>
      </c>
      <c r="B283">
        <f ca="1">IF(OR(changes[[#This Row],[Type]]="Checklist",changes[[#This Row],[Type]]="checklist-flat"),1+IF(changes[[#This Row],[Type of change]] = "Edit",COUNTIFS($I$4:changes[[#This Row],[Name]],changes[[#This Row],[Name]], $E$4:changes[[#This Row],[Type of change]], "Edit")),B282)</f>
        <v>3</v>
      </c>
      <c r="C283" s="16">
        <v>44530</v>
      </c>
      <c r="D283" s="1" t="s">
        <v>2458</v>
      </c>
      <c r="E283" t="s">
        <v>15</v>
      </c>
      <c r="F283" s="10"/>
      <c r="G283" s="10" t="s">
        <v>1715</v>
      </c>
      <c r="H283" t="s">
        <v>55</v>
      </c>
      <c r="I283" t="s">
        <v>1583</v>
      </c>
      <c r="K283" s="2"/>
      <c r="M283" s="2"/>
    </row>
    <row r="284" spans="1:13">
      <c r="A284" t="s">
        <v>28</v>
      </c>
      <c r="B284">
        <f ca="1">IF(OR(changes[[#This Row],[Type]]="Checklist",changes[[#This Row],[Type]]="checklist-flat"),1+IF(changes[[#This Row],[Type of change]] = "Edit",COUNTIFS($I$4:changes[[#This Row],[Name]],changes[[#This Row],[Name]], $E$4:changes[[#This Row],[Type of change]], "Edit")),B283)</f>
        <v>3</v>
      </c>
      <c r="C284" s="16">
        <v>44530</v>
      </c>
      <c r="D284" s="1" t="s">
        <v>2458</v>
      </c>
      <c r="E284" t="s">
        <v>15</v>
      </c>
      <c r="F284" s="10"/>
      <c r="G284" s="10" t="s">
        <v>1715</v>
      </c>
      <c r="H284" t="s">
        <v>55</v>
      </c>
      <c r="I284" t="s">
        <v>1733</v>
      </c>
      <c r="K284" s="2"/>
      <c r="M284" s="2"/>
    </row>
    <row r="285" spans="1:13">
      <c r="A285" t="s">
        <v>28</v>
      </c>
      <c r="B285">
        <f ca="1">IF(OR(changes[[#This Row],[Type]]="Checklist",changes[[#This Row],[Type]]="checklist-flat"),1+IF(changes[[#This Row],[Type of change]] = "Edit",COUNTIFS($I$4:changes[[#This Row],[Name]],changes[[#This Row],[Name]], $E$4:changes[[#This Row],[Type of change]], "Edit")),B284)</f>
        <v>3</v>
      </c>
      <c r="C285" s="16">
        <v>44530</v>
      </c>
      <c r="D285" s="1" t="s">
        <v>2458</v>
      </c>
      <c r="E285" t="s">
        <v>15</v>
      </c>
      <c r="F285" s="10"/>
      <c r="G285" s="10" t="s">
        <v>1715</v>
      </c>
      <c r="H285" t="s">
        <v>479</v>
      </c>
      <c r="I285" t="s">
        <v>1734</v>
      </c>
      <c r="K285" s="2"/>
      <c r="M285" s="2"/>
    </row>
    <row r="286" spans="1:13">
      <c r="A286" t="s">
        <v>28</v>
      </c>
      <c r="B286">
        <f ca="1">IF(OR(changes[[#This Row],[Type]]="Checklist",changes[[#This Row],[Type]]="checklist-flat"),1+IF(changes[[#This Row],[Type of change]] = "Edit",COUNTIFS($I$4:changes[[#This Row],[Name]],changes[[#This Row],[Name]], $E$4:changes[[#This Row],[Type of change]], "Edit")),B285)</f>
        <v>3</v>
      </c>
      <c r="C286" s="16">
        <v>44530</v>
      </c>
      <c r="D286" s="1" t="s">
        <v>2458</v>
      </c>
      <c r="E286" t="s">
        <v>15</v>
      </c>
      <c r="F286" s="10"/>
      <c r="G286" s="10" t="s">
        <v>1715</v>
      </c>
      <c r="H286" t="s">
        <v>55</v>
      </c>
      <c r="I286" t="s">
        <v>1735</v>
      </c>
      <c r="K286" s="2"/>
      <c r="M286" s="2"/>
    </row>
    <row r="287" spans="1:13">
      <c r="A287" t="s">
        <v>28</v>
      </c>
      <c r="B287">
        <f ca="1">IF(OR(changes[[#This Row],[Type]]="Checklist",changes[[#This Row],[Type]]="checklist-flat"),1+IF(changes[[#This Row],[Type of change]] = "Edit",COUNTIFS($I$4:changes[[#This Row],[Name]],changes[[#This Row],[Name]], $E$4:changes[[#This Row],[Type of change]], "Edit")),B286)</f>
        <v>3</v>
      </c>
      <c r="C287" s="16">
        <v>44530</v>
      </c>
      <c r="D287" s="1" t="s">
        <v>2458</v>
      </c>
      <c r="E287" t="s">
        <v>15</v>
      </c>
      <c r="F287" s="10"/>
      <c r="G287" s="10" t="s">
        <v>1715</v>
      </c>
      <c r="H287" t="s">
        <v>55</v>
      </c>
      <c r="I287" t="s">
        <v>1736</v>
      </c>
      <c r="K287" s="2"/>
      <c r="M287" s="2"/>
    </row>
    <row r="288" spans="1:13">
      <c r="A288" t="s">
        <v>28</v>
      </c>
      <c r="B288">
        <f ca="1">IF(OR(changes[[#This Row],[Type]]="Checklist",changes[[#This Row],[Type]]="checklist-flat"),1+IF(changes[[#This Row],[Type of change]] = "Edit",COUNTIFS($I$4:changes[[#This Row],[Name]],changes[[#This Row],[Name]], $E$4:changes[[#This Row],[Type of change]], "Edit")),B287)</f>
        <v>3</v>
      </c>
      <c r="C288" s="16">
        <v>44530</v>
      </c>
      <c r="D288" s="1" t="s">
        <v>2458</v>
      </c>
      <c r="E288" t="s">
        <v>15</v>
      </c>
      <c r="F288" s="10"/>
      <c r="G288" s="10" t="s">
        <v>1715</v>
      </c>
      <c r="H288" t="s">
        <v>55</v>
      </c>
      <c r="I288" t="s">
        <v>1737</v>
      </c>
      <c r="K288" s="2"/>
      <c r="M288" s="2"/>
    </row>
    <row r="289" spans="1:13">
      <c r="A289" t="s">
        <v>28</v>
      </c>
      <c r="B289">
        <f ca="1">IF(OR(changes[[#This Row],[Type]]="Checklist",changes[[#This Row],[Type]]="checklist-flat"),1+IF(changes[[#This Row],[Type of change]] = "Edit",COUNTIFS($I$4:changes[[#This Row],[Name]],changes[[#This Row],[Name]], $E$4:changes[[#This Row],[Type of change]], "Edit")),B288)</f>
        <v>3</v>
      </c>
      <c r="C289" s="16">
        <v>44530</v>
      </c>
      <c r="D289" s="1" t="s">
        <v>2458</v>
      </c>
      <c r="E289" t="s">
        <v>15</v>
      </c>
      <c r="F289" s="10"/>
      <c r="G289" s="10" t="s">
        <v>1715</v>
      </c>
      <c r="H289" t="s">
        <v>55</v>
      </c>
      <c r="I289" t="s">
        <v>1738</v>
      </c>
      <c r="K289" s="2"/>
      <c r="M289" s="2"/>
    </row>
    <row r="290" spans="1:13">
      <c r="A290" t="s">
        <v>28</v>
      </c>
      <c r="B290">
        <f ca="1">IF(OR(changes[[#This Row],[Type]]="Checklist",changes[[#This Row],[Type]]="checklist-flat"),1+IF(changes[[#This Row],[Type of change]] = "Edit",COUNTIFS($I$4:changes[[#This Row],[Name]],changes[[#This Row],[Name]], $E$4:changes[[#This Row],[Type of change]], "Edit")),B289)</f>
        <v>3</v>
      </c>
      <c r="C290" s="16">
        <v>44530</v>
      </c>
      <c r="D290" s="1" t="s">
        <v>2458</v>
      </c>
      <c r="E290" t="s">
        <v>15</v>
      </c>
      <c r="F290" s="10"/>
      <c r="G290" s="10" t="s">
        <v>1715</v>
      </c>
      <c r="H290" t="s">
        <v>479</v>
      </c>
      <c r="I290" t="s">
        <v>1739</v>
      </c>
      <c r="K290" s="2"/>
      <c r="M290" s="2"/>
    </row>
    <row r="291" spans="1:13">
      <c r="A291" t="s">
        <v>28</v>
      </c>
      <c r="B291">
        <f ca="1">IF(OR(changes[[#This Row],[Type]]="Checklist",changes[[#This Row],[Type]]="checklist-flat"),1+IF(changes[[#This Row],[Type of change]] = "Edit",COUNTIFS($I$4:changes[[#This Row],[Name]],changes[[#This Row],[Name]], $E$4:changes[[#This Row],[Type of change]], "Edit")),B290)</f>
        <v>3</v>
      </c>
      <c r="C291" s="16">
        <v>44530</v>
      </c>
      <c r="D291" s="1" t="s">
        <v>2458</v>
      </c>
      <c r="E291" t="s">
        <v>15</v>
      </c>
      <c r="F291" s="10"/>
      <c r="G291" s="10" t="s">
        <v>1715</v>
      </c>
      <c r="H291" t="s">
        <v>55</v>
      </c>
      <c r="I291" t="s">
        <v>1740</v>
      </c>
      <c r="K291" s="2"/>
      <c r="M291" s="2"/>
    </row>
    <row r="292" spans="1:13">
      <c r="A292" t="s">
        <v>28</v>
      </c>
      <c r="B292">
        <f ca="1">IF(OR(changes[[#This Row],[Type]]="Checklist",changes[[#This Row],[Type]]="checklist-flat"),1+IF(changes[[#This Row],[Type of change]] = "Edit",COUNTIFS($I$4:changes[[#This Row],[Name]],changes[[#This Row],[Name]], $E$4:changes[[#This Row],[Type of change]], "Edit")),B291)</f>
        <v>3</v>
      </c>
      <c r="C292" s="16">
        <v>44530</v>
      </c>
      <c r="D292" s="1" t="s">
        <v>2458</v>
      </c>
      <c r="E292" t="s">
        <v>15</v>
      </c>
      <c r="F292" s="10"/>
      <c r="G292" s="10" t="s">
        <v>1715</v>
      </c>
      <c r="H292" t="s">
        <v>214</v>
      </c>
      <c r="I292" t="s">
        <v>1741</v>
      </c>
      <c r="K292" s="2"/>
      <c r="M292" s="2"/>
    </row>
    <row r="293" spans="1:13">
      <c r="A293" t="s">
        <v>28</v>
      </c>
      <c r="B293">
        <f ca="1">IF(OR(changes[[#This Row],[Type]]="Checklist",changes[[#This Row],[Type]]="checklist-flat"),1+IF(changes[[#This Row],[Type of change]] = "Edit",COUNTIFS($I$4:changes[[#This Row],[Name]],changes[[#This Row],[Name]], $E$4:changes[[#This Row],[Type of change]], "Edit")),B292)</f>
        <v>3</v>
      </c>
      <c r="C293" s="16">
        <v>44530</v>
      </c>
      <c r="D293" s="1" t="s">
        <v>2458</v>
      </c>
      <c r="E293" t="s">
        <v>15</v>
      </c>
      <c r="F293" s="10"/>
      <c r="G293" s="10" t="s">
        <v>1715</v>
      </c>
      <c r="H293" t="s">
        <v>214</v>
      </c>
      <c r="I293" t="s">
        <v>1618</v>
      </c>
      <c r="J293" t="s">
        <v>1742</v>
      </c>
      <c r="K293" s="2"/>
      <c r="M293" s="2"/>
    </row>
    <row r="294" spans="1:13">
      <c r="A294" t="s">
        <v>28</v>
      </c>
      <c r="B294">
        <f ca="1">IF(OR(changes[[#This Row],[Type]]="Checklist",changes[[#This Row],[Type]]="checklist-flat"),1+IF(changes[[#This Row],[Type of change]] = "Edit",COUNTIFS($I$4:changes[[#This Row],[Name]],changes[[#This Row],[Name]], $E$4:changes[[#This Row],[Type of change]], "Edit")),B293)</f>
        <v>3</v>
      </c>
      <c r="C294" s="16">
        <v>44530</v>
      </c>
      <c r="D294" s="1" t="s">
        <v>2458</v>
      </c>
      <c r="E294" t="s">
        <v>15</v>
      </c>
      <c r="F294" s="10"/>
      <c r="G294" s="10" t="s">
        <v>1715</v>
      </c>
      <c r="H294" t="s">
        <v>214</v>
      </c>
      <c r="I294" t="s">
        <v>1619</v>
      </c>
      <c r="J294" t="s">
        <v>1742</v>
      </c>
      <c r="K294" s="2"/>
      <c r="M294" s="2"/>
    </row>
    <row r="295" spans="1:13">
      <c r="A295" t="s">
        <v>28</v>
      </c>
      <c r="B295">
        <f ca="1">IF(OR(changes[[#This Row],[Type]]="Checklist",changes[[#This Row],[Type]]="checklist-flat"),1+IF(changes[[#This Row],[Type of change]] = "Edit",COUNTIFS($I$4:changes[[#This Row],[Name]],changes[[#This Row],[Name]], $E$4:changes[[#This Row],[Type of change]], "Edit")),B294)</f>
        <v>3</v>
      </c>
      <c r="C295" s="16">
        <v>44530</v>
      </c>
      <c r="D295" s="1" t="s">
        <v>2458</v>
      </c>
      <c r="E295" t="s">
        <v>15</v>
      </c>
      <c r="F295" s="10"/>
      <c r="G295" s="10" t="s">
        <v>1715</v>
      </c>
      <c r="H295" t="s">
        <v>214</v>
      </c>
      <c r="I295" t="s">
        <v>1620</v>
      </c>
      <c r="J295" t="s">
        <v>1743</v>
      </c>
      <c r="K295" s="2"/>
      <c r="M295" s="2"/>
    </row>
    <row r="296" spans="1:13">
      <c r="A296" t="s">
        <v>28</v>
      </c>
      <c r="B296">
        <f ca="1">IF(OR(changes[[#This Row],[Type]]="Checklist",changes[[#This Row],[Type]]="checklist-flat"),1+IF(changes[[#This Row],[Type of change]] = "Edit",COUNTIFS($I$4:changes[[#This Row],[Name]],changes[[#This Row],[Name]], $E$4:changes[[#This Row],[Type of change]], "Edit")),B295)</f>
        <v>3</v>
      </c>
      <c r="C296" s="16">
        <v>44530</v>
      </c>
      <c r="D296" s="1" t="s">
        <v>2458</v>
      </c>
      <c r="E296" t="s">
        <v>15</v>
      </c>
      <c r="F296" s="10"/>
      <c r="G296" s="10" t="s">
        <v>1715</v>
      </c>
      <c r="H296" t="s">
        <v>437</v>
      </c>
      <c r="I296" t="s">
        <v>1621</v>
      </c>
      <c r="K296" s="2"/>
      <c r="M296" s="2"/>
    </row>
    <row r="297" spans="1:13">
      <c r="A297" t="s">
        <v>28</v>
      </c>
      <c r="B297">
        <f ca="1">IF(OR(changes[[#This Row],[Type]]="Checklist",changes[[#This Row],[Type]]="checklist-flat"),1+IF(changes[[#This Row],[Type of change]] = "Edit",COUNTIFS($I$4:changes[[#This Row],[Name]],changes[[#This Row],[Name]], $E$4:changes[[#This Row],[Type of change]], "Edit")),B296)</f>
        <v>3</v>
      </c>
      <c r="C297" s="16">
        <v>44530</v>
      </c>
      <c r="D297" s="1" t="s">
        <v>2458</v>
      </c>
      <c r="E297" t="s">
        <v>15</v>
      </c>
      <c r="F297" s="10"/>
      <c r="G297" s="10" t="s">
        <v>1715</v>
      </c>
      <c r="H297" t="s">
        <v>55</v>
      </c>
      <c r="I297" t="s">
        <v>1581</v>
      </c>
      <c r="K297" s="2"/>
      <c r="M297" s="2"/>
    </row>
    <row r="298" spans="1:13">
      <c r="A298" t="s">
        <v>28</v>
      </c>
      <c r="B298">
        <f ca="1">IF(OR(changes[[#This Row],[Type]]="Checklist",changes[[#This Row],[Type]]="checklist-flat"),1+IF(changes[[#This Row],[Type of change]] = "Edit",COUNTIFS($I$4:changes[[#This Row],[Name]],changes[[#This Row],[Name]], $E$4:changes[[#This Row],[Type of change]], "Edit")),B297)</f>
        <v>3</v>
      </c>
      <c r="C298" s="16">
        <v>44530</v>
      </c>
      <c r="D298" s="1" t="s">
        <v>2458</v>
      </c>
      <c r="E298" t="s">
        <v>15</v>
      </c>
      <c r="F298" s="10"/>
      <c r="G298" s="10" t="s">
        <v>1715</v>
      </c>
      <c r="H298" t="s">
        <v>55</v>
      </c>
      <c r="I298" t="s">
        <v>1582</v>
      </c>
      <c r="K298" s="2"/>
      <c r="M298" s="2"/>
    </row>
    <row r="299" spans="1:13">
      <c r="A299" t="s">
        <v>28</v>
      </c>
      <c r="B299">
        <f ca="1">IF(OR(changes[[#This Row],[Type]]="Checklist",changes[[#This Row],[Type]]="checklist-flat"),1+IF(changes[[#This Row],[Type of change]] = "Edit",COUNTIFS($I$4:changes[[#This Row],[Name]],changes[[#This Row],[Name]], $E$4:changes[[#This Row],[Type of change]], "Edit")),B298)</f>
        <v>3</v>
      </c>
      <c r="C299" s="16">
        <v>44530</v>
      </c>
      <c r="D299" s="1" t="s">
        <v>2458</v>
      </c>
      <c r="E299" t="s">
        <v>15</v>
      </c>
      <c r="F299" s="10"/>
      <c r="G299" s="10" t="s">
        <v>1715</v>
      </c>
      <c r="H299" t="s">
        <v>479</v>
      </c>
      <c r="I299" t="s">
        <v>1744</v>
      </c>
      <c r="K299" s="2"/>
      <c r="M299" s="2"/>
    </row>
    <row r="300" spans="1:13">
      <c r="A300" t="s">
        <v>28</v>
      </c>
      <c r="B300">
        <f ca="1">IF(OR(changes[[#This Row],[Type]]="Checklist",changes[[#This Row],[Type]]="checklist-flat"),1+IF(changes[[#This Row],[Type of change]] = "Edit",COUNTIFS($I$4:changes[[#This Row],[Name]],changes[[#This Row],[Name]], $E$4:changes[[#This Row],[Type of change]], "Edit")),B299)</f>
        <v>3</v>
      </c>
      <c r="C300" s="16">
        <v>44530</v>
      </c>
      <c r="D300" s="1" t="s">
        <v>2458</v>
      </c>
      <c r="E300" t="s">
        <v>15</v>
      </c>
      <c r="F300" s="10"/>
      <c r="G300" s="10" t="s">
        <v>1715</v>
      </c>
      <c r="H300" t="s">
        <v>55</v>
      </c>
      <c r="I300" t="s">
        <v>1745</v>
      </c>
      <c r="K300" s="2"/>
      <c r="M300" s="2"/>
    </row>
    <row r="301" spans="1:13">
      <c r="A301" t="s">
        <v>28</v>
      </c>
      <c r="B301">
        <f ca="1">IF(OR(changes[[#This Row],[Type]]="Checklist",changes[[#This Row],[Type]]="checklist-flat"),1+IF(changes[[#This Row],[Type of change]] = "Edit",COUNTIFS($I$4:changes[[#This Row],[Name]],changes[[#This Row],[Name]], $E$4:changes[[#This Row],[Type of change]], "Edit")),B300)</f>
        <v>3</v>
      </c>
      <c r="C301" s="16">
        <v>44530</v>
      </c>
      <c r="D301" s="1" t="s">
        <v>2458</v>
      </c>
      <c r="E301" t="s">
        <v>15</v>
      </c>
      <c r="F301" s="10"/>
      <c r="G301" s="10" t="s">
        <v>1715</v>
      </c>
      <c r="H301" t="s">
        <v>55</v>
      </c>
      <c r="I301" t="s">
        <v>1746</v>
      </c>
      <c r="K301" s="2"/>
      <c r="M301" s="2"/>
    </row>
    <row r="302" spans="1:13">
      <c r="A302" t="s">
        <v>28</v>
      </c>
      <c r="B302">
        <f ca="1">IF(OR(changes[[#This Row],[Type]]="Checklist",changes[[#This Row],[Type]]="checklist-flat"),1+IF(changes[[#This Row],[Type of change]] = "Edit",COUNTIFS($I$4:changes[[#This Row],[Name]],changes[[#This Row],[Name]], $E$4:changes[[#This Row],[Type of change]], "Edit")),B301)</f>
        <v>3</v>
      </c>
      <c r="C302" s="16">
        <v>44530</v>
      </c>
      <c r="D302" s="1" t="s">
        <v>2458</v>
      </c>
      <c r="E302" t="s">
        <v>15</v>
      </c>
      <c r="F302" s="10"/>
      <c r="G302" s="10" t="s">
        <v>1715</v>
      </c>
      <c r="H302" t="s">
        <v>437</v>
      </c>
      <c r="I302" t="s">
        <v>1747</v>
      </c>
      <c r="K302" s="2"/>
      <c r="M302" s="2"/>
    </row>
    <row r="303" spans="1:13">
      <c r="A303" t="s">
        <v>28</v>
      </c>
      <c r="B303">
        <f ca="1">IF(OR(changes[[#This Row],[Type]]="Checklist",changes[[#This Row],[Type]]="checklist-flat"),1+IF(changes[[#This Row],[Type of change]] = "Edit",COUNTIFS($I$4:changes[[#This Row],[Name]],changes[[#This Row],[Name]], $E$4:changes[[#This Row],[Type of change]], "Edit")),B302)</f>
        <v>3</v>
      </c>
      <c r="C303" s="16">
        <v>44530</v>
      </c>
      <c r="D303" s="1" t="s">
        <v>2458</v>
      </c>
      <c r="E303" t="s">
        <v>15</v>
      </c>
      <c r="F303" s="10"/>
      <c r="G303" s="10" t="s">
        <v>1715</v>
      </c>
      <c r="H303" t="s">
        <v>55</v>
      </c>
      <c r="I303" t="s">
        <v>1748</v>
      </c>
      <c r="K303" s="2"/>
      <c r="M303" s="2"/>
    </row>
    <row r="304" spans="1:13">
      <c r="A304" t="s">
        <v>28</v>
      </c>
      <c r="B304">
        <f ca="1">IF(OR(changes[[#This Row],[Type]]="Checklist",changes[[#This Row],[Type]]="checklist-flat"),1+IF(changes[[#This Row],[Type of change]] = "Edit",COUNTIFS($I$4:changes[[#This Row],[Name]],changes[[#This Row],[Name]], $E$4:changes[[#This Row],[Type of change]], "Edit")),B303)</f>
        <v>3</v>
      </c>
      <c r="C304" s="16">
        <v>44530</v>
      </c>
      <c r="D304" s="1" t="s">
        <v>2458</v>
      </c>
      <c r="E304" t="s">
        <v>15</v>
      </c>
      <c r="F304" s="10"/>
      <c r="G304" s="10" t="s">
        <v>1715</v>
      </c>
      <c r="H304" t="s">
        <v>55</v>
      </c>
      <c r="I304" t="s">
        <v>1749</v>
      </c>
      <c r="K304" s="2"/>
      <c r="M304" s="2"/>
    </row>
    <row r="305" spans="1:13">
      <c r="A305" t="s">
        <v>28</v>
      </c>
      <c r="B305">
        <f ca="1">IF(OR(changes[[#This Row],[Type]]="Checklist",changes[[#This Row],[Type]]="checklist-flat"),1+IF(changes[[#This Row],[Type of change]] = "Edit",COUNTIFS($I$4:changes[[#This Row],[Name]],changes[[#This Row],[Name]], $E$4:changes[[#This Row],[Type of change]], "Edit")),B304)</f>
        <v>3</v>
      </c>
      <c r="C305" s="16">
        <v>44530</v>
      </c>
      <c r="D305" s="1" t="s">
        <v>2458</v>
      </c>
      <c r="E305" t="s">
        <v>15</v>
      </c>
      <c r="F305" s="10"/>
      <c r="G305" s="10" t="s">
        <v>1715</v>
      </c>
      <c r="H305" t="s">
        <v>55</v>
      </c>
      <c r="I305" t="s">
        <v>1750</v>
      </c>
      <c r="K305" s="2"/>
      <c r="M305" s="2"/>
    </row>
    <row r="306" spans="1:13">
      <c r="A306" t="s">
        <v>28</v>
      </c>
      <c r="B306">
        <f ca="1">IF(OR(changes[[#This Row],[Type]]="Checklist",changes[[#This Row],[Type]]="checklist-flat"),1+IF(changes[[#This Row],[Type of change]] = "Edit",COUNTIFS($I$4:changes[[#This Row],[Name]],changes[[#This Row],[Name]], $E$4:changes[[#This Row],[Type of change]], "Edit")),B305)</f>
        <v>3</v>
      </c>
      <c r="C306" s="16">
        <v>44530</v>
      </c>
      <c r="D306" s="1" t="s">
        <v>2458</v>
      </c>
      <c r="E306" t="s">
        <v>15</v>
      </c>
      <c r="F306" s="10"/>
      <c r="G306" s="10" t="s">
        <v>1715</v>
      </c>
      <c r="H306" t="s">
        <v>479</v>
      </c>
      <c r="I306" t="s">
        <v>1751</v>
      </c>
      <c r="K306" s="2"/>
      <c r="M306" s="2"/>
    </row>
    <row r="307" spans="1:13">
      <c r="A307" t="s">
        <v>28</v>
      </c>
      <c r="B307">
        <f ca="1">IF(OR(changes[[#This Row],[Type]]="Checklist",changes[[#This Row],[Type]]="checklist-flat"),1+IF(changes[[#This Row],[Type of change]] = "Edit",COUNTIFS($I$4:changes[[#This Row],[Name]],changes[[#This Row],[Name]], $E$4:changes[[#This Row],[Type of change]], "Edit")),B306)</f>
        <v>3</v>
      </c>
      <c r="C307" s="16">
        <v>44530</v>
      </c>
      <c r="D307" s="1" t="s">
        <v>2458</v>
      </c>
      <c r="E307" t="s">
        <v>15</v>
      </c>
      <c r="F307" s="10"/>
      <c r="G307" s="10" t="s">
        <v>1715</v>
      </c>
      <c r="H307" t="s">
        <v>55</v>
      </c>
      <c r="I307" t="s">
        <v>1752</v>
      </c>
      <c r="K307" s="2"/>
      <c r="M307" s="2"/>
    </row>
    <row r="308" spans="1:13">
      <c r="A308" t="s">
        <v>28</v>
      </c>
      <c r="B308">
        <f ca="1">IF(OR(changes[[#This Row],[Type]]="Checklist",changes[[#This Row],[Type]]="checklist-flat"),1+IF(changes[[#This Row],[Type of change]] = "Edit",COUNTIFS($I$4:changes[[#This Row],[Name]],changes[[#This Row],[Name]], $E$4:changes[[#This Row],[Type of change]], "Edit")),B307)</f>
        <v>3</v>
      </c>
      <c r="C308" s="16">
        <v>44530</v>
      </c>
      <c r="D308" s="1" t="s">
        <v>2458</v>
      </c>
      <c r="E308" t="s">
        <v>15</v>
      </c>
      <c r="F308" s="10"/>
      <c r="G308" s="10" t="s">
        <v>1715</v>
      </c>
      <c r="H308" t="s">
        <v>64</v>
      </c>
      <c r="I308" t="s">
        <v>1753</v>
      </c>
      <c r="K308" s="2"/>
      <c r="M308" s="2"/>
    </row>
    <row r="309" spans="1:13">
      <c r="A309" t="s">
        <v>28</v>
      </c>
      <c r="B309">
        <f ca="1">IF(OR(changes[[#This Row],[Type]]="Checklist",changes[[#This Row],[Type]]="checklist-flat"),1+IF(changes[[#This Row],[Type of change]] = "Edit",COUNTIFS($I$4:changes[[#This Row],[Name]],changes[[#This Row],[Name]], $E$4:changes[[#This Row],[Type of change]], "Edit")),B308)</f>
        <v>3</v>
      </c>
      <c r="C309" s="16">
        <v>44530</v>
      </c>
      <c r="D309" s="1" t="s">
        <v>2458</v>
      </c>
      <c r="E309" t="s">
        <v>15</v>
      </c>
      <c r="F309" s="10"/>
      <c r="G309" s="10" t="s">
        <v>1715</v>
      </c>
      <c r="H309" t="s">
        <v>55</v>
      </c>
      <c r="I309" t="s">
        <v>1754</v>
      </c>
      <c r="K309" s="2"/>
      <c r="M309" s="2"/>
    </row>
    <row r="310" spans="1:13">
      <c r="A310" t="s">
        <v>28</v>
      </c>
      <c r="B310">
        <f ca="1">IF(OR(changes[[#This Row],[Type]]="Checklist",changes[[#This Row],[Type]]="checklist-flat"),1+IF(changes[[#This Row],[Type of change]] = "Edit",COUNTIFS($I$4:changes[[#This Row],[Name]],changes[[#This Row],[Name]], $E$4:changes[[#This Row],[Type of change]], "Edit")),B309)</f>
        <v>2</v>
      </c>
      <c r="C310" s="16">
        <v>44530</v>
      </c>
      <c r="D310" s="1" t="s">
        <v>2458</v>
      </c>
      <c r="E310" t="s">
        <v>15</v>
      </c>
      <c r="F310" s="10"/>
      <c r="G310" s="10" t="s">
        <v>1849</v>
      </c>
      <c r="H310" t="s">
        <v>54</v>
      </c>
      <c r="I310" t="s">
        <v>1849</v>
      </c>
      <c r="K310" s="2"/>
      <c r="M310" s="2"/>
    </row>
    <row r="311" spans="1:13">
      <c r="A311" t="s">
        <v>28</v>
      </c>
      <c r="B311">
        <f ca="1">IF(OR(changes[[#This Row],[Type]]="Checklist",changes[[#This Row],[Type]]="checklist-flat"),1+IF(changes[[#This Row],[Type of change]] = "Edit",COUNTIFS($I$4:changes[[#This Row],[Name]],changes[[#This Row],[Name]], $E$4:changes[[#This Row],[Type of change]], "Edit")),B310)</f>
        <v>2</v>
      </c>
      <c r="C311" s="16">
        <v>44530</v>
      </c>
      <c r="D311" s="1" t="s">
        <v>2458</v>
      </c>
      <c r="E311" t="s">
        <v>15</v>
      </c>
      <c r="F311" s="10"/>
      <c r="G311" s="10" t="s">
        <v>1849</v>
      </c>
      <c r="H311" t="s">
        <v>55</v>
      </c>
      <c r="I311" t="s">
        <v>1816</v>
      </c>
      <c r="K311" s="2"/>
      <c r="M311" s="2"/>
    </row>
    <row r="312" spans="1:13">
      <c r="A312" t="s">
        <v>28</v>
      </c>
      <c r="B312">
        <f ca="1">IF(OR(changes[[#This Row],[Type]]="Checklist",changes[[#This Row],[Type]]="checklist-flat"),1+IF(changes[[#This Row],[Type of change]] = "Edit",COUNTIFS($I$4:changes[[#This Row],[Name]],changes[[#This Row],[Name]], $E$4:changes[[#This Row],[Type of change]], "Edit")),B311)</f>
        <v>2</v>
      </c>
      <c r="C312" s="16">
        <v>44530</v>
      </c>
      <c r="D312" s="1" t="s">
        <v>2458</v>
      </c>
      <c r="E312" t="s">
        <v>15</v>
      </c>
      <c r="F312" s="10"/>
      <c r="G312" s="10" t="s">
        <v>1849</v>
      </c>
      <c r="H312" t="s">
        <v>55</v>
      </c>
      <c r="I312" t="s">
        <v>1727</v>
      </c>
      <c r="K312" s="2"/>
      <c r="M312" s="2"/>
    </row>
    <row r="313" spans="1:13">
      <c r="A313" t="s">
        <v>28</v>
      </c>
      <c r="B313">
        <f ca="1">IF(OR(changes[[#This Row],[Type]]="Checklist",changes[[#This Row],[Type]]="checklist-flat"),1+IF(changes[[#This Row],[Type of change]] = "Edit",COUNTIFS($I$4:changes[[#This Row],[Name]],changes[[#This Row],[Name]], $E$4:changes[[#This Row],[Type of change]], "Edit")),B312)</f>
        <v>2</v>
      </c>
      <c r="C313" s="16">
        <v>44530</v>
      </c>
      <c r="D313" s="1" t="s">
        <v>2458</v>
      </c>
      <c r="E313" t="s">
        <v>15</v>
      </c>
      <c r="F313" s="10"/>
      <c r="G313" s="10" t="s">
        <v>1849</v>
      </c>
      <c r="H313" t="s">
        <v>55</v>
      </c>
      <c r="I313" t="s">
        <v>155</v>
      </c>
      <c r="K313" s="2"/>
      <c r="M313" s="2"/>
    </row>
    <row r="314" spans="1:13">
      <c r="A314" t="s">
        <v>28</v>
      </c>
      <c r="B314">
        <f ca="1">IF(OR(changes[[#This Row],[Type]]="Checklist",changes[[#This Row],[Type]]="checklist-flat"),1+IF(changes[[#This Row],[Type of change]] = "Edit",COUNTIFS($I$4:changes[[#This Row],[Name]],changes[[#This Row],[Name]], $E$4:changes[[#This Row],[Type of change]], "Edit")),B313)</f>
        <v>2</v>
      </c>
      <c r="C314" s="16">
        <v>44530</v>
      </c>
      <c r="D314" s="1" t="s">
        <v>2458</v>
      </c>
      <c r="E314" t="s">
        <v>15</v>
      </c>
      <c r="F314" s="10"/>
      <c r="G314" s="10" t="s">
        <v>1849</v>
      </c>
      <c r="H314" t="s">
        <v>55</v>
      </c>
      <c r="I314" t="s">
        <v>1850</v>
      </c>
      <c r="K314" s="2"/>
      <c r="M314" s="2"/>
    </row>
    <row r="315" spans="1:13">
      <c r="A315" t="s">
        <v>28</v>
      </c>
      <c r="B315">
        <f ca="1">IF(OR(changes[[#This Row],[Type]]="Checklist",changes[[#This Row],[Type]]="checklist-flat"),1+IF(changes[[#This Row],[Type of change]] = "Edit",COUNTIFS($I$4:changes[[#This Row],[Name]],changes[[#This Row],[Name]], $E$4:changes[[#This Row],[Type of change]], "Edit")),B314)</f>
        <v>2</v>
      </c>
      <c r="C315" s="16">
        <v>44530</v>
      </c>
      <c r="D315" s="1" t="s">
        <v>2458</v>
      </c>
      <c r="E315" t="s">
        <v>15</v>
      </c>
      <c r="F315" s="10"/>
      <c r="G315" s="10" t="s">
        <v>1849</v>
      </c>
      <c r="H315" t="s">
        <v>55</v>
      </c>
      <c r="I315" t="s">
        <v>1851</v>
      </c>
      <c r="K315" s="2"/>
      <c r="M315" s="2"/>
    </row>
    <row r="316" spans="1:13">
      <c r="A316" t="s">
        <v>28</v>
      </c>
      <c r="B316">
        <f ca="1">IF(OR(changes[[#This Row],[Type]]="Checklist",changes[[#This Row],[Type]]="checklist-flat"),1+IF(changes[[#This Row],[Type of change]] = "Edit",COUNTIFS($I$4:changes[[#This Row],[Name]],changes[[#This Row],[Name]], $E$4:changes[[#This Row],[Type of change]], "Edit")),B315)</f>
        <v>2</v>
      </c>
      <c r="C316" s="16">
        <v>44530</v>
      </c>
      <c r="D316" s="1" t="s">
        <v>2458</v>
      </c>
      <c r="E316" t="s">
        <v>15</v>
      </c>
      <c r="F316" s="10"/>
      <c r="G316" s="10" t="s">
        <v>1849</v>
      </c>
      <c r="H316" t="s">
        <v>55</v>
      </c>
      <c r="I316" t="s">
        <v>1852</v>
      </c>
      <c r="K316" s="2"/>
      <c r="M316" s="2"/>
    </row>
    <row r="317" spans="1:13">
      <c r="A317" t="s">
        <v>28</v>
      </c>
      <c r="B317">
        <f ca="1">IF(OR(changes[[#This Row],[Type]]="Checklist",changes[[#This Row],[Type]]="checklist-flat"),1+IF(changes[[#This Row],[Type of change]] = "Edit",COUNTIFS($I$4:changes[[#This Row],[Name]],changes[[#This Row],[Name]], $E$4:changes[[#This Row],[Type of change]], "Edit")),B316)</f>
        <v>2</v>
      </c>
      <c r="C317" s="16">
        <v>44530</v>
      </c>
      <c r="D317" s="1" t="s">
        <v>2458</v>
      </c>
      <c r="E317" t="s">
        <v>15</v>
      </c>
      <c r="F317" s="10"/>
      <c r="G317" s="10" t="s">
        <v>1853</v>
      </c>
      <c r="H317" t="s">
        <v>478</v>
      </c>
      <c r="I317" t="s">
        <v>1853</v>
      </c>
      <c r="K317" s="2"/>
      <c r="M317" s="2"/>
    </row>
    <row r="318" spans="1:13">
      <c r="A318" t="s">
        <v>28</v>
      </c>
      <c r="B318">
        <f ca="1">IF(OR(changes[[#This Row],[Type]]="Checklist",changes[[#This Row],[Type]]="checklist-flat"),1+IF(changes[[#This Row],[Type of change]] = "Edit",COUNTIFS($I$4:changes[[#This Row],[Name]],changes[[#This Row],[Name]], $E$4:changes[[#This Row],[Type of change]], "Edit")),B317)</f>
        <v>2</v>
      </c>
      <c r="C318" s="16">
        <v>44530</v>
      </c>
      <c r="D318" s="1" t="s">
        <v>2458</v>
      </c>
      <c r="E318" t="s">
        <v>15</v>
      </c>
      <c r="F318" s="10"/>
      <c r="G318" s="10" t="s">
        <v>1853</v>
      </c>
      <c r="H318" t="s">
        <v>479</v>
      </c>
      <c r="I318" t="s">
        <v>1652</v>
      </c>
      <c r="K318" s="2"/>
      <c r="M318" s="2"/>
    </row>
    <row r="319" spans="1:13">
      <c r="A319" t="s">
        <v>28</v>
      </c>
      <c r="B319">
        <f ca="1">IF(OR(changes[[#This Row],[Type]]="Checklist",changes[[#This Row],[Type]]="checklist-flat"),1+IF(changes[[#This Row],[Type of change]] = "Edit",COUNTIFS($I$4:changes[[#This Row],[Name]],changes[[#This Row],[Name]], $E$4:changes[[#This Row],[Type of change]], "Edit")),B318)</f>
        <v>2</v>
      </c>
      <c r="C319" s="16">
        <v>44530</v>
      </c>
      <c r="D319" s="1" t="s">
        <v>2458</v>
      </c>
      <c r="E319" t="s">
        <v>15</v>
      </c>
      <c r="F319" s="10"/>
      <c r="G319" s="10" t="s">
        <v>1853</v>
      </c>
      <c r="H319" t="s">
        <v>55</v>
      </c>
      <c r="I319" t="s">
        <v>1929</v>
      </c>
      <c r="K319" s="2"/>
      <c r="M319" s="2"/>
    </row>
    <row r="320" spans="1:13">
      <c r="A320" t="s">
        <v>28</v>
      </c>
      <c r="B320">
        <f ca="1">IF(OR(changes[[#This Row],[Type]]="Checklist",changes[[#This Row],[Type]]="checklist-flat"),1+IF(changes[[#This Row],[Type of change]] = "Edit",COUNTIFS($I$4:changes[[#This Row],[Name]],changes[[#This Row],[Name]], $E$4:changes[[#This Row],[Type of change]], "Edit")),B319)</f>
        <v>2</v>
      </c>
      <c r="C320" s="16">
        <v>44530</v>
      </c>
      <c r="D320" s="1" t="s">
        <v>2458</v>
      </c>
      <c r="E320" t="s">
        <v>15</v>
      </c>
      <c r="F320" s="10"/>
      <c r="G320" s="10" t="s">
        <v>1853</v>
      </c>
      <c r="H320" t="s">
        <v>55</v>
      </c>
      <c r="I320" t="s">
        <v>2464</v>
      </c>
      <c r="K320" s="2"/>
      <c r="M320" s="2"/>
    </row>
    <row r="321" spans="1:13">
      <c r="A321" t="s">
        <v>28</v>
      </c>
      <c r="B321">
        <f ca="1">IF(OR(changes[[#This Row],[Type]]="Checklist",changes[[#This Row],[Type]]="checklist-flat"),1+IF(changes[[#This Row],[Type of change]] = "Edit",COUNTIFS($I$4:changes[[#This Row],[Name]],changes[[#This Row],[Name]], $E$4:changes[[#This Row],[Type of change]], "Edit")),B320)</f>
        <v>2</v>
      </c>
      <c r="C321" s="16">
        <v>44530</v>
      </c>
      <c r="D321" s="1" t="s">
        <v>2458</v>
      </c>
      <c r="E321" t="s">
        <v>15</v>
      </c>
      <c r="F321" s="10"/>
      <c r="G321" s="10" t="s">
        <v>1853</v>
      </c>
      <c r="H321" t="s">
        <v>55</v>
      </c>
      <c r="I321" t="s">
        <v>2465</v>
      </c>
      <c r="K321" s="2"/>
      <c r="M321" s="2"/>
    </row>
    <row r="322" spans="1:13">
      <c r="A322" t="s">
        <v>28</v>
      </c>
      <c r="B322">
        <f ca="1">IF(OR(changes[[#This Row],[Type]]="Checklist",changes[[#This Row],[Type]]="checklist-flat"),1+IF(changes[[#This Row],[Type of change]] = "Edit",COUNTIFS($I$4:changes[[#This Row],[Name]],changes[[#This Row],[Name]], $E$4:changes[[#This Row],[Type of change]], "Edit")),B321)</f>
        <v>2</v>
      </c>
      <c r="C322" s="16">
        <v>44530</v>
      </c>
      <c r="D322" s="1" t="s">
        <v>2458</v>
      </c>
      <c r="E322" t="s">
        <v>15</v>
      </c>
      <c r="F322" s="10"/>
      <c r="G322" s="10" t="s">
        <v>1853</v>
      </c>
      <c r="H322" t="s">
        <v>55</v>
      </c>
      <c r="I322" t="s">
        <v>1863</v>
      </c>
      <c r="K322" s="2"/>
      <c r="M322" s="2"/>
    </row>
    <row r="323" spans="1:13">
      <c r="A323" t="s">
        <v>28</v>
      </c>
      <c r="B323">
        <f ca="1">IF(OR(changes[[#This Row],[Type]]="Checklist",changes[[#This Row],[Type]]="checklist-flat"),1+IF(changes[[#This Row],[Type of change]] = "Edit",COUNTIFS($I$4:changes[[#This Row],[Name]],changes[[#This Row],[Name]], $E$4:changes[[#This Row],[Type of change]], "Edit")),B322)</f>
        <v>2</v>
      </c>
      <c r="C323" s="16">
        <v>44530</v>
      </c>
      <c r="D323" s="1" t="s">
        <v>2458</v>
      </c>
      <c r="E323" t="s">
        <v>15</v>
      </c>
      <c r="F323" s="10"/>
      <c r="G323" s="10" t="s">
        <v>1853</v>
      </c>
      <c r="H323" t="s">
        <v>55</v>
      </c>
      <c r="I323" t="s">
        <v>1859</v>
      </c>
      <c r="K323" s="2"/>
      <c r="M323" s="2"/>
    </row>
    <row r="324" spans="1:13">
      <c r="A324" t="s">
        <v>28</v>
      </c>
      <c r="B324">
        <f ca="1">IF(OR(changes[[#This Row],[Type]]="Checklist",changes[[#This Row],[Type]]="checklist-flat"),1+IF(changes[[#This Row],[Type of change]] = "Edit",COUNTIFS($I$4:changes[[#This Row],[Name]],changes[[#This Row],[Name]], $E$4:changes[[#This Row],[Type of change]], "Edit")),B323)</f>
        <v>2</v>
      </c>
      <c r="C324" s="16">
        <v>44530</v>
      </c>
      <c r="D324" s="1" t="s">
        <v>2458</v>
      </c>
      <c r="E324" t="s">
        <v>15</v>
      </c>
      <c r="F324" s="10"/>
      <c r="G324" s="10" t="s">
        <v>1853</v>
      </c>
      <c r="H324" t="s">
        <v>479</v>
      </c>
      <c r="I324" t="s">
        <v>1877</v>
      </c>
      <c r="K324" s="2"/>
      <c r="M324" s="2"/>
    </row>
    <row r="325" spans="1:13">
      <c r="A325" t="s">
        <v>28</v>
      </c>
      <c r="B325">
        <f ca="1">IF(OR(changes[[#This Row],[Type]]="Checklist",changes[[#This Row],[Type]]="checklist-flat"),1+IF(changes[[#This Row],[Type of change]] = "Edit",COUNTIFS($I$4:changes[[#This Row],[Name]],changes[[#This Row],[Name]], $E$4:changes[[#This Row],[Type of change]], "Edit")),B324)</f>
        <v>2</v>
      </c>
      <c r="C325" s="16">
        <v>44530</v>
      </c>
      <c r="D325" s="1" t="s">
        <v>2458</v>
      </c>
      <c r="E325" t="s">
        <v>15</v>
      </c>
      <c r="F325" s="10"/>
      <c r="G325" s="10" t="s">
        <v>1853</v>
      </c>
      <c r="H325" t="s">
        <v>55</v>
      </c>
      <c r="I325" t="s">
        <v>2466</v>
      </c>
      <c r="K325" s="2"/>
      <c r="M325" s="2"/>
    </row>
    <row r="326" spans="1:13">
      <c r="A326" t="s">
        <v>28</v>
      </c>
      <c r="B326">
        <f ca="1">IF(OR(changes[[#This Row],[Type]]="Checklist",changes[[#This Row],[Type]]="checklist-flat"),1+IF(changes[[#This Row],[Type of change]] = "Edit",COUNTIFS($I$4:changes[[#This Row],[Name]],changes[[#This Row],[Name]], $E$4:changes[[#This Row],[Type of change]], "Edit")),B325)</f>
        <v>2</v>
      </c>
      <c r="C326" s="16">
        <v>44530</v>
      </c>
      <c r="D326" s="1" t="s">
        <v>2458</v>
      </c>
      <c r="E326" t="s">
        <v>15</v>
      </c>
      <c r="F326" s="10"/>
      <c r="G326" s="10" t="s">
        <v>1853</v>
      </c>
      <c r="H326" t="s">
        <v>55</v>
      </c>
      <c r="I326" t="s">
        <v>2467</v>
      </c>
      <c r="K326" s="2"/>
      <c r="M326" s="2"/>
    </row>
    <row r="327" spans="1:13">
      <c r="A327" t="s">
        <v>28</v>
      </c>
      <c r="B327">
        <f ca="1">IF(OR(changes[[#This Row],[Type]]="Checklist",changes[[#This Row],[Type]]="checklist-flat"),1+IF(changes[[#This Row],[Type of change]] = "Edit",COUNTIFS($I$4:changes[[#This Row],[Name]],changes[[#This Row],[Name]], $E$4:changes[[#This Row],[Type of change]], "Edit")),B326)</f>
        <v>2</v>
      </c>
      <c r="C327" s="16">
        <v>44530</v>
      </c>
      <c r="D327" s="1" t="s">
        <v>2458</v>
      </c>
      <c r="E327" t="s">
        <v>15</v>
      </c>
      <c r="F327" s="10"/>
      <c r="G327" s="10" t="s">
        <v>1853</v>
      </c>
      <c r="H327" t="s">
        <v>55</v>
      </c>
      <c r="I327" t="s">
        <v>2468</v>
      </c>
      <c r="K327" s="2"/>
      <c r="M327" s="2"/>
    </row>
    <row r="328" spans="1:13">
      <c r="A328" t="s">
        <v>28</v>
      </c>
      <c r="B328">
        <f ca="1">IF(OR(changes[[#This Row],[Type]]="Checklist",changes[[#This Row],[Type]]="checklist-flat"),1+IF(changes[[#This Row],[Type of change]] = "Edit",COUNTIFS($I$4:changes[[#This Row],[Name]],changes[[#This Row],[Name]], $E$4:changes[[#This Row],[Type of change]], "Edit")),B327)</f>
        <v>2</v>
      </c>
      <c r="C328" s="16">
        <v>44530</v>
      </c>
      <c r="D328" s="1" t="s">
        <v>2458</v>
      </c>
      <c r="E328" t="s">
        <v>15</v>
      </c>
      <c r="F328" s="10"/>
      <c r="G328" s="10" t="s">
        <v>1853</v>
      </c>
      <c r="H328" t="s">
        <v>55</v>
      </c>
      <c r="I328" t="s">
        <v>2469</v>
      </c>
      <c r="K328" s="2"/>
      <c r="M328" s="2"/>
    </row>
    <row r="329" spans="1:13">
      <c r="A329" t="s">
        <v>28</v>
      </c>
      <c r="B329">
        <f ca="1">IF(OR(changes[[#This Row],[Type]]="Checklist",changes[[#This Row],[Type]]="checklist-flat"),1+IF(changes[[#This Row],[Type of change]] = "Edit",COUNTIFS($I$4:changes[[#This Row],[Name]],changes[[#This Row],[Name]], $E$4:changes[[#This Row],[Type of change]], "Edit")),B328)</f>
        <v>2</v>
      </c>
      <c r="C329" s="16">
        <v>44530</v>
      </c>
      <c r="D329" s="1" t="s">
        <v>2458</v>
      </c>
      <c r="E329" t="s">
        <v>15</v>
      </c>
      <c r="F329" s="10"/>
      <c r="G329" s="10" t="s">
        <v>1853</v>
      </c>
      <c r="H329" t="s">
        <v>55</v>
      </c>
      <c r="I329" t="s">
        <v>2470</v>
      </c>
      <c r="K329" s="2"/>
      <c r="M329" s="2"/>
    </row>
    <row r="330" spans="1:13">
      <c r="A330" t="s">
        <v>28</v>
      </c>
      <c r="B330">
        <f ca="1">IF(OR(changes[[#This Row],[Type]]="Checklist",changes[[#This Row],[Type]]="checklist-flat"),1+IF(changes[[#This Row],[Type of change]] = "Edit",COUNTIFS($I$4:changes[[#This Row],[Name]],changes[[#This Row],[Name]], $E$4:changes[[#This Row],[Type of change]], "Edit")),B329)</f>
        <v>2</v>
      </c>
      <c r="C330" s="16">
        <v>44530</v>
      </c>
      <c r="D330" s="1" t="s">
        <v>2458</v>
      </c>
      <c r="E330" t="s">
        <v>15</v>
      </c>
      <c r="F330" s="10"/>
      <c r="G330" s="10" t="s">
        <v>2471</v>
      </c>
      <c r="H330" t="s">
        <v>54</v>
      </c>
      <c r="I330" t="s">
        <v>2471</v>
      </c>
      <c r="K330" s="2"/>
      <c r="M330" s="2"/>
    </row>
    <row r="331" spans="1:13">
      <c r="A331" t="s">
        <v>28</v>
      </c>
      <c r="B331">
        <f ca="1">IF(OR(changes[[#This Row],[Type]]="Checklist",changes[[#This Row],[Type]]="checklist-flat"),1+IF(changes[[#This Row],[Type of change]] = "Edit",COUNTIFS($I$4:changes[[#This Row],[Name]],changes[[#This Row],[Name]], $E$4:changes[[#This Row],[Type of change]], "Edit")),B330)</f>
        <v>2</v>
      </c>
      <c r="C331" s="16">
        <v>44530</v>
      </c>
      <c r="D331" s="1" t="s">
        <v>2458</v>
      </c>
      <c r="E331" t="s">
        <v>15</v>
      </c>
      <c r="F331" s="10"/>
      <c r="G331" s="10" t="s">
        <v>2471</v>
      </c>
      <c r="H331" t="s">
        <v>55</v>
      </c>
      <c r="I331" t="s">
        <v>1816</v>
      </c>
      <c r="K331" s="2"/>
      <c r="M331" s="2"/>
    </row>
    <row r="332" spans="1:13">
      <c r="A332" t="s">
        <v>28</v>
      </c>
      <c r="B332">
        <f ca="1">IF(OR(changes[[#This Row],[Type]]="Checklist",changes[[#This Row],[Type]]="checklist-flat"),1+IF(changes[[#This Row],[Type of change]] = "Edit",COUNTIFS($I$4:changes[[#This Row],[Name]],changes[[#This Row],[Name]], $E$4:changes[[#This Row],[Type of change]], "Edit")),B331)</f>
        <v>2</v>
      </c>
      <c r="C332" s="16">
        <v>44530</v>
      </c>
      <c r="D332" s="1" t="s">
        <v>2458</v>
      </c>
      <c r="E332" t="s">
        <v>15</v>
      </c>
      <c r="F332" s="10"/>
      <c r="G332" s="10" t="s">
        <v>2471</v>
      </c>
      <c r="H332" t="s">
        <v>55</v>
      </c>
      <c r="I332" t="s">
        <v>155</v>
      </c>
      <c r="K332" s="2"/>
      <c r="M332" s="2"/>
    </row>
    <row r="333" spans="1:13">
      <c r="A333" t="s">
        <v>28</v>
      </c>
      <c r="B333">
        <f ca="1">IF(OR(changes[[#This Row],[Type]]="Checklist",changes[[#This Row],[Type]]="checklist-flat"),1+IF(changes[[#This Row],[Type of change]] = "Edit",COUNTIFS($I$4:changes[[#This Row],[Name]],changes[[#This Row],[Name]], $E$4:changes[[#This Row],[Type of change]], "Edit")),B332)</f>
        <v>2</v>
      </c>
      <c r="C333" s="16">
        <v>44530</v>
      </c>
      <c r="D333" s="1" t="s">
        <v>2458</v>
      </c>
      <c r="E333" t="s">
        <v>15</v>
      </c>
      <c r="F333" s="10"/>
      <c r="G333" s="10" t="s">
        <v>2471</v>
      </c>
      <c r="H333" t="s">
        <v>55</v>
      </c>
      <c r="I333" t="s">
        <v>1817</v>
      </c>
      <c r="K333" s="2"/>
      <c r="M333" s="2"/>
    </row>
    <row r="334" spans="1:13">
      <c r="A334" t="s">
        <v>28</v>
      </c>
      <c r="B334">
        <f ca="1">IF(OR(changes[[#This Row],[Type]]="Checklist",changes[[#This Row],[Type]]="checklist-flat"),1+IF(changes[[#This Row],[Type of change]] = "Edit",COUNTIFS($I$4:changes[[#This Row],[Name]],changes[[#This Row],[Name]], $E$4:changes[[#This Row],[Type of change]], "Edit")),B333)</f>
        <v>2</v>
      </c>
      <c r="C334" s="16">
        <v>44530</v>
      </c>
      <c r="D334" s="1" t="s">
        <v>2458</v>
      </c>
      <c r="E334" t="s">
        <v>15</v>
      </c>
      <c r="F334" s="10"/>
      <c r="G334" s="10" t="s">
        <v>2471</v>
      </c>
      <c r="H334" t="s">
        <v>55</v>
      </c>
      <c r="I334" t="s">
        <v>2472</v>
      </c>
      <c r="K334" s="2"/>
      <c r="M334" s="2"/>
    </row>
    <row r="335" spans="1:13">
      <c r="A335" t="s">
        <v>28</v>
      </c>
      <c r="B335">
        <f ca="1">IF(OR(changes[[#This Row],[Type]]="Checklist",changes[[#This Row],[Type]]="checklist-flat"),1+IF(changes[[#This Row],[Type of change]] = "Edit",COUNTIFS($I$4:changes[[#This Row],[Name]],changes[[#This Row],[Name]], $E$4:changes[[#This Row],[Type of change]], "Edit")),B334)</f>
        <v>2</v>
      </c>
      <c r="C335" s="16">
        <v>44530</v>
      </c>
      <c r="D335" s="1" t="s">
        <v>2458</v>
      </c>
      <c r="E335" t="s">
        <v>15</v>
      </c>
      <c r="F335" s="10"/>
      <c r="G335" s="10" t="s">
        <v>1839</v>
      </c>
      <c r="H335" t="s">
        <v>54</v>
      </c>
      <c r="I335" t="s">
        <v>1839</v>
      </c>
      <c r="K335" s="2"/>
      <c r="M335" s="2"/>
    </row>
    <row r="336" spans="1:13">
      <c r="A336" t="s">
        <v>28</v>
      </c>
      <c r="B336">
        <f ca="1">IF(OR(changes[[#This Row],[Type]]="Checklist",changes[[#This Row],[Type]]="checklist-flat"),1+IF(changes[[#This Row],[Type of change]] = "Edit",COUNTIFS($I$4:changes[[#This Row],[Name]],changes[[#This Row],[Name]], $E$4:changes[[#This Row],[Type of change]], "Edit")),B335)</f>
        <v>2</v>
      </c>
      <c r="C336" s="16">
        <v>44530</v>
      </c>
      <c r="D336" s="1" t="s">
        <v>2458</v>
      </c>
      <c r="E336" t="s">
        <v>15</v>
      </c>
      <c r="F336" s="10"/>
      <c r="G336" s="10" t="s">
        <v>1839</v>
      </c>
      <c r="H336" t="s">
        <v>55</v>
      </c>
      <c r="I336" t="s">
        <v>1816</v>
      </c>
      <c r="K336" s="2"/>
      <c r="M336" s="2"/>
    </row>
    <row r="337" spans="1:13">
      <c r="A337" t="s">
        <v>28</v>
      </c>
      <c r="B337">
        <f ca="1">IF(OR(changes[[#This Row],[Type]]="Checklist",changes[[#This Row],[Type]]="checklist-flat"),1+IF(changes[[#This Row],[Type of change]] = "Edit",COUNTIFS($I$4:changes[[#This Row],[Name]],changes[[#This Row],[Name]], $E$4:changes[[#This Row],[Type of change]], "Edit")),B336)</f>
        <v>2</v>
      </c>
      <c r="C337" s="16">
        <v>44530</v>
      </c>
      <c r="D337" s="1" t="s">
        <v>2458</v>
      </c>
      <c r="E337" t="s">
        <v>15</v>
      </c>
      <c r="F337" s="10"/>
      <c r="G337" s="10" t="s">
        <v>1839</v>
      </c>
      <c r="H337" t="s">
        <v>55</v>
      </c>
      <c r="I337" t="s">
        <v>155</v>
      </c>
      <c r="K337" s="2"/>
      <c r="M337" s="2"/>
    </row>
    <row r="338" spans="1:13">
      <c r="A338" t="s">
        <v>28</v>
      </c>
      <c r="B338">
        <f ca="1">IF(OR(changes[[#This Row],[Type]]="Checklist",changes[[#This Row],[Type]]="checklist-flat"),1+IF(changes[[#This Row],[Type of change]] = "Edit",COUNTIFS($I$4:changes[[#This Row],[Name]],changes[[#This Row],[Name]], $E$4:changes[[#This Row],[Type of change]], "Edit")),B337)</f>
        <v>2</v>
      </c>
      <c r="C338" s="16">
        <v>44530</v>
      </c>
      <c r="D338" s="1" t="s">
        <v>2458</v>
      </c>
      <c r="E338" t="s">
        <v>15</v>
      </c>
      <c r="F338" s="10"/>
      <c r="G338" s="10" t="s">
        <v>1839</v>
      </c>
      <c r="H338" t="s">
        <v>55</v>
      </c>
      <c r="I338" t="s">
        <v>1817</v>
      </c>
      <c r="K338" s="2"/>
      <c r="M338" s="2"/>
    </row>
    <row r="339" spans="1:13">
      <c r="A339" t="s">
        <v>28</v>
      </c>
      <c r="B339">
        <f ca="1">IF(OR(changes[[#This Row],[Type]]="Checklist",changes[[#This Row],[Type]]="checklist-flat"),1+IF(changes[[#This Row],[Type of change]] = "Edit",COUNTIFS($I$4:changes[[#This Row],[Name]],changes[[#This Row],[Name]], $E$4:changes[[#This Row],[Type of change]], "Edit")),B338)</f>
        <v>2</v>
      </c>
      <c r="C339" s="16">
        <v>44530</v>
      </c>
      <c r="D339" s="1" t="s">
        <v>2458</v>
      </c>
      <c r="E339" t="s">
        <v>15</v>
      </c>
      <c r="F339" s="10"/>
      <c r="G339" s="10" t="s">
        <v>1839</v>
      </c>
      <c r="H339" t="s">
        <v>55</v>
      </c>
      <c r="I339" t="s">
        <v>1840</v>
      </c>
      <c r="K339" s="2"/>
      <c r="M339" s="2"/>
    </row>
    <row r="340" spans="1:13">
      <c r="A340" t="s">
        <v>28</v>
      </c>
      <c r="B340">
        <f ca="1">IF(OR(changes[[#This Row],[Type]]="Checklist",changes[[#This Row],[Type]]="checklist-flat"),1+IF(changes[[#This Row],[Type of change]] = "Edit",COUNTIFS($I$4:changes[[#This Row],[Name]],changes[[#This Row],[Name]], $E$4:changes[[#This Row],[Type of change]], "Edit")),B339)</f>
        <v>2</v>
      </c>
      <c r="C340" s="16">
        <v>44530</v>
      </c>
      <c r="D340" s="1" t="s">
        <v>2458</v>
      </c>
      <c r="E340" t="s">
        <v>15</v>
      </c>
      <c r="F340" s="10"/>
      <c r="G340" s="10" t="s">
        <v>1928</v>
      </c>
      <c r="H340" t="s">
        <v>54</v>
      </c>
      <c r="I340" t="s">
        <v>1928</v>
      </c>
      <c r="K340" s="2"/>
      <c r="M340" s="2"/>
    </row>
    <row r="341" spans="1:13">
      <c r="A341" t="s">
        <v>28</v>
      </c>
      <c r="B341">
        <f ca="1">IF(OR(changes[[#This Row],[Type]]="Checklist",changes[[#This Row],[Type]]="checklist-flat"),1+IF(changes[[#This Row],[Type of change]] = "Edit",COUNTIFS($I$4:changes[[#This Row],[Name]],changes[[#This Row],[Name]], $E$4:changes[[#This Row],[Type of change]], "Edit")),B340)</f>
        <v>2</v>
      </c>
      <c r="C341" s="16">
        <v>44530</v>
      </c>
      <c r="D341" s="1" t="s">
        <v>2458</v>
      </c>
      <c r="E341" t="s">
        <v>15</v>
      </c>
      <c r="F341" s="10"/>
      <c r="G341" s="10" t="s">
        <v>1928</v>
      </c>
      <c r="H341" t="s">
        <v>55</v>
      </c>
      <c r="I341" t="s">
        <v>1929</v>
      </c>
      <c r="K341" s="2"/>
      <c r="M341" s="2"/>
    </row>
    <row r="342" spans="1:13">
      <c r="A342" t="s">
        <v>28</v>
      </c>
      <c r="B342">
        <f ca="1">IF(OR(changes[[#This Row],[Type]]="Checklist",changes[[#This Row],[Type]]="checklist-flat"),1+IF(changes[[#This Row],[Type of change]] = "Edit",COUNTIFS($I$4:changes[[#This Row],[Name]],changes[[#This Row],[Name]], $E$4:changes[[#This Row],[Type of change]], "Edit")),B341)</f>
        <v>2</v>
      </c>
      <c r="C342" s="16">
        <v>44530</v>
      </c>
      <c r="D342" s="1" t="s">
        <v>2458</v>
      </c>
      <c r="E342" t="s">
        <v>15</v>
      </c>
      <c r="F342" s="10"/>
      <c r="G342" s="10" t="s">
        <v>1928</v>
      </c>
      <c r="H342" t="s">
        <v>55</v>
      </c>
      <c r="I342" t="s">
        <v>1930</v>
      </c>
      <c r="K342" s="2"/>
      <c r="M342" s="2"/>
    </row>
    <row r="343" spans="1:13">
      <c r="A343" t="s">
        <v>28</v>
      </c>
      <c r="B343">
        <f ca="1">IF(OR(changes[[#This Row],[Type]]="Checklist",changes[[#This Row],[Type]]="checklist-flat"),1+IF(changes[[#This Row],[Type of change]] = "Edit",COUNTIFS($I$4:changes[[#This Row],[Name]],changes[[#This Row],[Name]], $E$4:changes[[#This Row],[Type of change]], "Edit")),B342)</f>
        <v>2</v>
      </c>
      <c r="C343" s="16">
        <v>44530</v>
      </c>
      <c r="D343" s="1" t="s">
        <v>2458</v>
      </c>
      <c r="E343" t="s">
        <v>15</v>
      </c>
      <c r="F343" s="10"/>
      <c r="G343" s="10" t="s">
        <v>1928</v>
      </c>
      <c r="H343" t="s">
        <v>55</v>
      </c>
      <c r="I343" t="s">
        <v>1931</v>
      </c>
      <c r="K343" s="2"/>
      <c r="M343" s="2"/>
    </row>
    <row r="344" spans="1:13">
      <c r="A344" t="s">
        <v>28</v>
      </c>
      <c r="B344">
        <f ca="1">IF(OR(changes[[#This Row],[Type]]="Checklist",changes[[#This Row],[Type]]="checklist-flat"),1+IF(changes[[#This Row],[Type of change]] = "Edit",COUNTIFS($I$4:changes[[#This Row],[Name]],changes[[#This Row],[Name]], $E$4:changes[[#This Row],[Type of change]], "Edit")),B343)</f>
        <v>2</v>
      </c>
      <c r="C344" s="16">
        <v>44530</v>
      </c>
      <c r="D344" s="1" t="s">
        <v>2458</v>
      </c>
      <c r="E344" t="s">
        <v>15</v>
      </c>
      <c r="F344" s="10"/>
      <c r="G344" s="10" t="s">
        <v>1928</v>
      </c>
      <c r="H344" t="s">
        <v>55</v>
      </c>
      <c r="I344" t="s">
        <v>1932</v>
      </c>
      <c r="K344" s="2"/>
      <c r="M344" s="2"/>
    </row>
    <row r="345" spans="1:13">
      <c r="A345" t="s">
        <v>28</v>
      </c>
      <c r="B345">
        <f ca="1">IF(OR(changes[[#This Row],[Type]]="Checklist",changes[[#This Row],[Type]]="checklist-flat"),1+IF(changes[[#This Row],[Type of change]] = "Edit",COUNTIFS($I$4:changes[[#This Row],[Name]],changes[[#This Row],[Name]], $E$4:changes[[#This Row],[Type of change]], "Edit")),B344)</f>
        <v>2</v>
      </c>
      <c r="C345" s="16">
        <v>44530</v>
      </c>
      <c r="D345" s="1" t="s">
        <v>2458</v>
      </c>
      <c r="E345" t="s">
        <v>15</v>
      </c>
      <c r="F345" s="10"/>
      <c r="G345" s="10" t="s">
        <v>1928</v>
      </c>
      <c r="H345" t="s">
        <v>55</v>
      </c>
      <c r="I345" t="s">
        <v>1933</v>
      </c>
      <c r="K345" s="2"/>
      <c r="M345" s="2"/>
    </row>
    <row r="346" spans="1:13">
      <c r="A346" t="s">
        <v>28</v>
      </c>
      <c r="B346">
        <f ca="1">IF(OR(changes[[#This Row],[Type]]="Checklist",changes[[#This Row],[Type]]="checklist-flat"),1+IF(changes[[#This Row],[Type of change]] = "Edit",COUNTIFS($I$4:changes[[#This Row],[Name]],changes[[#This Row],[Name]], $E$4:changes[[#This Row],[Type of change]], "Edit")),B345)</f>
        <v>2</v>
      </c>
      <c r="C346" s="16">
        <v>44530</v>
      </c>
      <c r="D346" s="1" t="s">
        <v>2458</v>
      </c>
      <c r="E346" t="s">
        <v>15</v>
      </c>
      <c r="F346" s="10"/>
      <c r="G346" s="10" t="s">
        <v>1928</v>
      </c>
      <c r="H346" t="s">
        <v>55</v>
      </c>
      <c r="I346" t="s">
        <v>1934</v>
      </c>
      <c r="K346" s="2"/>
      <c r="M346" s="2"/>
    </row>
    <row r="347" spans="1:13">
      <c r="A347" t="s">
        <v>28</v>
      </c>
      <c r="B347">
        <f ca="1">IF(OR(changes[[#This Row],[Type]]="Checklist",changes[[#This Row],[Type]]="checklist-flat"),1+IF(changes[[#This Row],[Type of change]] = "Edit",COUNTIFS($I$4:changes[[#This Row],[Name]],changes[[#This Row],[Name]], $E$4:changes[[#This Row],[Type of change]], "Edit")),B346)</f>
        <v>1</v>
      </c>
      <c r="C347" s="16">
        <v>44530</v>
      </c>
      <c r="D347" s="1" t="s">
        <v>2458</v>
      </c>
      <c r="E347" t="s">
        <v>2453</v>
      </c>
      <c r="F347" s="10"/>
      <c r="G347" s="10" t="s">
        <v>2018</v>
      </c>
      <c r="H347" t="s">
        <v>54</v>
      </c>
      <c r="I347" t="s">
        <v>2018</v>
      </c>
      <c r="K347" s="2"/>
      <c r="M347" s="2"/>
    </row>
    <row r="348" spans="1:13">
      <c r="A348" t="s">
        <v>28</v>
      </c>
      <c r="B348">
        <f ca="1">IF(OR(changes[[#This Row],[Type]]="Checklist",changes[[#This Row],[Type]]="checklist-flat"),1+IF(changes[[#This Row],[Type of change]] = "Edit",COUNTIFS($I$4:changes[[#This Row],[Name]],changes[[#This Row],[Name]], $E$4:changes[[#This Row],[Type of change]], "Edit")),B347)</f>
        <v>1</v>
      </c>
      <c r="C348" s="16">
        <v>44530</v>
      </c>
      <c r="D348" s="1" t="s">
        <v>2458</v>
      </c>
      <c r="E348" t="s">
        <v>2453</v>
      </c>
      <c r="F348" s="10"/>
      <c r="G348" s="10" t="s">
        <v>2018</v>
      </c>
      <c r="H348" t="s">
        <v>55</v>
      </c>
      <c r="I348" t="s">
        <v>2019</v>
      </c>
      <c r="K348" s="2"/>
      <c r="M348" s="2"/>
    </row>
    <row r="349" spans="1:13">
      <c r="A349" t="s">
        <v>28</v>
      </c>
      <c r="B349">
        <f ca="1">IF(OR(changes[[#This Row],[Type]]="Checklist",changes[[#This Row],[Type]]="checklist-flat"),1+IF(changes[[#This Row],[Type of change]] = "Edit",COUNTIFS($I$4:changes[[#This Row],[Name]],changes[[#This Row],[Name]], $E$4:changes[[#This Row],[Type of change]], "Edit")),B348)</f>
        <v>1</v>
      </c>
      <c r="C349" s="16">
        <v>44530</v>
      </c>
      <c r="D349" s="1" t="s">
        <v>2458</v>
      </c>
      <c r="E349" t="s">
        <v>2453</v>
      </c>
      <c r="F349" s="10"/>
      <c r="G349" s="10" t="s">
        <v>2018</v>
      </c>
      <c r="H349" t="s">
        <v>55</v>
      </c>
      <c r="I349" t="s">
        <v>1722</v>
      </c>
      <c r="K349" s="2"/>
      <c r="M349" s="2"/>
    </row>
    <row r="350" spans="1:13">
      <c r="A350" t="s">
        <v>28</v>
      </c>
      <c r="B350">
        <f ca="1">IF(OR(changes[[#This Row],[Type]]="Checklist",changes[[#This Row],[Type]]="checklist-flat"),1+IF(changes[[#This Row],[Type of change]] = "Edit",COUNTIFS($I$4:changes[[#This Row],[Name]],changes[[#This Row],[Name]], $E$4:changes[[#This Row],[Type of change]], "Edit")),B349)</f>
        <v>1</v>
      </c>
      <c r="C350" s="16">
        <v>44530</v>
      </c>
      <c r="D350" s="1" t="s">
        <v>2458</v>
      </c>
      <c r="E350" t="s">
        <v>2453</v>
      </c>
      <c r="F350" s="10"/>
      <c r="G350" s="10" t="s">
        <v>2018</v>
      </c>
      <c r="H350" t="s">
        <v>55</v>
      </c>
      <c r="I350" t="s">
        <v>1723</v>
      </c>
      <c r="K350" s="2"/>
      <c r="M350" s="2"/>
    </row>
    <row r="351" spans="1:13">
      <c r="A351" t="s">
        <v>28</v>
      </c>
      <c r="B351">
        <f ca="1">IF(OR(changes[[#This Row],[Type]]="Checklist",changes[[#This Row],[Type]]="checklist-flat"),1+IF(changes[[#This Row],[Type of change]] = "Edit",COUNTIFS($I$4:changes[[#This Row],[Name]],changes[[#This Row],[Name]], $E$4:changes[[#This Row],[Type of change]], "Edit")),B350)</f>
        <v>1</v>
      </c>
      <c r="C351" s="16">
        <v>44530</v>
      </c>
      <c r="D351" s="1" t="s">
        <v>2458</v>
      </c>
      <c r="E351" t="s">
        <v>2453</v>
      </c>
      <c r="F351" s="10"/>
      <c r="G351" s="10" t="s">
        <v>2018</v>
      </c>
      <c r="H351" t="s">
        <v>55</v>
      </c>
      <c r="I351" t="s">
        <v>2020</v>
      </c>
      <c r="K351" s="2"/>
      <c r="M351" s="2"/>
    </row>
    <row r="352" spans="1:13">
      <c r="A352" t="s">
        <v>28</v>
      </c>
      <c r="B352">
        <f ca="1">IF(OR(changes[[#This Row],[Type]]="Checklist",changes[[#This Row],[Type]]="checklist-flat"),1+IF(changes[[#This Row],[Type of change]] = "Edit",COUNTIFS($I$4:changes[[#This Row],[Name]],changes[[#This Row],[Name]], $E$4:changes[[#This Row],[Type of change]], "Edit")),B351)</f>
        <v>1</v>
      </c>
      <c r="C352" s="16">
        <v>44530</v>
      </c>
      <c r="D352" s="1" t="s">
        <v>2458</v>
      </c>
      <c r="E352" t="s">
        <v>2453</v>
      </c>
      <c r="F352" s="10"/>
      <c r="G352" s="10" t="s">
        <v>2018</v>
      </c>
      <c r="H352" t="s">
        <v>55</v>
      </c>
      <c r="I352" t="s">
        <v>2021</v>
      </c>
      <c r="K352" s="2"/>
      <c r="M352" s="2"/>
    </row>
    <row r="353" spans="1:13">
      <c r="A353" t="s">
        <v>28</v>
      </c>
      <c r="B353">
        <f ca="1">IF(OR(changes[[#This Row],[Type]]="Checklist",changes[[#This Row],[Type]]="checklist-flat"),1+IF(changes[[#This Row],[Type of change]] = "Edit",COUNTIFS($I$4:changes[[#This Row],[Name]],changes[[#This Row],[Name]], $E$4:changes[[#This Row],[Type of change]], "Edit")),B352)</f>
        <v>1</v>
      </c>
      <c r="C353" s="16">
        <v>44530</v>
      </c>
      <c r="D353" s="1" t="s">
        <v>2458</v>
      </c>
      <c r="E353" t="s">
        <v>2453</v>
      </c>
      <c r="F353" s="10"/>
      <c r="G353" s="10" t="s">
        <v>2018</v>
      </c>
      <c r="H353" t="s">
        <v>55</v>
      </c>
      <c r="I353" t="s">
        <v>2473</v>
      </c>
      <c r="K353" s="2"/>
      <c r="M353" s="2"/>
    </row>
    <row r="354" spans="1:13">
      <c r="A354" t="s">
        <v>28</v>
      </c>
      <c r="B354">
        <f ca="1">IF(OR(changes[[#This Row],[Type]]="Checklist",changes[[#This Row],[Type]]="checklist-flat"),1+IF(changes[[#This Row],[Type of change]] = "Edit",COUNTIFS($I$4:changes[[#This Row],[Name]],changes[[#This Row],[Name]], $E$4:changes[[#This Row],[Type of change]], "Edit")),B353)</f>
        <v>1</v>
      </c>
      <c r="C354" s="16">
        <v>44530</v>
      </c>
      <c r="D354" s="1" t="s">
        <v>2458</v>
      </c>
      <c r="E354" t="s">
        <v>2453</v>
      </c>
      <c r="F354" s="10"/>
      <c r="G354" s="10" t="s">
        <v>1837</v>
      </c>
      <c r="H354" t="s">
        <v>54</v>
      </c>
      <c r="I354" t="s">
        <v>1837</v>
      </c>
      <c r="K354" s="2"/>
      <c r="M354" s="2"/>
    </row>
    <row r="355" spans="1:13">
      <c r="A355" t="s">
        <v>28</v>
      </c>
      <c r="B355">
        <f ca="1">IF(OR(changes[[#This Row],[Type]]="Checklist",changes[[#This Row],[Type]]="checklist-flat"),1+IF(changes[[#This Row],[Type of change]] = "Edit",COUNTIFS($I$4:changes[[#This Row],[Name]],changes[[#This Row],[Name]], $E$4:changes[[#This Row],[Type of change]], "Edit")),B354)</f>
        <v>1</v>
      </c>
      <c r="C355" s="16">
        <v>44530</v>
      </c>
      <c r="D355" s="1" t="s">
        <v>2458</v>
      </c>
      <c r="E355" t="s">
        <v>2453</v>
      </c>
      <c r="F355" s="10"/>
      <c r="G355" s="10" t="s">
        <v>1837</v>
      </c>
      <c r="H355" t="s">
        <v>55</v>
      </c>
      <c r="I355" t="s">
        <v>1816</v>
      </c>
      <c r="K355" s="2"/>
      <c r="M355" s="2"/>
    </row>
    <row r="356" spans="1:13">
      <c r="A356" t="s">
        <v>28</v>
      </c>
      <c r="B356">
        <f ca="1">IF(OR(changes[[#This Row],[Type]]="Checklist",changes[[#This Row],[Type]]="checklist-flat"),1+IF(changes[[#This Row],[Type of change]] = "Edit",COUNTIFS($I$4:changes[[#This Row],[Name]],changes[[#This Row],[Name]], $E$4:changes[[#This Row],[Type of change]], "Edit")),B355)</f>
        <v>1</v>
      </c>
      <c r="C356" s="16">
        <v>44530</v>
      </c>
      <c r="D356" s="1" t="s">
        <v>2458</v>
      </c>
      <c r="E356" t="s">
        <v>2453</v>
      </c>
      <c r="F356" s="10"/>
      <c r="G356" s="10" t="s">
        <v>1837</v>
      </c>
      <c r="H356" t="s">
        <v>55</v>
      </c>
      <c r="I356" t="s">
        <v>155</v>
      </c>
      <c r="K356" s="2"/>
      <c r="M356" s="2"/>
    </row>
    <row r="357" spans="1:13">
      <c r="A357" t="s">
        <v>28</v>
      </c>
      <c r="B357">
        <f ca="1">IF(OR(changes[[#This Row],[Type]]="Checklist",changes[[#This Row],[Type]]="checklist-flat"),1+IF(changes[[#This Row],[Type of change]] = "Edit",COUNTIFS($I$4:changes[[#This Row],[Name]],changes[[#This Row],[Name]], $E$4:changes[[#This Row],[Type of change]], "Edit")),B356)</f>
        <v>1</v>
      </c>
      <c r="C357" s="16">
        <v>44530</v>
      </c>
      <c r="D357" s="1" t="s">
        <v>2458</v>
      </c>
      <c r="E357" t="s">
        <v>2453</v>
      </c>
      <c r="F357" s="10"/>
      <c r="G357" s="10" t="s">
        <v>1837</v>
      </c>
      <c r="H357" t="s">
        <v>55</v>
      </c>
      <c r="I357" t="s">
        <v>1817</v>
      </c>
      <c r="K357" s="2"/>
      <c r="M357" s="2"/>
    </row>
    <row r="358" spans="1:13">
      <c r="A358" t="s">
        <v>28</v>
      </c>
      <c r="B358">
        <f ca="1">IF(OR(changes[[#This Row],[Type]]="Checklist",changes[[#This Row],[Type]]="checklist-flat"),1+IF(changes[[#This Row],[Type of change]] = "Edit",COUNTIFS($I$4:changes[[#This Row],[Name]],changes[[#This Row],[Name]], $E$4:changes[[#This Row],[Type of change]], "Edit")),B357)</f>
        <v>1</v>
      </c>
      <c r="C358" s="16">
        <v>44530</v>
      </c>
      <c r="D358" s="1" t="s">
        <v>2458</v>
      </c>
      <c r="E358" t="s">
        <v>2453</v>
      </c>
      <c r="F358" s="10"/>
      <c r="G358" s="10" t="s">
        <v>1837</v>
      </c>
      <c r="H358" t="s">
        <v>55</v>
      </c>
      <c r="I358" t="s">
        <v>1838</v>
      </c>
      <c r="K358" s="2"/>
      <c r="M358" s="2"/>
    </row>
    <row r="359" spans="1:13">
      <c r="A359" t="s">
        <v>28</v>
      </c>
      <c r="B359">
        <f ca="1">IF(OR(changes[[#This Row],[Type]]="Checklist",changes[[#This Row],[Type]]="checklist-flat"),1+IF(changes[[#This Row],[Type of change]] = "Edit",COUNTIFS($I$4:changes[[#This Row],[Name]],changes[[#This Row],[Name]], $E$4:changes[[#This Row],[Type of change]], "Edit")),B358)</f>
        <v>1</v>
      </c>
      <c r="C359" s="16">
        <v>44530</v>
      </c>
      <c r="D359" s="1" t="s">
        <v>2458</v>
      </c>
      <c r="E359" t="s">
        <v>2453</v>
      </c>
      <c r="F359" s="10"/>
      <c r="G359" s="10" t="s">
        <v>1830</v>
      </c>
      <c r="H359" t="s">
        <v>54</v>
      </c>
      <c r="I359" t="s">
        <v>1830</v>
      </c>
      <c r="K359" s="2"/>
      <c r="M359" s="2"/>
    </row>
    <row r="360" spans="1:13">
      <c r="A360" t="s">
        <v>28</v>
      </c>
      <c r="B360">
        <f ca="1">IF(OR(changes[[#This Row],[Type]]="Checklist",changes[[#This Row],[Type]]="checklist-flat"),1+IF(changes[[#This Row],[Type of change]] = "Edit",COUNTIFS($I$4:changes[[#This Row],[Name]],changes[[#This Row],[Name]], $E$4:changes[[#This Row],[Type of change]], "Edit")),B359)</f>
        <v>1</v>
      </c>
      <c r="C360" s="16">
        <v>44530</v>
      </c>
      <c r="D360" s="1" t="s">
        <v>2458</v>
      </c>
      <c r="E360" t="s">
        <v>2453</v>
      </c>
      <c r="F360" s="10"/>
      <c r="G360" s="10" t="s">
        <v>1830</v>
      </c>
      <c r="H360" t="s">
        <v>55</v>
      </c>
      <c r="I360" t="s">
        <v>1816</v>
      </c>
      <c r="K360" s="2"/>
      <c r="M360" s="2"/>
    </row>
    <row r="361" spans="1:13">
      <c r="A361" t="s">
        <v>28</v>
      </c>
      <c r="B361">
        <f ca="1">IF(OR(changes[[#This Row],[Type]]="Checklist",changes[[#This Row],[Type]]="checklist-flat"),1+IF(changes[[#This Row],[Type of change]] = "Edit",COUNTIFS($I$4:changes[[#This Row],[Name]],changes[[#This Row],[Name]], $E$4:changes[[#This Row],[Type of change]], "Edit")),B360)</f>
        <v>1</v>
      </c>
      <c r="C361" s="16">
        <v>44530</v>
      </c>
      <c r="D361" s="1" t="s">
        <v>2458</v>
      </c>
      <c r="E361" t="s">
        <v>2453</v>
      </c>
      <c r="F361" s="10"/>
      <c r="G361" s="10" t="s">
        <v>1830</v>
      </c>
      <c r="H361" t="s">
        <v>55</v>
      </c>
      <c r="I361" t="s">
        <v>155</v>
      </c>
      <c r="K361" s="2"/>
      <c r="M361" s="2"/>
    </row>
    <row r="362" spans="1:13">
      <c r="A362" t="s">
        <v>28</v>
      </c>
      <c r="B362">
        <f ca="1">IF(OR(changes[[#This Row],[Type]]="Checklist",changes[[#This Row],[Type]]="checklist-flat"),1+IF(changes[[#This Row],[Type of change]] = "Edit",COUNTIFS($I$4:changes[[#This Row],[Name]],changes[[#This Row],[Name]], $E$4:changes[[#This Row],[Type of change]], "Edit")),B361)</f>
        <v>1</v>
      </c>
      <c r="C362" s="16">
        <v>44530</v>
      </c>
      <c r="D362" s="1" t="s">
        <v>2458</v>
      </c>
      <c r="E362" t="s">
        <v>2453</v>
      </c>
      <c r="F362" s="10"/>
      <c r="G362" s="10" t="s">
        <v>1830</v>
      </c>
      <c r="H362" t="s">
        <v>55</v>
      </c>
      <c r="I362" t="s">
        <v>1817</v>
      </c>
      <c r="K362" s="2"/>
      <c r="M362" s="2"/>
    </row>
    <row r="363" spans="1:13">
      <c r="A363" t="s">
        <v>28</v>
      </c>
      <c r="B363">
        <f ca="1">IF(OR(changes[[#This Row],[Type]]="Checklist",changes[[#This Row],[Type]]="checklist-flat"),1+IF(changes[[#This Row],[Type of change]] = "Edit",COUNTIFS($I$4:changes[[#This Row],[Name]],changes[[#This Row],[Name]], $E$4:changes[[#This Row],[Type of change]], "Edit")),B362)</f>
        <v>1</v>
      </c>
      <c r="C363" s="16">
        <v>44530</v>
      </c>
      <c r="D363" s="1" t="s">
        <v>2458</v>
      </c>
      <c r="E363" t="s">
        <v>2453</v>
      </c>
      <c r="F363" s="10"/>
      <c r="G363" s="10" t="s">
        <v>1830</v>
      </c>
      <c r="H363" t="s">
        <v>55</v>
      </c>
      <c r="I363" t="s">
        <v>1831</v>
      </c>
      <c r="K363" s="2"/>
      <c r="M363" s="2"/>
    </row>
    <row r="364" spans="1:13">
      <c r="A364" t="s">
        <v>28</v>
      </c>
      <c r="B364">
        <f ca="1">IF(OR(changes[[#This Row],[Type]]="Checklist",changes[[#This Row],[Type]]="checklist-flat"),1+IF(changes[[#This Row],[Type of change]] = "Edit",COUNTIFS($I$4:changes[[#This Row],[Name]],changes[[#This Row],[Name]], $E$4:changes[[#This Row],[Type of change]], "Edit")),B363)</f>
        <v>1</v>
      </c>
      <c r="C364" s="16">
        <v>44530</v>
      </c>
      <c r="D364" s="1" t="s">
        <v>2458</v>
      </c>
      <c r="E364" t="s">
        <v>2453</v>
      </c>
      <c r="F364" s="10"/>
      <c r="G364" s="10" t="s">
        <v>2474</v>
      </c>
      <c r="H364" t="s">
        <v>54</v>
      </c>
      <c r="I364" t="s">
        <v>2474</v>
      </c>
      <c r="K364" s="2"/>
      <c r="M364" s="2"/>
    </row>
    <row r="365" spans="1:13">
      <c r="A365" t="s">
        <v>28</v>
      </c>
      <c r="B365">
        <f ca="1">IF(OR(changes[[#This Row],[Type]]="Checklist",changes[[#This Row],[Type]]="checklist-flat"),1+IF(changes[[#This Row],[Type of change]] = "Edit",COUNTIFS($I$4:changes[[#This Row],[Name]],changes[[#This Row],[Name]], $E$4:changes[[#This Row],[Type of change]], "Edit")),B364)</f>
        <v>1</v>
      </c>
      <c r="C365" s="16">
        <v>44530</v>
      </c>
      <c r="D365" s="1" t="s">
        <v>2458</v>
      </c>
      <c r="E365" t="s">
        <v>2453</v>
      </c>
      <c r="F365" s="10"/>
      <c r="G365" s="10" t="s">
        <v>2474</v>
      </c>
      <c r="H365" t="s">
        <v>55</v>
      </c>
      <c r="I365" t="s">
        <v>2475</v>
      </c>
      <c r="K365" s="2"/>
      <c r="M365" s="2"/>
    </row>
    <row r="366" spans="1:13">
      <c r="A366" t="s">
        <v>28</v>
      </c>
      <c r="B366">
        <f ca="1">IF(OR(changes[[#This Row],[Type]]="Checklist",changes[[#This Row],[Type]]="checklist-flat"),1+IF(changes[[#This Row],[Type of change]] = "Edit",COUNTIFS($I$4:changes[[#This Row],[Name]],changes[[#This Row],[Name]], $E$4:changes[[#This Row],[Type of change]], "Edit")),B365)</f>
        <v>1</v>
      </c>
      <c r="C366" s="16">
        <v>44530</v>
      </c>
      <c r="D366" s="1" t="s">
        <v>2458</v>
      </c>
      <c r="E366" t="s">
        <v>2453</v>
      </c>
      <c r="F366" s="10"/>
      <c r="G366" s="10" t="s">
        <v>2474</v>
      </c>
      <c r="H366" t="s">
        <v>437</v>
      </c>
      <c r="I366" t="s">
        <v>2476</v>
      </c>
      <c r="J366" t="s">
        <v>2240</v>
      </c>
      <c r="K366" s="2"/>
      <c r="M366" s="2"/>
    </row>
    <row r="367" spans="1:13">
      <c r="A367" t="s">
        <v>28</v>
      </c>
      <c r="B367">
        <f ca="1">IF(OR(changes[[#This Row],[Type]]="Checklist",changes[[#This Row],[Type]]="checklist-flat"),1+IF(changes[[#This Row],[Type of change]] = "Edit",COUNTIFS($I$4:changes[[#This Row],[Name]],changes[[#This Row],[Name]], $E$4:changes[[#This Row],[Type of change]], "Edit")),B366)</f>
        <v>1</v>
      </c>
      <c r="C367" s="16">
        <v>44530</v>
      </c>
      <c r="D367" s="1" t="s">
        <v>2458</v>
      </c>
      <c r="E367" t="s">
        <v>2453</v>
      </c>
      <c r="F367" s="10"/>
      <c r="G367" s="10" t="s">
        <v>2474</v>
      </c>
      <c r="H367" t="s">
        <v>437</v>
      </c>
      <c r="I367" t="s">
        <v>2477</v>
      </c>
      <c r="J367" t="s">
        <v>2240</v>
      </c>
      <c r="K367" s="2"/>
      <c r="M367" s="2"/>
    </row>
    <row r="368" spans="1:13">
      <c r="A368" t="s">
        <v>28</v>
      </c>
      <c r="B368">
        <f ca="1">IF(OR(changes[[#This Row],[Type]]="Checklist",changes[[#This Row],[Type]]="checklist-flat"),1+IF(changes[[#This Row],[Type of change]] = "Edit",COUNTIFS($I$4:changes[[#This Row],[Name]],changes[[#This Row],[Name]], $E$4:changes[[#This Row],[Type of change]], "Edit")),B367)</f>
        <v>1</v>
      </c>
      <c r="C368" s="16">
        <v>44530</v>
      </c>
      <c r="D368" s="1" t="s">
        <v>2458</v>
      </c>
      <c r="E368" t="s">
        <v>2453</v>
      </c>
      <c r="F368" s="10"/>
      <c r="G368" s="10" t="s">
        <v>2474</v>
      </c>
      <c r="H368" t="s">
        <v>437</v>
      </c>
      <c r="I368" t="s">
        <v>2478</v>
      </c>
      <c r="J368" t="s">
        <v>2240</v>
      </c>
      <c r="K368" s="2"/>
      <c r="M368" s="2"/>
    </row>
    <row r="369" spans="1:13">
      <c r="A369" t="s">
        <v>28</v>
      </c>
      <c r="B369">
        <f ca="1">IF(OR(changes[[#This Row],[Type]]="Checklist",changes[[#This Row],[Type]]="checklist-flat"),1+IF(changes[[#This Row],[Type of change]] = "Edit",COUNTIFS($I$4:changes[[#This Row],[Name]],changes[[#This Row],[Name]], $E$4:changes[[#This Row],[Type of change]], "Edit")),B368)</f>
        <v>1</v>
      </c>
      <c r="C369" s="16">
        <v>44530</v>
      </c>
      <c r="D369" s="1" t="s">
        <v>2458</v>
      </c>
      <c r="E369" t="s">
        <v>2453</v>
      </c>
      <c r="F369" s="10"/>
      <c r="G369" s="10" t="s">
        <v>2474</v>
      </c>
      <c r="H369" t="s">
        <v>437</v>
      </c>
      <c r="I369" t="s">
        <v>2479</v>
      </c>
      <c r="J369" t="s">
        <v>2240</v>
      </c>
      <c r="K369" s="2"/>
      <c r="M369" s="2"/>
    </row>
    <row r="370" spans="1:13">
      <c r="A370" t="s">
        <v>28</v>
      </c>
      <c r="B370">
        <f ca="1">IF(OR(changes[[#This Row],[Type]]="Checklist",changes[[#This Row],[Type]]="checklist-flat"),1+IF(changes[[#This Row],[Type of change]] = "Edit",COUNTIFS($I$4:changes[[#This Row],[Name]],changes[[#This Row],[Name]], $E$4:changes[[#This Row],[Type of change]], "Edit")),B369)</f>
        <v>1</v>
      </c>
      <c r="C370" s="16">
        <v>44530</v>
      </c>
      <c r="D370" s="1" t="s">
        <v>2458</v>
      </c>
      <c r="E370" t="s">
        <v>2453</v>
      </c>
      <c r="F370" s="10"/>
      <c r="G370" s="10" t="s">
        <v>2474</v>
      </c>
      <c r="H370" t="s">
        <v>420</v>
      </c>
      <c r="I370" t="s">
        <v>2480</v>
      </c>
      <c r="K370" s="2"/>
      <c r="M370" s="2"/>
    </row>
    <row r="371" spans="1:13">
      <c r="A371" t="s">
        <v>28</v>
      </c>
      <c r="B371">
        <f ca="1">IF(OR(changes[[#This Row],[Type]]="Checklist",changes[[#This Row],[Type]]="checklist-flat"),1+IF(changes[[#This Row],[Type of change]] = "Edit",COUNTIFS($I$4:changes[[#This Row],[Name]],changes[[#This Row],[Name]], $E$4:changes[[#This Row],[Type of change]], "Edit")),B370)</f>
        <v>1</v>
      </c>
      <c r="C371" s="16">
        <v>44530</v>
      </c>
      <c r="D371" s="1" t="s">
        <v>2458</v>
      </c>
      <c r="E371" t="s">
        <v>2453</v>
      </c>
      <c r="F371" s="10"/>
      <c r="G371" s="10" t="s">
        <v>2474</v>
      </c>
      <c r="H371" t="s">
        <v>64</v>
      </c>
      <c r="I371" t="s">
        <v>422</v>
      </c>
      <c r="K371" s="2"/>
      <c r="M371" s="2"/>
    </row>
    <row r="372" spans="1:13">
      <c r="A372" t="s">
        <v>28</v>
      </c>
      <c r="B372">
        <f ca="1">IF(OR(changes[[#This Row],[Type]]="Checklist",changes[[#This Row],[Type]]="checklist-flat"),1+IF(changes[[#This Row],[Type of change]] = "Edit",COUNTIFS($I$4:changes[[#This Row],[Name]],changes[[#This Row],[Name]], $E$4:changes[[#This Row],[Type of change]], "Edit")),B371)</f>
        <v>1</v>
      </c>
      <c r="C372" s="16">
        <v>44582</v>
      </c>
      <c r="D372" s="1" t="s">
        <v>2481</v>
      </c>
      <c r="E372" t="s">
        <v>2453</v>
      </c>
      <c r="F372" s="10" t="s">
        <v>9</v>
      </c>
      <c r="G372" s="10" t="s">
        <v>1915</v>
      </c>
      <c r="H372" t="s">
        <v>478</v>
      </c>
      <c r="I372" t="s">
        <v>1915</v>
      </c>
      <c r="K372" s="2"/>
      <c r="M372" s="2"/>
    </row>
    <row r="373" spans="1:13">
      <c r="A373" t="s">
        <v>28</v>
      </c>
      <c r="B373">
        <f ca="1">IF(OR(changes[[#This Row],[Type]]="Checklist",changes[[#This Row],[Type]]="checklist-flat"),1+IF(changes[[#This Row],[Type of change]] = "Edit",COUNTIFS($I$4:changes[[#This Row],[Name]],changes[[#This Row],[Name]], $E$4:changes[[#This Row],[Type of change]], "Edit")),B372)</f>
        <v>1</v>
      </c>
      <c r="C373" s="16">
        <v>44582</v>
      </c>
      <c r="D373" s="1" t="s">
        <v>2481</v>
      </c>
      <c r="E373" t="s">
        <v>2453</v>
      </c>
      <c r="F373" s="10" t="s">
        <v>9</v>
      </c>
      <c r="G373" s="10" t="s">
        <v>1915</v>
      </c>
      <c r="H373" t="s">
        <v>55</v>
      </c>
      <c r="I373" t="s">
        <v>1916</v>
      </c>
      <c r="K373" s="2"/>
      <c r="M373" s="2"/>
    </row>
    <row r="374" spans="1:13">
      <c r="A374" t="s">
        <v>28</v>
      </c>
      <c r="B374">
        <f ca="1">IF(OR(changes[[#This Row],[Type]]="Checklist",changes[[#This Row],[Type]]="checklist-flat"),1+IF(changes[[#This Row],[Type of change]] = "Edit",COUNTIFS($I$4:changes[[#This Row],[Name]],changes[[#This Row],[Name]], $E$4:changes[[#This Row],[Type of change]], "Edit")),B373)</f>
        <v>1</v>
      </c>
      <c r="C374" s="16">
        <v>44582</v>
      </c>
      <c r="D374" s="1" t="s">
        <v>2481</v>
      </c>
      <c r="E374" t="s">
        <v>2453</v>
      </c>
      <c r="F374" s="10" t="s">
        <v>9</v>
      </c>
      <c r="G374" s="10" t="s">
        <v>1915</v>
      </c>
      <c r="H374" t="s">
        <v>55</v>
      </c>
      <c r="I374" t="s">
        <v>1917</v>
      </c>
      <c r="K374" s="2"/>
      <c r="M374" s="2"/>
    </row>
    <row r="375" spans="1:13">
      <c r="A375" t="s">
        <v>28</v>
      </c>
      <c r="B375">
        <f ca="1">IF(OR(changes[[#This Row],[Type]]="Checklist",changes[[#This Row],[Type]]="checklist-flat"),1+IF(changes[[#This Row],[Type of change]] = "Edit",COUNTIFS($I$4:changes[[#This Row],[Name]],changes[[#This Row],[Name]], $E$4:changes[[#This Row],[Type of change]], "Edit")),B374)</f>
        <v>1</v>
      </c>
      <c r="C375" s="16">
        <v>44582</v>
      </c>
      <c r="D375" s="1" t="s">
        <v>2481</v>
      </c>
      <c r="E375" t="s">
        <v>2453</v>
      </c>
      <c r="F375" s="10" t="s">
        <v>9</v>
      </c>
      <c r="G375" s="10" t="s">
        <v>1915</v>
      </c>
      <c r="H375" t="s">
        <v>724</v>
      </c>
      <c r="I375" t="s">
        <v>1918</v>
      </c>
      <c r="K375" s="2"/>
      <c r="M375" s="2"/>
    </row>
    <row r="376" spans="1:13">
      <c r="A376" t="s">
        <v>28</v>
      </c>
      <c r="B376">
        <f ca="1">IF(OR(changes[[#This Row],[Type]]="Checklist",changes[[#This Row],[Type]]="checklist-flat"),1+IF(changes[[#This Row],[Type of change]] = "Edit",COUNTIFS($I$4:changes[[#This Row],[Name]],changes[[#This Row],[Name]], $E$4:changes[[#This Row],[Type of change]], "Edit")),B375)</f>
        <v>1</v>
      </c>
      <c r="C376" s="16">
        <v>44582</v>
      </c>
      <c r="D376" s="1" t="s">
        <v>2481</v>
      </c>
      <c r="E376" t="s">
        <v>2453</v>
      </c>
      <c r="F376" s="10" t="s">
        <v>9</v>
      </c>
      <c r="G376" s="10" t="s">
        <v>1915</v>
      </c>
      <c r="H376" t="s">
        <v>724</v>
      </c>
      <c r="I376" t="s">
        <v>571</v>
      </c>
      <c r="K376" s="2"/>
      <c r="M376" s="2"/>
    </row>
    <row r="377" spans="1:13">
      <c r="A377" t="s">
        <v>28</v>
      </c>
      <c r="B377">
        <f ca="1">IF(OR(changes[[#This Row],[Type]]="Checklist",changes[[#This Row],[Type]]="checklist-flat"),1+IF(changes[[#This Row],[Type of change]] = "Edit",COUNTIFS($I$4:changes[[#This Row],[Name]],changes[[#This Row],[Name]], $E$4:changes[[#This Row],[Type of change]], "Edit")),B376)</f>
        <v>1</v>
      </c>
      <c r="C377" s="16">
        <v>44582</v>
      </c>
      <c r="D377" s="1" t="s">
        <v>2481</v>
      </c>
      <c r="E377" t="s">
        <v>2453</v>
      </c>
      <c r="F377" s="10" t="s">
        <v>9</v>
      </c>
      <c r="G377" s="10" t="s">
        <v>1915</v>
      </c>
      <c r="H377" t="s">
        <v>724</v>
      </c>
      <c r="I377" t="s">
        <v>1919</v>
      </c>
      <c r="K377" s="2"/>
      <c r="M377" s="2"/>
    </row>
    <row r="378" spans="1:13">
      <c r="A378" t="s">
        <v>28</v>
      </c>
      <c r="B378">
        <f ca="1">IF(OR(changes[[#This Row],[Type]]="Checklist",changes[[#This Row],[Type]]="checklist-flat"),1+IF(changes[[#This Row],[Type of change]] = "Edit",COUNTIFS($I$4:changes[[#This Row],[Name]],changes[[#This Row],[Name]], $E$4:changes[[#This Row],[Type of change]], "Edit")),B377)</f>
        <v>1</v>
      </c>
      <c r="C378" s="16">
        <v>44582</v>
      </c>
      <c r="D378" s="1" t="s">
        <v>2481</v>
      </c>
      <c r="E378" t="s">
        <v>2453</v>
      </c>
      <c r="F378" s="10" t="s">
        <v>9</v>
      </c>
      <c r="G378" s="10" t="s">
        <v>1915</v>
      </c>
      <c r="H378" t="s">
        <v>724</v>
      </c>
      <c r="I378" t="s">
        <v>1920</v>
      </c>
      <c r="K378" s="2"/>
      <c r="M378" s="2"/>
    </row>
    <row r="379" spans="1:13">
      <c r="A379" t="s">
        <v>28</v>
      </c>
      <c r="B379">
        <f ca="1">IF(OR(changes[[#This Row],[Type]]="Checklist",changes[[#This Row],[Type]]="checklist-flat"),1+IF(changes[[#This Row],[Type of change]] = "Edit",COUNTIFS($I$4:changes[[#This Row],[Name]],changes[[#This Row],[Name]], $E$4:changes[[#This Row],[Type of change]], "Edit")),B378)</f>
        <v>1</v>
      </c>
      <c r="C379" s="16">
        <v>44582</v>
      </c>
      <c r="D379" s="1" t="s">
        <v>2481</v>
      </c>
      <c r="E379" t="s">
        <v>2453</v>
      </c>
      <c r="F379" s="10" t="s">
        <v>9</v>
      </c>
      <c r="G379" s="10" t="s">
        <v>1915</v>
      </c>
      <c r="H379" t="s">
        <v>218</v>
      </c>
      <c r="I379" t="s">
        <v>1921</v>
      </c>
      <c r="J379" t="s">
        <v>510</v>
      </c>
      <c r="K379" s="2"/>
      <c r="M379" s="2"/>
    </row>
    <row r="380" spans="1:13">
      <c r="A380" t="s">
        <v>28</v>
      </c>
      <c r="B380">
        <f ca="1">IF(OR(changes[[#This Row],[Type]]="Checklist",changes[[#This Row],[Type]]="checklist-flat"),1+IF(changes[[#This Row],[Type of change]] = "Edit",COUNTIFS($I$4:changes[[#This Row],[Name]],changes[[#This Row],[Name]], $E$4:changes[[#This Row],[Type of change]], "Edit")),B379)</f>
        <v>1</v>
      </c>
      <c r="C380" s="16">
        <v>44582</v>
      </c>
      <c r="D380" s="1" t="s">
        <v>2481</v>
      </c>
      <c r="E380" t="s">
        <v>2453</v>
      </c>
      <c r="F380" s="10" t="s">
        <v>9</v>
      </c>
      <c r="G380" s="10" t="s">
        <v>1915</v>
      </c>
      <c r="H380" t="s">
        <v>724</v>
      </c>
      <c r="I380" t="s">
        <v>1922</v>
      </c>
      <c r="K380" s="2"/>
      <c r="M380" s="2"/>
    </row>
    <row r="381" spans="1:13">
      <c r="A381" t="s">
        <v>28</v>
      </c>
      <c r="B381">
        <f ca="1">IF(OR(changes[[#This Row],[Type]]="Checklist",changes[[#This Row],[Type]]="checklist-flat"),1+IF(changes[[#This Row],[Type of change]] = "Edit",COUNTIFS($I$4:changes[[#This Row],[Name]],changes[[#This Row],[Name]], $E$4:changes[[#This Row],[Type of change]], "Edit")),B380)</f>
        <v>1</v>
      </c>
      <c r="C381" s="16">
        <v>44582</v>
      </c>
      <c r="D381" s="1" t="s">
        <v>2481</v>
      </c>
      <c r="E381" t="s">
        <v>2453</v>
      </c>
      <c r="F381" s="10" t="s">
        <v>9</v>
      </c>
      <c r="G381" s="10" t="s">
        <v>1915</v>
      </c>
      <c r="H381" t="s">
        <v>55</v>
      </c>
      <c r="I381" t="s">
        <v>1923</v>
      </c>
      <c r="K381" s="2"/>
      <c r="M381" s="2"/>
    </row>
    <row r="382" spans="1:13">
      <c r="A382" t="s">
        <v>28</v>
      </c>
      <c r="B382">
        <f ca="1">IF(OR(changes[[#This Row],[Type]]="Checklist",changes[[#This Row],[Type]]="checklist-flat"),1+IF(changes[[#This Row],[Type of change]] = "Edit",COUNTIFS($I$4:changes[[#This Row],[Name]],changes[[#This Row],[Name]], $E$4:changes[[#This Row],[Type of change]], "Edit")),B381)</f>
        <v>1</v>
      </c>
      <c r="C382" s="16">
        <v>44582</v>
      </c>
      <c r="D382" s="1" t="s">
        <v>2481</v>
      </c>
      <c r="E382" t="s">
        <v>2453</v>
      </c>
      <c r="F382" s="10" t="s">
        <v>9</v>
      </c>
      <c r="G382" s="10" t="s">
        <v>1915</v>
      </c>
      <c r="H382" t="s">
        <v>55</v>
      </c>
      <c r="I382" t="s">
        <v>1924</v>
      </c>
      <c r="K382" s="2"/>
      <c r="M382" s="2"/>
    </row>
    <row r="383" spans="1:13">
      <c r="A383" t="s">
        <v>28</v>
      </c>
      <c r="B383">
        <f ca="1">IF(OR(changes[[#This Row],[Type]]="Checklist",changes[[#This Row],[Type]]="checklist-flat"),1+IF(changes[[#This Row],[Type of change]] = "Edit",COUNTIFS($I$4:changes[[#This Row],[Name]],changes[[#This Row],[Name]], $E$4:changes[[#This Row],[Type of change]], "Edit")),B382)</f>
        <v>1</v>
      </c>
      <c r="C383" s="16">
        <v>44582</v>
      </c>
      <c r="D383" s="1" t="s">
        <v>2481</v>
      </c>
      <c r="E383" t="s">
        <v>2453</v>
      </c>
      <c r="F383" s="10" t="s">
        <v>9</v>
      </c>
      <c r="G383" s="10" t="s">
        <v>1915</v>
      </c>
      <c r="H383" t="s">
        <v>55</v>
      </c>
      <c r="I383" t="s">
        <v>1925</v>
      </c>
      <c r="K383" s="2"/>
      <c r="M383" s="2"/>
    </row>
    <row r="384" spans="1:13">
      <c r="A384" t="s">
        <v>28</v>
      </c>
      <c r="B384">
        <f ca="1">IF(OR(changes[[#This Row],[Type]]="Checklist",changes[[#This Row],[Type]]="checklist-flat"),1+IF(changes[[#This Row],[Type of change]] = "Edit",COUNTIFS($I$4:changes[[#This Row],[Name]],changes[[#This Row],[Name]], $E$4:changes[[#This Row],[Type of change]], "Edit")),B383)</f>
        <v>1</v>
      </c>
      <c r="C384" s="16">
        <v>44582</v>
      </c>
      <c r="D384" s="1" t="s">
        <v>2481</v>
      </c>
      <c r="E384" t="s">
        <v>2453</v>
      </c>
      <c r="F384" s="10" t="s">
        <v>9</v>
      </c>
      <c r="G384" s="10" t="s">
        <v>1915</v>
      </c>
      <c r="H384" t="s">
        <v>1926</v>
      </c>
      <c r="I384" t="s">
        <v>1927</v>
      </c>
      <c r="K384" s="2"/>
      <c r="M384" s="2"/>
    </row>
    <row r="385" spans="1:13">
      <c r="A385" t="s">
        <v>28</v>
      </c>
      <c r="B385">
        <f ca="1">IF(OR(changes[[#This Row],[Type]]="Checklist",changes[[#This Row],[Type]]="checklist-flat"),1+IF(changes[[#This Row],[Type of change]] = "Edit",COUNTIFS($I$4:changes[[#This Row],[Name]],changes[[#This Row],[Name]], $E$4:changes[[#This Row],[Type of change]], "Edit")),B384)</f>
        <v>1</v>
      </c>
      <c r="C385" s="16">
        <v>44582</v>
      </c>
      <c r="D385" s="1" t="s">
        <v>2481</v>
      </c>
      <c r="E385" t="s">
        <v>2453</v>
      </c>
      <c r="F385" s="10" t="s">
        <v>9</v>
      </c>
      <c r="G385" s="10" t="s">
        <v>1896</v>
      </c>
      <c r="H385" t="s">
        <v>478</v>
      </c>
      <c r="I385" t="s">
        <v>1896</v>
      </c>
      <c r="K385" s="2"/>
      <c r="M385" s="2"/>
    </row>
    <row r="386" spans="1:13">
      <c r="A386" t="s">
        <v>28</v>
      </c>
      <c r="B386">
        <f ca="1">IF(OR(changes[[#This Row],[Type]]="Checklist",changes[[#This Row],[Type]]="checklist-flat"),1+IF(changes[[#This Row],[Type of change]] = "Edit",COUNTIFS($I$4:changes[[#This Row],[Name]],changes[[#This Row],[Name]], $E$4:changes[[#This Row],[Type of change]], "Edit")),B385)</f>
        <v>1</v>
      </c>
      <c r="C386" s="16">
        <v>44582</v>
      </c>
      <c r="D386" s="1" t="s">
        <v>2481</v>
      </c>
      <c r="E386" t="s">
        <v>2453</v>
      </c>
      <c r="F386" s="10" t="s">
        <v>9</v>
      </c>
      <c r="G386" s="10" t="s">
        <v>1896</v>
      </c>
      <c r="H386" t="s">
        <v>479</v>
      </c>
      <c r="I386" t="s">
        <v>1897</v>
      </c>
      <c r="K386" s="2"/>
      <c r="M386" s="2"/>
    </row>
    <row r="387" spans="1:13">
      <c r="A387" t="s">
        <v>28</v>
      </c>
      <c r="B387">
        <f ca="1">IF(OR(changes[[#This Row],[Type]]="Checklist",changes[[#This Row],[Type]]="checklist-flat"),1+IF(changes[[#This Row],[Type of change]] = "Edit",COUNTIFS($I$4:changes[[#This Row],[Name]],changes[[#This Row],[Name]], $E$4:changes[[#This Row],[Type of change]], "Edit")),B386)</f>
        <v>1</v>
      </c>
      <c r="C387" s="16">
        <v>44582</v>
      </c>
      <c r="D387" s="1" t="s">
        <v>2481</v>
      </c>
      <c r="E387" t="s">
        <v>2453</v>
      </c>
      <c r="F387" s="10" t="s">
        <v>9</v>
      </c>
      <c r="G387" s="10" t="s">
        <v>1896</v>
      </c>
      <c r="H387" t="s">
        <v>55</v>
      </c>
      <c r="I387" t="s">
        <v>1484</v>
      </c>
      <c r="K387" s="2"/>
      <c r="M387" s="2"/>
    </row>
    <row r="388" spans="1:13">
      <c r="A388" t="s">
        <v>28</v>
      </c>
      <c r="B388">
        <f ca="1">IF(OR(changes[[#This Row],[Type]]="Checklist",changes[[#This Row],[Type]]="checklist-flat"),1+IF(changes[[#This Row],[Type of change]] = "Edit",COUNTIFS($I$4:changes[[#This Row],[Name]],changes[[#This Row],[Name]], $E$4:changes[[#This Row],[Type of change]], "Edit")),B387)</f>
        <v>1</v>
      </c>
      <c r="C388" s="16">
        <v>44582</v>
      </c>
      <c r="D388" s="1" t="s">
        <v>2481</v>
      </c>
      <c r="E388" t="s">
        <v>2453</v>
      </c>
      <c r="F388" s="10" t="s">
        <v>9</v>
      </c>
      <c r="G388" s="10" t="s">
        <v>1896</v>
      </c>
      <c r="H388" t="s">
        <v>55</v>
      </c>
      <c r="I388" t="s">
        <v>1898</v>
      </c>
      <c r="K388" s="2"/>
      <c r="M388" s="2"/>
    </row>
    <row r="389" spans="1:13">
      <c r="A389" t="s">
        <v>28</v>
      </c>
      <c r="B389">
        <f ca="1">IF(OR(changes[[#This Row],[Type]]="Checklist",changes[[#This Row],[Type]]="checklist-flat"),1+IF(changes[[#This Row],[Type of change]] = "Edit",COUNTIFS($I$4:changes[[#This Row],[Name]],changes[[#This Row],[Name]], $E$4:changes[[#This Row],[Type of change]], "Edit")),B388)</f>
        <v>1</v>
      </c>
      <c r="C389" s="16">
        <v>44582</v>
      </c>
      <c r="D389" s="1" t="s">
        <v>2481</v>
      </c>
      <c r="E389" t="s">
        <v>2453</v>
      </c>
      <c r="F389" s="10" t="s">
        <v>9</v>
      </c>
      <c r="G389" s="10" t="s">
        <v>1896</v>
      </c>
      <c r="H389" t="s">
        <v>55</v>
      </c>
      <c r="I389" t="s">
        <v>1899</v>
      </c>
      <c r="K389" s="2"/>
      <c r="M389" s="2"/>
    </row>
    <row r="390" spans="1:13">
      <c r="A390" t="s">
        <v>28</v>
      </c>
      <c r="B390">
        <f ca="1">IF(OR(changes[[#This Row],[Type]]="Checklist",changes[[#This Row],[Type]]="checklist-flat"),1+IF(changes[[#This Row],[Type of change]] = "Edit",COUNTIFS($I$4:changes[[#This Row],[Name]],changes[[#This Row],[Name]], $E$4:changes[[#This Row],[Type of change]], "Edit")),B389)</f>
        <v>1</v>
      </c>
      <c r="C390" s="16">
        <v>44582</v>
      </c>
      <c r="D390" s="1" t="s">
        <v>2481</v>
      </c>
      <c r="E390" t="s">
        <v>2453</v>
      </c>
      <c r="F390" s="10" t="s">
        <v>9</v>
      </c>
      <c r="G390" s="10" t="s">
        <v>1896</v>
      </c>
      <c r="H390" s="31" t="s">
        <v>55</v>
      </c>
      <c r="I390" s="31" t="s">
        <v>2482</v>
      </c>
      <c r="J390" s="31"/>
      <c r="K390" s="2"/>
      <c r="M390" s="2"/>
    </row>
    <row r="391" spans="1:13">
      <c r="A391" t="s">
        <v>28</v>
      </c>
      <c r="B391">
        <f ca="1">IF(OR(changes[[#This Row],[Type]]="Checklist",changes[[#This Row],[Type]]="checklist-flat"),1+IF(changes[[#This Row],[Type of change]] = "Edit",COUNTIFS($I$4:changes[[#This Row],[Name]],changes[[#This Row],[Name]], $E$4:changes[[#This Row],[Type of change]], "Edit")),B390)</f>
        <v>1</v>
      </c>
      <c r="C391" s="16">
        <v>44582</v>
      </c>
      <c r="D391" s="1" t="s">
        <v>2481</v>
      </c>
      <c r="E391" t="s">
        <v>2453</v>
      </c>
      <c r="F391" s="10" t="s">
        <v>9</v>
      </c>
      <c r="G391" s="10" t="s">
        <v>1896</v>
      </c>
      <c r="H391" t="s">
        <v>724</v>
      </c>
      <c r="I391" t="s">
        <v>1901</v>
      </c>
      <c r="K391" s="2"/>
      <c r="M391" s="2"/>
    </row>
    <row r="392" spans="1:13">
      <c r="A392" t="s">
        <v>28</v>
      </c>
      <c r="B392">
        <f ca="1">IF(OR(changes[[#This Row],[Type]]="Checklist",changes[[#This Row],[Type]]="checklist-flat"),1+IF(changes[[#This Row],[Type of change]] = "Edit",COUNTIFS($I$4:changes[[#This Row],[Name]],changes[[#This Row],[Name]], $E$4:changes[[#This Row],[Type of change]], "Edit")),B391)</f>
        <v>1</v>
      </c>
      <c r="C392" s="16">
        <v>44582</v>
      </c>
      <c r="D392" s="1" t="s">
        <v>2481</v>
      </c>
      <c r="E392" t="s">
        <v>2453</v>
      </c>
      <c r="F392" s="10" t="s">
        <v>9</v>
      </c>
      <c r="G392" s="10" t="s">
        <v>1896</v>
      </c>
      <c r="H392" t="s">
        <v>55</v>
      </c>
      <c r="I392" t="s">
        <v>1902</v>
      </c>
      <c r="K392" s="2"/>
      <c r="M392" s="2"/>
    </row>
    <row r="393" spans="1:13">
      <c r="A393" t="s">
        <v>28</v>
      </c>
      <c r="B393">
        <f ca="1">IF(OR(changes[[#This Row],[Type]]="Checklist",changes[[#This Row],[Type]]="checklist-flat"),1+IF(changes[[#This Row],[Type of change]] = "Edit",COUNTIFS($I$4:changes[[#This Row],[Name]],changes[[#This Row],[Name]], $E$4:changes[[#This Row],[Type of change]], "Edit")),B392)</f>
        <v>1</v>
      </c>
      <c r="C393" s="16">
        <v>44582</v>
      </c>
      <c r="D393" s="1" t="s">
        <v>2481</v>
      </c>
      <c r="E393" t="s">
        <v>2453</v>
      </c>
      <c r="F393" s="10" t="s">
        <v>9</v>
      </c>
      <c r="G393" s="10" t="s">
        <v>1896</v>
      </c>
      <c r="H393" s="31" t="s">
        <v>55</v>
      </c>
      <c r="I393" s="31" t="s">
        <v>1903</v>
      </c>
      <c r="J393" s="31"/>
      <c r="K393" s="2"/>
      <c r="M393" s="2"/>
    </row>
    <row r="394" spans="1:13">
      <c r="A394" t="s">
        <v>28</v>
      </c>
      <c r="B394">
        <f ca="1">IF(OR(changes[[#This Row],[Type]]="Checklist",changes[[#This Row],[Type]]="checklist-flat"),1+IF(changes[[#This Row],[Type of change]] = "Edit",COUNTIFS($I$4:changes[[#This Row],[Name]],changes[[#This Row],[Name]], $E$4:changes[[#This Row],[Type of change]], "Edit")),B393)</f>
        <v>1</v>
      </c>
      <c r="C394" s="16">
        <v>44582</v>
      </c>
      <c r="D394" s="1" t="s">
        <v>2481</v>
      </c>
      <c r="E394" t="s">
        <v>2453</v>
      </c>
      <c r="F394" s="10" t="s">
        <v>9</v>
      </c>
      <c r="G394" s="10" t="s">
        <v>1896</v>
      </c>
      <c r="H394" t="s">
        <v>479</v>
      </c>
      <c r="I394" t="s">
        <v>1905</v>
      </c>
      <c r="K394" s="2"/>
      <c r="M394" s="2"/>
    </row>
    <row r="395" spans="1:13">
      <c r="A395" t="s">
        <v>28</v>
      </c>
      <c r="B395">
        <f ca="1">IF(OR(changes[[#This Row],[Type]]="Checklist",changes[[#This Row],[Type]]="checklist-flat"),1+IF(changes[[#This Row],[Type of change]] = "Edit",COUNTIFS($I$4:changes[[#This Row],[Name]],changes[[#This Row],[Name]], $E$4:changes[[#This Row],[Type of change]], "Edit")),B394)</f>
        <v>1</v>
      </c>
      <c r="C395" s="16">
        <v>44582</v>
      </c>
      <c r="D395" s="1" t="s">
        <v>2481</v>
      </c>
      <c r="E395" t="s">
        <v>2453</v>
      </c>
      <c r="F395" s="10" t="s">
        <v>9</v>
      </c>
      <c r="G395" s="10" t="s">
        <v>1896</v>
      </c>
      <c r="H395" t="s">
        <v>55</v>
      </c>
      <c r="I395" t="s">
        <v>1484</v>
      </c>
      <c r="K395" s="2"/>
      <c r="M395" s="2"/>
    </row>
    <row r="396" spans="1:13">
      <c r="A396" t="s">
        <v>28</v>
      </c>
      <c r="B396">
        <f ca="1">IF(OR(changes[[#This Row],[Type]]="Checklist",changes[[#This Row],[Type]]="checklist-flat"),1+IF(changes[[#This Row],[Type of change]] = "Edit",COUNTIFS($I$4:changes[[#This Row],[Name]],changes[[#This Row],[Name]], $E$4:changes[[#This Row],[Type of change]], "Edit")),B395)</f>
        <v>1</v>
      </c>
      <c r="C396" s="16">
        <v>44582</v>
      </c>
      <c r="D396" s="1" t="s">
        <v>2481</v>
      </c>
      <c r="E396" t="s">
        <v>2453</v>
      </c>
      <c r="F396" s="10" t="s">
        <v>9</v>
      </c>
      <c r="G396" s="10" t="s">
        <v>1896</v>
      </c>
      <c r="H396" t="s">
        <v>55</v>
      </c>
      <c r="I396" t="s">
        <v>1906</v>
      </c>
      <c r="K396" s="2"/>
      <c r="M396" s="2"/>
    </row>
    <row r="397" spans="1:13">
      <c r="A397" t="s">
        <v>28</v>
      </c>
      <c r="B397">
        <f ca="1">IF(OR(changes[[#This Row],[Type]]="Checklist",changes[[#This Row],[Type]]="checklist-flat"),1+IF(changes[[#This Row],[Type of change]] = "Edit",COUNTIFS($I$4:changes[[#This Row],[Name]],changes[[#This Row],[Name]], $E$4:changes[[#This Row],[Type of change]], "Edit")),B396)</f>
        <v>1</v>
      </c>
      <c r="C397" s="16">
        <v>44582</v>
      </c>
      <c r="D397" s="1" t="s">
        <v>2481</v>
      </c>
      <c r="E397" t="s">
        <v>2453</v>
      </c>
      <c r="F397" s="10" t="s">
        <v>9</v>
      </c>
      <c r="G397" s="10" t="s">
        <v>1896</v>
      </c>
      <c r="H397" s="31" t="s">
        <v>55</v>
      </c>
      <c r="I397" s="31" t="s">
        <v>1907</v>
      </c>
      <c r="J397" s="31"/>
      <c r="K397" s="2"/>
      <c r="M397" s="2"/>
    </row>
    <row r="398" spans="1:13">
      <c r="A398" t="s">
        <v>28</v>
      </c>
      <c r="B398">
        <f ca="1">IF(OR(changes[[#This Row],[Type]]="Checklist",changes[[#This Row],[Type]]="checklist-flat"),1+IF(changes[[#This Row],[Type of change]] = "Edit",COUNTIFS($I$4:changes[[#This Row],[Name]],changes[[#This Row],[Name]], $E$4:changes[[#This Row],[Type of change]], "Edit")),B397)</f>
        <v>1</v>
      </c>
      <c r="C398" s="16">
        <v>44582</v>
      </c>
      <c r="D398" s="1" t="s">
        <v>2481</v>
      </c>
      <c r="E398" t="s">
        <v>2453</v>
      </c>
      <c r="F398" s="10" t="s">
        <v>9</v>
      </c>
      <c r="G398" s="10" t="s">
        <v>1896</v>
      </c>
      <c r="H398" t="s">
        <v>55</v>
      </c>
      <c r="I398" t="s">
        <v>1908</v>
      </c>
      <c r="K398" s="2"/>
      <c r="M398" s="2"/>
    </row>
    <row r="399" spans="1:13">
      <c r="A399" t="s">
        <v>28</v>
      </c>
      <c r="B399">
        <f ca="1">IF(OR(changes[[#This Row],[Type]]="Checklist",changes[[#This Row],[Type]]="checklist-flat"),1+IF(changes[[#This Row],[Type of change]] = "Edit",COUNTIFS($I$4:changes[[#This Row],[Name]],changes[[#This Row],[Name]], $E$4:changes[[#This Row],[Type of change]], "Edit")),B398)</f>
        <v>1</v>
      </c>
      <c r="C399" s="16">
        <v>44582</v>
      </c>
      <c r="D399" s="1" t="s">
        <v>2481</v>
      </c>
      <c r="E399" t="s">
        <v>2453</v>
      </c>
      <c r="F399" s="10" t="s">
        <v>9</v>
      </c>
      <c r="G399" s="10" t="s">
        <v>1896</v>
      </c>
      <c r="H399" t="s">
        <v>55</v>
      </c>
      <c r="I399" t="s">
        <v>1909</v>
      </c>
      <c r="K399" s="2"/>
      <c r="M399" s="2"/>
    </row>
    <row r="400" spans="1:13">
      <c r="A400" t="s">
        <v>28</v>
      </c>
      <c r="B400">
        <f ca="1">IF(OR(changes[[#This Row],[Type]]="Checklist",changes[[#This Row],[Type]]="checklist-flat"),1+IF(changes[[#This Row],[Type of change]] = "Edit",COUNTIFS($I$4:changes[[#This Row],[Name]],changes[[#This Row],[Name]], $E$4:changes[[#This Row],[Type of change]], "Edit")),B399)</f>
        <v>1</v>
      </c>
      <c r="C400" s="16">
        <v>44582</v>
      </c>
      <c r="D400" s="1" t="s">
        <v>2481</v>
      </c>
      <c r="E400" t="s">
        <v>2453</v>
      </c>
      <c r="F400" s="10" t="s">
        <v>9</v>
      </c>
      <c r="G400" s="10" t="s">
        <v>1896</v>
      </c>
      <c r="H400" t="s">
        <v>55</v>
      </c>
      <c r="I400" t="s">
        <v>1910</v>
      </c>
      <c r="K400" s="2"/>
      <c r="M400" s="2"/>
    </row>
    <row r="401" spans="1:13">
      <c r="A401" t="s">
        <v>28</v>
      </c>
      <c r="B401">
        <f ca="1">IF(OR(changes[[#This Row],[Type]]="Checklist",changes[[#This Row],[Type]]="checklist-flat"),1+IF(changes[[#This Row],[Type of change]] = "Edit",COUNTIFS($I$4:changes[[#This Row],[Name]],changes[[#This Row],[Name]], $E$4:changes[[#This Row],[Type of change]], "Edit")),B400)</f>
        <v>1</v>
      </c>
      <c r="C401" s="16">
        <v>44582</v>
      </c>
      <c r="D401" s="1" t="s">
        <v>2481</v>
      </c>
      <c r="E401" t="s">
        <v>2453</v>
      </c>
      <c r="F401" s="10" t="s">
        <v>9</v>
      </c>
      <c r="G401" s="10" t="s">
        <v>1896</v>
      </c>
      <c r="H401" s="31" t="s">
        <v>55</v>
      </c>
      <c r="I401" s="31" t="s">
        <v>1911</v>
      </c>
      <c r="J401" s="31"/>
      <c r="K401" s="2"/>
      <c r="M401" s="2"/>
    </row>
    <row r="402" spans="1:13">
      <c r="A402" t="s">
        <v>28</v>
      </c>
      <c r="B402">
        <f ca="1">IF(OR(changes[[#This Row],[Type]]="Checklist",changes[[#This Row],[Type]]="checklist-flat"),1+IF(changes[[#This Row],[Type of change]] = "Edit",COUNTIFS($I$4:changes[[#This Row],[Name]],changes[[#This Row],[Name]], $E$4:changes[[#This Row],[Type of change]], "Edit")),B401)</f>
        <v>1</v>
      </c>
      <c r="C402" s="16">
        <v>44582</v>
      </c>
      <c r="D402" s="1" t="s">
        <v>2481</v>
      </c>
      <c r="E402" t="s">
        <v>2453</v>
      </c>
      <c r="F402" s="10" t="s">
        <v>9</v>
      </c>
      <c r="G402" s="10" t="s">
        <v>1896</v>
      </c>
      <c r="H402" t="s">
        <v>479</v>
      </c>
      <c r="I402" t="s">
        <v>1912</v>
      </c>
      <c r="K402" s="2"/>
      <c r="M402" s="2"/>
    </row>
    <row r="403" spans="1:13">
      <c r="A403" t="s">
        <v>28</v>
      </c>
      <c r="B403">
        <f ca="1">IF(OR(changes[[#This Row],[Type]]="Checklist",changes[[#This Row],[Type]]="checklist-flat"),1+IF(changes[[#This Row],[Type of change]] = "Edit",COUNTIFS($I$4:changes[[#This Row],[Name]],changes[[#This Row],[Name]], $E$4:changes[[#This Row],[Type of change]], "Edit")),B402)</f>
        <v>1</v>
      </c>
      <c r="C403" s="16">
        <v>44582</v>
      </c>
      <c r="D403" s="1" t="s">
        <v>2481</v>
      </c>
      <c r="E403" t="s">
        <v>2453</v>
      </c>
      <c r="F403" s="10" t="s">
        <v>9</v>
      </c>
      <c r="G403" s="10" t="s">
        <v>1896</v>
      </c>
      <c r="H403" t="s">
        <v>55</v>
      </c>
      <c r="I403" t="s">
        <v>1913</v>
      </c>
      <c r="K403" s="2"/>
      <c r="M403" s="2"/>
    </row>
    <row r="404" spans="1:13">
      <c r="A404" t="s">
        <v>28</v>
      </c>
      <c r="B404">
        <f ca="1">IF(OR(changes[[#This Row],[Type]]="Checklist",changes[[#This Row],[Type]]="checklist-flat"),1+IF(changes[[#This Row],[Type of change]] = "Edit",COUNTIFS($I$4:changes[[#This Row],[Name]],changes[[#This Row],[Name]], $E$4:changes[[#This Row],[Type of change]], "Edit")),B403)</f>
        <v>1</v>
      </c>
      <c r="C404" s="16">
        <v>44582</v>
      </c>
      <c r="D404" s="1" t="s">
        <v>2481</v>
      </c>
      <c r="E404" t="s">
        <v>2453</v>
      </c>
      <c r="F404" s="10" t="s">
        <v>9</v>
      </c>
      <c r="G404" s="10" t="s">
        <v>1896</v>
      </c>
      <c r="H404" t="s">
        <v>55</v>
      </c>
      <c r="I404" t="s">
        <v>1914</v>
      </c>
      <c r="K404" s="2"/>
      <c r="M404" s="2"/>
    </row>
    <row r="405" spans="1:13">
      <c r="A405" t="s">
        <v>28</v>
      </c>
      <c r="B405">
        <f ca="1">IF(OR(changes[[#This Row],[Type]]="Checklist",changes[[#This Row],[Type]]="checklist-flat"),1+IF(changes[[#This Row],[Type of change]] = "Edit",COUNTIFS($I$4:changes[[#This Row],[Name]],changes[[#This Row],[Name]], $E$4:changes[[#This Row],[Type of change]], "Edit")),B404)</f>
        <v>1</v>
      </c>
      <c r="C405" s="16">
        <v>44582</v>
      </c>
      <c r="D405" s="1" t="s">
        <v>2481</v>
      </c>
      <c r="E405" t="s">
        <v>2453</v>
      </c>
      <c r="F405" s="10" t="s">
        <v>9</v>
      </c>
      <c r="G405" s="10" t="s">
        <v>1756</v>
      </c>
      <c r="H405" s="32" t="s">
        <v>478</v>
      </c>
      <c r="I405" s="30" t="s">
        <v>1756</v>
      </c>
      <c r="K405" s="2"/>
      <c r="M405" s="2"/>
    </row>
    <row r="406" spans="1:13">
      <c r="A406" t="s">
        <v>28</v>
      </c>
      <c r="B406">
        <f ca="1">IF(OR(changes[[#This Row],[Type]]="Checklist",changes[[#This Row],[Type]]="checklist-flat"),1+IF(changes[[#This Row],[Type of change]] = "Edit",COUNTIFS($I$4:changes[[#This Row],[Name]],changes[[#This Row],[Name]], $E$4:changes[[#This Row],[Type of change]], "Edit")),B405)</f>
        <v>1</v>
      </c>
      <c r="C406" s="16">
        <v>44582</v>
      </c>
      <c r="D406" s="1" t="s">
        <v>2481</v>
      </c>
      <c r="E406" t="s">
        <v>2453</v>
      </c>
      <c r="F406" s="10" t="s">
        <v>9</v>
      </c>
      <c r="G406" s="10" t="s">
        <v>1756</v>
      </c>
      <c r="H406" s="32" t="s">
        <v>55</v>
      </c>
      <c r="I406" s="30" t="s">
        <v>1722</v>
      </c>
      <c r="K406" s="2"/>
      <c r="M406" s="2"/>
    </row>
    <row r="407" spans="1:13">
      <c r="A407" t="s">
        <v>28</v>
      </c>
      <c r="B407">
        <f ca="1">IF(OR(changes[[#This Row],[Type]]="Checklist",changes[[#This Row],[Type]]="checklist-flat"),1+IF(changes[[#This Row],[Type of change]] = "Edit",COUNTIFS($I$4:changes[[#This Row],[Name]],changes[[#This Row],[Name]], $E$4:changes[[#This Row],[Type of change]], "Edit")),B406)</f>
        <v>1</v>
      </c>
      <c r="C407" s="16">
        <v>44582</v>
      </c>
      <c r="D407" s="1" t="s">
        <v>2481</v>
      </c>
      <c r="E407" t="s">
        <v>2453</v>
      </c>
      <c r="F407" s="10" t="s">
        <v>9</v>
      </c>
      <c r="G407" s="10" t="s">
        <v>1756</v>
      </c>
      <c r="H407" s="32" t="s">
        <v>55</v>
      </c>
      <c r="I407" s="30" t="s">
        <v>1723</v>
      </c>
      <c r="K407" s="2"/>
      <c r="M407" s="2"/>
    </row>
    <row r="408" spans="1:13">
      <c r="A408" t="s">
        <v>28</v>
      </c>
      <c r="B408">
        <f ca="1">IF(OR(changes[[#This Row],[Type]]="Checklist",changes[[#This Row],[Type]]="checklist-flat"),1+IF(changes[[#This Row],[Type of change]] = "Edit",COUNTIFS($I$4:changes[[#This Row],[Name]],changes[[#This Row],[Name]], $E$4:changes[[#This Row],[Type of change]], "Edit")),B407)</f>
        <v>1</v>
      </c>
      <c r="C408" s="16">
        <v>44582</v>
      </c>
      <c r="D408" s="1" t="s">
        <v>2481</v>
      </c>
      <c r="E408" t="s">
        <v>2453</v>
      </c>
      <c r="F408" s="10" t="s">
        <v>9</v>
      </c>
      <c r="G408" s="10" t="s">
        <v>1756</v>
      </c>
      <c r="H408" s="32" t="s">
        <v>55</v>
      </c>
      <c r="I408" s="30" t="s">
        <v>1724</v>
      </c>
      <c r="K408" s="2"/>
      <c r="M408" s="2"/>
    </row>
    <row r="409" spans="1:13">
      <c r="A409" t="s">
        <v>28</v>
      </c>
      <c r="B409">
        <f ca="1">IF(OR(changes[[#This Row],[Type]]="Checklist",changes[[#This Row],[Type]]="checklist-flat"),1+IF(changes[[#This Row],[Type of change]] = "Edit",COUNTIFS($I$4:changes[[#This Row],[Name]],changes[[#This Row],[Name]], $E$4:changes[[#This Row],[Type of change]], "Edit")),B408)</f>
        <v>1</v>
      </c>
      <c r="C409" s="16">
        <v>44582</v>
      </c>
      <c r="D409" s="1" t="s">
        <v>2481</v>
      </c>
      <c r="E409" t="s">
        <v>2453</v>
      </c>
      <c r="F409" s="10" t="s">
        <v>9</v>
      </c>
      <c r="G409" s="10" t="s">
        <v>1756</v>
      </c>
      <c r="H409" s="32" t="s">
        <v>55</v>
      </c>
      <c r="I409" s="30" t="s">
        <v>1725</v>
      </c>
      <c r="K409" s="2"/>
      <c r="M409" s="2"/>
    </row>
    <row r="410" spans="1:13">
      <c r="A410" t="s">
        <v>28</v>
      </c>
      <c r="B410">
        <f ca="1">IF(OR(changes[[#This Row],[Type]]="Checklist",changes[[#This Row],[Type]]="checklist-flat"),1+IF(changes[[#This Row],[Type of change]] = "Edit",COUNTIFS($I$4:changes[[#This Row],[Name]],changes[[#This Row],[Name]], $E$4:changes[[#This Row],[Type of change]], "Edit")),B409)</f>
        <v>1</v>
      </c>
      <c r="C410" s="16">
        <v>44582</v>
      </c>
      <c r="D410" s="1" t="s">
        <v>2481</v>
      </c>
      <c r="E410" t="s">
        <v>2453</v>
      </c>
      <c r="F410" s="10" t="s">
        <v>9</v>
      </c>
      <c r="G410" s="10" t="s">
        <v>1756</v>
      </c>
      <c r="H410" s="32" t="s">
        <v>55</v>
      </c>
      <c r="I410" s="30" t="s">
        <v>1726</v>
      </c>
      <c r="K410" s="2"/>
      <c r="M410" s="2"/>
    </row>
    <row r="411" spans="1:13">
      <c r="A411" t="s">
        <v>28</v>
      </c>
      <c r="B411">
        <f ca="1">IF(OR(changes[[#This Row],[Type]]="Checklist",changes[[#This Row],[Type]]="checklist-flat"),1+IF(changes[[#This Row],[Type of change]] = "Edit",COUNTIFS($I$4:changes[[#This Row],[Name]],changes[[#This Row],[Name]], $E$4:changes[[#This Row],[Type of change]], "Edit")),B410)</f>
        <v>1</v>
      </c>
      <c r="C411" s="16">
        <v>44582</v>
      </c>
      <c r="D411" s="1" t="s">
        <v>2481</v>
      </c>
      <c r="E411" t="s">
        <v>2453</v>
      </c>
      <c r="F411" s="10" t="s">
        <v>9</v>
      </c>
      <c r="G411" s="10" t="s">
        <v>1756</v>
      </c>
      <c r="H411" s="32" t="s">
        <v>99</v>
      </c>
      <c r="I411" s="30" t="s">
        <v>1727</v>
      </c>
      <c r="K411" s="2"/>
      <c r="M411" s="2"/>
    </row>
    <row r="412" spans="1:13">
      <c r="A412" t="s">
        <v>28</v>
      </c>
      <c r="B412">
        <f ca="1">IF(OR(changes[[#This Row],[Type]]="Checklist",changes[[#This Row],[Type]]="checklist-flat"),1+IF(changes[[#This Row],[Type of change]] = "Edit",COUNTIFS($I$4:changes[[#This Row],[Name]],changes[[#This Row],[Name]], $E$4:changes[[#This Row],[Type of change]], "Edit")),B411)</f>
        <v>1</v>
      </c>
      <c r="C412" s="16">
        <v>44582</v>
      </c>
      <c r="D412" s="1" t="s">
        <v>2481</v>
      </c>
      <c r="E412" t="s">
        <v>2453</v>
      </c>
      <c r="F412" s="10" t="s">
        <v>9</v>
      </c>
      <c r="G412" s="10" t="s">
        <v>1756</v>
      </c>
      <c r="H412" s="32" t="s">
        <v>99</v>
      </c>
      <c r="I412" s="30" t="s">
        <v>1728</v>
      </c>
      <c r="K412" s="2"/>
      <c r="M412" s="2"/>
    </row>
    <row r="413" spans="1:13">
      <c r="A413" t="s">
        <v>28</v>
      </c>
      <c r="B413">
        <f ca="1">IF(OR(changes[[#This Row],[Type]]="Checklist",changes[[#This Row],[Type]]="checklist-flat"),1+IF(changes[[#This Row],[Type of change]] = "Edit",COUNTIFS($I$4:changes[[#This Row],[Name]],changes[[#This Row],[Name]], $E$4:changes[[#This Row],[Type of change]], "Edit")),B412)</f>
        <v>1</v>
      </c>
      <c r="C413" s="16">
        <v>44582</v>
      </c>
      <c r="D413" s="1" t="s">
        <v>2481</v>
      </c>
      <c r="E413" t="s">
        <v>2453</v>
      </c>
      <c r="F413" s="10" t="s">
        <v>9</v>
      </c>
      <c r="G413" s="10" t="s">
        <v>1756</v>
      </c>
      <c r="H413" s="32" t="s">
        <v>55</v>
      </c>
      <c r="I413" s="30" t="s">
        <v>1729</v>
      </c>
      <c r="K413" s="2"/>
      <c r="M413" s="2"/>
    </row>
    <row r="414" spans="1:13">
      <c r="A414" t="s">
        <v>28</v>
      </c>
      <c r="B414">
        <f ca="1">IF(OR(changes[[#This Row],[Type]]="Checklist",changes[[#This Row],[Type]]="checklist-flat"),1+IF(changes[[#This Row],[Type of change]] = "Edit",COUNTIFS($I$4:changes[[#This Row],[Name]],changes[[#This Row],[Name]], $E$4:changes[[#This Row],[Type of change]], "Edit")),B413)</f>
        <v>1</v>
      </c>
      <c r="C414" s="16">
        <v>44582</v>
      </c>
      <c r="D414" s="1" t="s">
        <v>2481</v>
      </c>
      <c r="E414" t="s">
        <v>2453</v>
      </c>
      <c r="F414" s="10" t="s">
        <v>9</v>
      </c>
      <c r="G414" s="10" t="s">
        <v>1756</v>
      </c>
      <c r="H414" s="32" t="s">
        <v>55</v>
      </c>
      <c r="I414" s="30" t="s">
        <v>1730</v>
      </c>
      <c r="K414" s="2"/>
      <c r="M414" s="2"/>
    </row>
    <row r="415" spans="1:13">
      <c r="A415" t="s">
        <v>28</v>
      </c>
      <c r="B415">
        <f ca="1">IF(OR(changes[[#This Row],[Type]]="Checklist",changes[[#This Row],[Type]]="checklist-flat"),1+IF(changes[[#This Row],[Type of change]] = "Edit",COUNTIFS($I$4:changes[[#This Row],[Name]],changes[[#This Row],[Name]], $E$4:changes[[#This Row],[Type of change]], "Edit")),B414)</f>
        <v>1</v>
      </c>
      <c r="C415" s="16">
        <v>44582</v>
      </c>
      <c r="D415" s="1" t="s">
        <v>2481</v>
      </c>
      <c r="E415" t="s">
        <v>2453</v>
      </c>
      <c r="F415" s="10" t="s">
        <v>9</v>
      </c>
      <c r="G415" s="10" t="s">
        <v>1756</v>
      </c>
      <c r="H415" s="32" t="s">
        <v>55</v>
      </c>
      <c r="I415" s="30" t="s">
        <v>1731</v>
      </c>
      <c r="K415" s="2"/>
      <c r="M415" s="2"/>
    </row>
    <row r="416" spans="1:13">
      <c r="A416" t="s">
        <v>28</v>
      </c>
      <c r="B416">
        <f ca="1">IF(OR(changes[[#This Row],[Type]]="Checklist",changes[[#This Row],[Type]]="checklist-flat"),1+IF(changes[[#This Row],[Type of change]] = "Edit",COUNTIFS($I$4:changes[[#This Row],[Name]],changes[[#This Row],[Name]], $E$4:changes[[#This Row],[Type of change]], "Edit")),B415)</f>
        <v>1</v>
      </c>
      <c r="C416" s="16">
        <v>44582</v>
      </c>
      <c r="D416" s="1" t="s">
        <v>2481</v>
      </c>
      <c r="E416" t="s">
        <v>2453</v>
      </c>
      <c r="F416" s="10" t="s">
        <v>9</v>
      </c>
      <c r="G416" s="10" t="s">
        <v>1756</v>
      </c>
      <c r="H416" s="32" t="s">
        <v>55</v>
      </c>
      <c r="I416" s="30" t="s">
        <v>1732</v>
      </c>
      <c r="K416" s="2"/>
      <c r="M416" s="2"/>
    </row>
    <row r="417" spans="1:13">
      <c r="A417" t="s">
        <v>28</v>
      </c>
      <c r="B417">
        <f ca="1">IF(OR(changes[[#This Row],[Type]]="Checklist",changes[[#This Row],[Type]]="checklist-flat"),1+IF(changes[[#This Row],[Type of change]] = "Edit",COUNTIFS($I$4:changes[[#This Row],[Name]],changes[[#This Row],[Name]], $E$4:changes[[#This Row],[Type of change]], "Edit")),B416)</f>
        <v>1</v>
      </c>
      <c r="C417" s="16">
        <v>44582</v>
      </c>
      <c r="D417" s="1" t="s">
        <v>2481</v>
      </c>
      <c r="E417" t="s">
        <v>2453</v>
      </c>
      <c r="F417" s="10" t="s">
        <v>9</v>
      </c>
      <c r="G417" s="10" t="s">
        <v>1756</v>
      </c>
      <c r="H417" s="32" t="s">
        <v>55</v>
      </c>
      <c r="I417" s="30" t="s">
        <v>1583</v>
      </c>
      <c r="K417" s="2"/>
      <c r="M417" s="2"/>
    </row>
    <row r="418" spans="1:13">
      <c r="A418" t="s">
        <v>28</v>
      </c>
      <c r="B418">
        <f ca="1">IF(OR(changes[[#This Row],[Type]]="Checklist",changes[[#This Row],[Type]]="checklist-flat"),1+IF(changes[[#This Row],[Type of change]] = "Edit",COUNTIFS($I$4:changes[[#This Row],[Name]],changes[[#This Row],[Name]], $E$4:changes[[#This Row],[Type of change]], "Edit")),B417)</f>
        <v>1</v>
      </c>
      <c r="C418" s="16">
        <v>44582</v>
      </c>
      <c r="D418" s="1" t="s">
        <v>2481</v>
      </c>
      <c r="E418" t="s">
        <v>2453</v>
      </c>
      <c r="F418" s="10" t="s">
        <v>9</v>
      </c>
      <c r="G418" s="10" t="s">
        <v>1756</v>
      </c>
      <c r="H418" s="32" t="s">
        <v>55</v>
      </c>
      <c r="I418" s="30" t="s">
        <v>1733</v>
      </c>
      <c r="K418" s="2"/>
      <c r="M418" s="2"/>
    </row>
    <row r="419" spans="1:13">
      <c r="A419" t="s">
        <v>28</v>
      </c>
      <c r="B419">
        <f ca="1">IF(OR(changes[[#This Row],[Type]]="Checklist",changes[[#This Row],[Type]]="checklist-flat"),1+IF(changes[[#This Row],[Type of change]] = "Edit",COUNTIFS($I$4:changes[[#This Row],[Name]],changes[[#This Row],[Name]], $E$4:changes[[#This Row],[Type of change]], "Edit")),B418)</f>
        <v>1</v>
      </c>
      <c r="C419" s="16">
        <v>44582</v>
      </c>
      <c r="D419" s="1" t="s">
        <v>2481</v>
      </c>
      <c r="E419" t="s">
        <v>2453</v>
      </c>
      <c r="F419" s="10" t="s">
        <v>9</v>
      </c>
      <c r="G419" s="10" t="s">
        <v>1825</v>
      </c>
      <c r="H419" t="s">
        <v>478</v>
      </c>
      <c r="I419" s="30" t="s">
        <v>1825</v>
      </c>
      <c r="K419" s="2"/>
      <c r="M419" s="2"/>
    </row>
    <row r="420" spans="1:13">
      <c r="A420" t="s">
        <v>28</v>
      </c>
      <c r="B420">
        <f ca="1">IF(OR(changes[[#This Row],[Type]]="Checklist",changes[[#This Row],[Type]]="checklist-flat"),1+IF(changes[[#This Row],[Type of change]] = "Edit",COUNTIFS($I$4:changes[[#This Row],[Name]],changes[[#This Row],[Name]], $E$4:changes[[#This Row],[Type of change]], "Edit")),B419)</f>
        <v>1</v>
      </c>
      <c r="C420" s="16">
        <v>44582</v>
      </c>
      <c r="D420" s="1" t="s">
        <v>2481</v>
      </c>
      <c r="E420" t="s">
        <v>2453</v>
      </c>
      <c r="F420" s="10" t="s">
        <v>9</v>
      </c>
      <c r="G420" s="10" t="s">
        <v>1825</v>
      </c>
      <c r="H420" t="s">
        <v>55</v>
      </c>
      <c r="I420" s="30" t="s">
        <v>1826</v>
      </c>
      <c r="K420" s="2"/>
      <c r="M420" s="2"/>
    </row>
    <row r="421" spans="1:13">
      <c r="A421" t="s">
        <v>28</v>
      </c>
      <c r="B421">
        <f ca="1">IF(OR(changes[[#This Row],[Type]]="Checklist",changes[[#This Row],[Type]]="checklist-flat"),1+IF(changes[[#This Row],[Type of change]] = "Edit",COUNTIFS($I$4:changes[[#This Row],[Name]],changes[[#This Row],[Name]], $E$4:changes[[#This Row],[Type of change]], "Edit")),B420)</f>
        <v>1</v>
      </c>
      <c r="C421" s="16">
        <v>44582</v>
      </c>
      <c r="D421" s="1" t="s">
        <v>2481</v>
      </c>
      <c r="E421" t="s">
        <v>2453</v>
      </c>
      <c r="F421" s="10" t="s">
        <v>9</v>
      </c>
      <c r="G421" s="10" t="s">
        <v>1825</v>
      </c>
      <c r="H421" t="s">
        <v>55</v>
      </c>
      <c r="I421" s="30" t="s">
        <v>1827</v>
      </c>
      <c r="K421" s="2"/>
      <c r="M421" s="2"/>
    </row>
    <row r="422" spans="1:13">
      <c r="A422" t="s">
        <v>28</v>
      </c>
      <c r="B422">
        <f ca="1">IF(OR(changes[[#This Row],[Type]]="Checklist",changes[[#This Row],[Type]]="checklist-flat"),1+IF(changes[[#This Row],[Type of change]] = "Edit",COUNTIFS($I$4:changes[[#This Row],[Name]],changes[[#This Row],[Name]], $E$4:changes[[#This Row],[Type of change]], "Edit")),B421)</f>
        <v>1</v>
      </c>
      <c r="C422" s="16">
        <v>44582</v>
      </c>
      <c r="D422" s="1" t="s">
        <v>2481</v>
      </c>
      <c r="E422" t="s">
        <v>2453</v>
      </c>
      <c r="F422" s="10" t="s">
        <v>9</v>
      </c>
      <c r="G422" s="10" t="s">
        <v>1825</v>
      </c>
      <c r="H422" t="s">
        <v>55</v>
      </c>
      <c r="I422" s="30" t="s">
        <v>1828</v>
      </c>
      <c r="K422" s="2"/>
      <c r="M422" s="2"/>
    </row>
    <row r="423" spans="1:13">
      <c r="A423" t="s">
        <v>28</v>
      </c>
      <c r="B423">
        <f ca="1">IF(OR(changes[[#This Row],[Type]]="Checklist",changes[[#This Row],[Type]]="checklist-flat"),1+IF(changes[[#This Row],[Type of change]] = "Edit",COUNTIFS($I$4:changes[[#This Row],[Name]],changes[[#This Row],[Name]], $E$4:changes[[#This Row],[Type of change]], "Edit")),B422)</f>
        <v>1</v>
      </c>
      <c r="C423" s="16">
        <v>44582</v>
      </c>
      <c r="D423" s="1" t="s">
        <v>2481</v>
      </c>
      <c r="E423" t="s">
        <v>2453</v>
      </c>
      <c r="F423" s="10" t="s">
        <v>9</v>
      </c>
      <c r="G423" s="10" t="s">
        <v>1825</v>
      </c>
      <c r="H423" t="s">
        <v>55</v>
      </c>
      <c r="I423" s="30" t="s">
        <v>1817</v>
      </c>
      <c r="K423" s="2"/>
      <c r="M423" s="2"/>
    </row>
    <row r="424" spans="1:13">
      <c r="A424" t="s">
        <v>28</v>
      </c>
      <c r="B424">
        <f ca="1">IF(OR(changes[[#This Row],[Type]]="Checklist",changes[[#This Row],[Type]]="checklist-flat"),1+IF(changes[[#This Row],[Type of change]] = "Edit",COUNTIFS($I$4:changes[[#This Row],[Name]],changes[[#This Row],[Name]], $E$4:changes[[#This Row],[Type of change]], "Edit")),B423)</f>
        <v>1</v>
      </c>
      <c r="C424" s="16">
        <v>44582</v>
      </c>
      <c r="D424" s="1" t="s">
        <v>2481</v>
      </c>
      <c r="E424" t="s">
        <v>2453</v>
      </c>
      <c r="F424" s="10" t="s">
        <v>9</v>
      </c>
      <c r="G424" s="10" t="s">
        <v>1825</v>
      </c>
      <c r="H424" t="s">
        <v>55</v>
      </c>
      <c r="I424" s="30" t="s">
        <v>2483</v>
      </c>
      <c r="K424" s="2"/>
      <c r="M424" s="2"/>
    </row>
    <row r="425" spans="1:13">
      <c r="A425" t="s">
        <v>28</v>
      </c>
      <c r="B425">
        <f ca="1">IF(OR(changes[[#This Row],[Type]]="Checklist",changes[[#This Row],[Type]]="checklist-flat"),1+IF(changes[[#This Row],[Type of change]] = "Edit",COUNTIFS($I$4:changes[[#This Row],[Name]],changes[[#This Row],[Name]], $E$4:changes[[#This Row],[Type of change]], "Edit")),B424)</f>
        <v>1</v>
      </c>
      <c r="C425" s="16">
        <v>44600</v>
      </c>
      <c r="D425" s="1" t="s">
        <v>2481</v>
      </c>
      <c r="E425" t="s">
        <v>2453</v>
      </c>
      <c r="F425" s="10" t="s">
        <v>9</v>
      </c>
      <c r="G425" s="10" t="s">
        <v>1694</v>
      </c>
      <c r="H425" t="s">
        <v>478</v>
      </c>
      <c r="I425" t="s">
        <v>1694</v>
      </c>
      <c r="K425" s="2"/>
      <c r="M425" s="2"/>
    </row>
    <row r="426" spans="1:13">
      <c r="A426" t="s">
        <v>28</v>
      </c>
      <c r="B426">
        <f ca="1">IF(OR(changes[[#This Row],[Type]]="Checklist",changes[[#This Row],[Type]]="checklist-flat"),1+IF(changes[[#This Row],[Type of change]] = "Edit",COUNTIFS($I$4:changes[[#This Row],[Name]],changes[[#This Row],[Name]], $E$4:changes[[#This Row],[Type of change]], "Edit")),B425)</f>
        <v>1</v>
      </c>
      <c r="C426" s="16">
        <v>44600</v>
      </c>
      <c r="D426" s="1" t="s">
        <v>2481</v>
      </c>
      <c r="E426" t="s">
        <v>2453</v>
      </c>
      <c r="F426" s="10" t="s">
        <v>9</v>
      </c>
      <c r="G426" s="10" t="s">
        <v>1694</v>
      </c>
      <c r="H426" t="s">
        <v>269</v>
      </c>
      <c r="I426" t="s">
        <v>1695</v>
      </c>
      <c r="K426" s="2"/>
      <c r="M426" s="2"/>
    </row>
    <row r="427" spans="1:13">
      <c r="A427" t="s">
        <v>28</v>
      </c>
      <c r="B427">
        <f ca="1">IF(OR(changes[[#This Row],[Type]]="Checklist",changes[[#This Row],[Type]]="checklist-flat"),1+IF(changes[[#This Row],[Type of change]] = "Edit",COUNTIFS($I$4:changes[[#This Row],[Name]],changes[[#This Row],[Name]], $E$4:changes[[#This Row],[Type of change]], "Edit")),B426)</f>
        <v>1</v>
      </c>
      <c r="C427" s="16">
        <v>44600</v>
      </c>
      <c r="D427" s="1" t="s">
        <v>2481</v>
      </c>
      <c r="E427" t="s">
        <v>2453</v>
      </c>
      <c r="F427" s="10" t="s">
        <v>9</v>
      </c>
      <c r="G427" s="10" t="s">
        <v>1694</v>
      </c>
      <c r="H427" t="s">
        <v>1696</v>
      </c>
      <c r="I427" t="s">
        <v>1697</v>
      </c>
      <c r="K427" s="2"/>
      <c r="M427" s="2"/>
    </row>
    <row r="428" spans="1:13">
      <c r="A428" t="s">
        <v>28</v>
      </c>
      <c r="B428">
        <f ca="1">IF(OR(changes[[#This Row],[Type]]="Checklist",changes[[#This Row],[Type]]="checklist-flat"),1+IF(changes[[#This Row],[Type of change]] = "Edit",COUNTIFS($I$4:changes[[#This Row],[Name]],changes[[#This Row],[Name]], $E$4:changes[[#This Row],[Type of change]], "Edit")),B427)</f>
        <v>1</v>
      </c>
      <c r="C428" s="16">
        <v>44600</v>
      </c>
      <c r="D428" s="1" t="s">
        <v>2481</v>
      </c>
      <c r="E428" t="s">
        <v>2453</v>
      </c>
      <c r="F428" s="10" t="s">
        <v>9</v>
      </c>
      <c r="G428" s="10" t="s">
        <v>1694</v>
      </c>
      <c r="H428" t="s">
        <v>269</v>
      </c>
      <c r="I428" t="s">
        <v>1698</v>
      </c>
      <c r="K428" s="2"/>
      <c r="M428" s="2"/>
    </row>
    <row r="429" spans="1:13">
      <c r="A429" t="s">
        <v>28</v>
      </c>
      <c r="B429">
        <f ca="1">IF(OR(changes[[#This Row],[Type]]="Checklist",changes[[#This Row],[Type]]="checklist-flat"),1+IF(changes[[#This Row],[Type of change]] = "Edit",COUNTIFS($I$4:changes[[#This Row],[Name]],changes[[#This Row],[Name]], $E$4:changes[[#This Row],[Type of change]], "Edit")),B428)</f>
        <v>1</v>
      </c>
      <c r="C429" s="16">
        <v>44600</v>
      </c>
      <c r="D429" s="1" t="s">
        <v>2481</v>
      </c>
      <c r="E429" t="s">
        <v>2453</v>
      </c>
      <c r="F429" s="10" t="s">
        <v>9</v>
      </c>
      <c r="G429" s="10" t="s">
        <v>1694</v>
      </c>
      <c r="H429" t="s">
        <v>269</v>
      </c>
      <c r="I429" t="s">
        <v>1699</v>
      </c>
      <c r="K429" s="2"/>
      <c r="M429" s="2"/>
    </row>
    <row r="430" spans="1:13">
      <c r="A430" t="s">
        <v>28</v>
      </c>
      <c r="B430">
        <f ca="1">IF(OR(changes[[#This Row],[Type]]="Checklist",changes[[#This Row],[Type]]="checklist-flat"),1+IF(changes[[#This Row],[Type of change]] = "Edit",COUNTIFS($I$4:changes[[#This Row],[Name]],changes[[#This Row],[Name]], $E$4:changes[[#This Row],[Type of change]], "Edit")),B429)</f>
        <v>1</v>
      </c>
      <c r="C430" s="16">
        <v>44600</v>
      </c>
      <c r="D430" s="1" t="s">
        <v>2481</v>
      </c>
      <c r="E430" t="s">
        <v>2453</v>
      </c>
      <c r="F430" s="10" t="s">
        <v>9</v>
      </c>
      <c r="G430" s="10" t="s">
        <v>1694</v>
      </c>
      <c r="H430" t="s">
        <v>269</v>
      </c>
      <c r="I430" t="s">
        <v>1700</v>
      </c>
      <c r="K430" s="2"/>
      <c r="M430" s="2"/>
    </row>
    <row r="431" spans="1:13">
      <c r="A431" t="s">
        <v>28</v>
      </c>
      <c r="B431">
        <f ca="1">IF(OR(changes[[#This Row],[Type]]="Checklist",changes[[#This Row],[Type]]="checklist-flat"),1+IF(changes[[#This Row],[Type of change]] = "Edit",COUNTIFS($I$4:changes[[#This Row],[Name]],changes[[#This Row],[Name]], $E$4:changes[[#This Row],[Type of change]], "Edit")),B430)</f>
        <v>1</v>
      </c>
      <c r="C431" s="16">
        <v>44600</v>
      </c>
      <c r="D431" s="1" t="s">
        <v>2481</v>
      </c>
      <c r="E431" t="s">
        <v>2453</v>
      </c>
      <c r="F431" s="10" t="s">
        <v>9</v>
      </c>
      <c r="G431" s="10" t="s">
        <v>1694</v>
      </c>
      <c r="H431" t="s">
        <v>269</v>
      </c>
      <c r="I431" t="s">
        <v>1701</v>
      </c>
      <c r="K431" s="2"/>
      <c r="M431" s="2"/>
    </row>
    <row r="432" spans="1:13">
      <c r="A432" t="s">
        <v>28</v>
      </c>
      <c r="B432">
        <f ca="1">IF(OR(changes[[#This Row],[Type]]="Checklist",changes[[#This Row],[Type]]="checklist-flat"),1+IF(changes[[#This Row],[Type of change]] = "Edit",COUNTIFS($I$4:changes[[#This Row],[Name]],changes[[#This Row],[Name]], $E$4:changes[[#This Row],[Type of change]], "Edit")),B431)</f>
        <v>1</v>
      </c>
      <c r="C432" s="16">
        <v>44600</v>
      </c>
      <c r="D432" s="1" t="s">
        <v>2481</v>
      </c>
      <c r="E432" t="s">
        <v>2453</v>
      </c>
      <c r="F432" s="10" t="s">
        <v>9</v>
      </c>
      <c r="G432" s="10" t="s">
        <v>168</v>
      </c>
      <c r="H432" s="33" t="s">
        <v>478</v>
      </c>
      <c r="I432" s="33" t="s">
        <v>168</v>
      </c>
      <c r="K432" s="2"/>
      <c r="M432" s="2"/>
    </row>
    <row r="433" spans="1:13">
      <c r="A433" t="s">
        <v>28</v>
      </c>
      <c r="B433">
        <f ca="1">IF(OR(changes[[#This Row],[Type]]="Checklist",changes[[#This Row],[Type]]="checklist-flat"),1+IF(changes[[#This Row],[Type of change]] = "Edit",COUNTIFS($I$4:changes[[#This Row],[Name]],changes[[#This Row],[Name]], $E$4:changes[[#This Row],[Type of change]], "Edit")),B432)</f>
        <v>1</v>
      </c>
      <c r="C433" s="16">
        <v>44600</v>
      </c>
      <c r="D433" s="1" t="s">
        <v>2481</v>
      </c>
      <c r="E433" t="s">
        <v>2453</v>
      </c>
      <c r="F433" s="10" t="s">
        <v>9</v>
      </c>
      <c r="G433" s="10" t="s">
        <v>168</v>
      </c>
      <c r="H433" s="30" t="s">
        <v>55</v>
      </c>
      <c r="I433" s="30" t="s">
        <v>169</v>
      </c>
      <c r="K433" s="2"/>
      <c r="M433" s="2"/>
    </row>
    <row r="434" spans="1:13">
      <c r="A434" t="s">
        <v>28</v>
      </c>
      <c r="B434">
        <f ca="1">IF(OR(changes[[#This Row],[Type]]="Checklist",changes[[#This Row],[Type]]="checklist-flat"),1+IF(changes[[#This Row],[Type of change]] = "Edit",COUNTIFS($I$4:changes[[#This Row],[Name]],changes[[#This Row],[Name]], $E$4:changes[[#This Row],[Type of change]], "Edit")),B433)</f>
        <v>1</v>
      </c>
      <c r="C434" s="16">
        <v>44600</v>
      </c>
      <c r="D434" s="1" t="s">
        <v>2481</v>
      </c>
      <c r="E434" t="s">
        <v>2453</v>
      </c>
      <c r="F434" s="10" t="s">
        <v>9</v>
      </c>
      <c r="G434" s="10" t="s">
        <v>168</v>
      </c>
      <c r="H434" s="30" t="s">
        <v>55</v>
      </c>
      <c r="I434" s="34" t="s">
        <v>170</v>
      </c>
      <c r="K434" s="2"/>
      <c r="M434" s="2"/>
    </row>
    <row r="435" spans="1:13">
      <c r="A435" t="s">
        <v>28</v>
      </c>
      <c r="B435">
        <f ca="1">IF(OR(changes[[#This Row],[Type]]="Checklist",changes[[#This Row],[Type]]="checklist-flat"),1+IF(changes[[#This Row],[Type of change]] = "Edit",COUNTIFS($I$4:changes[[#This Row],[Name]],changes[[#This Row],[Name]], $E$4:changes[[#This Row],[Type of change]], "Edit")),B434)</f>
        <v>1</v>
      </c>
      <c r="C435" s="16">
        <v>44600</v>
      </c>
      <c r="D435" s="1" t="s">
        <v>2481</v>
      </c>
      <c r="E435" t="s">
        <v>2453</v>
      </c>
      <c r="F435" s="10" t="s">
        <v>9</v>
      </c>
      <c r="G435" s="10" t="s">
        <v>168</v>
      </c>
      <c r="H435" s="30" t="s">
        <v>55</v>
      </c>
      <c r="I435" s="30" t="s">
        <v>171</v>
      </c>
      <c r="K435" s="2"/>
      <c r="M435" s="2"/>
    </row>
    <row r="436" spans="1:13">
      <c r="A436" t="s">
        <v>28</v>
      </c>
      <c r="B436">
        <f ca="1">IF(OR(changes[[#This Row],[Type]]="Checklist",changes[[#This Row],[Type]]="checklist-flat"),1+IF(changes[[#This Row],[Type of change]] = "Edit",COUNTIFS($I$4:changes[[#This Row],[Name]],changes[[#This Row],[Name]], $E$4:changes[[#This Row],[Type of change]], "Edit")),B435)</f>
        <v>1</v>
      </c>
      <c r="C436" s="16">
        <v>44600</v>
      </c>
      <c r="D436" s="1" t="s">
        <v>2481</v>
      </c>
      <c r="E436" t="s">
        <v>2453</v>
      </c>
      <c r="F436" s="10" t="s">
        <v>9</v>
      </c>
      <c r="G436" s="10" t="s">
        <v>168</v>
      </c>
      <c r="H436" s="30" t="s">
        <v>55</v>
      </c>
      <c r="I436" s="30" t="s">
        <v>172</v>
      </c>
      <c r="K436" s="2"/>
      <c r="M436" s="2"/>
    </row>
    <row r="437" spans="1:13">
      <c r="A437" t="s">
        <v>28</v>
      </c>
      <c r="B437">
        <f ca="1">IF(OR(changes[[#This Row],[Type]]="Checklist",changes[[#This Row],[Type]]="checklist-flat"),1+IF(changes[[#This Row],[Type of change]] = "Edit",COUNTIFS($I$4:changes[[#This Row],[Name]],changes[[#This Row],[Name]], $E$4:changes[[#This Row],[Type of change]], "Edit")),B436)</f>
        <v>1</v>
      </c>
      <c r="C437" s="16">
        <v>44600</v>
      </c>
      <c r="D437" s="1" t="s">
        <v>2481</v>
      </c>
      <c r="E437" t="s">
        <v>2453</v>
      </c>
      <c r="F437" s="10" t="s">
        <v>9</v>
      </c>
      <c r="G437" s="10" t="s">
        <v>168</v>
      </c>
      <c r="H437" s="30" t="s">
        <v>55</v>
      </c>
      <c r="I437" s="30" t="s">
        <v>173</v>
      </c>
      <c r="K437" s="2"/>
      <c r="M437" s="2"/>
    </row>
    <row r="438" spans="1:13">
      <c r="A438" t="s">
        <v>28</v>
      </c>
      <c r="B438">
        <f ca="1">IF(OR(changes[[#This Row],[Type]]="Checklist",changes[[#This Row],[Type]]="checklist-flat"),1+IF(changes[[#This Row],[Type of change]] = "Edit",COUNTIFS($I$4:changes[[#This Row],[Name]],changes[[#This Row],[Name]], $E$4:changes[[#This Row],[Type of change]], "Edit")),B437)</f>
        <v>1</v>
      </c>
      <c r="C438" s="16">
        <v>44600</v>
      </c>
      <c r="D438" s="1" t="s">
        <v>2481</v>
      </c>
      <c r="E438" t="s">
        <v>2453</v>
      </c>
      <c r="F438" s="10" t="s">
        <v>9</v>
      </c>
      <c r="G438" s="10" t="s">
        <v>168</v>
      </c>
      <c r="H438" s="30" t="s">
        <v>55</v>
      </c>
      <c r="I438" s="30" t="s">
        <v>174</v>
      </c>
      <c r="K438" s="2"/>
      <c r="M438" s="2"/>
    </row>
    <row r="439" spans="1:13">
      <c r="A439" t="s">
        <v>28</v>
      </c>
      <c r="B439">
        <f ca="1">IF(OR(changes[[#This Row],[Type]]="Checklist",changes[[#This Row],[Type]]="checklist-flat"),1+IF(changes[[#This Row],[Type of change]] = "Edit",COUNTIFS($I$4:changes[[#This Row],[Name]],changes[[#This Row],[Name]], $E$4:changes[[#This Row],[Type of change]], "Edit")),B438)</f>
        <v>1</v>
      </c>
      <c r="C439" s="16">
        <v>44600</v>
      </c>
      <c r="D439" s="1" t="s">
        <v>2481</v>
      </c>
      <c r="E439" t="s">
        <v>2453</v>
      </c>
      <c r="F439" s="10" t="s">
        <v>9</v>
      </c>
      <c r="G439" s="10" t="s">
        <v>168</v>
      </c>
      <c r="H439" s="30" t="s">
        <v>55</v>
      </c>
      <c r="I439" s="30" t="s">
        <v>175</v>
      </c>
      <c r="K439" s="2"/>
      <c r="M439" s="2"/>
    </row>
    <row r="440" spans="1:13">
      <c r="A440" t="s">
        <v>28</v>
      </c>
      <c r="B440">
        <f ca="1">IF(OR(changes[[#This Row],[Type]]="Checklist",changes[[#This Row],[Type]]="checklist-flat"),1+IF(changes[[#This Row],[Type of change]] = "Edit",COUNTIFS($I$4:changes[[#This Row],[Name]],changes[[#This Row],[Name]], $E$4:changes[[#This Row],[Type of change]], "Edit")),B439)</f>
        <v>1</v>
      </c>
      <c r="C440" s="16">
        <v>44600</v>
      </c>
      <c r="D440" s="1" t="s">
        <v>2481</v>
      </c>
      <c r="E440" t="s">
        <v>2453</v>
      </c>
      <c r="F440" s="10" t="s">
        <v>9</v>
      </c>
      <c r="G440" s="10" t="s">
        <v>168</v>
      </c>
      <c r="H440" s="30" t="s">
        <v>55</v>
      </c>
      <c r="I440" s="30" t="s">
        <v>176</v>
      </c>
      <c r="K440" s="2"/>
      <c r="M440" s="2"/>
    </row>
    <row r="441" spans="1:13">
      <c r="A441" t="s">
        <v>28</v>
      </c>
      <c r="B441">
        <f ca="1">IF(OR(changes[[#This Row],[Type]]="Checklist",changes[[#This Row],[Type]]="checklist-flat"),1+IF(changes[[#This Row],[Type of change]] = "Edit",COUNTIFS($I$4:changes[[#This Row],[Name]],changes[[#This Row],[Name]], $E$4:changes[[#This Row],[Type of change]], "Edit")),B440)</f>
        <v>1</v>
      </c>
      <c r="C441" s="16">
        <v>44600</v>
      </c>
      <c r="D441" s="1" t="s">
        <v>2481</v>
      </c>
      <c r="E441" t="s">
        <v>2453</v>
      </c>
      <c r="F441" s="10" t="s">
        <v>9</v>
      </c>
      <c r="G441" s="10" t="s">
        <v>168</v>
      </c>
      <c r="H441" s="30" t="s">
        <v>55</v>
      </c>
      <c r="I441" s="30" t="s">
        <v>139</v>
      </c>
      <c r="K441" s="2"/>
      <c r="M441" s="2"/>
    </row>
    <row r="442" spans="1:13">
      <c r="A442" t="s">
        <v>28</v>
      </c>
      <c r="B442">
        <f ca="1">IF(OR(changes[[#This Row],[Type]]="Checklist",changes[[#This Row],[Type]]="checklist-flat"),1+IF(changes[[#This Row],[Type of change]] = "Edit",COUNTIFS($I$4:changes[[#This Row],[Name]],changes[[#This Row],[Name]], $E$4:changes[[#This Row],[Type of change]], "Edit")),B441)</f>
        <v>1</v>
      </c>
      <c r="C442" s="16">
        <v>44600</v>
      </c>
      <c r="D442" s="1" t="s">
        <v>2481</v>
      </c>
      <c r="E442" t="s">
        <v>2453</v>
      </c>
      <c r="F442" s="10" t="s">
        <v>9</v>
      </c>
      <c r="G442" s="10" t="s">
        <v>168</v>
      </c>
      <c r="H442" s="30" t="s">
        <v>55</v>
      </c>
      <c r="I442" s="30" t="s">
        <v>177</v>
      </c>
      <c r="K442" s="2"/>
      <c r="M442" s="2"/>
    </row>
    <row r="443" spans="1:13">
      <c r="A443" t="s">
        <v>28</v>
      </c>
      <c r="B443">
        <f ca="1">IF(OR(changes[[#This Row],[Type]]="Checklist",changes[[#This Row],[Type]]="checklist-flat"),1+IF(changes[[#This Row],[Type of change]] = "Edit",COUNTIFS($I$4:changes[[#This Row],[Name]],changes[[#This Row],[Name]], $E$4:changes[[#This Row],[Type of change]], "Edit")),B442)</f>
        <v>1</v>
      </c>
      <c r="C443" s="16">
        <v>44600</v>
      </c>
      <c r="D443" s="1" t="s">
        <v>2481</v>
      </c>
      <c r="E443" t="s">
        <v>2453</v>
      </c>
      <c r="F443" s="10" t="s">
        <v>9</v>
      </c>
      <c r="G443" s="10" t="s">
        <v>168</v>
      </c>
      <c r="H443" s="30" t="s">
        <v>55</v>
      </c>
      <c r="I443" s="30" t="s">
        <v>178</v>
      </c>
      <c r="K443" s="2"/>
      <c r="M443" s="2"/>
    </row>
    <row r="444" spans="1:13">
      <c r="A444" t="s">
        <v>28</v>
      </c>
      <c r="B444">
        <f ca="1">IF(OR(changes[[#This Row],[Type]]="Checklist",changes[[#This Row],[Type]]="checklist-flat"),1+IF(changes[[#This Row],[Type of change]] = "Edit",COUNTIFS($I$4:changes[[#This Row],[Name]],changes[[#This Row],[Name]], $E$4:changes[[#This Row],[Type of change]], "Edit")),B443)</f>
        <v>1</v>
      </c>
      <c r="C444" s="16">
        <v>44600</v>
      </c>
      <c r="D444" s="1" t="s">
        <v>2481</v>
      </c>
      <c r="E444" t="s">
        <v>2453</v>
      </c>
      <c r="F444" s="10" t="s">
        <v>9</v>
      </c>
      <c r="G444" s="10" t="s">
        <v>168</v>
      </c>
      <c r="H444" s="30" t="s">
        <v>55</v>
      </c>
      <c r="I444" s="30" t="s">
        <v>179</v>
      </c>
      <c r="K444" s="2"/>
      <c r="M444" s="2"/>
    </row>
    <row r="445" spans="1:13">
      <c r="A445" t="s">
        <v>28</v>
      </c>
      <c r="B445">
        <f ca="1">IF(OR(changes[[#This Row],[Type]]="Checklist",changes[[#This Row],[Type]]="checklist-flat"),1+IF(changes[[#This Row],[Type of change]] = "Edit",COUNTIFS($I$4:changes[[#This Row],[Name]],changes[[#This Row],[Name]], $E$4:changes[[#This Row],[Type of change]], "Edit")),B444)</f>
        <v>1</v>
      </c>
      <c r="C445" s="16">
        <v>44600</v>
      </c>
      <c r="D445" s="1" t="s">
        <v>2481</v>
      </c>
      <c r="E445" t="s">
        <v>2453</v>
      </c>
      <c r="F445" s="10" t="s">
        <v>9</v>
      </c>
      <c r="G445" s="10" t="s">
        <v>168</v>
      </c>
      <c r="H445" s="30" t="s">
        <v>55</v>
      </c>
      <c r="I445" s="30" t="s">
        <v>180</v>
      </c>
      <c r="K445" s="2"/>
      <c r="M445" s="2"/>
    </row>
    <row r="446" spans="1:13">
      <c r="A446" t="s">
        <v>28</v>
      </c>
      <c r="B446">
        <f ca="1">IF(OR(changes[[#This Row],[Type]]="Checklist",changes[[#This Row],[Type]]="checklist-flat"),1+IF(changes[[#This Row],[Type of change]] = "Edit",COUNTIFS($I$4:changes[[#This Row],[Name]],changes[[#This Row],[Name]], $E$4:changes[[#This Row],[Type of change]], "Edit")),B445)</f>
        <v>1</v>
      </c>
      <c r="C446" s="16">
        <v>44600</v>
      </c>
      <c r="D446" s="1" t="s">
        <v>2481</v>
      </c>
      <c r="E446" t="s">
        <v>2453</v>
      </c>
      <c r="F446" s="10" t="s">
        <v>9</v>
      </c>
      <c r="G446" s="10" t="s">
        <v>168</v>
      </c>
      <c r="H446" s="30" t="s">
        <v>55</v>
      </c>
      <c r="I446" s="30" t="s">
        <v>181</v>
      </c>
      <c r="K446" s="2"/>
      <c r="M446" s="2"/>
    </row>
    <row r="447" spans="1:13">
      <c r="A447" t="s">
        <v>28</v>
      </c>
      <c r="B447">
        <f ca="1">IF(OR(changes[[#This Row],[Type]]="Checklist",changes[[#This Row],[Type]]="checklist-flat"),1+IF(changes[[#This Row],[Type of change]] = "Edit",COUNTIFS($I$4:changes[[#This Row],[Name]],changes[[#This Row],[Name]], $E$4:changes[[#This Row],[Type of change]], "Edit")),B446)</f>
        <v>1</v>
      </c>
      <c r="C447" s="16">
        <v>44600</v>
      </c>
      <c r="D447" s="1" t="s">
        <v>2481</v>
      </c>
      <c r="E447" t="s">
        <v>2453</v>
      </c>
      <c r="F447" s="10" t="s">
        <v>9</v>
      </c>
      <c r="G447" s="10" t="s">
        <v>168</v>
      </c>
      <c r="H447" s="30" t="s">
        <v>55</v>
      </c>
      <c r="I447" s="30" t="s">
        <v>182</v>
      </c>
      <c r="K447" s="2"/>
      <c r="M447" s="2"/>
    </row>
    <row r="448" spans="1:13">
      <c r="A448" t="s">
        <v>28</v>
      </c>
      <c r="B448">
        <f ca="1">IF(OR(changes[[#This Row],[Type]]="Checklist",changes[[#This Row],[Type]]="checklist-flat"),1+IF(changes[[#This Row],[Type of change]] = "Edit",COUNTIFS($I$4:changes[[#This Row],[Name]],changes[[#This Row],[Name]], $E$4:changes[[#This Row],[Type of change]], "Edit")),B447)</f>
        <v>1</v>
      </c>
      <c r="C448" s="16">
        <v>44600</v>
      </c>
      <c r="D448" s="1" t="s">
        <v>2484</v>
      </c>
      <c r="E448" t="s">
        <v>2453</v>
      </c>
      <c r="F448" s="10" t="s">
        <v>52</v>
      </c>
      <c r="G448" s="10" t="s">
        <v>448</v>
      </c>
      <c r="H448" t="s">
        <v>478</v>
      </c>
      <c r="I448" t="s">
        <v>448</v>
      </c>
      <c r="K448" s="2"/>
      <c r="M448" s="2"/>
    </row>
    <row r="449" spans="1:13">
      <c r="A449" t="s">
        <v>28</v>
      </c>
      <c r="B449">
        <f ca="1">IF(OR(changes[[#This Row],[Type]]="Checklist",changes[[#This Row],[Type]]="checklist-flat"),1+IF(changes[[#This Row],[Type of change]] = "Edit",COUNTIFS($I$4:changes[[#This Row],[Name]],changes[[#This Row],[Name]], $E$4:changes[[#This Row],[Type of change]], "Edit")),B448)</f>
        <v>1</v>
      </c>
      <c r="C449" s="16">
        <v>44600</v>
      </c>
      <c r="D449" s="1" t="s">
        <v>2484</v>
      </c>
      <c r="E449" t="s">
        <v>2453</v>
      </c>
      <c r="F449" s="10" t="s">
        <v>52</v>
      </c>
      <c r="G449" s="10" t="s">
        <v>448</v>
      </c>
      <c r="H449" t="s">
        <v>55</v>
      </c>
      <c r="I449" t="s">
        <v>449</v>
      </c>
      <c r="K449" s="2"/>
      <c r="M449" s="2"/>
    </row>
    <row r="450" spans="1:13">
      <c r="A450" t="s">
        <v>28</v>
      </c>
      <c r="B450">
        <f ca="1">IF(OR(changes[[#This Row],[Type]]="Checklist",changes[[#This Row],[Type]]="checklist-flat"),1+IF(changes[[#This Row],[Type of change]] = "Edit",COUNTIFS($I$4:changes[[#This Row],[Name]],changes[[#This Row],[Name]], $E$4:changes[[#This Row],[Type of change]], "Edit")),B449)</f>
        <v>1</v>
      </c>
      <c r="C450" s="16">
        <v>44600</v>
      </c>
      <c r="D450" s="1" t="s">
        <v>2484</v>
      </c>
      <c r="E450" t="s">
        <v>2453</v>
      </c>
      <c r="F450" s="10" t="s">
        <v>52</v>
      </c>
      <c r="G450" s="10" t="s">
        <v>2485</v>
      </c>
      <c r="H450" t="s">
        <v>478</v>
      </c>
      <c r="I450" t="s">
        <v>2485</v>
      </c>
      <c r="K450" s="2"/>
      <c r="M450" s="2" t="s">
        <v>2486</v>
      </c>
    </row>
    <row r="451" spans="1:13">
      <c r="A451" t="s">
        <v>28</v>
      </c>
      <c r="B451">
        <f ca="1">IF(OR(changes[[#This Row],[Type]]="Checklist",changes[[#This Row],[Type]]="checklist-flat"),1+IF(changes[[#This Row],[Type of change]] = "Edit",COUNTIFS($I$4:changes[[#This Row],[Name]],changes[[#This Row],[Name]], $E$4:changes[[#This Row],[Type of change]], "Edit")),B450)</f>
        <v>1</v>
      </c>
      <c r="C451" s="16">
        <v>44600</v>
      </c>
      <c r="D451" s="1" t="s">
        <v>2484</v>
      </c>
      <c r="E451" t="s">
        <v>2453</v>
      </c>
      <c r="F451" s="10" t="s">
        <v>52</v>
      </c>
      <c r="G451" s="10" t="s">
        <v>2485</v>
      </c>
      <c r="H451" t="s">
        <v>55</v>
      </c>
      <c r="I451" t="s">
        <v>418</v>
      </c>
      <c r="K451" s="2"/>
      <c r="M451" s="2"/>
    </row>
    <row r="452" spans="1:13">
      <c r="A452" t="s">
        <v>28</v>
      </c>
      <c r="B452">
        <f ca="1">IF(OR(changes[[#This Row],[Type]]="Checklist",changes[[#This Row],[Type]]="checklist-flat"),1+IF(changes[[#This Row],[Type of change]] = "Edit",COUNTIFS($I$4:changes[[#This Row],[Name]],changes[[#This Row],[Name]], $E$4:changes[[#This Row],[Type of change]], "Edit")),B451)</f>
        <v>1</v>
      </c>
      <c r="C452" s="16">
        <v>44600</v>
      </c>
      <c r="D452" s="1" t="s">
        <v>2484</v>
      </c>
      <c r="E452" t="s">
        <v>2453</v>
      </c>
      <c r="F452" s="10" t="s">
        <v>52</v>
      </c>
      <c r="G452" s="10" t="s">
        <v>2485</v>
      </c>
      <c r="H452" t="s">
        <v>437</v>
      </c>
      <c r="I452" t="s">
        <v>2487</v>
      </c>
      <c r="K452" s="2"/>
      <c r="M452" s="2"/>
    </row>
    <row r="453" spans="1:13">
      <c r="A453" t="s">
        <v>28</v>
      </c>
      <c r="B453">
        <f ca="1">IF(OR(changes[[#This Row],[Type]]="Checklist",changes[[#This Row],[Type]]="checklist-flat"),1+IF(changes[[#This Row],[Type of change]] = "Edit",COUNTIFS($I$4:changes[[#This Row],[Name]],changes[[#This Row],[Name]], $E$4:changes[[#This Row],[Type of change]], "Edit")),B452)</f>
        <v>1</v>
      </c>
      <c r="C453" s="16">
        <v>44600</v>
      </c>
      <c r="D453" s="1" t="s">
        <v>2484</v>
      </c>
      <c r="E453" t="s">
        <v>2453</v>
      </c>
      <c r="F453" s="10" t="s">
        <v>52</v>
      </c>
      <c r="G453" s="10" t="s">
        <v>2485</v>
      </c>
      <c r="H453" t="s">
        <v>437</v>
      </c>
      <c r="I453" t="s">
        <v>2479</v>
      </c>
      <c r="K453" s="2"/>
      <c r="M453" s="2"/>
    </row>
    <row r="454" spans="1:13">
      <c r="A454" t="s">
        <v>28</v>
      </c>
      <c r="B454">
        <f ca="1">IF(OR(changes[[#This Row],[Type]]="Checklist",changes[[#This Row],[Type]]="checklist-flat"),1+IF(changes[[#This Row],[Type of change]] = "Edit",COUNTIFS($I$4:changes[[#This Row],[Name]],changes[[#This Row],[Name]], $E$4:changes[[#This Row],[Type of change]], "Edit")),B453)</f>
        <v>1</v>
      </c>
      <c r="C454" s="16">
        <v>44600</v>
      </c>
      <c r="D454" s="1" t="s">
        <v>2484</v>
      </c>
      <c r="E454" t="s">
        <v>2453</v>
      </c>
      <c r="F454" s="10" t="s">
        <v>52</v>
      </c>
      <c r="G454" s="10" t="s">
        <v>2485</v>
      </c>
      <c r="H454" t="s">
        <v>420</v>
      </c>
      <c r="I454" t="s">
        <v>421</v>
      </c>
      <c r="K454" s="2"/>
      <c r="M454" s="2"/>
    </row>
    <row r="455" spans="1:13">
      <c r="A455" t="s">
        <v>28</v>
      </c>
      <c r="B455">
        <f ca="1">IF(OR(changes[[#This Row],[Type]]="Checklist",changes[[#This Row],[Type]]="checklist-flat"),1+IF(changes[[#This Row],[Type of change]] = "Edit",COUNTIFS($I$4:changes[[#This Row],[Name]],changes[[#This Row],[Name]], $E$4:changes[[#This Row],[Type of change]], "Edit")),B454)</f>
        <v>1</v>
      </c>
      <c r="C455" s="16">
        <v>44600</v>
      </c>
      <c r="D455" s="1" t="s">
        <v>2484</v>
      </c>
      <c r="E455" t="s">
        <v>2453</v>
      </c>
      <c r="F455" s="10" t="s">
        <v>52</v>
      </c>
      <c r="G455" s="10" t="s">
        <v>2485</v>
      </c>
      <c r="H455" t="s">
        <v>64</v>
      </c>
      <c r="I455" t="s">
        <v>422</v>
      </c>
      <c r="K455" s="2"/>
      <c r="M455" s="2"/>
    </row>
    <row r="456" spans="1:13">
      <c r="A456" t="s">
        <v>28</v>
      </c>
      <c r="B456">
        <f ca="1">IF(OR(changes[[#This Row],[Type]]="Checklist",changes[[#This Row],[Type]]="checklist-flat"),1+IF(changes[[#This Row],[Type of change]] = "Edit",COUNTIFS($I$4:changes[[#This Row],[Name]],changes[[#This Row],[Name]], $E$4:changes[[#This Row],[Type of change]], "Edit")),B455)</f>
        <v>1</v>
      </c>
      <c r="C456" s="16">
        <v>44609</v>
      </c>
      <c r="D456" s="1" t="s">
        <v>2484</v>
      </c>
      <c r="E456" t="s">
        <v>2453</v>
      </c>
      <c r="F456" s="10" t="s">
        <v>52</v>
      </c>
      <c r="G456" s="10" t="s">
        <v>2488</v>
      </c>
      <c r="H456" s="30" t="s">
        <v>478</v>
      </c>
      <c r="I456" s="30" t="s">
        <v>2488</v>
      </c>
      <c r="J456" s="35"/>
      <c r="K456" s="2"/>
      <c r="M456" s="2"/>
    </row>
    <row r="457" spans="1:13">
      <c r="A457" t="s">
        <v>28</v>
      </c>
      <c r="B457">
        <f ca="1">IF(OR(changes[[#This Row],[Type]]="Checklist",changes[[#This Row],[Type]]="checklist-flat"),1+IF(changes[[#This Row],[Type of change]] = "Edit",COUNTIFS($I$4:changes[[#This Row],[Name]],changes[[#This Row],[Name]], $E$4:changes[[#This Row],[Type of change]], "Edit")),B456)</f>
        <v>1</v>
      </c>
      <c r="C457" s="16">
        <v>44609</v>
      </c>
      <c r="D457" s="1" t="s">
        <v>2484</v>
      </c>
      <c r="E457" t="s">
        <v>2453</v>
      </c>
      <c r="F457" s="10" t="s">
        <v>52</v>
      </c>
      <c r="G457" s="10" t="s">
        <v>2488</v>
      </c>
      <c r="H457" s="17" t="s">
        <v>55</v>
      </c>
      <c r="I457" t="s">
        <v>2489</v>
      </c>
      <c r="K457" s="2"/>
      <c r="M457" s="2"/>
    </row>
    <row r="458" spans="1:13">
      <c r="A458" t="s">
        <v>28</v>
      </c>
      <c r="B458">
        <f ca="1">IF(OR(changes[[#This Row],[Type]]="Checklist",changes[[#This Row],[Type]]="checklist-flat"),1+IF(changes[[#This Row],[Type of change]] = "Edit",COUNTIFS($I$4:changes[[#This Row],[Name]],changes[[#This Row],[Name]], $E$4:changes[[#This Row],[Type of change]], "Edit")),B457)</f>
        <v>1</v>
      </c>
      <c r="C458" s="16">
        <v>44609</v>
      </c>
      <c r="D458" s="1" t="s">
        <v>2484</v>
      </c>
      <c r="E458" t="s">
        <v>2453</v>
      </c>
      <c r="F458" s="10" t="s">
        <v>52</v>
      </c>
      <c r="G458" s="10" t="s">
        <v>2488</v>
      </c>
      <c r="H458" t="s">
        <v>2490</v>
      </c>
      <c r="I458" t="s">
        <v>2491</v>
      </c>
      <c r="J458" t="s">
        <v>2240</v>
      </c>
      <c r="K458" s="2"/>
      <c r="M458" s="2"/>
    </row>
    <row r="459" spans="1:13">
      <c r="A459" t="s">
        <v>28</v>
      </c>
      <c r="B459">
        <f ca="1">IF(OR(changes[[#This Row],[Type]]="Checklist",changes[[#This Row],[Type]]="checklist-flat"),1+IF(changes[[#This Row],[Type of change]] = "Edit",COUNTIFS($I$4:changes[[#This Row],[Name]],changes[[#This Row],[Name]], $E$4:changes[[#This Row],[Type of change]], "Edit")),B458)</f>
        <v>1</v>
      </c>
      <c r="C459" s="16">
        <v>44609</v>
      </c>
      <c r="D459" s="1" t="s">
        <v>2484</v>
      </c>
      <c r="E459" t="s">
        <v>2453</v>
      </c>
      <c r="F459" s="10" t="s">
        <v>52</v>
      </c>
      <c r="G459" s="10" t="s">
        <v>2488</v>
      </c>
      <c r="H459" t="s">
        <v>2490</v>
      </c>
      <c r="I459" t="s">
        <v>2492</v>
      </c>
      <c r="J459" t="s">
        <v>2240</v>
      </c>
      <c r="K459" s="2"/>
      <c r="M459" s="2"/>
    </row>
    <row r="460" spans="1:13">
      <c r="A460" t="s">
        <v>28</v>
      </c>
      <c r="B460">
        <f ca="1">IF(OR(changes[[#This Row],[Type]]="Checklist",changes[[#This Row],[Type]]="checklist-flat"),1+IF(changes[[#This Row],[Type of change]] = "Edit",COUNTIFS($I$4:changes[[#This Row],[Name]],changes[[#This Row],[Name]], $E$4:changes[[#This Row],[Type of change]], "Edit")),B459)</f>
        <v>1</v>
      </c>
      <c r="C460" s="16">
        <v>44609</v>
      </c>
      <c r="D460" s="1" t="s">
        <v>2484</v>
      </c>
      <c r="E460" t="s">
        <v>2453</v>
      </c>
      <c r="F460" s="10" t="s">
        <v>52</v>
      </c>
      <c r="G460" s="10" t="s">
        <v>2488</v>
      </c>
      <c r="H460" t="s">
        <v>2490</v>
      </c>
      <c r="I460" t="s">
        <v>2493</v>
      </c>
      <c r="J460" t="s">
        <v>2240</v>
      </c>
      <c r="K460" s="2"/>
      <c r="M460" s="2"/>
    </row>
    <row r="461" spans="1:13">
      <c r="A461" t="s">
        <v>28</v>
      </c>
      <c r="B461">
        <f ca="1">IF(OR(changes[[#This Row],[Type]]="Checklist",changes[[#This Row],[Type]]="checklist-flat"),1+IF(changes[[#This Row],[Type of change]] = "Edit",COUNTIFS($I$4:changes[[#This Row],[Name]],changes[[#This Row],[Name]], $E$4:changes[[#This Row],[Type of change]], "Edit")),B460)</f>
        <v>1</v>
      </c>
      <c r="C461" s="16">
        <v>44609</v>
      </c>
      <c r="D461" s="1" t="s">
        <v>2484</v>
      </c>
      <c r="E461" t="s">
        <v>2453</v>
      </c>
      <c r="F461" s="10" t="s">
        <v>52</v>
      </c>
      <c r="G461" s="10" t="s">
        <v>2488</v>
      </c>
      <c r="H461" t="s">
        <v>2490</v>
      </c>
      <c r="I461" t="s">
        <v>2494</v>
      </c>
      <c r="J461" t="s">
        <v>2240</v>
      </c>
      <c r="K461" s="2"/>
      <c r="M461" s="2"/>
    </row>
    <row r="462" spans="1:13">
      <c r="A462" t="s">
        <v>28</v>
      </c>
      <c r="B462">
        <f ca="1">IF(OR(changes[[#This Row],[Type]]="Checklist",changes[[#This Row],[Type]]="checklist-flat"),1+IF(changes[[#This Row],[Type of change]] = "Edit",COUNTIFS($I$4:changes[[#This Row],[Name]],changes[[#This Row],[Name]], $E$4:changes[[#This Row],[Type of change]], "Edit")),B461)</f>
        <v>1</v>
      </c>
      <c r="C462" s="16">
        <v>44609</v>
      </c>
      <c r="D462" s="1" t="s">
        <v>2484</v>
      </c>
      <c r="E462" t="s">
        <v>2453</v>
      </c>
      <c r="F462" s="10" t="s">
        <v>52</v>
      </c>
      <c r="G462" s="10" t="s">
        <v>2488</v>
      </c>
      <c r="H462" t="s">
        <v>2490</v>
      </c>
      <c r="I462" t="s">
        <v>2495</v>
      </c>
      <c r="J462" t="s">
        <v>2240</v>
      </c>
      <c r="K462" s="2"/>
      <c r="M462" s="2"/>
    </row>
    <row r="463" spans="1:13">
      <c r="A463" t="s">
        <v>28</v>
      </c>
      <c r="B463">
        <f ca="1">IF(OR(changes[[#This Row],[Type]]="Checklist",changes[[#This Row],[Type]]="checklist-flat"),1+IF(changes[[#This Row],[Type of change]] = "Edit",COUNTIFS($I$4:changes[[#This Row],[Name]],changes[[#This Row],[Name]], $E$4:changes[[#This Row],[Type of change]], "Edit")),B462)</f>
        <v>1</v>
      </c>
      <c r="C463" s="16">
        <v>44609</v>
      </c>
      <c r="D463" s="1" t="s">
        <v>2484</v>
      </c>
      <c r="E463" t="s">
        <v>2453</v>
      </c>
      <c r="F463" s="10" t="s">
        <v>52</v>
      </c>
      <c r="G463" s="10" t="s">
        <v>2488</v>
      </c>
      <c r="H463" t="s">
        <v>2490</v>
      </c>
      <c r="I463" t="s">
        <v>2496</v>
      </c>
      <c r="J463" t="s">
        <v>2240</v>
      </c>
      <c r="K463" s="2"/>
      <c r="M463" s="2"/>
    </row>
    <row r="464" spans="1:13">
      <c r="A464" t="s">
        <v>28</v>
      </c>
      <c r="B464">
        <f ca="1">IF(OR(changes[[#This Row],[Type]]="Checklist",changes[[#This Row],[Type]]="checklist-flat"),1+IF(changes[[#This Row],[Type of change]] = "Edit",COUNTIFS($I$4:changes[[#This Row],[Name]],changes[[#This Row],[Name]], $E$4:changes[[#This Row],[Type of change]], "Edit")),B463)</f>
        <v>1</v>
      </c>
      <c r="C464" s="16">
        <v>44609</v>
      </c>
      <c r="D464" s="1" t="s">
        <v>2484</v>
      </c>
      <c r="E464" t="s">
        <v>2453</v>
      </c>
      <c r="F464" s="10" t="s">
        <v>52</v>
      </c>
      <c r="G464" s="10" t="s">
        <v>2488</v>
      </c>
      <c r="H464" t="s">
        <v>2490</v>
      </c>
      <c r="I464" t="s">
        <v>2497</v>
      </c>
      <c r="J464" t="s">
        <v>2240</v>
      </c>
      <c r="K464" s="2"/>
      <c r="M464" s="2"/>
    </row>
    <row r="465" spans="1:13">
      <c r="A465" t="s">
        <v>28</v>
      </c>
      <c r="B465">
        <f ca="1">IF(OR(changes[[#This Row],[Type]]="Checklist",changes[[#This Row],[Type]]="checklist-flat"),1+IF(changes[[#This Row],[Type of change]] = "Edit",COUNTIFS($I$4:changes[[#This Row],[Name]],changes[[#This Row],[Name]], $E$4:changes[[#This Row],[Type of change]], "Edit")),B464)</f>
        <v>1</v>
      </c>
      <c r="C465" s="16">
        <v>44609</v>
      </c>
      <c r="D465" s="1" t="s">
        <v>2484</v>
      </c>
      <c r="E465" t="s">
        <v>2453</v>
      </c>
      <c r="F465" s="10" t="s">
        <v>52</v>
      </c>
      <c r="G465" s="10" t="s">
        <v>2488</v>
      </c>
      <c r="H465" t="s">
        <v>2490</v>
      </c>
      <c r="I465" t="s">
        <v>2498</v>
      </c>
      <c r="J465" t="s">
        <v>2240</v>
      </c>
      <c r="K465" s="2"/>
      <c r="M465" s="2"/>
    </row>
    <row r="466" spans="1:13">
      <c r="A466" t="s">
        <v>28</v>
      </c>
      <c r="B466">
        <f ca="1">IF(OR(changes[[#This Row],[Type]]="Checklist",changes[[#This Row],[Type]]="checklist-flat"),1+IF(changes[[#This Row],[Type of change]] = "Edit",COUNTIFS($I$4:changes[[#This Row],[Name]],changes[[#This Row],[Name]], $E$4:changes[[#This Row],[Type of change]], "Edit")),B465)</f>
        <v>1</v>
      </c>
      <c r="C466" s="16">
        <v>44609</v>
      </c>
      <c r="D466" s="1" t="s">
        <v>2484</v>
      </c>
      <c r="E466" t="s">
        <v>2453</v>
      </c>
      <c r="F466" s="10" t="s">
        <v>52</v>
      </c>
      <c r="G466" s="10" t="s">
        <v>2488</v>
      </c>
      <c r="H466" t="s">
        <v>2490</v>
      </c>
      <c r="I466" t="s">
        <v>2499</v>
      </c>
      <c r="J466" t="s">
        <v>2240</v>
      </c>
      <c r="K466" s="2"/>
      <c r="M466" s="2"/>
    </row>
    <row r="467" spans="1:13">
      <c r="A467" t="s">
        <v>28</v>
      </c>
      <c r="B467">
        <f ca="1">IF(OR(changes[[#This Row],[Type]]="Checklist",changes[[#This Row],[Type]]="checklist-flat"),1+IF(changes[[#This Row],[Type of change]] = "Edit",COUNTIFS($I$4:changes[[#This Row],[Name]],changes[[#This Row],[Name]], $E$4:changes[[#This Row],[Type of change]], "Edit")),B466)</f>
        <v>1</v>
      </c>
      <c r="C467" s="16">
        <v>44609</v>
      </c>
      <c r="D467" s="1" t="s">
        <v>2484</v>
      </c>
      <c r="E467" t="s">
        <v>2453</v>
      </c>
      <c r="F467" s="10" t="s">
        <v>52</v>
      </c>
      <c r="G467" s="10" t="s">
        <v>2488</v>
      </c>
      <c r="H467" t="s">
        <v>2500</v>
      </c>
      <c r="I467" t="s">
        <v>377</v>
      </c>
      <c r="K467" s="2"/>
      <c r="M467" s="2"/>
    </row>
    <row r="468" spans="1:13">
      <c r="A468" t="s">
        <v>28</v>
      </c>
      <c r="B468">
        <f ca="1">IF(OR(changes[[#This Row],[Type]]="Checklist",changes[[#This Row],[Type]]="checklist-flat"),1+IF(changes[[#This Row],[Type of change]] = "Edit",COUNTIFS($I$4:changes[[#This Row],[Name]],changes[[#This Row],[Name]], $E$4:changes[[#This Row],[Type of change]], "Edit")),B467)</f>
        <v>1</v>
      </c>
      <c r="C468" s="16">
        <v>44609</v>
      </c>
      <c r="D468" s="1" t="s">
        <v>2484</v>
      </c>
      <c r="E468" t="s">
        <v>2453</v>
      </c>
      <c r="F468" s="10" t="s">
        <v>52</v>
      </c>
      <c r="G468" s="10" t="s">
        <v>2488</v>
      </c>
      <c r="H468" t="s">
        <v>2500</v>
      </c>
      <c r="I468" t="s">
        <v>2501</v>
      </c>
      <c r="K468" s="2"/>
      <c r="M468" s="2"/>
    </row>
    <row r="469" spans="1:13">
      <c r="A469" t="s">
        <v>28</v>
      </c>
      <c r="B469">
        <f ca="1">IF(OR(changes[[#This Row],[Type]]="Checklist",changes[[#This Row],[Type]]="checklist-flat"),1+IF(changes[[#This Row],[Type of change]] = "Edit",COUNTIFS($I$4:changes[[#This Row],[Name]],changes[[#This Row],[Name]], $E$4:changes[[#This Row],[Type of change]], "Edit")),B468)</f>
        <v>1</v>
      </c>
      <c r="C469" s="16">
        <v>44609</v>
      </c>
      <c r="D469" s="1" t="s">
        <v>2484</v>
      </c>
      <c r="E469" t="s">
        <v>2453</v>
      </c>
      <c r="F469" s="10" t="s">
        <v>52</v>
      </c>
      <c r="G469" s="10" t="s">
        <v>2488</v>
      </c>
      <c r="H469" t="s">
        <v>2500</v>
      </c>
      <c r="I469" t="s">
        <v>2502</v>
      </c>
      <c r="K469" s="2"/>
      <c r="M469" s="2"/>
    </row>
    <row r="470" spans="1:13">
      <c r="A470" t="s">
        <v>28</v>
      </c>
      <c r="B470">
        <f ca="1">IF(OR(changes[[#This Row],[Type]]="Checklist",changes[[#This Row],[Type]]="checklist-flat"),1+IF(changes[[#This Row],[Type of change]] = "Edit",COUNTIFS($I$4:changes[[#This Row],[Name]],changes[[#This Row],[Name]], $E$4:changes[[#This Row],[Type of change]], "Edit")),B469)</f>
        <v>1</v>
      </c>
      <c r="C470" s="16">
        <v>44609</v>
      </c>
      <c r="D470" s="1" t="s">
        <v>2484</v>
      </c>
      <c r="E470" t="s">
        <v>2453</v>
      </c>
      <c r="F470" s="10" t="s">
        <v>52</v>
      </c>
      <c r="G470" s="10" t="s">
        <v>2488</v>
      </c>
      <c r="H470" t="s">
        <v>2500</v>
      </c>
      <c r="I470" t="s">
        <v>2503</v>
      </c>
      <c r="K470" s="2"/>
      <c r="M470" s="2"/>
    </row>
    <row r="471" spans="1:13">
      <c r="A471" t="s">
        <v>28</v>
      </c>
      <c r="B471">
        <f ca="1">IF(OR(changes[[#This Row],[Type]]="Checklist",changes[[#This Row],[Type]]="checklist-flat"),1+IF(changes[[#This Row],[Type of change]] = "Edit",COUNTIFS($I$4:changes[[#This Row],[Name]],changes[[#This Row],[Name]], $E$4:changes[[#This Row],[Type of change]], "Edit")),B470)</f>
        <v>1</v>
      </c>
      <c r="C471" s="16">
        <v>44609</v>
      </c>
      <c r="D471" s="1" t="s">
        <v>2484</v>
      </c>
      <c r="E471" t="s">
        <v>2453</v>
      </c>
      <c r="F471" s="10" t="s">
        <v>52</v>
      </c>
      <c r="G471" s="10" t="s">
        <v>2488</v>
      </c>
      <c r="H471" t="s">
        <v>64</v>
      </c>
      <c r="I471" t="s">
        <v>1273</v>
      </c>
      <c r="K471" s="2"/>
      <c r="M471" s="2"/>
    </row>
    <row r="472" spans="1:13">
      <c r="A472" t="s">
        <v>28</v>
      </c>
      <c r="B472">
        <f ca="1">IF(OR(changes[[#This Row],[Type]]="Checklist",changes[[#This Row],[Type]]="checklist-flat"),1+IF(changes[[#This Row],[Type of change]] = "Edit",COUNTIFS($I$4:changes[[#This Row],[Name]],changes[[#This Row],[Name]], $E$4:changes[[#This Row],[Type of change]], "Edit")),B471)</f>
        <v>1</v>
      </c>
      <c r="C472" s="16">
        <v>44609</v>
      </c>
      <c r="D472" s="1" t="s">
        <v>2484</v>
      </c>
      <c r="E472" t="s">
        <v>2453</v>
      </c>
      <c r="F472" s="10" t="s">
        <v>52</v>
      </c>
      <c r="G472" s="10" t="s">
        <v>2504</v>
      </c>
      <c r="H472" s="30" t="s">
        <v>478</v>
      </c>
      <c r="I472" s="30" t="s">
        <v>2504</v>
      </c>
      <c r="J472" s="35"/>
      <c r="K472" s="2"/>
      <c r="M472" s="2" t="s">
        <v>2505</v>
      </c>
    </row>
    <row r="473" spans="1:13">
      <c r="A473" t="s">
        <v>28</v>
      </c>
      <c r="B473">
        <f ca="1">IF(OR(changes[[#This Row],[Type]]="Checklist",changes[[#This Row],[Type]]="checklist-flat"),1+IF(changes[[#This Row],[Type of change]] = "Edit",COUNTIFS($I$4:changes[[#This Row],[Name]],changes[[#This Row],[Name]], $E$4:changes[[#This Row],[Type of change]], "Edit")),B472)</f>
        <v>1</v>
      </c>
      <c r="C473" s="16">
        <v>44609</v>
      </c>
      <c r="D473" s="1" t="s">
        <v>2484</v>
      </c>
      <c r="E473" t="s">
        <v>2453</v>
      </c>
      <c r="F473" s="10" t="s">
        <v>52</v>
      </c>
      <c r="G473" s="10" t="s">
        <v>2504</v>
      </c>
      <c r="H473" s="30" t="s">
        <v>55</v>
      </c>
      <c r="I473" s="30" t="s">
        <v>62</v>
      </c>
      <c r="K473" s="2"/>
      <c r="M473" s="2"/>
    </row>
    <row r="474" spans="1:13">
      <c r="A474" t="s">
        <v>28</v>
      </c>
      <c r="B474">
        <f ca="1">IF(OR(changes[[#This Row],[Type]]="Checklist",changes[[#This Row],[Type]]="checklist-flat"),1+IF(changes[[#This Row],[Type of change]] = "Edit",COUNTIFS($I$4:changes[[#This Row],[Name]],changes[[#This Row],[Name]], $E$4:changes[[#This Row],[Type of change]], "Edit")),B473)</f>
        <v>1</v>
      </c>
      <c r="C474" s="16">
        <v>44609</v>
      </c>
      <c r="D474" s="1" t="s">
        <v>2484</v>
      </c>
      <c r="E474" t="s">
        <v>2453</v>
      </c>
      <c r="F474" s="10" t="s">
        <v>52</v>
      </c>
      <c r="G474" s="10" t="s">
        <v>2504</v>
      </c>
      <c r="H474" s="30" t="s">
        <v>55</v>
      </c>
      <c r="I474" s="30" t="s">
        <v>63</v>
      </c>
      <c r="K474" s="2"/>
      <c r="M474" s="2"/>
    </row>
    <row r="475" spans="1:13">
      <c r="A475" t="s">
        <v>28</v>
      </c>
      <c r="B475">
        <f ca="1">IF(OR(changes[[#This Row],[Type]]="Checklist",changes[[#This Row],[Type]]="checklist-flat"),1+IF(changes[[#This Row],[Type of change]] = "Edit",COUNTIFS($I$4:changes[[#This Row],[Name]],changes[[#This Row],[Name]], $E$4:changes[[#This Row],[Type of change]], "Edit")),B474)</f>
        <v>1</v>
      </c>
      <c r="C475" s="16">
        <v>44609</v>
      </c>
      <c r="D475" s="1" t="s">
        <v>2484</v>
      </c>
      <c r="E475" t="s">
        <v>2453</v>
      </c>
      <c r="F475" s="10" t="s">
        <v>52</v>
      </c>
      <c r="G475" s="10" t="s">
        <v>2504</v>
      </c>
      <c r="H475" s="30" t="s">
        <v>994</v>
      </c>
      <c r="I475" s="30" t="s">
        <v>2506</v>
      </c>
      <c r="K475" s="2"/>
      <c r="M475" s="2"/>
    </row>
    <row r="476" spans="1:13">
      <c r="A476" t="s">
        <v>28</v>
      </c>
      <c r="B476">
        <f ca="1">IF(OR(changes[[#This Row],[Type]]="Checklist",changes[[#This Row],[Type]]="checklist-flat"),1+IF(changes[[#This Row],[Type of change]] = "Edit",COUNTIFS($I$4:changes[[#This Row],[Name]],changes[[#This Row],[Name]], $E$4:changes[[#This Row],[Type of change]], "Edit")),B475)</f>
        <v>1</v>
      </c>
      <c r="C476" s="16">
        <v>44609</v>
      </c>
      <c r="D476" s="1" t="s">
        <v>2484</v>
      </c>
      <c r="E476" t="s">
        <v>2453</v>
      </c>
      <c r="F476" s="10" t="s">
        <v>52</v>
      </c>
      <c r="G476" s="10" t="s">
        <v>2504</v>
      </c>
      <c r="H476" s="30" t="s">
        <v>55</v>
      </c>
      <c r="I476" s="30" t="s">
        <v>2507</v>
      </c>
      <c r="K476" s="2"/>
      <c r="M476" s="2"/>
    </row>
    <row r="477" spans="1:13">
      <c r="A477" t="s">
        <v>28</v>
      </c>
      <c r="B477">
        <f ca="1">IF(OR(changes[[#This Row],[Type]]="Checklist",changes[[#This Row],[Type]]="checklist-flat"),1+IF(changes[[#This Row],[Type of change]] = "Edit",COUNTIFS($I$4:changes[[#This Row],[Name]],changes[[#This Row],[Name]], $E$4:changes[[#This Row],[Type of change]], "Edit")),B476)</f>
        <v>1</v>
      </c>
      <c r="C477" s="16">
        <v>44609</v>
      </c>
      <c r="D477" s="1" t="s">
        <v>2484</v>
      </c>
      <c r="E477" t="s">
        <v>2453</v>
      </c>
      <c r="F477" s="10" t="s">
        <v>52</v>
      </c>
      <c r="G477" s="10" t="s">
        <v>678</v>
      </c>
      <c r="H477" s="30" t="s">
        <v>478</v>
      </c>
      <c r="I477" s="30" t="s">
        <v>678</v>
      </c>
      <c r="J477" s="35"/>
      <c r="K477" s="2"/>
      <c r="M477" s="2"/>
    </row>
    <row r="478" spans="1:13">
      <c r="A478" t="s">
        <v>28</v>
      </c>
      <c r="B478">
        <f ca="1">IF(OR(changes[[#This Row],[Type]]="Checklist",changes[[#This Row],[Type]]="checklist-flat"),1+IF(changes[[#This Row],[Type of change]] = "Edit",COUNTIFS($I$4:changes[[#This Row],[Name]],changes[[#This Row],[Name]], $E$4:changes[[#This Row],[Type of change]], "Edit")),B477)</f>
        <v>1</v>
      </c>
      <c r="C478" s="16">
        <v>44609</v>
      </c>
      <c r="D478" s="1" t="s">
        <v>2484</v>
      </c>
      <c r="E478" t="s">
        <v>2453</v>
      </c>
      <c r="F478" s="10" t="s">
        <v>52</v>
      </c>
      <c r="G478" s="10" t="s">
        <v>678</v>
      </c>
      <c r="H478" s="30" t="s">
        <v>55</v>
      </c>
      <c r="I478" s="30" t="s">
        <v>62</v>
      </c>
      <c r="K478" s="2"/>
      <c r="M478" s="2"/>
    </row>
    <row r="479" spans="1:13">
      <c r="A479" t="s">
        <v>28</v>
      </c>
      <c r="B479">
        <f ca="1">IF(OR(changes[[#This Row],[Type]]="Checklist",changes[[#This Row],[Type]]="checklist-flat"),1+IF(changes[[#This Row],[Type of change]] = "Edit",COUNTIFS($I$4:changes[[#This Row],[Name]],changes[[#This Row],[Name]], $E$4:changes[[#This Row],[Type of change]], "Edit")),B478)</f>
        <v>1</v>
      </c>
      <c r="C479" s="16">
        <v>44609</v>
      </c>
      <c r="D479" s="1" t="s">
        <v>2484</v>
      </c>
      <c r="E479" t="s">
        <v>2453</v>
      </c>
      <c r="F479" s="10" t="s">
        <v>52</v>
      </c>
      <c r="G479" s="10" t="s">
        <v>678</v>
      </c>
      <c r="H479" s="30" t="s">
        <v>55</v>
      </c>
      <c r="I479" s="30" t="s">
        <v>63</v>
      </c>
      <c r="K479" s="2"/>
      <c r="M479" s="2"/>
    </row>
    <row r="480" spans="1:13">
      <c r="A480" t="s">
        <v>28</v>
      </c>
      <c r="B480">
        <f ca="1">IF(OR(changes[[#This Row],[Type]]="Checklist",changes[[#This Row],[Type]]="checklist-flat"),1+IF(changes[[#This Row],[Type of change]] = "Edit",COUNTIFS($I$4:changes[[#This Row],[Name]],changes[[#This Row],[Name]], $E$4:changes[[#This Row],[Type of change]], "Edit")),B479)</f>
        <v>1</v>
      </c>
      <c r="C480" s="16">
        <v>44609</v>
      </c>
      <c r="D480" s="1" t="s">
        <v>2484</v>
      </c>
      <c r="E480" t="s">
        <v>2453</v>
      </c>
      <c r="F480" s="10" t="s">
        <v>52</v>
      </c>
      <c r="G480" s="10" t="s">
        <v>678</v>
      </c>
      <c r="H480" s="30" t="s">
        <v>994</v>
      </c>
      <c r="I480" s="30" t="s">
        <v>2506</v>
      </c>
      <c r="K480" s="2"/>
      <c r="M480" s="2"/>
    </row>
    <row r="481" spans="1:13">
      <c r="A481" t="s">
        <v>28</v>
      </c>
      <c r="B481">
        <f ca="1">IF(OR(changes[[#This Row],[Type]]="Checklist",changes[[#This Row],[Type]]="checklist-flat"),1+IF(changes[[#This Row],[Type of change]] = "Edit",COUNTIFS($I$4:changes[[#This Row],[Name]],changes[[#This Row],[Name]], $E$4:changes[[#This Row],[Type of change]], "Edit")),B480)</f>
        <v>1</v>
      </c>
      <c r="C481" s="16">
        <v>44609</v>
      </c>
      <c r="D481" s="1" t="s">
        <v>2484</v>
      </c>
      <c r="E481" t="s">
        <v>2453</v>
      </c>
      <c r="F481" s="10" t="s">
        <v>52</v>
      </c>
      <c r="G481" s="10" t="s">
        <v>678</v>
      </c>
      <c r="H481" s="30" t="s">
        <v>55</v>
      </c>
      <c r="I481" s="30" t="s">
        <v>679</v>
      </c>
      <c r="K481" s="2"/>
      <c r="M481" s="2"/>
    </row>
    <row r="482" spans="1:13">
      <c r="A482" t="s">
        <v>28</v>
      </c>
      <c r="B482">
        <f ca="1">IF(OR(changes[[#This Row],[Type]]="Checklist",changes[[#This Row],[Type]]="checklist-flat"),1+IF(changes[[#This Row],[Type of change]] = "Edit",COUNTIFS($I$4:changes[[#This Row],[Name]],changes[[#This Row],[Name]], $E$4:changes[[#This Row],[Type of change]], "Edit")),B481)</f>
        <v>1</v>
      </c>
      <c r="C482" s="16">
        <v>44609</v>
      </c>
      <c r="D482" s="1" t="s">
        <v>2484</v>
      </c>
      <c r="E482" t="s">
        <v>2453</v>
      </c>
      <c r="F482" s="10" t="s">
        <v>52</v>
      </c>
      <c r="G482" s="10" t="s">
        <v>637</v>
      </c>
      <c r="H482" s="30" t="s">
        <v>478</v>
      </c>
      <c r="I482" s="30" t="s">
        <v>637</v>
      </c>
      <c r="J482" s="35"/>
      <c r="K482" s="2"/>
      <c r="M482" s="2"/>
    </row>
    <row r="483" spans="1:13">
      <c r="A483" t="s">
        <v>28</v>
      </c>
      <c r="B483">
        <f ca="1">IF(OR(changes[[#This Row],[Type]]="Checklist",changes[[#This Row],[Type]]="checklist-flat"),1+IF(changes[[#This Row],[Type of change]] = "Edit",COUNTIFS($I$4:changes[[#This Row],[Name]],changes[[#This Row],[Name]], $E$4:changes[[#This Row],[Type of change]], "Edit")),B482)</f>
        <v>1</v>
      </c>
      <c r="C483" s="16">
        <v>44609</v>
      </c>
      <c r="D483" s="1" t="s">
        <v>2484</v>
      </c>
      <c r="E483" t="s">
        <v>2453</v>
      </c>
      <c r="F483" s="10" t="s">
        <v>52</v>
      </c>
      <c r="G483" s="10" t="s">
        <v>637</v>
      </c>
      <c r="H483" s="30" t="s">
        <v>55</v>
      </c>
      <c r="I483" s="30" t="s">
        <v>62</v>
      </c>
      <c r="K483" s="2"/>
      <c r="M483" s="2"/>
    </row>
    <row r="484" spans="1:13">
      <c r="A484" t="s">
        <v>28</v>
      </c>
      <c r="B484">
        <f ca="1">IF(OR(changes[[#This Row],[Type]]="Checklist",changes[[#This Row],[Type]]="checklist-flat"),1+IF(changes[[#This Row],[Type of change]] = "Edit",COUNTIFS($I$4:changes[[#This Row],[Name]],changes[[#This Row],[Name]], $E$4:changes[[#This Row],[Type of change]], "Edit")),B483)</f>
        <v>1</v>
      </c>
      <c r="C484" s="16">
        <v>44609</v>
      </c>
      <c r="D484" s="1" t="s">
        <v>2484</v>
      </c>
      <c r="E484" t="s">
        <v>2453</v>
      </c>
      <c r="F484" s="10" t="s">
        <v>52</v>
      </c>
      <c r="G484" s="10" t="s">
        <v>637</v>
      </c>
      <c r="H484" s="30" t="s">
        <v>55</v>
      </c>
      <c r="I484" s="30" t="s">
        <v>63</v>
      </c>
      <c r="K484" s="2"/>
      <c r="M484" s="2"/>
    </row>
    <row r="485" spans="1:13">
      <c r="A485" t="s">
        <v>28</v>
      </c>
      <c r="B485">
        <f ca="1">IF(OR(changes[[#This Row],[Type]]="Checklist",changes[[#This Row],[Type]]="checklist-flat"),1+IF(changes[[#This Row],[Type of change]] = "Edit",COUNTIFS($I$4:changes[[#This Row],[Name]],changes[[#This Row],[Name]], $E$4:changes[[#This Row],[Type of change]], "Edit")),B484)</f>
        <v>1</v>
      </c>
      <c r="C485" s="16">
        <v>44609</v>
      </c>
      <c r="D485" s="1" t="s">
        <v>2484</v>
      </c>
      <c r="E485" t="s">
        <v>2453</v>
      </c>
      <c r="F485" s="10" t="s">
        <v>52</v>
      </c>
      <c r="G485" s="10" t="s">
        <v>637</v>
      </c>
      <c r="H485" s="30" t="s">
        <v>994</v>
      </c>
      <c r="I485" s="30" t="s">
        <v>2506</v>
      </c>
      <c r="K485" s="2"/>
      <c r="M485" s="2"/>
    </row>
    <row r="486" spans="1:13">
      <c r="A486" t="s">
        <v>28</v>
      </c>
      <c r="B486">
        <f ca="1">IF(OR(changes[[#This Row],[Type]]="Checklist",changes[[#This Row],[Type]]="checklist-flat"),1+IF(changes[[#This Row],[Type of change]] = "Edit",COUNTIFS($I$4:changes[[#This Row],[Name]],changes[[#This Row],[Name]], $E$4:changes[[#This Row],[Type of change]], "Edit")),B485)</f>
        <v>1</v>
      </c>
      <c r="C486" s="16">
        <v>44609</v>
      </c>
      <c r="D486" s="1" t="s">
        <v>2484</v>
      </c>
      <c r="E486" t="s">
        <v>2453</v>
      </c>
      <c r="F486" s="10" t="s">
        <v>52</v>
      </c>
      <c r="G486" s="10" t="s">
        <v>637</v>
      </c>
      <c r="H486" s="30" t="s">
        <v>55</v>
      </c>
      <c r="I486" s="30" t="s">
        <v>638</v>
      </c>
      <c r="K486" s="2"/>
      <c r="M486" s="2"/>
    </row>
    <row r="487" spans="1:13">
      <c r="A487" t="s">
        <v>28</v>
      </c>
      <c r="B487">
        <f ca="1">IF(OR(changes[[#This Row],[Type]]="Checklist",changes[[#This Row],[Type]]="checklist-flat"),1+IF(changes[[#This Row],[Type of change]] = "Edit",COUNTIFS($I$4:changes[[#This Row],[Name]],changes[[#This Row],[Name]], $E$4:changes[[#This Row],[Type of change]], "Edit")),B486)</f>
        <v>1</v>
      </c>
      <c r="C487" s="16">
        <v>44609</v>
      </c>
      <c r="D487" s="1" t="s">
        <v>2484</v>
      </c>
      <c r="E487" t="s">
        <v>2453</v>
      </c>
      <c r="F487" s="10" t="s">
        <v>52</v>
      </c>
      <c r="G487" s="10" t="s">
        <v>661</v>
      </c>
      <c r="H487" s="30" t="s">
        <v>478</v>
      </c>
      <c r="I487" s="30" t="s">
        <v>661</v>
      </c>
      <c r="J487" s="35"/>
      <c r="K487" s="2"/>
      <c r="M487" s="2"/>
    </row>
    <row r="488" spans="1:13">
      <c r="A488" t="s">
        <v>28</v>
      </c>
      <c r="B488">
        <f ca="1">IF(OR(changes[[#This Row],[Type]]="Checklist",changes[[#This Row],[Type]]="checklist-flat"),1+IF(changes[[#This Row],[Type of change]] = "Edit",COUNTIFS($I$4:changes[[#This Row],[Name]],changes[[#This Row],[Name]], $E$4:changes[[#This Row],[Type of change]], "Edit")),B487)</f>
        <v>1</v>
      </c>
      <c r="C488" s="16">
        <v>44609</v>
      </c>
      <c r="D488" s="1" t="s">
        <v>2484</v>
      </c>
      <c r="E488" t="s">
        <v>2453</v>
      </c>
      <c r="F488" s="10" t="s">
        <v>52</v>
      </c>
      <c r="G488" s="10" t="s">
        <v>661</v>
      </c>
      <c r="H488" s="30" t="s">
        <v>55</v>
      </c>
      <c r="I488" s="30" t="s">
        <v>62</v>
      </c>
      <c r="K488" s="2"/>
      <c r="M488" s="2"/>
    </row>
    <row r="489" spans="1:13">
      <c r="A489" t="s">
        <v>28</v>
      </c>
      <c r="B489">
        <f ca="1">IF(OR(changes[[#This Row],[Type]]="Checklist",changes[[#This Row],[Type]]="checklist-flat"),1+IF(changes[[#This Row],[Type of change]] = "Edit",COUNTIFS($I$4:changes[[#This Row],[Name]],changes[[#This Row],[Name]], $E$4:changes[[#This Row],[Type of change]], "Edit")),B488)</f>
        <v>1</v>
      </c>
      <c r="C489" s="16">
        <v>44609</v>
      </c>
      <c r="D489" s="1" t="s">
        <v>2484</v>
      </c>
      <c r="E489" t="s">
        <v>2453</v>
      </c>
      <c r="F489" s="10" t="s">
        <v>52</v>
      </c>
      <c r="G489" s="10" t="s">
        <v>661</v>
      </c>
      <c r="H489" s="30" t="s">
        <v>55</v>
      </c>
      <c r="I489" s="30" t="s">
        <v>63</v>
      </c>
      <c r="K489" s="2"/>
      <c r="M489" s="2"/>
    </row>
    <row r="490" spans="1:13">
      <c r="A490" t="s">
        <v>28</v>
      </c>
      <c r="B490">
        <f ca="1">IF(OR(changes[[#This Row],[Type]]="Checklist",changes[[#This Row],[Type]]="checklist-flat"),1+IF(changes[[#This Row],[Type of change]] = "Edit",COUNTIFS($I$4:changes[[#This Row],[Name]],changes[[#This Row],[Name]], $E$4:changes[[#This Row],[Type of change]], "Edit")),B489)</f>
        <v>1</v>
      </c>
      <c r="C490" s="16">
        <v>44609</v>
      </c>
      <c r="D490" s="1" t="s">
        <v>2484</v>
      </c>
      <c r="E490" t="s">
        <v>2453</v>
      </c>
      <c r="F490" s="10" t="s">
        <v>52</v>
      </c>
      <c r="G490" s="10" t="s">
        <v>661</v>
      </c>
      <c r="H490" s="30" t="s">
        <v>994</v>
      </c>
      <c r="I490" s="30" t="s">
        <v>2506</v>
      </c>
      <c r="K490" s="2"/>
      <c r="M490" s="2"/>
    </row>
    <row r="491" spans="1:13">
      <c r="A491" t="s">
        <v>28</v>
      </c>
      <c r="B491">
        <f ca="1">IF(OR(changes[[#This Row],[Type]]="Checklist",changes[[#This Row],[Type]]="checklist-flat"),1+IF(changes[[#This Row],[Type of change]] = "Edit",COUNTIFS($I$4:changes[[#This Row],[Name]],changes[[#This Row],[Name]], $E$4:changes[[#This Row],[Type of change]], "Edit")),B490)</f>
        <v>1</v>
      </c>
      <c r="C491" s="16">
        <v>44609</v>
      </c>
      <c r="D491" s="1" t="s">
        <v>2484</v>
      </c>
      <c r="E491" t="s">
        <v>2453</v>
      </c>
      <c r="F491" s="10" t="s">
        <v>52</v>
      </c>
      <c r="G491" s="10" t="s">
        <v>661</v>
      </c>
      <c r="H491" s="30" t="s">
        <v>55</v>
      </c>
      <c r="I491" s="30" t="s">
        <v>662</v>
      </c>
      <c r="K491" s="2"/>
      <c r="M491" s="2"/>
    </row>
    <row r="492" spans="1:13">
      <c r="A492" t="s">
        <v>28</v>
      </c>
      <c r="B492">
        <f ca="1">IF(OR(changes[[#This Row],[Type]]="Checklist",changes[[#This Row],[Type]]="checklist-flat"),1+IF(changes[[#This Row],[Type of change]] = "Edit",COUNTIFS($I$4:changes[[#This Row],[Name]],changes[[#This Row],[Name]], $E$4:changes[[#This Row],[Type of change]], "Edit")),B491)</f>
        <v>1</v>
      </c>
      <c r="C492" s="16">
        <v>44609</v>
      </c>
      <c r="D492" s="1" t="s">
        <v>2484</v>
      </c>
      <c r="E492" t="s">
        <v>2453</v>
      </c>
      <c r="F492" s="10" t="s">
        <v>52</v>
      </c>
      <c r="G492" s="10" t="s">
        <v>644</v>
      </c>
      <c r="H492" s="30" t="s">
        <v>478</v>
      </c>
      <c r="I492" s="30" t="s">
        <v>644</v>
      </c>
      <c r="J492" s="35"/>
      <c r="K492" s="2"/>
      <c r="M492" s="2"/>
    </row>
    <row r="493" spans="1:13">
      <c r="A493" t="s">
        <v>28</v>
      </c>
      <c r="B493">
        <f ca="1">IF(OR(changes[[#This Row],[Type]]="Checklist",changes[[#This Row],[Type]]="checklist-flat"),1+IF(changes[[#This Row],[Type of change]] = "Edit",COUNTIFS($I$4:changes[[#This Row],[Name]],changes[[#This Row],[Name]], $E$4:changes[[#This Row],[Type of change]], "Edit")),B492)</f>
        <v>1</v>
      </c>
      <c r="C493" s="16">
        <v>44609</v>
      </c>
      <c r="D493" s="1" t="s">
        <v>2484</v>
      </c>
      <c r="E493" t="s">
        <v>2453</v>
      </c>
      <c r="F493" s="10" t="s">
        <v>52</v>
      </c>
      <c r="G493" s="10" t="s">
        <v>644</v>
      </c>
      <c r="H493" s="30" t="s">
        <v>55</v>
      </c>
      <c r="I493" s="30" t="s">
        <v>62</v>
      </c>
      <c r="K493" s="2"/>
      <c r="M493" s="2"/>
    </row>
    <row r="494" spans="1:13">
      <c r="A494" t="s">
        <v>28</v>
      </c>
      <c r="B494">
        <f ca="1">IF(OR(changes[[#This Row],[Type]]="Checklist",changes[[#This Row],[Type]]="checklist-flat"),1+IF(changes[[#This Row],[Type of change]] = "Edit",COUNTIFS($I$4:changes[[#This Row],[Name]],changes[[#This Row],[Name]], $E$4:changes[[#This Row],[Type of change]], "Edit")),B493)</f>
        <v>1</v>
      </c>
      <c r="C494" s="16">
        <v>44609</v>
      </c>
      <c r="D494" s="1" t="s">
        <v>2484</v>
      </c>
      <c r="E494" t="s">
        <v>2453</v>
      </c>
      <c r="F494" s="10" t="s">
        <v>52</v>
      </c>
      <c r="G494" s="10" t="s">
        <v>644</v>
      </c>
      <c r="H494" s="30" t="s">
        <v>55</v>
      </c>
      <c r="I494" s="30" t="s">
        <v>63</v>
      </c>
      <c r="K494" s="2"/>
      <c r="M494" s="2"/>
    </row>
    <row r="495" spans="1:13">
      <c r="A495" t="s">
        <v>28</v>
      </c>
      <c r="B495">
        <f ca="1">IF(OR(changes[[#This Row],[Type]]="Checklist",changes[[#This Row],[Type]]="checklist-flat"),1+IF(changes[[#This Row],[Type of change]] = "Edit",COUNTIFS($I$4:changes[[#This Row],[Name]],changes[[#This Row],[Name]], $E$4:changes[[#This Row],[Type of change]], "Edit")),B494)</f>
        <v>1</v>
      </c>
      <c r="C495" s="16">
        <v>44609</v>
      </c>
      <c r="D495" s="1" t="s">
        <v>2484</v>
      </c>
      <c r="E495" t="s">
        <v>2453</v>
      </c>
      <c r="F495" s="10" t="s">
        <v>52</v>
      </c>
      <c r="G495" s="10" t="s">
        <v>644</v>
      </c>
      <c r="H495" s="30" t="s">
        <v>994</v>
      </c>
      <c r="I495" s="30" t="s">
        <v>2506</v>
      </c>
      <c r="K495" s="2"/>
      <c r="M495" s="2"/>
    </row>
    <row r="496" spans="1:13">
      <c r="A496" t="s">
        <v>28</v>
      </c>
      <c r="B496">
        <f ca="1">IF(OR(changes[[#This Row],[Type]]="Checklist",changes[[#This Row],[Type]]="checklist-flat"),1+IF(changes[[#This Row],[Type of change]] = "Edit",COUNTIFS($I$4:changes[[#This Row],[Name]],changes[[#This Row],[Name]], $E$4:changes[[#This Row],[Type of change]], "Edit")),B495)</f>
        <v>1</v>
      </c>
      <c r="C496" s="16">
        <v>44609</v>
      </c>
      <c r="D496" s="1" t="s">
        <v>2484</v>
      </c>
      <c r="E496" t="s">
        <v>2453</v>
      </c>
      <c r="F496" s="10" t="s">
        <v>52</v>
      </c>
      <c r="G496" s="10" t="s">
        <v>644</v>
      </c>
      <c r="H496" s="30" t="s">
        <v>55</v>
      </c>
      <c r="I496" s="30" t="s">
        <v>2508</v>
      </c>
      <c r="K496" s="2"/>
      <c r="M496" s="2"/>
    </row>
    <row r="497" spans="1:13">
      <c r="A497" t="s">
        <v>28</v>
      </c>
      <c r="B497">
        <f ca="1">IF(OR(changes[[#This Row],[Type]]="Checklist",changes[[#This Row],[Type]]="checklist-flat"),1+IF(changes[[#This Row],[Type of change]] = "Edit",COUNTIFS($I$4:changes[[#This Row],[Name]],changes[[#This Row],[Name]], $E$4:changes[[#This Row],[Type of change]], "Edit")),B496)</f>
        <v>1</v>
      </c>
      <c r="C497" s="16">
        <v>44609</v>
      </c>
      <c r="D497" s="1" t="s">
        <v>2484</v>
      </c>
      <c r="E497" t="s">
        <v>2453</v>
      </c>
      <c r="F497" s="10" t="s">
        <v>52</v>
      </c>
      <c r="G497" s="10" t="s">
        <v>676</v>
      </c>
      <c r="H497" s="30" t="s">
        <v>478</v>
      </c>
      <c r="I497" s="30" t="s">
        <v>676</v>
      </c>
      <c r="J497" s="35"/>
      <c r="K497" s="2"/>
      <c r="M497" s="2"/>
    </row>
    <row r="498" spans="1:13">
      <c r="A498" t="s">
        <v>28</v>
      </c>
      <c r="B498">
        <f ca="1">IF(OR(changes[[#This Row],[Type]]="Checklist",changes[[#This Row],[Type]]="checklist-flat"),1+IF(changes[[#This Row],[Type of change]] = "Edit",COUNTIFS($I$4:changes[[#This Row],[Name]],changes[[#This Row],[Name]], $E$4:changes[[#This Row],[Type of change]], "Edit")),B497)</f>
        <v>1</v>
      </c>
      <c r="C498" s="16">
        <v>44609</v>
      </c>
      <c r="D498" s="1" t="s">
        <v>2484</v>
      </c>
      <c r="E498" t="s">
        <v>2453</v>
      </c>
      <c r="F498" s="10" t="s">
        <v>52</v>
      </c>
      <c r="G498" s="10" t="s">
        <v>676</v>
      </c>
      <c r="H498" s="30" t="s">
        <v>55</v>
      </c>
      <c r="I498" s="30" t="s">
        <v>62</v>
      </c>
      <c r="K498" s="2"/>
      <c r="M498" s="2"/>
    </row>
    <row r="499" spans="1:13">
      <c r="A499" t="s">
        <v>28</v>
      </c>
      <c r="B499">
        <f ca="1">IF(OR(changes[[#This Row],[Type]]="Checklist",changes[[#This Row],[Type]]="checklist-flat"),1+IF(changes[[#This Row],[Type of change]] = "Edit",COUNTIFS($I$4:changes[[#This Row],[Name]],changes[[#This Row],[Name]], $E$4:changes[[#This Row],[Type of change]], "Edit")),B498)</f>
        <v>1</v>
      </c>
      <c r="C499" s="16">
        <v>44609</v>
      </c>
      <c r="D499" s="1" t="s">
        <v>2484</v>
      </c>
      <c r="E499" t="s">
        <v>2453</v>
      </c>
      <c r="F499" s="10" t="s">
        <v>52</v>
      </c>
      <c r="G499" s="10" t="s">
        <v>676</v>
      </c>
      <c r="H499" s="30" t="s">
        <v>55</v>
      </c>
      <c r="I499" s="30" t="s">
        <v>63</v>
      </c>
      <c r="K499" s="2"/>
      <c r="M499" s="2"/>
    </row>
    <row r="500" spans="1:13">
      <c r="A500" t="s">
        <v>28</v>
      </c>
      <c r="B500">
        <f ca="1">IF(OR(changes[[#This Row],[Type]]="Checklist",changes[[#This Row],[Type]]="checklist-flat"),1+IF(changes[[#This Row],[Type of change]] = "Edit",COUNTIFS($I$4:changes[[#This Row],[Name]],changes[[#This Row],[Name]], $E$4:changes[[#This Row],[Type of change]], "Edit")),B499)</f>
        <v>1</v>
      </c>
      <c r="C500" s="16">
        <v>44609</v>
      </c>
      <c r="D500" s="1" t="s">
        <v>2484</v>
      </c>
      <c r="E500" t="s">
        <v>2453</v>
      </c>
      <c r="F500" s="10" t="s">
        <v>52</v>
      </c>
      <c r="G500" s="10" t="s">
        <v>676</v>
      </c>
      <c r="H500" s="30" t="s">
        <v>994</v>
      </c>
      <c r="I500" s="30" t="s">
        <v>2506</v>
      </c>
      <c r="K500" s="2"/>
      <c r="M500" s="2"/>
    </row>
    <row r="501" spans="1:13">
      <c r="A501" t="s">
        <v>28</v>
      </c>
      <c r="B501">
        <f ca="1">IF(OR(changes[[#This Row],[Type]]="Checklist",changes[[#This Row],[Type]]="checklist-flat"),1+IF(changes[[#This Row],[Type of change]] = "Edit",COUNTIFS($I$4:changes[[#This Row],[Name]],changes[[#This Row],[Name]], $E$4:changes[[#This Row],[Type of change]], "Edit")),B500)</f>
        <v>1</v>
      </c>
      <c r="C501" s="16">
        <v>44609</v>
      </c>
      <c r="D501" s="1" t="s">
        <v>2484</v>
      </c>
      <c r="E501" t="s">
        <v>2453</v>
      </c>
      <c r="F501" s="10" t="s">
        <v>52</v>
      </c>
      <c r="G501" s="10" t="s">
        <v>676</v>
      </c>
      <c r="H501" s="30" t="s">
        <v>55</v>
      </c>
      <c r="I501" s="30" t="s">
        <v>677</v>
      </c>
      <c r="K501" s="2"/>
      <c r="M501" s="2"/>
    </row>
    <row r="502" spans="1:13">
      <c r="A502" t="s">
        <v>28</v>
      </c>
      <c r="B502">
        <f ca="1">IF(OR(changes[[#This Row],[Type]]="Checklist",changes[[#This Row],[Type]]="checklist-flat"),1+IF(changes[[#This Row],[Type of change]] = "Edit",COUNTIFS($I$4:changes[[#This Row],[Name]],changes[[#This Row],[Name]], $E$4:changes[[#This Row],[Type of change]], "Edit")),B501)</f>
        <v>1</v>
      </c>
      <c r="C502" s="16">
        <v>44609</v>
      </c>
      <c r="D502" s="1" t="s">
        <v>2484</v>
      </c>
      <c r="E502" t="s">
        <v>2453</v>
      </c>
      <c r="F502" s="10" t="s">
        <v>52</v>
      </c>
      <c r="G502" s="10" t="s">
        <v>667</v>
      </c>
      <c r="H502" s="30" t="s">
        <v>478</v>
      </c>
      <c r="I502" s="30" t="s">
        <v>667</v>
      </c>
      <c r="J502" s="35"/>
      <c r="K502" s="2"/>
      <c r="M502" s="2"/>
    </row>
    <row r="503" spans="1:13">
      <c r="A503" t="s">
        <v>28</v>
      </c>
      <c r="B503">
        <f ca="1">IF(OR(changes[[#This Row],[Type]]="Checklist",changes[[#This Row],[Type]]="checklist-flat"),1+IF(changes[[#This Row],[Type of change]] = "Edit",COUNTIFS($I$4:changes[[#This Row],[Name]],changes[[#This Row],[Name]], $E$4:changes[[#This Row],[Type of change]], "Edit")),B502)</f>
        <v>1</v>
      </c>
      <c r="C503" s="16">
        <v>44609</v>
      </c>
      <c r="D503" s="1" t="s">
        <v>2484</v>
      </c>
      <c r="E503" t="s">
        <v>2453</v>
      </c>
      <c r="F503" s="10" t="s">
        <v>52</v>
      </c>
      <c r="G503" s="10" t="s">
        <v>667</v>
      </c>
      <c r="H503" s="30" t="s">
        <v>55</v>
      </c>
      <c r="I503" s="30" t="s">
        <v>62</v>
      </c>
      <c r="K503" s="2"/>
      <c r="M503" s="2"/>
    </row>
    <row r="504" spans="1:13">
      <c r="A504" t="s">
        <v>28</v>
      </c>
      <c r="B504">
        <f ca="1">IF(OR(changes[[#This Row],[Type]]="Checklist",changes[[#This Row],[Type]]="checklist-flat"),1+IF(changes[[#This Row],[Type of change]] = "Edit",COUNTIFS($I$4:changes[[#This Row],[Name]],changes[[#This Row],[Name]], $E$4:changes[[#This Row],[Type of change]], "Edit")),B503)</f>
        <v>1</v>
      </c>
      <c r="C504" s="16">
        <v>44609</v>
      </c>
      <c r="D504" s="1" t="s">
        <v>2484</v>
      </c>
      <c r="E504" t="s">
        <v>2453</v>
      </c>
      <c r="F504" s="10" t="s">
        <v>52</v>
      </c>
      <c r="G504" s="10" t="s">
        <v>667</v>
      </c>
      <c r="H504" s="30" t="s">
        <v>55</v>
      </c>
      <c r="I504" s="30" t="s">
        <v>63</v>
      </c>
      <c r="K504" s="2"/>
      <c r="M504" s="2"/>
    </row>
    <row r="505" spans="1:13">
      <c r="A505" t="s">
        <v>28</v>
      </c>
      <c r="B505">
        <f ca="1">IF(OR(changes[[#This Row],[Type]]="Checklist",changes[[#This Row],[Type]]="checklist-flat"),1+IF(changes[[#This Row],[Type of change]] = "Edit",COUNTIFS($I$4:changes[[#This Row],[Name]],changes[[#This Row],[Name]], $E$4:changes[[#This Row],[Type of change]], "Edit")),B504)</f>
        <v>1</v>
      </c>
      <c r="C505" s="16">
        <v>44609</v>
      </c>
      <c r="D505" s="1" t="s">
        <v>2484</v>
      </c>
      <c r="E505" t="s">
        <v>2453</v>
      </c>
      <c r="F505" s="10" t="s">
        <v>52</v>
      </c>
      <c r="G505" s="10" t="s">
        <v>667</v>
      </c>
      <c r="H505" s="30" t="s">
        <v>994</v>
      </c>
      <c r="I505" s="30" t="s">
        <v>2506</v>
      </c>
      <c r="K505" s="2"/>
      <c r="M505" s="2"/>
    </row>
    <row r="506" spans="1:13">
      <c r="A506" t="s">
        <v>28</v>
      </c>
      <c r="B506">
        <f ca="1">IF(OR(changes[[#This Row],[Type]]="Checklist",changes[[#This Row],[Type]]="checklist-flat"),1+IF(changes[[#This Row],[Type of change]] = "Edit",COUNTIFS($I$4:changes[[#This Row],[Name]],changes[[#This Row],[Name]], $E$4:changes[[#This Row],[Type of change]], "Edit")),B505)</f>
        <v>1</v>
      </c>
      <c r="C506" s="16">
        <v>44609</v>
      </c>
      <c r="D506" s="1" t="s">
        <v>2484</v>
      </c>
      <c r="E506" t="s">
        <v>2453</v>
      </c>
      <c r="F506" s="10" t="s">
        <v>52</v>
      </c>
      <c r="G506" s="10" t="s">
        <v>667</v>
      </c>
      <c r="H506" s="30" t="s">
        <v>55</v>
      </c>
      <c r="I506" s="30" t="s">
        <v>668</v>
      </c>
      <c r="K506" s="2"/>
      <c r="M506" s="2"/>
    </row>
    <row r="507" spans="1:13">
      <c r="A507" t="s">
        <v>28</v>
      </c>
      <c r="B507">
        <f ca="1">IF(OR(changes[[#This Row],[Type]]="Checklist",changes[[#This Row],[Type]]="checklist-flat"),1+IF(changes[[#This Row],[Type of change]] = "Edit",COUNTIFS($I$4:changes[[#This Row],[Name]],changes[[#This Row],[Name]], $E$4:changes[[#This Row],[Type of change]], "Edit")),B506)</f>
        <v>1</v>
      </c>
      <c r="C507" s="16">
        <v>44609</v>
      </c>
      <c r="D507" s="1" t="s">
        <v>2484</v>
      </c>
      <c r="E507" t="s">
        <v>2453</v>
      </c>
      <c r="F507" s="10" t="s">
        <v>52</v>
      </c>
      <c r="G507" s="10" t="s">
        <v>639</v>
      </c>
      <c r="H507" s="30" t="s">
        <v>478</v>
      </c>
      <c r="I507" s="30" t="s">
        <v>639</v>
      </c>
      <c r="J507" s="35"/>
      <c r="K507" s="2"/>
      <c r="M507" s="2"/>
    </row>
    <row r="508" spans="1:13">
      <c r="A508" t="s">
        <v>28</v>
      </c>
      <c r="B508">
        <f ca="1">IF(OR(changes[[#This Row],[Type]]="Checklist",changes[[#This Row],[Type]]="checklist-flat"),1+IF(changes[[#This Row],[Type of change]] = "Edit",COUNTIFS($I$4:changes[[#This Row],[Name]],changes[[#This Row],[Name]], $E$4:changes[[#This Row],[Type of change]], "Edit")),B507)</f>
        <v>1</v>
      </c>
      <c r="C508" s="16">
        <v>44609</v>
      </c>
      <c r="D508" s="1" t="s">
        <v>2484</v>
      </c>
      <c r="E508" t="s">
        <v>2453</v>
      </c>
      <c r="F508" s="10" t="s">
        <v>52</v>
      </c>
      <c r="G508" s="10" t="s">
        <v>639</v>
      </c>
      <c r="H508" t="s">
        <v>55</v>
      </c>
      <c r="I508" t="s">
        <v>640</v>
      </c>
      <c r="K508" s="2"/>
      <c r="M508" s="2"/>
    </row>
    <row r="509" spans="1:13">
      <c r="A509" t="s">
        <v>28</v>
      </c>
      <c r="B509">
        <f ca="1">IF(OR(changes[[#This Row],[Type]]="Checklist",changes[[#This Row],[Type]]="checklist-flat"),1+IF(changes[[#This Row],[Type of change]] = "Edit",COUNTIFS($I$4:changes[[#This Row],[Name]],changes[[#This Row],[Name]], $E$4:changes[[#This Row],[Type of change]], "Edit")),B508)</f>
        <v>1</v>
      </c>
      <c r="C509" s="16">
        <v>44609</v>
      </c>
      <c r="D509" s="1" t="s">
        <v>2484</v>
      </c>
      <c r="E509" t="s">
        <v>2453</v>
      </c>
      <c r="F509" s="10" t="s">
        <v>52</v>
      </c>
      <c r="G509" s="10" t="s">
        <v>639</v>
      </c>
      <c r="H509" t="s">
        <v>55</v>
      </c>
      <c r="I509" t="s">
        <v>641</v>
      </c>
      <c r="K509" s="2"/>
      <c r="M509" s="2"/>
    </row>
    <row r="510" spans="1:13">
      <c r="A510" t="s">
        <v>28</v>
      </c>
      <c r="B510">
        <f ca="1">IF(OR(changes[[#This Row],[Type]]="Checklist",changes[[#This Row],[Type]]="checklist-flat"),1+IF(changes[[#This Row],[Type of change]] = "Edit",COUNTIFS($I$4:changes[[#This Row],[Name]],changes[[#This Row],[Name]], $E$4:changes[[#This Row],[Type of change]], "Edit")),B509)</f>
        <v>1</v>
      </c>
      <c r="C510" s="16">
        <v>44609</v>
      </c>
      <c r="D510" s="1" t="s">
        <v>2484</v>
      </c>
      <c r="E510" t="s">
        <v>2453</v>
      </c>
      <c r="F510" s="10" t="s">
        <v>52</v>
      </c>
      <c r="G510" s="10" t="s">
        <v>639</v>
      </c>
      <c r="H510" t="s">
        <v>55</v>
      </c>
      <c r="I510" t="s">
        <v>642</v>
      </c>
      <c r="K510" s="2"/>
      <c r="M510" s="2"/>
    </row>
    <row r="511" spans="1:13">
      <c r="A511" t="s">
        <v>28</v>
      </c>
      <c r="B511">
        <f ca="1">IF(OR(changes[[#This Row],[Type]]="Checklist",changes[[#This Row],[Type]]="checklist-flat"),1+IF(changes[[#This Row],[Type of change]] = "Edit",COUNTIFS($I$4:changes[[#This Row],[Name]],changes[[#This Row],[Name]], $E$4:changes[[#This Row],[Type of change]], "Edit")),B510)</f>
        <v>1</v>
      </c>
      <c r="C511" s="16">
        <v>44609</v>
      </c>
      <c r="D511" s="1" t="s">
        <v>2484</v>
      </c>
      <c r="E511" t="s">
        <v>2453</v>
      </c>
      <c r="F511" s="10" t="s">
        <v>52</v>
      </c>
      <c r="G511" s="10" t="s">
        <v>639</v>
      </c>
      <c r="H511" t="s">
        <v>994</v>
      </c>
      <c r="I511" t="s">
        <v>65</v>
      </c>
      <c r="K511" s="2"/>
      <c r="M511" s="2"/>
    </row>
    <row r="512" spans="1:13">
      <c r="A512" t="s">
        <v>28</v>
      </c>
      <c r="B512">
        <f ca="1">IF(OR(changes[[#This Row],[Type]]="Checklist",changes[[#This Row],[Type]]="checklist-flat"),1+IF(changes[[#This Row],[Type of change]] = "Edit",COUNTIFS($I$4:changes[[#This Row],[Name]],changes[[#This Row],[Name]], $E$4:changes[[#This Row],[Type of change]], "Edit")),B511)</f>
        <v>1</v>
      </c>
      <c r="C512" s="16">
        <v>44609</v>
      </c>
      <c r="D512" s="1" t="s">
        <v>2484</v>
      </c>
      <c r="E512" t="s">
        <v>2453</v>
      </c>
      <c r="F512" s="10" t="s">
        <v>52</v>
      </c>
      <c r="G512" s="10" t="s">
        <v>639</v>
      </c>
      <c r="H512" t="s">
        <v>55</v>
      </c>
      <c r="I512" t="s">
        <v>643</v>
      </c>
      <c r="K512" s="2"/>
      <c r="M512" s="2"/>
    </row>
    <row r="513" spans="1:13">
      <c r="A513" t="s">
        <v>28</v>
      </c>
      <c r="B513">
        <f ca="1">IF(OR(changes[[#This Row],[Type]]="Checklist",changes[[#This Row],[Type]]="checklist-flat"),1+IF(changes[[#This Row],[Type of change]] = "Edit",COUNTIFS($I$4:changes[[#This Row],[Name]],changes[[#This Row],[Name]], $E$4:changes[[#This Row],[Type of change]], "Edit")),B512)</f>
        <v>1</v>
      </c>
      <c r="C513" s="16">
        <v>44609</v>
      </c>
      <c r="D513" s="1" t="s">
        <v>2484</v>
      </c>
      <c r="E513" t="s">
        <v>2453</v>
      </c>
      <c r="F513" s="10" t="s">
        <v>52</v>
      </c>
      <c r="G513" s="10" t="s">
        <v>680</v>
      </c>
      <c r="H513" s="30" t="s">
        <v>478</v>
      </c>
      <c r="I513" s="30" t="s">
        <v>680</v>
      </c>
      <c r="J513" s="35"/>
      <c r="K513" s="2"/>
      <c r="M513" s="2"/>
    </row>
    <row r="514" spans="1:13">
      <c r="A514" t="s">
        <v>28</v>
      </c>
      <c r="B514">
        <f ca="1">IF(OR(changes[[#This Row],[Type]]="Checklist",changes[[#This Row],[Type]]="checklist-flat"),1+IF(changes[[#This Row],[Type of change]] = "Edit",COUNTIFS($I$4:changes[[#This Row],[Name]],changes[[#This Row],[Name]], $E$4:changes[[#This Row],[Type of change]], "Edit")),B513)</f>
        <v>1</v>
      </c>
      <c r="C514" s="16">
        <v>44609</v>
      </c>
      <c r="D514" s="1" t="s">
        <v>2484</v>
      </c>
      <c r="E514" t="s">
        <v>2453</v>
      </c>
      <c r="F514" s="10" t="s">
        <v>52</v>
      </c>
      <c r="G514" s="10" t="s">
        <v>680</v>
      </c>
      <c r="H514" t="s">
        <v>269</v>
      </c>
      <c r="I514" t="s">
        <v>681</v>
      </c>
      <c r="K514" s="2"/>
      <c r="M514" s="2"/>
    </row>
    <row r="515" spans="1:13">
      <c r="A515" t="s">
        <v>28</v>
      </c>
      <c r="B515">
        <f ca="1">IF(OR(changes[[#This Row],[Type]]="Checklist",changes[[#This Row],[Type]]="checklist-flat"),1+IF(changes[[#This Row],[Type of change]] = "Edit",COUNTIFS($I$4:changes[[#This Row],[Name]],changes[[#This Row],[Name]], $E$4:changes[[#This Row],[Type of change]], "Edit")),B514)</f>
        <v>1</v>
      </c>
      <c r="C515" s="16">
        <v>44609</v>
      </c>
      <c r="D515" s="1" t="s">
        <v>2484</v>
      </c>
      <c r="E515" t="s">
        <v>2453</v>
      </c>
      <c r="F515" s="10" t="s">
        <v>52</v>
      </c>
      <c r="G515" s="10" t="s">
        <v>680</v>
      </c>
      <c r="H515" t="s">
        <v>269</v>
      </c>
      <c r="I515" t="s">
        <v>682</v>
      </c>
      <c r="K515" s="2"/>
      <c r="M515" s="2"/>
    </row>
    <row r="516" spans="1:13">
      <c r="A516" t="s">
        <v>28</v>
      </c>
      <c r="B516">
        <f ca="1">IF(OR(changes[[#This Row],[Type]]="Checklist",changes[[#This Row],[Type]]="checklist-flat"),1+IF(changes[[#This Row],[Type of change]] = "Edit",COUNTIFS($I$4:changes[[#This Row],[Name]],changes[[#This Row],[Name]], $E$4:changes[[#This Row],[Type of change]], "Edit")),B515)</f>
        <v>1</v>
      </c>
      <c r="C516" s="16">
        <v>44609</v>
      </c>
      <c r="D516" s="1" t="s">
        <v>2484</v>
      </c>
      <c r="E516" t="s">
        <v>2453</v>
      </c>
      <c r="F516" s="10" t="s">
        <v>52</v>
      </c>
      <c r="G516" s="10" t="s">
        <v>680</v>
      </c>
      <c r="H516" t="s">
        <v>269</v>
      </c>
      <c r="I516" t="s">
        <v>683</v>
      </c>
      <c r="K516" s="2"/>
      <c r="M516" s="2"/>
    </row>
    <row r="517" spans="1:13">
      <c r="A517" t="s">
        <v>28</v>
      </c>
      <c r="B517">
        <f ca="1">IF(OR(changes[[#This Row],[Type]]="Checklist",changes[[#This Row],[Type]]="checklist-flat"),1+IF(changes[[#This Row],[Type of change]] = "Edit",COUNTIFS($I$4:changes[[#This Row],[Name]],changes[[#This Row],[Name]], $E$4:changes[[#This Row],[Type of change]], "Edit")),B516)</f>
        <v>1</v>
      </c>
      <c r="C517" s="16">
        <v>44609</v>
      </c>
      <c r="D517" s="1" t="s">
        <v>2484</v>
      </c>
      <c r="E517" t="s">
        <v>2453</v>
      </c>
      <c r="F517" s="10" t="s">
        <v>52</v>
      </c>
      <c r="G517" s="10" t="s">
        <v>680</v>
      </c>
      <c r="H517" t="s">
        <v>994</v>
      </c>
      <c r="I517" t="s">
        <v>684</v>
      </c>
      <c r="K517" s="2"/>
      <c r="M517" s="2"/>
    </row>
    <row r="518" spans="1:13">
      <c r="A518" t="s">
        <v>28</v>
      </c>
      <c r="B518">
        <f ca="1">IF(OR(changes[[#This Row],[Type]]="Checklist",changes[[#This Row],[Type]]="checklist-flat"),1+IF(changes[[#This Row],[Type of change]] = "Edit",COUNTIFS($I$4:changes[[#This Row],[Name]],changes[[#This Row],[Name]], $E$4:changes[[#This Row],[Type of change]], "Edit")),B517)</f>
        <v>1</v>
      </c>
      <c r="C518" s="16">
        <v>44609</v>
      </c>
      <c r="D518" s="1" t="s">
        <v>2484</v>
      </c>
      <c r="E518" t="s">
        <v>2453</v>
      </c>
      <c r="F518" s="10" t="s">
        <v>52</v>
      </c>
      <c r="G518" s="10" t="s">
        <v>680</v>
      </c>
      <c r="H518" t="s">
        <v>55</v>
      </c>
      <c r="I518" t="s">
        <v>685</v>
      </c>
      <c r="K518" s="2"/>
      <c r="M518" s="2"/>
    </row>
    <row r="519" spans="1:13">
      <c r="A519" t="s">
        <v>28</v>
      </c>
      <c r="B519">
        <f ca="1">IF(OR(changes[[#This Row],[Type]]="Checklist",changes[[#This Row],[Type]]="checklist-flat"),1+IF(changes[[#This Row],[Type of change]] = "Edit",COUNTIFS($I$4:changes[[#This Row],[Name]],changes[[#This Row],[Name]], $E$4:changes[[#This Row],[Type of change]], "Edit")),B518)</f>
        <v>1</v>
      </c>
      <c r="C519" s="16">
        <v>44609</v>
      </c>
      <c r="D519" s="1" t="s">
        <v>2509</v>
      </c>
      <c r="E519" t="s">
        <v>2453</v>
      </c>
      <c r="F519" s="10" t="s">
        <v>9</v>
      </c>
      <c r="G519" t="s">
        <v>780</v>
      </c>
      <c r="H519" t="s">
        <v>478</v>
      </c>
      <c r="I519" t="s">
        <v>780</v>
      </c>
      <c r="K519" s="2"/>
      <c r="M519" s="2" t="s">
        <v>2510</v>
      </c>
    </row>
    <row r="520" spans="1:13">
      <c r="A520" t="s">
        <v>28</v>
      </c>
      <c r="B520">
        <f ca="1">IF(OR(changes[[#This Row],[Type]]="Checklist",changes[[#This Row],[Type]]="checklist-flat"),1+IF(changes[[#This Row],[Type of change]] = "Edit",COUNTIFS($I$4:changes[[#This Row],[Name]],changes[[#This Row],[Name]], $E$4:changes[[#This Row],[Type of change]], "Edit")),B519)</f>
        <v>1</v>
      </c>
      <c r="C520" s="16">
        <v>44609</v>
      </c>
      <c r="D520" s="1" t="s">
        <v>2509</v>
      </c>
      <c r="E520" t="s">
        <v>2453</v>
      </c>
      <c r="F520" s="10" t="s">
        <v>9</v>
      </c>
      <c r="G520" t="s">
        <v>780</v>
      </c>
      <c r="H520" t="s">
        <v>55</v>
      </c>
      <c r="I520" t="s">
        <v>757</v>
      </c>
      <c r="K520" s="2"/>
      <c r="M520" s="2"/>
    </row>
    <row r="521" spans="1:13">
      <c r="A521" t="s">
        <v>28</v>
      </c>
      <c r="B521">
        <f ca="1">IF(OR(changes[[#This Row],[Type]]="Checklist",changes[[#This Row],[Type]]="checklist-flat"),1+IF(changes[[#This Row],[Type of change]] = "Edit",COUNTIFS($I$4:changes[[#This Row],[Name]],changes[[#This Row],[Name]], $E$4:changes[[#This Row],[Type of change]], "Edit")),B520)</f>
        <v>1</v>
      </c>
      <c r="C521" s="16">
        <v>44609</v>
      </c>
      <c r="D521" s="1" t="s">
        <v>2509</v>
      </c>
      <c r="E521" t="s">
        <v>2453</v>
      </c>
      <c r="F521" s="10" t="s">
        <v>9</v>
      </c>
      <c r="G521" t="s">
        <v>780</v>
      </c>
      <c r="H521" t="s">
        <v>55</v>
      </c>
      <c r="I521" t="s">
        <v>2511</v>
      </c>
      <c r="K521" s="2"/>
      <c r="M521" s="2"/>
    </row>
    <row r="522" spans="1:13">
      <c r="A522" t="s">
        <v>28</v>
      </c>
      <c r="B522">
        <f ca="1">IF(OR(changes[[#This Row],[Type]]="Checklist",changes[[#This Row],[Type]]="checklist-flat"),1+IF(changes[[#This Row],[Type of change]] = "Edit",COUNTIFS($I$4:changes[[#This Row],[Name]],changes[[#This Row],[Name]], $E$4:changes[[#This Row],[Type of change]], "Edit")),B521)</f>
        <v>1</v>
      </c>
      <c r="C522" s="16">
        <v>44609</v>
      </c>
      <c r="D522" s="1" t="s">
        <v>2509</v>
      </c>
      <c r="E522" t="s">
        <v>2453</v>
      </c>
      <c r="F522" s="10" t="s">
        <v>9</v>
      </c>
      <c r="G522" t="s">
        <v>780</v>
      </c>
      <c r="H522" t="s">
        <v>55</v>
      </c>
      <c r="I522" t="s">
        <v>759</v>
      </c>
      <c r="K522" s="2"/>
      <c r="M522" s="2"/>
    </row>
    <row r="523" spans="1:13">
      <c r="A523" t="s">
        <v>28</v>
      </c>
      <c r="B523">
        <f ca="1">IF(OR(changes[[#This Row],[Type]]="Checklist",changes[[#This Row],[Type]]="checklist-flat"),1+IF(changes[[#This Row],[Type of change]] = "Edit",COUNTIFS($I$4:changes[[#This Row],[Name]],changes[[#This Row],[Name]], $E$4:changes[[#This Row],[Type of change]], "Edit")),B522)</f>
        <v>1</v>
      </c>
      <c r="C523" s="16">
        <v>44609</v>
      </c>
      <c r="D523" s="1" t="s">
        <v>2509</v>
      </c>
      <c r="E523" t="s">
        <v>2453</v>
      </c>
      <c r="F523" s="10" t="s">
        <v>9</v>
      </c>
      <c r="G523" t="s">
        <v>780</v>
      </c>
      <c r="H523" t="s">
        <v>55</v>
      </c>
      <c r="I523" t="s">
        <v>760</v>
      </c>
      <c r="K523" s="2"/>
      <c r="M523" s="2"/>
    </row>
    <row r="524" spans="1:13">
      <c r="A524" t="s">
        <v>28</v>
      </c>
      <c r="B524">
        <f ca="1">IF(OR(changes[[#This Row],[Type]]="Checklist",changes[[#This Row],[Type]]="checklist-flat"),1+IF(changes[[#This Row],[Type of change]] = "Edit",COUNTIFS($I$4:changes[[#This Row],[Name]],changes[[#This Row],[Name]], $E$4:changes[[#This Row],[Type of change]], "Edit")),B523)</f>
        <v>1</v>
      </c>
      <c r="C524" s="16">
        <v>44609</v>
      </c>
      <c r="D524" s="1" t="s">
        <v>2509</v>
      </c>
      <c r="E524" t="s">
        <v>2453</v>
      </c>
      <c r="F524" s="10" t="s">
        <v>9</v>
      </c>
      <c r="G524" t="s">
        <v>780</v>
      </c>
      <c r="H524" t="s">
        <v>55</v>
      </c>
      <c r="I524" t="s">
        <v>761</v>
      </c>
      <c r="K524" s="2"/>
      <c r="M524" s="2"/>
    </row>
    <row r="525" spans="1:13">
      <c r="A525" t="s">
        <v>28</v>
      </c>
      <c r="B525">
        <f ca="1">IF(OR(changes[[#This Row],[Type]]="Checklist",changes[[#This Row],[Type]]="checklist-flat"),1+IF(changes[[#This Row],[Type of change]] = "Edit",COUNTIFS($I$4:changes[[#This Row],[Name]],changes[[#This Row],[Name]], $E$4:changes[[#This Row],[Type of change]], "Edit")),B524)</f>
        <v>1</v>
      </c>
      <c r="C525" s="16">
        <v>44609</v>
      </c>
      <c r="D525" s="1" t="s">
        <v>2509</v>
      </c>
      <c r="E525" t="s">
        <v>2453</v>
      </c>
      <c r="F525" s="10" t="s">
        <v>9</v>
      </c>
      <c r="G525" t="s">
        <v>780</v>
      </c>
      <c r="H525" t="s">
        <v>55</v>
      </c>
      <c r="I525" t="s">
        <v>2512</v>
      </c>
      <c r="K525" s="2"/>
      <c r="M525" s="2"/>
    </row>
    <row r="526" spans="1:13">
      <c r="A526" t="s">
        <v>28</v>
      </c>
      <c r="B526">
        <f ca="1">IF(OR(changes[[#This Row],[Type]]="Checklist",changes[[#This Row],[Type]]="checklist-flat"),1+IF(changes[[#This Row],[Type of change]] = "Edit",COUNTIFS($I$4:changes[[#This Row],[Name]],changes[[#This Row],[Name]], $E$4:changes[[#This Row],[Type of change]], "Edit")),B525)</f>
        <v>1</v>
      </c>
      <c r="C526" s="16">
        <v>44609</v>
      </c>
      <c r="D526" s="1" t="s">
        <v>2509</v>
      </c>
      <c r="E526" t="s">
        <v>2453</v>
      </c>
      <c r="F526" s="10" t="s">
        <v>9</v>
      </c>
      <c r="G526" t="s">
        <v>780</v>
      </c>
      <c r="H526" t="s">
        <v>55</v>
      </c>
      <c r="I526" t="s">
        <v>763</v>
      </c>
      <c r="K526" s="2"/>
      <c r="M526" s="2"/>
    </row>
    <row r="527" spans="1:13">
      <c r="A527" t="s">
        <v>11</v>
      </c>
      <c r="B527">
        <f ca="1">IF(OR(changes[[#This Row],[Type]]="Checklist",changes[[#This Row],[Type]]="checklist-flat"),1+IF(changes[[#This Row],[Type of change]] = "Edit",COUNTIFS($I$4:changes[[#This Row],[Name]],changes[[#This Row],[Name]], $E$4:changes[[#This Row],[Type of change]], "Edit")),B526)</f>
        <v>1</v>
      </c>
      <c r="C527" s="16">
        <v>44609</v>
      </c>
      <c r="D527" s="1" t="s">
        <v>2509</v>
      </c>
      <c r="E527" t="s">
        <v>2453</v>
      </c>
      <c r="F527" s="10" t="s">
        <v>9</v>
      </c>
      <c r="G527" t="s">
        <v>780</v>
      </c>
      <c r="H527" t="s">
        <v>479</v>
      </c>
      <c r="I527" t="s">
        <v>2513</v>
      </c>
      <c r="K527" s="2"/>
      <c r="M527" s="2" t="s">
        <v>2514</v>
      </c>
    </row>
    <row r="528" spans="1:13">
      <c r="A528" t="s">
        <v>11</v>
      </c>
      <c r="B528">
        <f ca="1">IF(OR(changes[[#This Row],[Type]]="Checklist",changes[[#This Row],[Type]]="checklist-flat"),1+IF(changes[[#This Row],[Type of change]] = "Edit",COUNTIFS($I$4:changes[[#This Row],[Name]],changes[[#This Row],[Name]], $E$4:changes[[#This Row],[Type of change]], "Edit")),B527)</f>
        <v>1</v>
      </c>
      <c r="C528" s="16">
        <v>44609</v>
      </c>
      <c r="D528" s="1" t="s">
        <v>2509</v>
      </c>
      <c r="E528" t="s">
        <v>2453</v>
      </c>
      <c r="F528" s="10" t="s">
        <v>9</v>
      </c>
      <c r="G528" t="s">
        <v>780</v>
      </c>
      <c r="H528" t="s">
        <v>55</v>
      </c>
      <c r="I528" t="s">
        <v>2515</v>
      </c>
      <c r="K528" s="2"/>
      <c r="M528" s="2"/>
    </row>
    <row r="529" spans="1:13">
      <c r="A529" t="s">
        <v>11</v>
      </c>
      <c r="B529">
        <f ca="1">IF(OR(changes[[#This Row],[Type]]="Checklist",changes[[#This Row],[Type]]="checklist-flat"),1+IF(changes[[#This Row],[Type of change]] = "Edit",COUNTIFS($I$4:changes[[#This Row],[Name]],changes[[#This Row],[Name]], $E$4:changes[[#This Row],[Type of change]], "Edit")),B528)</f>
        <v>1</v>
      </c>
      <c r="C529" s="16">
        <v>44609</v>
      </c>
      <c r="D529" s="1" t="s">
        <v>2509</v>
      </c>
      <c r="E529" t="s">
        <v>2453</v>
      </c>
      <c r="F529" s="10" t="s">
        <v>9</v>
      </c>
      <c r="G529" t="s">
        <v>780</v>
      </c>
      <c r="H529" t="s">
        <v>55</v>
      </c>
      <c r="I529" t="s">
        <v>813</v>
      </c>
      <c r="K529" s="2"/>
      <c r="M529" s="2"/>
    </row>
    <row r="530" spans="1:13">
      <c r="A530" t="s">
        <v>11</v>
      </c>
      <c r="B530">
        <f ca="1">IF(OR(changes[[#This Row],[Type]]="Checklist",changes[[#This Row],[Type]]="checklist-flat"),1+IF(changes[[#This Row],[Type of change]] = "Edit",COUNTIFS($I$4:changes[[#This Row],[Name]],changes[[#This Row],[Name]], $E$4:changes[[#This Row],[Type of change]], "Edit")),B529)</f>
        <v>1</v>
      </c>
      <c r="C530" s="16">
        <v>44609</v>
      </c>
      <c r="D530" s="1" t="s">
        <v>2509</v>
      </c>
      <c r="E530" t="s">
        <v>2453</v>
      </c>
      <c r="F530" s="10" t="s">
        <v>9</v>
      </c>
      <c r="G530" t="s">
        <v>780</v>
      </c>
      <c r="H530" t="s">
        <v>55</v>
      </c>
      <c r="I530" t="s">
        <v>2516</v>
      </c>
      <c r="K530" s="2"/>
      <c r="M530" s="2"/>
    </row>
    <row r="531" spans="1:13">
      <c r="A531" t="s">
        <v>11</v>
      </c>
      <c r="B531">
        <f ca="1">IF(OR(changes[[#This Row],[Type]]="Checklist",changes[[#This Row],[Type]]="checklist-flat"),1+IF(changes[[#This Row],[Type of change]] = "Edit",COUNTIFS($I$4:changes[[#This Row],[Name]],changes[[#This Row],[Name]], $E$4:changes[[#This Row],[Type of change]], "Edit")),B530)</f>
        <v>1</v>
      </c>
      <c r="C531" s="16">
        <v>44609</v>
      </c>
      <c r="D531" s="1" t="s">
        <v>2509</v>
      </c>
      <c r="E531" t="s">
        <v>2453</v>
      </c>
      <c r="F531" s="10" t="s">
        <v>9</v>
      </c>
      <c r="G531" t="s">
        <v>780</v>
      </c>
      <c r="H531" t="s">
        <v>55</v>
      </c>
      <c r="I531" t="s">
        <v>641</v>
      </c>
      <c r="K531" s="2"/>
      <c r="M531" s="2"/>
    </row>
    <row r="532" spans="1:13">
      <c r="A532" t="s">
        <v>11</v>
      </c>
      <c r="B532">
        <f ca="1">IF(OR(changes[[#This Row],[Type]]="Checklist",changes[[#This Row],[Type]]="checklist-flat"),1+IF(changes[[#This Row],[Type of change]] = "Edit",COUNTIFS($I$4:changes[[#This Row],[Name]],changes[[#This Row],[Name]], $E$4:changes[[#This Row],[Type of change]], "Edit")),B531)</f>
        <v>1</v>
      </c>
      <c r="C532" s="16">
        <v>44609</v>
      </c>
      <c r="D532" s="1" t="s">
        <v>2509</v>
      </c>
      <c r="E532" t="s">
        <v>2453</v>
      </c>
      <c r="F532" s="10" t="s">
        <v>9</v>
      </c>
      <c r="G532" t="s">
        <v>780</v>
      </c>
      <c r="H532" t="s">
        <v>55</v>
      </c>
      <c r="I532" t="s">
        <v>642</v>
      </c>
      <c r="K532" s="2"/>
      <c r="M532" s="2"/>
    </row>
    <row r="533" spans="1:13">
      <c r="A533" t="s">
        <v>11</v>
      </c>
      <c r="B533">
        <f ca="1">IF(OR(changes[[#This Row],[Type]]="Checklist",changes[[#This Row],[Type]]="checklist-flat"),1+IF(changes[[#This Row],[Type of change]] = "Edit",COUNTIFS($I$4:changes[[#This Row],[Name]],changes[[#This Row],[Name]], $E$4:changes[[#This Row],[Type of change]], "Edit")),B532)</f>
        <v>1</v>
      </c>
      <c r="C533" s="16">
        <v>44609</v>
      </c>
      <c r="D533" s="1" t="s">
        <v>2509</v>
      </c>
      <c r="E533" t="s">
        <v>2453</v>
      </c>
      <c r="F533" s="10" t="s">
        <v>9</v>
      </c>
      <c r="G533" t="s">
        <v>780</v>
      </c>
      <c r="H533" t="s">
        <v>55</v>
      </c>
      <c r="I533" t="s">
        <v>2517</v>
      </c>
      <c r="K533" s="2"/>
      <c r="M533" s="2"/>
    </row>
    <row r="534" spans="1:13">
      <c r="A534" t="s">
        <v>11</v>
      </c>
      <c r="B534">
        <f ca="1">IF(OR(changes[[#This Row],[Type]]="Checklist",changes[[#This Row],[Type]]="checklist-flat"),1+IF(changes[[#This Row],[Type of change]] = "Edit",COUNTIFS($I$4:changes[[#This Row],[Name]],changes[[#This Row],[Name]], $E$4:changes[[#This Row],[Type of change]], "Edit")),B533)</f>
        <v>1</v>
      </c>
      <c r="C534" s="16">
        <v>44609</v>
      </c>
      <c r="D534" s="1" t="s">
        <v>2509</v>
      </c>
      <c r="E534" t="s">
        <v>2453</v>
      </c>
      <c r="F534" s="10" t="s">
        <v>9</v>
      </c>
      <c r="G534" t="s">
        <v>780</v>
      </c>
      <c r="H534" t="s">
        <v>55</v>
      </c>
      <c r="I534" t="s">
        <v>2518</v>
      </c>
      <c r="K534" s="2"/>
      <c r="M534" s="2"/>
    </row>
    <row r="535" spans="1:13">
      <c r="A535" t="s">
        <v>11</v>
      </c>
      <c r="B535">
        <f ca="1">IF(OR(changes[[#This Row],[Type]]="Checklist",changes[[#This Row],[Type]]="checklist-flat"),1+IF(changes[[#This Row],[Type of change]] = "Edit",COUNTIFS($I$4:changes[[#This Row],[Name]],changes[[#This Row],[Name]], $E$4:changes[[#This Row],[Type of change]], "Edit")),B534)</f>
        <v>1</v>
      </c>
      <c r="C535" s="16">
        <v>44609</v>
      </c>
      <c r="D535" s="1" t="s">
        <v>2509</v>
      </c>
      <c r="E535" t="s">
        <v>2453</v>
      </c>
      <c r="F535" s="10" t="s">
        <v>9</v>
      </c>
      <c r="G535" t="s">
        <v>780</v>
      </c>
      <c r="H535" t="s">
        <v>55</v>
      </c>
      <c r="I535" t="s">
        <v>820</v>
      </c>
      <c r="K535" s="2"/>
      <c r="M535" s="2"/>
    </row>
    <row r="536" spans="1:13">
      <c r="A536" t="s">
        <v>28</v>
      </c>
      <c r="B536">
        <f ca="1">IF(OR(changes[[#This Row],[Type]]="Checklist",changes[[#This Row],[Type]]="checklist-flat"),1+IF(changes[[#This Row],[Type of change]] = "Edit",COUNTIFS($I$4:changes[[#This Row],[Name]],changes[[#This Row],[Name]], $E$4:changes[[#This Row],[Type of change]], "Edit")),B535)</f>
        <v>1</v>
      </c>
      <c r="C536" s="16">
        <v>44609</v>
      </c>
      <c r="D536" s="1" t="s">
        <v>2509</v>
      </c>
      <c r="E536" t="s">
        <v>2453</v>
      </c>
      <c r="F536" s="10" t="s">
        <v>9</v>
      </c>
      <c r="G536" t="s">
        <v>803</v>
      </c>
      <c r="H536" t="s">
        <v>478</v>
      </c>
      <c r="I536" t="s">
        <v>803</v>
      </c>
      <c r="K536" s="2"/>
      <c r="M536" s="2" t="s">
        <v>2519</v>
      </c>
    </row>
    <row r="537" spans="1:13">
      <c r="A537" t="s">
        <v>28</v>
      </c>
      <c r="B537">
        <f ca="1">IF(OR(changes[[#This Row],[Type]]="Checklist",changes[[#This Row],[Type]]="checklist-flat"),1+IF(changes[[#This Row],[Type of change]] = "Edit",COUNTIFS($I$4:changes[[#This Row],[Name]],changes[[#This Row],[Name]], $E$4:changes[[#This Row],[Type of change]], "Edit")),B536)</f>
        <v>1</v>
      </c>
      <c r="C537" s="16">
        <v>44609</v>
      </c>
      <c r="D537" s="1" t="s">
        <v>2509</v>
      </c>
      <c r="E537" t="s">
        <v>2453</v>
      </c>
      <c r="F537" s="10" t="s">
        <v>9</v>
      </c>
      <c r="G537" t="s">
        <v>803</v>
      </c>
      <c r="H537" t="s">
        <v>55</v>
      </c>
      <c r="I537" t="s">
        <v>804</v>
      </c>
      <c r="K537" s="2"/>
      <c r="M537" s="2"/>
    </row>
    <row r="538" spans="1:13">
      <c r="A538" t="s">
        <v>28</v>
      </c>
      <c r="B538">
        <f ca="1">IF(OR(changes[[#This Row],[Type]]="Checklist",changes[[#This Row],[Type]]="checklist-flat"),1+IF(changes[[#This Row],[Type of change]] = "Edit",COUNTIFS($I$4:changes[[#This Row],[Name]],changes[[#This Row],[Name]], $E$4:changes[[#This Row],[Type of change]], "Edit")),B537)</f>
        <v>1</v>
      </c>
      <c r="C538" s="16">
        <v>44609</v>
      </c>
      <c r="D538" s="1" t="s">
        <v>2509</v>
      </c>
      <c r="E538" t="s">
        <v>2453</v>
      </c>
      <c r="F538" s="10" t="s">
        <v>9</v>
      </c>
      <c r="G538" t="s">
        <v>803</v>
      </c>
      <c r="H538" t="s">
        <v>55</v>
      </c>
      <c r="I538" t="s">
        <v>805</v>
      </c>
      <c r="K538" s="2"/>
      <c r="M538" s="2"/>
    </row>
    <row r="539" spans="1:13">
      <c r="A539" t="s">
        <v>28</v>
      </c>
      <c r="B539">
        <f ca="1">IF(OR(changes[[#This Row],[Type]]="Checklist",changes[[#This Row],[Type]]="checklist-flat"),1+IF(changes[[#This Row],[Type of change]] = "Edit",COUNTIFS($I$4:changes[[#This Row],[Name]],changes[[#This Row],[Name]], $E$4:changes[[#This Row],[Type of change]], "Edit")),B538)</f>
        <v>1</v>
      </c>
      <c r="C539" s="16">
        <v>44609</v>
      </c>
      <c r="D539" s="1" t="s">
        <v>2509</v>
      </c>
      <c r="E539" t="s">
        <v>2453</v>
      </c>
      <c r="F539" s="10" t="s">
        <v>9</v>
      </c>
      <c r="G539" t="s">
        <v>803</v>
      </c>
      <c r="H539" t="s">
        <v>55</v>
      </c>
      <c r="I539" t="s">
        <v>806</v>
      </c>
      <c r="K539" s="2"/>
      <c r="M539" s="2"/>
    </row>
    <row r="540" spans="1:13">
      <c r="A540" t="s">
        <v>28</v>
      </c>
      <c r="B540">
        <f ca="1">IF(OR(changes[[#This Row],[Type]]="Checklist",changes[[#This Row],[Type]]="checklist-flat"),1+IF(changes[[#This Row],[Type of change]] = "Edit",COUNTIFS($I$4:changes[[#This Row],[Name]],changes[[#This Row],[Name]], $E$4:changes[[#This Row],[Type of change]], "Edit")),B539)</f>
        <v>1</v>
      </c>
      <c r="C540" s="16">
        <v>44609</v>
      </c>
      <c r="D540" s="1" t="s">
        <v>2509</v>
      </c>
      <c r="E540" t="s">
        <v>2453</v>
      </c>
      <c r="F540" s="10" t="s">
        <v>9</v>
      </c>
      <c r="G540" t="s">
        <v>803</v>
      </c>
      <c r="H540" t="s">
        <v>55</v>
      </c>
      <c r="I540" t="s">
        <v>2296</v>
      </c>
      <c r="K540" s="2"/>
      <c r="M540" s="2"/>
    </row>
    <row r="541" spans="1:13">
      <c r="A541" t="s">
        <v>28</v>
      </c>
      <c r="B541">
        <f ca="1">IF(OR(changes[[#This Row],[Type]]="Checklist",changes[[#This Row],[Type]]="checklist-flat"),1+IF(changes[[#This Row],[Type of change]] = "Edit",COUNTIFS($I$4:changes[[#This Row],[Name]],changes[[#This Row],[Name]], $E$4:changes[[#This Row],[Type of change]], "Edit")),B540)</f>
        <v>1</v>
      </c>
      <c r="C541" s="16">
        <v>44609</v>
      </c>
      <c r="D541" s="1" t="s">
        <v>2509</v>
      </c>
      <c r="E541" t="s">
        <v>2453</v>
      </c>
      <c r="F541" s="10" t="s">
        <v>9</v>
      </c>
      <c r="G541" t="s">
        <v>803</v>
      </c>
      <c r="H541" t="s">
        <v>55</v>
      </c>
      <c r="I541" t="s">
        <v>808</v>
      </c>
      <c r="K541" s="2"/>
      <c r="M541" s="2"/>
    </row>
    <row r="542" spans="1:13">
      <c r="A542" t="s">
        <v>28</v>
      </c>
      <c r="B542">
        <f ca="1">IF(OR(changes[[#This Row],[Type]]="Checklist",changes[[#This Row],[Type]]="checklist-flat"),1+IF(changes[[#This Row],[Type of change]] = "Edit",COUNTIFS($I$4:changes[[#This Row],[Name]],changes[[#This Row],[Name]], $E$4:changes[[#This Row],[Type of change]], "Edit")),B541)</f>
        <v>1</v>
      </c>
      <c r="C542" s="16">
        <v>44609</v>
      </c>
      <c r="D542" s="1" t="s">
        <v>2509</v>
      </c>
      <c r="E542" t="s">
        <v>2453</v>
      </c>
      <c r="F542" s="10" t="s">
        <v>9</v>
      </c>
      <c r="G542" t="s">
        <v>803</v>
      </c>
      <c r="H542" t="s">
        <v>55</v>
      </c>
      <c r="I542" t="s">
        <v>809</v>
      </c>
      <c r="K542" s="2"/>
      <c r="M542" s="2"/>
    </row>
    <row r="543" spans="1:13">
      <c r="A543" t="s">
        <v>28</v>
      </c>
      <c r="B543">
        <f ca="1">IF(OR(changes[[#This Row],[Type]]="Checklist",changes[[#This Row],[Type]]="checklist-flat"),1+IF(changes[[#This Row],[Type of change]] = "Edit",COUNTIFS($I$4:changes[[#This Row],[Name]],changes[[#This Row],[Name]], $E$4:changes[[#This Row],[Type of change]], "Edit")),B542)</f>
        <v>1</v>
      </c>
      <c r="C543" s="16">
        <v>44609</v>
      </c>
      <c r="D543" s="1" t="s">
        <v>2509</v>
      </c>
      <c r="E543" t="s">
        <v>2453</v>
      </c>
      <c r="F543" s="10" t="s">
        <v>9</v>
      </c>
      <c r="G543" t="s">
        <v>803</v>
      </c>
      <c r="H543" t="s">
        <v>55</v>
      </c>
      <c r="I543" t="s">
        <v>810</v>
      </c>
      <c r="K543" s="2"/>
      <c r="M543" s="2"/>
    </row>
    <row r="544" spans="1:13">
      <c r="A544" t="s">
        <v>28</v>
      </c>
      <c r="B544">
        <f ca="1">IF(OR(changes[[#This Row],[Type]]="Checklist",changes[[#This Row],[Type]]="checklist-flat"),1+IF(changes[[#This Row],[Type of change]] = "Edit",COUNTIFS($I$4:changes[[#This Row],[Name]],changes[[#This Row],[Name]], $E$4:changes[[#This Row],[Type of change]], "Edit")),B543)</f>
        <v>1</v>
      </c>
      <c r="C544" s="16">
        <v>44609</v>
      </c>
      <c r="D544" s="10" t="s">
        <v>2509</v>
      </c>
      <c r="E544" s="10" t="s">
        <v>2453</v>
      </c>
      <c r="F544" s="10" t="s">
        <v>9</v>
      </c>
      <c r="G544" s="10" t="s">
        <v>2520</v>
      </c>
      <c r="H544" s="10" t="s">
        <v>478</v>
      </c>
      <c r="I544" s="10" t="s">
        <v>2520</v>
      </c>
      <c r="J544" s="10"/>
      <c r="K544" s="2"/>
      <c r="M544" t="s">
        <v>2521</v>
      </c>
    </row>
    <row r="545" spans="1:13">
      <c r="A545" t="s">
        <v>28</v>
      </c>
      <c r="B545">
        <f ca="1">IF(OR(changes[[#This Row],[Type]]="Checklist",changes[[#This Row],[Type]]="checklist-flat"),1+IF(changes[[#This Row],[Type of change]] = "Edit",COUNTIFS($I$4:changes[[#This Row],[Name]],changes[[#This Row],[Name]], $E$4:changes[[#This Row],[Type of change]], "Edit")),B544)</f>
        <v>1</v>
      </c>
      <c r="C545" s="16">
        <v>44609</v>
      </c>
      <c r="D545" s="10" t="s">
        <v>2509</v>
      </c>
      <c r="E545" s="10" t="s">
        <v>2453</v>
      </c>
      <c r="F545" s="10" t="s">
        <v>9</v>
      </c>
      <c r="G545" s="10" t="s">
        <v>2520</v>
      </c>
      <c r="H545" s="10" t="s">
        <v>55</v>
      </c>
      <c r="I545" s="10" t="s">
        <v>883</v>
      </c>
      <c r="J545" s="10"/>
      <c r="K545" s="2"/>
      <c r="M545" s="2"/>
    </row>
    <row r="546" spans="1:13">
      <c r="A546" t="s">
        <v>28</v>
      </c>
      <c r="B546">
        <f ca="1">IF(OR(changes[[#This Row],[Type]]="Checklist",changes[[#This Row],[Type]]="checklist-flat"),1+IF(changes[[#This Row],[Type of change]] = "Edit",COUNTIFS($I$4:changes[[#This Row],[Name]],changes[[#This Row],[Name]], $E$4:changes[[#This Row],[Type of change]], "Edit")),B545)</f>
        <v>1</v>
      </c>
      <c r="C546" s="16">
        <v>44609</v>
      </c>
      <c r="D546" s="10" t="s">
        <v>2509</v>
      </c>
      <c r="E546" s="10" t="s">
        <v>2453</v>
      </c>
      <c r="F546" s="10" t="s">
        <v>9</v>
      </c>
      <c r="G546" s="10" t="s">
        <v>2520</v>
      </c>
      <c r="H546" s="10" t="s">
        <v>55</v>
      </c>
      <c r="I546" s="10" t="s">
        <v>884</v>
      </c>
      <c r="J546" s="10"/>
      <c r="K546" s="2"/>
      <c r="M546" s="2"/>
    </row>
    <row r="547" spans="1:13">
      <c r="A547" t="s">
        <v>28</v>
      </c>
      <c r="B547">
        <f ca="1">IF(OR(changes[[#This Row],[Type]]="Checklist",changes[[#This Row],[Type]]="checklist-flat"),1+IF(changes[[#This Row],[Type of change]] = "Edit",COUNTIFS($I$4:changes[[#This Row],[Name]],changes[[#This Row],[Name]], $E$4:changes[[#This Row],[Type of change]], "Edit")),B546)</f>
        <v>1</v>
      </c>
      <c r="C547" s="16">
        <v>44609</v>
      </c>
      <c r="D547" s="10" t="s">
        <v>2509</v>
      </c>
      <c r="E547" s="10" t="s">
        <v>2453</v>
      </c>
      <c r="F547" s="10" t="s">
        <v>9</v>
      </c>
      <c r="G547" s="10" t="s">
        <v>2520</v>
      </c>
      <c r="H547" s="10" t="s">
        <v>55</v>
      </c>
      <c r="I547" s="10" t="s">
        <v>885</v>
      </c>
      <c r="J547" s="10"/>
      <c r="K547" s="2"/>
      <c r="M547" s="2"/>
    </row>
    <row r="548" spans="1:13">
      <c r="A548" t="s">
        <v>28</v>
      </c>
      <c r="B548">
        <f ca="1">IF(OR(changes[[#This Row],[Type]]="Checklist",changes[[#This Row],[Type]]="checklist-flat"),1+IF(changes[[#This Row],[Type of change]] = "Edit",COUNTIFS($I$4:changes[[#This Row],[Name]],changes[[#This Row],[Name]], $E$4:changes[[#This Row],[Type of change]], "Edit")),B547)</f>
        <v>1</v>
      </c>
      <c r="C548" s="16">
        <v>44609</v>
      </c>
      <c r="D548" s="10" t="s">
        <v>2509</v>
      </c>
      <c r="E548" s="10" t="s">
        <v>2453</v>
      </c>
      <c r="F548" s="10" t="s">
        <v>9</v>
      </c>
      <c r="G548" s="10" t="s">
        <v>2520</v>
      </c>
      <c r="H548" s="10" t="s">
        <v>55</v>
      </c>
      <c r="I548" s="10" t="s">
        <v>886</v>
      </c>
      <c r="J548" s="10"/>
      <c r="K548" s="2"/>
      <c r="M548" s="2"/>
    </row>
    <row r="549" spans="1:13">
      <c r="A549" t="s">
        <v>28</v>
      </c>
      <c r="B549">
        <f ca="1">IF(OR(changes[[#This Row],[Type]]="Checklist",changes[[#This Row],[Type]]="checklist-flat"),1+IF(changes[[#This Row],[Type of change]] = "Edit",COUNTIFS($I$4:changes[[#This Row],[Name]],changes[[#This Row],[Name]], $E$4:changes[[#This Row],[Type of change]], "Edit")),B548)</f>
        <v>1</v>
      </c>
      <c r="C549" s="16">
        <v>44609</v>
      </c>
      <c r="D549" s="10" t="s">
        <v>2509</v>
      </c>
      <c r="E549" s="10" t="s">
        <v>10</v>
      </c>
      <c r="F549" s="10" t="s">
        <v>9</v>
      </c>
      <c r="G549" s="10" t="s">
        <v>890</v>
      </c>
      <c r="H549" s="10" t="s">
        <v>55</v>
      </c>
      <c r="I549" s="10" t="s">
        <v>2522</v>
      </c>
      <c r="J549" s="10"/>
      <c r="K549" s="2"/>
      <c r="M549" s="2"/>
    </row>
    <row r="550" spans="1:13">
      <c r="A550" t="s">
        <v>28</v>
      </c>
      <c r="B550">
        <f ca="1">IF(OR(changes[[#This Row],[Type]]="Checklist",changes[[#This Row],[Type]]="checklist-flat"),1+IF(changes[[#This Row],[Type of change]] = "Edit",COUNTIFS($I$4:changes[[#This Row],[Name]],changes[[#This Row],[Name]], $E$4:changes[[#This Row],[Type of change]], "Edit")),B549)</f>
        <v>1</v>
      </c>
      <c r="C550" s="16">
        <v>44609</v>
      </c>
      <c r="D550" s="10" t="s">
        <v>2509</v>
      </c>
      <c r="E550" s="10" t="s">
        <v>10</v>
      </c>
      <c r="F550" s="10" t="s">
        <v>9</v>
      </c>
      <c r="G550" s="10" t="s">
        <v>821</v>
      </c>
      <c r="H550" s="10" t="s">
        <v>479</v>
      </c>
      <c r="I550" s="10" t="s">
        <v>2523</v>
      </c>
      <c r="J550" s="10"/>
      <c r="K550" s="2"/>
      <c r="M550" s="2"/>
    </row>
    <row r="551" spans="1:13">
      <c r="A551" t="s">
        <v>28</v>
      </c>
      <c r="B551">
        <f ca="1">IF(OR(changes[[#This Row],[Type]]="Checklist",changes[[#This Row],[Type]]="checklist-flat"),1+IF(changes[[#This Row],[Type of change]] = "Edit",COUNTIFS($I$4:changes[[#This Row],[Name]],changes[[#This Row],[Name]], $E$4:changes[[#This Row],[Type of change]], "Edit")),B550)</f>
        <v>1</v>
      </c>
      <c r="C551" s="16">
        <v>44609</v>
      </c>
      <c r="D551" s="10" t="s">
        <v>2509</v>
      </c>
      <c r="E551" s="10" t="s">
        <v>10</v>
      </c>
      <c r="F551" s="10" t="s">
        <v>9</v>
      </c>
      <c r="G551" s="10" t="s">
        <v>821</v>
      </c>
      <c r="H551" s="10" t="s">
        <v>55</v>
      </c>
      <c r="I551" s="10" t="s">
        <v>757</v>
      </c>
      <c r="J551" s="10"/>
      <c r="K551" s="2"/>
      <c r="M551" s="2"/>
    </row>
    <row r="552" spans="1:13">
      <c r="A552" t="s">
        <v>28</v>
      </c>
      <c r="B552">
        <f ca="1">IF(OR(changes[[#This Row],[Type]]="Checklist",changes[[#This Row],[Type]]="checklist-flat"),1+IF(changes[[#This Row],[Type of change]] = "Edit",COUNTIFS($I$4:changes[[#This Row],[Name]],changes[[#This Row],[Name]], $E$4:changes[[#This Row],[Type of change]], "Edit")),B551)</f>
        <v>1</v>
      </c>
      <c r="C552" s="16">
        <v>44609</v>
      </c>
      <c r="D552" s="10" t="s">
        <v>2509</v>
      </c>
      <c r="E552" s="10" t="s">
        <v>10</v>
      </c>
      <c r="F552" s="10" t="s">
        <v>9</v>
      </c>
      <c r="G552" s="10" t="s">
        <v>821</v>
      </c>
      <c r="H552" s="10" t="s">
        <v>55</v>
      </c>
      <c r="I552" s="10" t="s">
        <v>2511</v>
      </c>
      <c r="J552" s="10"/>
      <c r="K552" s="2"/>
      <c r="M552" s="2"/>
    </row>
    <row r="553" spans="1:13">
      <c r="A553" t="s">
        <v>28</v>
      </c>
      <c r="B553">
        <f ca="1">IF(OR(changes[[#This Row],[Type]]="Checklist",changes[[#This Row],[Type]]="checklist-flat"),1+IF(changes[[#This Row],[Type of change]] = "Edit",COUNTIFS($I$4:changes[[#This Row],[Name]],changes[[#This Row],[Name]], $E$4:changes[[#This Row],[Type of change]], "Edit")),B552)</f>
        <v>1</v>
      </c>
      <c r="C553" s="16">
        <v>44609</v>
      </c>
      <c r="D553" s="10" t="s">
        <v>2509</v>
      </c>
      <c r="E553" s="10" t="s">
        <v>10</v>
      </c>
      <c r="F553" s="10" t="s">
        <v>9</v>
      </c>
      <c r="G553" s="10" t="s">
        <v>821</v>
      </c>
      <c r="H553" s="10" t="s">
        <v>55</v>
      </c>
      <c r="I553" s="10" t="s">
        <v>759</v>
      </c>
      <c r="J553" s="10"/>
      <c r="K553" s="2"/>
      <c r="M553" s="2"/>
    </row>
    <row r="554" spans="1:13">
      <c r="A554" t="s">
        <v>28</v>
      </c>
      <c r="B554">
        <f ca="1">IF(OR(changes[[#This Row],[Type]]="Checklist",changes[[#This Row],[Type]]="checklist-flat"),1+IF(changes[[#This Row],[Type of change]] = "Edit",COUNTIFS($I$4:changes[[#This Row],[Name]],changes[[#This Row],[Name]], $E$4:changes[[#This Row],[Type of change]], "Edit")),B553)</f>
        <v>1</v>
      </c>
      <c r="C554" s="16">
        <v>44609</v>
      </c>
      <c r="D554" s="10" t="s">
        <v>2509</v>
      </c>
      <c r="E554" s="10" t="s">
        <v>10</v>
      </c>
      <c r="F554" s="10" t="s">
        <v>9</v>
      </c>
      <c r="G554" s="10" t="s">
        <v>821</v>
      </c>
      <c r="H554" s="10" t="s">
        <v>55</v>
      </c>
      <c r="I554" s="10" t="s">
        <v>760</v>
      </c>
      <c r="J554" s="10"/>
      <c r="K554" s="2"/>
      <c r="M554" s="2"/>
    </row>
    <row r="555" spans="1:13">
      <c r="A555" t="s">
        <v>28</v>
      </c>
      <c r="B555">
        <f ca="1">IF(OR(changes[[#This Row],[Type]]="Checklist",changes[[#This Row],[Type]]="checklist-flat"),1+IF(changes[[#This Row],[Type of change]] = "Edit",COUNTIFS($I$4:changes[[#This Row],[Name]],changes[[#This Row],[Name]], $E$4:changes[[#This Row],[Type of change]], "Edit")),B554)</f>
        <v>1</v>
      </c>
      <c r="C555" s="16">
        <v>44609</v>
      </c>
      <c r="D555" s="10" t="s">
        <v>2509</v>
      </c>
      <c r="E555" s="10" t="s">
        <v>10</v>
      </c>
      <c r="F555" s="10" t="s">
        <v>9</v>
      </c>
      <c r="G555" s="10" t="s">
        <v>821</v>
      </c>
      <c r="H555" s="10" t="s">
        <v>55</v>
      </c>
      <c r="I555" s="10" t="s">
        <v>761</v>
      </c>
      <c r="J555" s="10"/>
      <c r="K555" s="2"/>
      <c r="M555" s="2"/>
    </row>
    <row r="556" spans="1:13">
      <c r="A556" t="s">
        <v>28</v>
      </c>
      <c r="B556">
        <f ca="1">IF(OR(changes[[#This Row],[Type]]="Checklist",changes[[#This Row],[Type]]="checklist-flat"),1+IF(changes[[#This Row],[Type of change]] = "Edit",COUNTIFS($I$4:changes[[#This Row],[Name]],changes[[#This Row],[Name]], $E$4:changes[[#This Row],[Type of change]], "Edit")),B555)</f>
        <v>1</v>
      </c>
      <c r="C556" s="16">
        <v>44609</v>
      </c>
      <c r="D556" s="10" t="s">
        <v>2509</v>
      </c>
      <c r="E556" s="10" t="s">
        <v>10</v>
      </c>
      <c r="F556" s="10" t="s">
        <v>9</v>
      </c>
      <c r="G556" s="10" t="s">
        <v>821</v>
      </c>
      <c r="H556" s="10" t="s">
        <v>55</v>
      </c>
      <c r="I556" s="10" t="s">
        <v>2512</v>
      </c>
      <c r="J556" s="10"/>
      <c r="K556" s="2"/>
      <c r="M556" s="2"/>
    </row>
    <row r="557" spans="1:13">
      <c r="A557" t="s">
        <v>28</v>
      </c>
      <c r="B557">
        <f ca="1">IF(OR(changes[[#This Row],[Type]]="Checklist",changes[[#This Row],[Type]]="checklist-flat"),1+IF(changes[[#This Row],[Type of change]] = "Edit",COUNTIFS($I$4:changes[[#This Row],[Name]],changes[[#This Row],[Name]], $E$4:changes[[#This Row],[Type of change]], "Edit")),B556)</f>
        <v>1</v>
      </c>
      <c r="C557" s="16">
        <v>44609</v>
      </c>
      <c r="D557" s="10" t="s">
        <v>2509</v>
      </c>
      <c r="E557" s="10" t="s">
        <v>10</v>
      </c>
      <c r="F557" s="10" t="s">
        <v>9</v>
      </c>
      <c r="G557" s="10" t="s">
        <v>821</v>
      </c>
      <c r="H557" s="10" t="s">
        <v>55</v>
      </c>
      <c r="I557" s="10" t="s">
        <v>763</v>
      </c>
      <c r="J557" s="10"/>
      <c r="K557" s="2"/>
      <c r="M557" s="2"/>
    </row>
    <row r="558" spans="1:13">
      <c r="A558" t="s">
        <v>28</v>
      </c>
      <c r="B558">
        <f ca="1">IF(OR(changes[[#This Row],[Type]]="Checklist",changes[[#This Row],[Type]]="checklist-flat"),1+IF(changes[[#This Row],[Type of change]] = "Edit",COUNTIFS($I$4:changes[[#This Row],[Name]],changes[[#This Row],[Name]], $E$4:changes[[#This Row],[Type of change]], "Edit")),B557)</f>
        <v>1</v>
      </c>
      <c r="C558" s="16">
        <v>44609</v>
      </c>
      <c r="D558" s="10" t="s">
        <v>2509</v>
      </c>
      <c r="E558" s="10" t="s">
        <v>10</v>
      </c>
      <c r="F558" s="10" t="s">
        <v>9</v>
      </c>
      <c r="G558" s="10" t="s">
        <v>821</v>
      </c>
      <c r="H558" s="10" t="s">
        <v>479</v>
      </c>
      <c r="I558" s="10" t="s">
        <v>2524</v>
      </c>
      <c r="J558" s="10"/>
      <c r="K558" s="2"/>
      <c r="M558" s="2"/>
    </row>
    <row r="559" spans="1:13">
      <c r="A559" t="s">
        <v>28</v>
      </c>
      <c r="B559">
        <f ca="1">IF(OR(changes[[#This Row],[Type]]="Checklist",changes[[#This Row],[Type]]="checklist-flat"),1+IF(changes[[#This Row],[Type of change]] = "Edit",COUNTIFS($I$4:changes[[#This Row],[Name]],changes[[#This Row],[Name]], $E$4:changes[[#This Row],[Type of change]], "Edit")),B558)</f>
        <v>1</v>
      </c>
      <c r="C559" s="16">
        <v>44609</v>
      </c>
      <c r="D559" s="10" t="s">
        <v>2509</v>
      </c>
      <c r="E559" s="10" t="s">
        <v>10</v>
      </c>
      <c r="F559" s="10" t="s">
        <v>9</v>
      </c>
      <c r="G559" s="10" t="s">
        <v>821</v>
      </c>
      <c r="H559" s="10" t="s">
        <v>55</v>
      </c>
      <c r="I559" s="10" t="s">
        <v>757</v>
      </c>
      <c r="J559" s="10"/>
      <c r="K559" s="2"/>
      <c r="M559" s="2"/>
    </row>
    <row r="560" spans="1:13">
      <c r="A560" t="s">
        <v>28</v>
      </c>
      <c r="B560">
        <f ca="1">IF(OR(changes[[#This Row],[Type]]="Checklist",changes[[#This Row],[Type]]="checklist-flat"),1+IF(changes[[#This Row],[Type of change]] = "Edit",COUNTIFS($I$4:changes[[#This Row],[Name]],changes[[#This Row],[Name]], $E$4:changes[[#This Row],[Type of change]], "Edit")),B559)</f>
        <v>1</v>
      </c>
      <c r="C560" s="16">
        <v>44609</v>
      </c>
      <c r="D560" s="10" t="s">
        <v>2509</v>
      </c>
      <c r="E560" s="10" t="s">
        <v>10</v>
      </c>
      <c r="F560" s="10" t="s">
        <v>9</v>
      </c>
      <c r="G560" s="10" t="s">
        <v>821</v>
      </c>
      <c r="H560" s="10" t="s">
        <v>55</v>
      </c>
      <c r="I560" s="10" t="s">
        <v>2511</v>
      </c>
      <c r="J560" s="10"/>
      <c r="K560" s="2"/>
      <c r="M560" s="2"/>
    </row>
    <row r="561" spans="1:13">
      <c r="A561" t="s">
        <v>28</v>
      </c>
      <c r="B561">
        <f ca="1">IF(OR(changes[[#This Row],[Type]]="Checklist",changes[[#This Row],[Type]]="checklist-flat"),1+IF(changes[[#This Row],[Type of change]] = "Edit",COUNTIFS($I$4:changes[[#This Row],[Name]],changes[[#This Row],[Name]], $E$4:changes[[#This Row],[Type of change]], "Edit")),B560)</f>
        <v>1</v>
      </c>
      <c r="C561" s="16">
        <v>44609</v>
      </c>
      <c r="D561" s="10" t="s">
        <v>2509</v>
      </c>
      <c r="E561" s="10" t="s">
        <v>10</v>
      </c>
      <c r="F561" s="10" t="s">
        <v>9</v>
      </c>
      <c r="G561" s="10" t="s">
        <v>821</v>
      </c>
      <c r="H561" s="10" t="s">
        <v>55</v>
      </c>
      <c r="I561" s="10" t="s">
        <v>759</v>
      </c>
      <c r="J561" s="10"/>
      <c r="K561" s="2"/>
      <c r="M561" s="2"/>
    </row>
    <row r="562" spans="1:13">
      <c r="A562" t="s">
        <v>28</v>
      </c>
      <c r="B562">
        <f ca="1">IF(OR(changes[[#This Row],[Type]]="Checklist",changes[[#This Row],[Type]]="checklist-flat"),1+IF(changes[[#This Row],[Type of change]] = "Edit",COUNTIFS($I$4:changes[[#This Row],[Name]],changes[[#This Row],[Name]], $E$4:changes[[#This Row],[Type of change]], "Edit")),B561)</f>
        <v>1</v>
      </c>
      <c r="C562" s="16">
        <v>44609</v>
      </c>
      <c r="D562" s="10" t="s">
        <v>2509</v>
      </c>
      <c r="E562" s="10" t="s">
        <v>10</v>
      </c>
      <c r="F562" s="10" t="s">
        <v>9</v>
      </c>
      <c r="G562" s="10" t="s">
        <v>821</v>
      </c>
      <c r="H562" s="10" t="s">
        <v>55</v>
      </c>
      <c r="I562" s="10" t="s">
        <v>760</v>
      </c>
      <c r="J562" s="10"/>
      <c r="K562" s="2"/>
      <c r="M562" s="2"/>
    </row>
    <row r="563" spans="1:13">
      <c r="A563" t="s">
        <v>28</v>
      </c>
      <c r="B563">
        <f ca="1">IF(OR(changes[[#This Row],[Type]]="Checklist",changes[[#This Row],[Type]]="checklist-flat"),1+IF(changes[[#This Row],[Type of change]] = "Edit",COUNTIFS($I$4:changes[[#This Row],[Name]],changes[[#This Row],[Name]], $E$4:changes[[#This Row],[Type of change]], "Edit")),B562)</f>
        <v>1</v>
      </c>
      <c r="C563" s="16">
        <v>44609</v>
      </c>
      <c r="D563" s="10" t="s">
        <v>2509</v>
      </c>
      <c r="E563" s="10" t="s">
        <v>10</v>
      </c>
      <c r="F563" s="10" t="s">
        <v>9</v>
      </c>
      <c r="G563" s="10" t="s">
        <v>821</v>
      </c>
      <c r="H563" s="10" t="s">
        <v>55</v>
      </c>
      <c r="I563" s="10" t="s">
        <v>761</v>
      </c>
      <c r="J563" s="10"/>
      <c r="K563" s="2"/>
      <c r="M563" s="2"/>
    </row>
    <row r="564" spans="1:13">
      <c r="A564" t="s">
        <v>28</v>
      </c>
      <c r="B564">
        <f ca="1">IF(OR(changes[[#This Row],[Type]]="Checklist",changes[[#This Row],[Type]]="checklist-flat"),1+IF(changes[[#This Row],[Type of change]] = "Edit",COUNTIFS($I$4:changes[[#This Row],[Name]],changes[[#This Row],[Name]], $E$4:changes[[#This Row],[Type of change]], "Edit")),B563)</f>
        <v>1</v>
      </c>
      <c r="C564" s="16">
        <v>44609</v>
      </c>
      <c r="D564" s="10" t="s">
        <v>2509</v>
      </c>
      <c r="E564" s="10" t="s">
        <v>10</v>
      </c>
      <c r="F564" s="10" t="s">
        <v>9</v>
      </c>
      <c r="G564" s="10" t="s">
        <v>821</v>
      </c>
      <c r="H564" s="10" t="s">
        <v>55</v>
      </c>
      <c r="I564" s="10" t="s">
        <v>2512</v>
      </c>
      <c r="J564" s="10"/>
      <c r="K564" s="2"/>
      <c r="M564" s="2"/>
    </row>
    <row r="565" spans="1:13">
      <c r="A565" t="s">
        <v>28</v>
      </c>
      <c r="B565">
        <f ca="1">IF(OR(changes[[#This Row],[Type]]="Checklist",changes[[#This Row],[Type]]="checklist-flat"),1+IF(changes[[#This Row],[Type of change]] = "Edit",COUNTIFS($I$4:changes[[#This Row],[Name]],changes[[#This Row],[Name]], $E$4:changes[[#This Row],[Type of change]], "Edit")),B564)</f>
        <v>1</v>
      </c>
      <c r="C565" s="16">
        <v>44609</v>
      </c>
      <c r="D565" s="10" t="s">
        <v>2509</v>
      </c>
      <c r="E565" s="10" t="s">
        <v>10</v>
      </c>
      <c r="F565" s="10" t="s">
        <v>9</v>
      </c>
      <c r="G565" s="10" t="s">
        <v>821</v>
      </c>
      <c r="H565" s="10" t="s">
        <v>55</v>
      </c>
      <c r="I565" s="10" t="s">
        <v>763</v>
      </c>
      <c r="J565" s="10"/>
      <c r="K565" s="2"/>
      <c r="M565" s="2"/>
    </row>
    <row r="566" spans="1:13">
      <c r="A566" t="s">
        <v>11</v>
      </c>
      <c r="B566">
        <f ca="1">IF(OR(changes[[#This Row],[Type]]="Checklist",changes[[#This Row],[Type]]="checklist-flat"),1+IF(changes[[#This Row],[Type of change]] = "Edit",COUNTIFS($I$4:changes[[#This Row],[Name]],changes[[#This Row],[Name]], $E$4:changes[[#This Row],[Type of change]], "Edit")),B565)</f>
        <v>1</v>
      </c>
      <c r="C566" s="16">
        <v>44609</v>
      </c>
      <c r="D566" s="10" t="s">
        <v>2509</v>
      </c>
      <c r="E566" s="10" t="s">
        <v>2453</v>
      </c>
      <c r="F566" s="10" t="s">
        <v>9</v>
      </c>
      <c r="G566" s="10" t="s">
        <v>2504</v>
      </c>
      <c r="H566" s="10" t="s">
        <v>478</v>
      </c>
      <c r="I566" s="10" t="s">
        <v>2504</v>
      </c>
      <c r="J566" s="10"/>
      <c r="K566" s="2"/>
      <c r="M566" s="2" t="s">
        <v>2525</v>
      </c>
    </row>
    <row r="567" spans="1:13">
      <c r="A567" t="s">
        <v>11</v>
      </c>
      <c r="B567">
        <f ca="1">IF(OR(changes[[#This Row],[Type]]="Checklist",changes[[#This Row],[Type]]="checklist-flat"),1+IF(changes[[#This Row],[Type of change]] = "Edit",COUNTIFS($I$4:changes[[#This Row],[Name]],changes[[#This Row],[Name]], $E$4:changes[[#This Row],[Type of change]], "Edit")),B566)</f>
        <v>1</v>
      </c>
      <c r="C567" s="16">
        <v>44609</v>
      </c>
      <c r="D567" s="10" t="s">
        <v>2509</v>
      </c>
      <c r="E567" s="10" t="s">
        <v>2453</v>
      </c>
      <c r="F567" s="10" t="s">
        <v>9</v>
      </c>
      <c r="G567" s="10" t="s">
        <v>2504</v>
      </c>
      <c r="H567" s="10" t="s">
        <v>55</v>
      </c>
      <c r="I567" s="10" t="s">
        <v>62</v>
      </c>
      <c r="J567" s="10"/>
      <c r="K567" s="2"/>
      <c r="M567" s="2"/>
    </row>
    <row r="568" spans="1:13">
      <c r="A568" t="s">
        <v>11</v>
      </c>
      <c r="B568">
        <f ca="1">IF(OR(changes[[#This Row],[Type]]="Checklist",changes[[#This Row],[Type]]="checklist-flat"),1+IF(changes[[#This Row],[Type of change]] = "Edit",COUNTIFS($I$4:changes[[#This Row],[Name]],changes[[#This Row],[Name]], $E$4:changes[[#This Row],[Type of change]], "Edit")),B567)</f>
        <v>1</v>
      </c>
      <c r="C568" s="16">
        <v>44609</v>
      </c>
      <c r="D568" s="10" t="s">
        <v>2509</v>
      </c>
      <c r="E568" s="10" t="s">
        <v>2453</v>
      </c>
      <c r="F568" s="10" t="s">
        <v>9</v>
      </c>
      <c r="G568" s="10" t="s">
        <v>2504</v>
      </c>
      <c r="H568" s="10" t="s">
        <v>55</v>
      </c>
      <c r="I568" s="10" t="s">
        <v>63</v>
      </c>
      <c r="J568" s="10"/>
      <c r="K568" s="2"/>
      <c r="M568" s="2"/>
    </row>
    <row r="569" spans="1:13">
      <c r="A569" t="s">
        <v>11</v>
      </c>
      <c r="B569">
        <f ca="1">IF(OR(changes[[#This Row],[Type]]="Checklist",changes[[#This Row],[Type]]="checklist-flat"),1+IF(changes[[#This Row],[Type of change]] = "Edit",COUNTIFS($I$4:changes[[#This Row],[Name]],changes[[#This Row],[Name]], $E$4:changes[[#This Row],[Type of change]], "Edit")),B568)</f>
        <v>1</v>
      </c>
      <c r="C569" s="16">
        <v>44609</v>
      </c>
      <c r="D569" s="10" t="s">
        <v>2509</v>
      </c>
      <c r="E569" s="10" t="s">
        <v>2453</v>
      </c>
      <c r="F569" s="10" t="s">
        <v>9</v>
      </c>
      <c r="G569" s="10" t="s">
        <v>2504</v>
      </c>
      <c r="H569" s="10" t="s">
        <v>994</v>
      </c>
      <c r="I569" s="10" t="s">
        <v>2506</v>
      </c>
      <c r="J569" s="10"/>
      <c r="K569" s="2"/>
      <c r="M569" s="2"/>
    </row>
    <row r="570" spans="1:13">
      <c r="A570" t="s">
        <v>11</v>
      </c>
      <c r="B570">
        <f ca="1">IF(OR(changes[[#This Row],[Type]]="Checklist",changes[[#This Row],[Type]]="checklist-flat"),1+IF(changes[[#This Row],[Type of change]] = "Edit",COUNTIFS($I$4:changes[[#This Row],[Name]],changes[[#This Row],[Name]], $E$4:changes[[#This Row],[Type of change]], "Edit")),B569)</f>
        <v>1</v>
      </c>
      <c r="C570" s="16">
        <v>44609</v>
      </c>
      <c r="D570" s="10" t="s">
        <v>2509</v>
      </c>
      <c r="E570" s="10" t="s">
        <v>2453</v>
      </c>
      <c r="F570" s="10" t="s">
        <v>9</v>
      </c>
      <c r="G570" s="10" t="s">
        <v>2504</v>
      </c>
      <c r="H570" s="10" t="s">
        <v>55</v>
      </c>
      <c r="I570" s="10" t="s">
        <v>2526</v>
      </c>
      <c r="J570" s="10"/>
      <c r="K570" s="2"/>
      <c r="M570" s="2"/>
    </row>
    <row r="571" spans="1:13">
      <c r="A571" t="s">
        <v>28</v>
      </c>
      <c r="B571">
        <f ca="1">IF(OR(changes[[#This Row],[Type]]="Checklist",changes[[#This Row],[Type]]="checklist-flat"),1+IF(changes[[#This Row],[Type of change]] = "Edit",COUNTIFS($I$4:changes[[#This Row],[Name]],changes[[#This Row],[Name]], $E$4:changes[[#This Row],[Type of change]], "Edit")),B570)</f>
        <v>1</v>
      </c>
      <c r="C571" s="16">
        <v>44609</v>
      </c>
      <c r="D571" s="10" t="s">
        <v>2509</v>
      </c>
      <c r="E571" s="10" t="s">
        <v>2453</v>
      </c>
      <c r="F571" s="10" t="s">
        <v>9</v>
      </c>
      <c r="G571" s="10" t="s">
        <v>663</v>
      </c>
      <c r="H571" s="10" t="s">
        <v>478</v>
      </c>
      <c r="I571" s="10" t="s">
        <v>663</v>
      </c>
      <c r="J571" s="10"/>
      <c r="K571" s="2"/>
      <c r="M571" s="2"/>
    </row>
    <row r="572" spans="1:13">
      <c r="A572" t="s">
        <v>28</v>
      </c>
      <c r="B572">
        <f ca="1">IF(OR(changes[[#This Row],[Type]]="Checklist",changes[[#This Row],[Type]]="checklist-flat"),1+IF(changes[[#This Row],[Type of change]] = "Edit",COUNTIFS($I$4:changes[[#This Row],[Name]],changes[[#This Row],[Name]], $E$4:changes[[#This Row],[Type of change]], "Edit")),B571)</f>
        <v>1</v>
      </c>
      <c r="C572" s="16">
        <v>44609</v>
      </c>
      <c r="D572" s="10" t="s">
        <v>2509</v>
      </c>
      <c r="E572" s="10" t="s">
        <v>2453</v>
      </c>
      <c r="F572" s="10" t="s">
        <v>9</v>
      </c>
      <c r="G572" s="10" t="s">
        <v>663</v>
      </c>
      <c r="H572" s="10" t="s">
        <v>55</v>
      </c>
      <c r="I572" s="10" t="s">
        <v>62</v>
      </c>
      <c r="J572" s="10"/>
      <c r="K572" s="2"/>
      <c r="M572" s="2"/>
    </row>
    <row r="573" spans="1:13">
      <c r="A573" t="s">
        <v>28</v>
      </c>
      <c r="B573">
        <f ca="1">IF(OR(changes[[#This Row],[Type]]="Checklist",changes[[#This Row],[Type]]="checklist-flat"),1+IF(changes[[#This Row],[Type of change]] = "Edit",COUNTIFS($I$4:changes[[#This Row],[Name]],changes[[#This Row],[Name]], $E$4:changes[[#This Row],[Type of change]], "Edit")),B572)</f>
        <v>1</v>
      </c>
      <c r="C573" s="16">
        <v>44609</v>
      </c>
      <c r="D573" s="10" t="s">
        <v>2509</v>
      </c>
      <c r="E573" s="10" t="s">
        <v>2453</v>
      </c>
      <c r="F573" s="10" t="s">
        <v>9</v>
      </c>
      <c r="G573" s="10" t="s">
        <v>663</v>
      </c>
      <c r="H573" s="10" t="s">
        <v>55</v>
      </c>
      <c r="I573" s="10" t="s">
        <v>63</v>
      </c>
      <c r="K573" s="2"/>
      <c r="M573" s="2"/>
    </row>
    <row r="574" spans="1:13">
      <c r="A574" t="s">
        <v>28</v>
      </c>
      <c r="B574">
        <f ca="1">IF(OR(changes[[#This Row],[Type]]="Checklist",changes[[#This Row],[Type]]="checklist-flat"),1+IF(changes[[#This Row],[Type of change]] = "Edit",COUNTIFS($I$4:changes[[#This Row],[Name]],changes[[#This Row],[Name]], $E$4:changes[[#This Row],[Type of change]], "Edit")),B573)</f>
        <v>1</v>
      </c>
      <c r="C574" s="16">
        <v>44609</v>
      </c>
      <c r="D574" s="10" t="s">
        <v>2509</v>
      </c>
      <c r="E574" s="10" t="s">
        <v>2453</v>
      </c>
      <c r="F574" s="10" t="s">
        <v>9</v>
      </c>
      <c r="G574" s="10" t="s">
        <v>663</v>
      </c>
      <c r="H574" s="10" t="s">
        <v>994</v>
      </c>
      <c r="I574" s="10" t="s">
        <v>2506</v>
      </c>
      <c r="K574" s="2"/>
      <c r="M574" s="2"/>
    </row>
    <row r="575" spans="1:13">
      <c r="A575" t="s">
        <v>28</v>
      </c>
      <c r="B575">
        <f ca="1">IF(OR(changes[[#This Row],[Type]]="Checklist",changes[[#This Row],[Type]]="checklist-flat"),1+IF(changes[[#This Row],[Type of change]] = "Edit",COUNTIFS($I$4:changes[[#This Row],[Name]],changes[[#This Row],[Name]], $E$4:changes[[#This Row],[Type of change]], "Edit")),B574)</f>
        <v>1</v>
      </c>
      <c r="C575" s="16">
        <v>44609</v>
      </c>
      <c r="D575" s="10" t="s">
        <v>2509</v>
      </c>
      <c r="E575" s="10" t="s">
        <v>2453</v>
      </c>
      <c r="F575" s="10" t="s">
        <v>9</v>
      </c>
      <c r="G575" s="10" t="s">
        <v>663</v>
      </c>
      <c r="H575" s="10" t="s">
        <v>55</v>
      </c>
      <c r="I575" s="10" t="s">
        <v>2526</v>
      </c>
      <c r="K575" s="2"/>
      <c r="M575" s="2"/>
    </row>
    <row r="576" spans="1:13">
      <c r="A576" t="s">
        <v>28</v>
      </c>
      <c r="B576">
        <f ca="1">IF(OR(changes[[#This Row],[Type]]="Checklist",changes[[#This Row],[Type]]="checklist-flat"),1+IF(changes[[#This Row],[Type of change]] = "Edit",COUNTIFS($I$4:changes[[#This Row],[Name]],changes[[#This Row],[Name]], $E$4:changes[[#This Row],[Type of change]], "Edit")),B575)</f>
        <v>1</v>
      </c>
      <c r="C576" s="16">
        <v>44609</v>
      </c>
      <c r="D576" s="10" t="s">
        <v>2509</v>
      </c>
      <c r="E576" s="10" t="s">
        <v>2453</v>
      </c>
      <c r="F576" s="10" t="s">
        <v>9</v>
      </c>
      <c r="G576" s="10" t="s">
        <v>2527</v>
      </c>
      <c r="H576" s="10" t="s">
        <v>478</v>
      </c>
      <c r="I576" s="10" t="s">
        <v>2527</v>
      </c>
      <c r="K576" s="2"/>
      <c r="M576" s="2"/>
    </row>
    <row r="577" spans="1:13">
      <c r="A577" t="s">
        <v>28</v>
      </c>
      <c r="B577">
        <f ca="1">IF(OR(changes[[#This Row],[Type]]="Checklist",changes[[#This Row],[Type]]="checklist-flat"),1+IF(changes[[#This Row],[Type of change]] = "Edit",COUNTIFS($I$4:changes[[#This Row],[Name]],changes[[#This Row],[Name]], $E$4:changes[[#This Row],[Type of change]], "Edit")),B576)</f>
        <v>1</v>
      </c>
      <c r="C577" s="16">
        <v>44609</v>
      </c>
      <c r="D577" s="10" t="s">
        <v>2509</v>
      </c>
      <c r="E577" s="10" t="s">
        <v>2453</v>
      </c>
      <c r="F577" s="10" t="s">
        <v>9</v>
      </c>
      <c r="G577" s="10" t="s">
        <v>2527</v>
      </c>
      <c r="H577" s="10" t="s">
        <v>55</v>
      </c>
      <c r="I577" s="10" t="s">
        <v>62</v>
      </c>
      <c r="K577" s="2"/>
      <c r="M577" s="2"/>
    </row>
    <row r="578" spans="1:13">
      <c r="A578" t="s">
        <v>28</v>
      </c>
      <c r="B578">
        <f ca="1">IF(OR(changes[[#This Row],[Type]]="Checklist",changes[[#This Row],[Type]]="checklist-flat"),1+IF(changes[[#This Row],[Type of change]] = "Edit",COUNTIFS($I$4:changes[[#This Row],[Name]],changes[[#This Row],[Name]], $E$4:changes[[#This Row],[Type of change]], "Edit")),B577)</f>
        <v>1</v>
      </c>
      <c r="C578" s="16">
        <v>44609</v>
      </c>
      <c r="D578" s="10" t="s">
        <v>2509</v>
      </c>
      <c r="E578" s="10" t="s">
        <v>2453</v>
      </c>
      <c r="F578" s="10" t="s">
        <v>9</v>
      </c>
      <c r="G578" s="10" t="s">
        <v>2527</v>
      </c>
      <c r="H578" s="10" t="s">
        <v>55</v>
      </c>
      <c r="I578" s="10" t="s">
        <v>63</v>
      </c>
      <c r="K578" s="2"/>
      <c r="M578" s="2"/>
    </row>
    <row r="579" spans="1:13">
      <c r="A579" t="s">
        <v>28</v>
      </c>
      <c r="B579">
        <f ca="1">IF(OR(changes[[#This Row],[Type]]="Checklist",changes[[#This Row],[Type]]="checklist-flat"),1+IF(changes[[#This Row],[Type of change]] = "Edit",COUNTIFS($I$4:changes[[#This Row],[Name]],changes[[#This Row],[Name]], $E$4:changes[[#This Row],[Type of change]], "Edit")),B578)</f>
        <v>1</v>
      </c>
      <c r="C579" s="16">
        <v>44609</v>
      </c>
      <c r="D579" s="10" t="s">
        <v>2509</v>
      </c>
      <c r="E579" s="10" t="s">
        <v>2453</v>
      </c>
      <c r="F579" s="10" t="s">
        <v>9</v>
      </c>
      <c r="G579" s="10" t="s">
        <v>2527</v>
      </c>
      <c r="H579" s="10" t="s">
        <v>994</v>
      </c>
      <c r="I579" s="10" t="s">
        <v>2506</v>
      </c>
      <c r="K579" s="2"/>
      <c r="M579" s="2"/>
    </row>
    <row r="580" spans="1:13">
      <c r="A580" t="s">
        <v>28</v>
      </c>
      <c r="B580">
        <f ca="1">IF(OR(changes[[#This Row],[Type]]="Checklist",changes[[#This Row],[Type]]="checklist-flat"),1+IF(changes[[#This Row],[Type of change]] = "Edit",COUNTIFS($I$4:changes[[#This Row],[Name]],changes[[#This Row],[Name]], $E$4:changes[[#This Row],[Type of change]], "Edit")),B579)</f>
        <v>1</v>
      </c>
      <c r="C580" s="16">
        <v>44609</v>
      </c>
      <c r="D580" s="10" t="s">
        <v>2509</v>
      </c>
      <c r="E580" s="10" t="s">
        <v>2453</v>
      </c>
      <c r="F580" s="10" t="s">
        <v>9</v>
      </c>
      <c r="G580" s="10" t="s">
        <v>2527</v>
      </c>
      <c r="H580" s="10" t="s">
        <v>55</v>
      </c>
      <c r="I580" s="10" t="s">
        <v>647</v>
      </c>
      <c r="K580" s="2"/>
      <c r="M580" s="2"/>
    </row>
    <row r="581" spans="1:13">
      <c r="A581" t="s">
        <v>28</v>
      </c>
      <c r="B581">
        <f ca="1">IF(OR(changes[[#This Row],[Type]]="Checklist",changes[[#This Row],[Type]]="checklist-flat"),1+IF(changes[[#This Row],[Type of change]] = "Edit",COUNTIFS($I$4:changes[[#This Row],[Name]],changes[[#This Row],[Name]], $E$4:changes[[#This Row],[Type of change]], "Edit")),B580)</f>
        <v>1</v>
      </c>
      <c r="C581" s="16">
        <v>44609</v>
      </c>
      <c r="D581" s="10" t="s">
        <v>2509</v>
      </c>
      <c r="E581" s="10" t="s">
        <v>2453</v>
      </c>
      <c r="F581" s="10" t="s">
        <v>9</v>
      </c>
      <c r="G581" s="10" t="s">
        <v>616</v>
      </c>
      <c r="H581" s="10" t="s">
        <v>478</v>
      </c>
      <c r="I581" s="10" t="s">
        <v>616</v>
      </c>
      <c r="K581" s="2"/>
      <c r="M581" s="2"/>
    </row>
    <row r="582" spans="1:13">
      <c r="A582" t="s">
        <v>28</v>
      </c>
      <c r="B582">
        <f ca="1">IF(OR(changes[[#This Row],[Type]]="Checklist",changes[[#This Row],[Type]]="checklist-flat"),1+IF(changes[[#This Row],[Type of change]] = "Edit",COUNTIFS($I$4:changes[[#This Row],[Name]],changes[[#This Row],[Name]], $E$4:changes[[#This Row],[Type of change]], "Edit")),B581)</f>
        <v>1</v>
      </c>
      <c r="C582" s="16">
        <v>44609</v>
      </c>
      <c r="D582" s="10" t="s">
        <v>2509</v>
      </c>
      <c r="E582" s="10" t="s">
        <v>2453</v>
      </c>
      <c r="F582" s="10" t="s">
        <v>9</v>
      </c>
      <c r="G582" s="10" t="s">
        <v>616</v>
      </c>
      <c r="H582" s="10" t="s">
        <v>55</v>
      </c>
      <c r="I582" s="10" t="s">
        <v>62</v>
      </c>
      <c r="K582" s="2"/>
      <c r="M582" s="2"/>
    </row>
    <row r="583" spans="1:13">
      <c r="A583" t="s">
        <v>28</v>
      </c>
      <c r="B583">
        <f ca="1">IF(OR(changes[[#This Row],[Type]]="Checklist",changes[[#This Row],[Type]]="checklist-flat"),1+IF(changes[[#This Row],[Type of change]] = "Edit",COUNTIFS($I$4:changes[[#This Row],[Name]],changes[[#This Row],[Name]], $E$4:changes[[#This Row],[Type of change]], "Edit")),B582)</f>
        <v>1</v>
      </c>
      <c r="C583" s="16">
        <v>44609</v>
      </c>
      <c r="D583" s="10" t="s">
        <v>2509</v>
      </c>
      <c r="E583" s="10" t="s">
        <v>2453</v>
      </c>
      <c r="F583" s="10" t="s">
        <v>9</v>
      </c>
      <c r="G583" s="10" t="s">
        <v>616</v>
      </c>
      <c r="H583" s="10" t="s">
        <v>55</v>
      </c>
      <c r="I583" s="10" t="s">
        <v>63</v>
      </c>
      <c r="K583" s="2"/>
      <c r="M583" s="2"/>
    </row>
    <row r="584" spans="1:13">
      <c r="A584" t="s">
        <v>28</v>
      </c>
      <c r="B584">
        <f ca="1">IF(OR(changes[[#This Row],[Type]]="Checklist",changes[[#This Row],[Type]]="checklist-flat"),1+IF(changes[[#This Row],[Type of change]] = "Edit",COUNTIFS($I$4:changes[[#This Row],[Name]],changes[[#This Row],[Name]], $E$4:changes[[#This Row],[Type of change]], "Edit")),B583)</f>
        <v>1</v>
      </c>
      <c r="C584" s="16">
        <v>44609</v>
      </c>
      <c r="D584" s="10" t="s">
        <v>2509</v>
      </c>
      <c r="E584" s="10" t="s">
        <v>2453</v>
      </c>
      <c r="F584" s="10" t="s">
        <v>9</v>
      </c>
      <c r="G584" s="10" t="s">
        <v>616</v>
      </c>
      <c r="H584" s="10" t="s">
        <v>994</v>
      </c>
      <c r="I584" s="10" t="s">
        <v>2506</v>
      </c>
      <c r="K584" s="2"/>
      <c r="M584" s="2"/>
    </row>
    <row r="585" spans="1:13">
      <c r="A585" t="s">
        <v>28</v>
      </c>
      <c r="B585">
        <f ca="1">IF(OR(changes[[#This Row],[Type]]="Checklist",changes[[#This Row],[Type]]="checklist-flat"),1+IF(changes[[#This Row],[Type of change]] = "Edit",COUNTIFS($I$4:changes[[#This Row],[Name]],changes[[#This Row],[Name]], $E$4:changes[[#This Row],[Type of change]], "Edit")),B584)</f>
        <v>1</v>
      </c>
      <c r="C585" s="16">
        <v>44609</v>
      </c>
      <c r="D585" s="10" t="s">
        <v>2509</v>
      </c>
      <c r="E585" s="10" t="s">
        <v>2453</v>
      </c>
      <c r="F585" s="10" t="s">
        <v>9</v>
      </c>
      <c r="G585" s="10" t="s">
        <v>616</v>
      </c>
      <c r="H585" s="10" t="s">
        <v>55</v>
      </c>
      <c r="I585" s="10" t="s">
        <v>647</v>
      </c>
      <c r="K585" s="2"/>
      <c r="M585" s="2"/>
    </row>
    <row r="586" spans="1:13">
      <c r="A586" t="s">
        <v>28</v>
      </c>
      <c r="B586">
        <f ca="1">IF(OR(changes[[#This Row],[Type]]="Checklist",changes[[#This Row],[Type]]="checklist-flat"),1+IF(changes[[#This Row],[Type of change]] = "Edit",COUNTIFS($I$4:changes[[#This Row],[Name]],changes[[#This Row],[Name]], $E$4:changes[[#This Row],[Type of change]], "Edit")),B585)</f>
        <v>1</v>
      </c>
      <c r="C586" s="16">
        <v>44609</v>
      </c>
      <c r="D586" s="10" t="s">
        <v>2509</v>
      </c>
      <c r="E586" s="10" t="s">
        <v>2453</v>
      </c>
      <c r="F586" s="10" t="s">
        <v>9</v>
      </c>
      <c r="G586" s="10" t="s">
        <v>665</v>
      </c>
      <c r="H586" s="10" t="s">
        <v>478</v>
      </c>
      <c r="I586" s="10" t="s">
        <v>665</v>
      </c>
      <c r="K586" s="2"/>
      <c r="M586" s="2" t="s">
        <v>2519</v>
      </c>
    </row>
    <row r="587" spans="1:13">
      <c r="A587" t="s">
        <v>28</v>
      </c>
      <c r="B587">
        <f ca="1">IF(OR(changes[[#This Row],[Type]]="Checklist",changes[[#This Row],[Type]]="checklist-flat"),1+IF(changes[[#This Row],[Type of change]] = "Edit",COUNTIFS($I$4:changes[[#This Row],[Name]],changes[[#This Row],[Name]], $E$4:changes[[#This Row],[Type of change]], "Edit")),B586)</f>
        <v>1</v>
      </c>
      <c r="C587" s="16">
        <v>44609</v>
      </c>
      <c r="D587" s="10" t="s">
        <v>2509</v>
      </c>
      <c r="E587" s="10" t="s">
        <v>2453</v>
      </c>
      <c r="F587" s="10" t="s">
        <v>9</v>
      </c>
      <c r="G587" s="10" t="s">
        <v>665</v>
      </c>
      <c r="H587" s="10" t="s">
        <v>55</v>
      </c>
      <c r="I587" s="10" t="s">
        <v>62</v>
      </c>
      <c r="K587" s="2"/>
      <c r="M587" s="2"/>
    </row>
    <row r="588" spans="1:13">
      <c r="A588" t="s">
        <v>28</v>
      </c>
      <c r="B588">
        <f ca="1">IF(OR(changes[[#This Row],[Type]]="Checklist",changes[[#This Row],[Type]]="checklist-flat"),1+IF(changes[[#This Row],[Type of change]] = "Edit",COUNTIFS($I$4:changes[[#This Row],[Name]],changes[[#This Row],[Name]], $E$4:changes[[#This Row],[Type of change]], "Edit")),B587)</f>
        <v>1</v>
      </c>
      <c r="C588" s="16">
        <v>44609</v>
      </c>
      <c r="D588" s="10" t="s">
        <v>2509</v>
      </c>
      <c r="E588" s="10" t="s">
        <v>2453</v>
      </c>
      <c r="F588" s="10" t="s">
        <v>9</v>
      </c>
      <c r="G588" s="10" t="s">
        <v>665</v>
      </c>
      <c r="H588" s="10" t="s">
        <v>55</v>
      </c>
      <c r="I588" s="10" t="s">
        <v>63</v>
      </c>
      <c r="K588" s="2"/>
      <c r="M588" s="2"/>
    </row>
    <row r="589" spans="1:13">
      <c r="A589" t="s">
        <v>28</v>
      </c>
      <c r="B589">
        <f ca="1">IF(OR(changes[[#This Row],[Type]]="Checklist",changes[[#This Row],[Type]]="checklist-flat"),1+IF(changes[[#This Row],[Type of change]] = "Edit",COUNTIFS($I$4:changes[[#This Row],[Name]],changes[[#This Row],[Name]], $E$4:changes[[#This Row],[Type of change]], "Edit")),B588)</f>
        <v>1</v>
      </c>
      <c r="C589" s="16">
        <v>44609</v>
      </c>
      <c r="D589" s="10" t="s">
        <v>2509</v>
      </c>
      <c r="E589" s="10" t="s">
        <v>2453</v>
      </c>
      <c r="F589" s="10" t="s">
        <v>9</v>
      </c>
      <c r="G589" s="10" t="s">
        <v>665</v>
      </c>
      <c r="H589" s="10" t="s">
        <v>994</v>
      </c>
      <c r="I589" s="10" t="s">
        <v>2506</v>
      </c>
      <c r="K589" s="2"/>
      <c r="M589" s="2"/>
    </row>
    <row r="590" spans="1:13">
      <c r="A590" t="s">
        <v>28</v>
      </c>
      <c r="B590">
        <f ca="1">IF(OR(changes[[#This Row],[Type]]="Checklist",changes[[#This Row],[Type]]="checklist-flat"),1+IF(changes[[#This Row],[Type of change]] = "Edit",COUNTIFS($I$4:changes[[#This Row],[Name]],changes[[#This Row],[Name]], $E$4:changes[[#This Row],[Type of change]], "Edit")),B589)</f>
        <v>1</v>
      </c>
      <c r="C590" s="16">
        <v>44609</v>
      </c>
      <c r="D590" s="10" t="s">
        <v>2509</v>
      </c>
      <c r="E590" s="10" t="s">
        <v>2453</v>
      </c>
      <c r="F590" s="10" t="s">
        <v>9</v>
      </c>
      <c r="G590" s="10" t="s">
        <v>665</v>
      </c>
      <c r="H590" s="10" t="s">
        <v>55</v>
      </c>
      <c r="I590" s="10" t="s">
        <v>647</v>
      </c>
      <c r="K590" s="2"/>
      <c r="M590" s="2"/>
    </row>
    <row r="591" spans="1:13">
      <c r="A591" t="s">
        <v>28</v>
      </c>
      <c r="B591">
        <f ca="1">IF(OR(changes[[#This Row],[Type]]="Checklist",changes[[#This Row],[Type]]="checklist-flat"),1+IF(changes[[#This Row],[Type of change]] = "Edit",COUNTIFS($I$4:changes[[#This Row],[Name]],changes[[#This Row],[Name]], $E$4:changes[[#This Row],[Type of change]], "Edit")),B590)</f>
        <v>1</v>
      </c>
      <c r="C591" s="16">
        <v>44609</v>
      </c>
      <c r="D591" s="10" t="s">
        <v>2509</v>
      </c>
      <c r="E591" s="10" t="s">
        <v>2453</v>
      </c>
      <c r="F591" s="10" t="s">
        <v>9</v>
      </c>
      <c r="G591" s="10" t="s">
        <v>652</v>
      </c>
      <c r="H591" s="10" t="s">
        <v>478</v>
      </c>
      <c r="I591" s="10" t="s">
        <v>652</v>
      </c>
      <c r="K591" s="2"/>
      <c r="M591" s="2"/>
    </row>
    <row r="592" spans="1:13">
      <c r="A592" t="s">
        <v>28</v>
      </c>
      <c r="B592">
        <f ca="1">IF(OR(changes[[#This Row],[Type]]="Checklist",changes[[#This Row],[Type]]="checklist-flat"),1+IF(changes[[#This Row],[Type of change]] = "Edit",COUNTIFS($I$4:changes[[#This Row],[Name]],changes[[#This Row],[Name]], $E$4:changes[[#This Row],[Type of change]], "Edit")),B591)</f>
        <v>1</v>
      </c>
      <c r="C592" s="16">
        <v>44609</v>
      </c>
      <c r="D592" s="10" t="s">
        <v>2509</v>
      </c>
      <c r="E592" s="10" t="s">
        <v>2453</v>
      </c>
      <c r="F592" s="10" t="s">
        <v>9</v>
      </c>
      <c r="G592" s="10" t="s">
        <v>652</v>
      </c>
      <c r="H592" s="10" t="s">
        <v>55</v>
      </c>
      <c r="I592" s="10" t="s">
        <v>62</v>
      </c>
      <c r="K592" s="2"/>
      <c r="M592" s="2"/>
    </row>
    <row r="593" spans="1:13">
      <c r="A593" t="s">
        <v>28</v>
      </c>
      <c r="B593">
        <f ca="1">IF(OR(changes[[#This Row],[Type]]="Checklist",changes[[#This Row],[Type]]="checklist-flat"),1+IF(changes[[#This Row],[Type of change]] = "Edit",COUNTIFS($I$4:changes[[#This Row],[Name]],changes[[#This Row],[Name]], $E$4:changes[[#This Row],[Type of change]], "Edit")),B592)</f>
        <v>1</v>
      </c>
      <c r="C593" s="16">
        <v>44609</v>
      </c>
      <c r="D593" s="10" t="s">
        <v>2509</v>
      </c>
      <c r="E593" s="10" t="s">
        <v>2453</v>
      </c>
      <c r="F593" s="10" t="s">
        <v>9</v>
      </c>
      <c r="G593" s="10" t="s">
        <v>652</v>
      </c>
      <c r="H593" s="10" t="s">
        <v>55</v>
      </c>
      <c r="I593" s="10" t="s">
        <v>63</v>
      </c>
      <c r="K593" s="2"/>
      <c r="M593" s="2"/>
    </row>
    <row r="594" spans="1:13">
      <c r="A594" t="s">
        <v>28</v>
      </c>
      <c r="B594">
        <f ca="1">IF(OR(changes[[#This Row],[Type]]="Checklist",changes[[#This Row],[Type]]="checklist-flat"),1+IF(changes[[#This Row],[Type of change]] = "Edit",COUNTIFS($I$4:changes[[#This Row],[Name]],changes[[#This Row],[Name]], $E$4:changes[[#This Row],[Type of change]], "Edit")),B593)</f>
        <v>1</v>
      </c>
      <c r="C594" s="16">
        <v>44609</v>
      </c>
      <c r="D594" s="10" t="s">
        <v>2509</v>
      </c>
      <c r="E594" s="10" t="s">
        <v>2453</v>
      </c>
      <c r="F594" s="10" t="s">
        <v>9</v>
      </c>
      <c r="G594" s="10" t="s">
        <v>652</v>
      </c>
      <c r="H594" s="10" t="s">
        <v>994</v>
      </c>
      <c r="I594" s="10" t="s">
        <v>2506</v>
      </c>
      <c r="K594" s="2"/>
      <c r="M594" s="2"/>
    </row>
    <row r="595" spans="1:13">
      <c r="A595" t="s">
        <v>28</v>
      </c>
      <c r="B595">
        <f ca="1">IF(OR(changes[[#This Row],[Type]]="Checklist",changes[[#This Row],[Type]]="checklist-flat"),1+IF(changes[[#This Row],[Type of change]] = "Edit",COUNTIFS($I$4:changes[[#This Row],[Name]],changes[[#This Row],[Name]], $E$4:changes[[#This Row],[Type of change]], "Edit")),B594)</f>
        <v>1</v>
      </c>
      <c r="C595" s="16">
        <v>44609</v>
      </c>
      <c r="D595" s="10" t="s">
        <v>2509</v>
      </c>
      <c r="E595" s="10" t="s">
        <v>2453</v>
      </c>
      <c r="F595" s="10" t="s">
        <v>9</v>
      </c>
      <c r="G595" s="10" t="s">
        <v>652</v>
      </c>
      <c r="H595" s="10" t="s">
        <v>55</v>
      </c>
      <c r="I595" s="10" t="s">
        <v>647</v>
      </c>
      <c r="K595" s="2"/>
      <c r="M595" s="2"/>
    </row>
    <row r="596" spans="1:13">
      <c r="A596" t="s">
        <v>28</v>
      </c>
      <c r="B596">
        <f ca="1">IF(OR(changes[[#This Row],[Type]]="Checklist",changes[[#This Row],[Type]]="checklist-flat"),1+IF(changes[[#This Row],[Type of change]] = "Edit",COUNTIFS($I$4:changes[[#This Row],[Name]],changes[[#This Row],[Name]], $E$4:changes[[#This Row],[Type of change]], "Edit")),B595)</f>
        <v>1</v>
      </c>
      <c r="C596" s="16">
        <v>44609</v>
      </c>
      <c r="D596" s="10" t="s">
        <v>2509</v>
      </c>
      <c r="E596" s="10" t="s">
        <v>2453</v>
      </c>
      <c r="F596" s="10" t="s">
        <v>9</v>
      </c>
      <c r="G596" s="10" t="s">
        <v>2528</v>
      </c>
      <c r="H596" s="10" t="s">
        <v>478</v>
      </c>
      <c r="I596" s="10" t="s">
        <v>2528</v>
      </c>
      <c r="K596" s="2"/>
      <c r="M596" s="2" t="s">
        <v>2529</v>
      </c>
    </row>
    <row r="597" spans="1:13">
      <c r="A597" t="s">
        <v>28</v>
      </c>
      <c r="B597">
        <f ca="1">IF(OR(changes[[#This Row],[Type]]="Checklist",changes[[#This Row],[Type]]="checklist-flat"),1+IF(changes[[#This Row],[Type of change]] = "Edit",COUNTIFS($I$4:changes[[#This Row],[Name]],changes[[#This Row],[Name]], $E$4:changes[[#This Row],[Type of change]], "Edit")),B596)</f>
        <v>1</v>
      </c>
      <c r="C597" s="16">
        <v>44609</v>
      </c>
      <c r="D597" s="10" t="s">
        <v>2509</v>
      </c>
      <c r="E597" s="10" t="s">
        <v>2453</v>
      </c>
      <c r="F597" s="10" t="s">
        <v>9</v>
      </c>
      <c r="G597" s="10" t="s">
        <v>2528</v>
      </c>
      <c r="H597" s="10" t="s">
        <v>55</v>
      </c>
      <c r="I597" s="10" t="s">
        <v>62</v>
      </c>
      <c r="K597" s="2"/>
      <c r="M597" s="2"/>
    </row>
    <row r="598" spans="1:13">
      <c r="A598" t="s">
        <v>28</v>
      </c>
      <c r="B598">
        <f ca="1">IF(OR(changes[[#This Row],[Type]]="Checklist",changes[[#This Row],[Type]]="checklist-flat"),1+IF(changes[[#This Row],[Type of change]] = "Edit",COUNTIFS($I$4:changes[[#This Row],[Name]],changes[[#This Row],[Name]], $E$4:changes[[#This Row],[Type of change]], "Edit")),B597)</f>
        <v>1</v>
      </c>
      <c r="C598" s="16">
        <v>44609</v>
      </c>
      <c r="D598" s="10" t="s">
        <v>2509</v>
      </c>
      <c r="E598" s="10" t="s">
        <v>2453</v>
      </c>
      <c r="F598" s="10" t="s">
        <v>9</v>
      </c>
      <c r="G598" s="10" t="s">
        <v>2528</v>
      </c>
      <c r="H598" s="10" t="s">
        <v>55</v>
      </c>
      <c r="I598" s="10" t="s">
        <v>63</v>
      </c>
      <c r="K598" s="2"/>
      <c r="M598" s="2"/>
    </row>
    <row r="599" spans="1:13">
      <c r="A599" t="s">
        <v>28</v>
      </c>
      <c r="B599">
        <f ca="1">IF(OR(changes[[#This Row],[Type]]="Checklist",changes[[#This Row],[Type]]="checklist-flat"),1+IF(changes[[#This Row],[Type of change]] = "Edit",COUNTIFS($I$4:changes[[#This Row],[Name]],changes[[#This Row],[Name]], $E$4:changes[[#This Row],[Type of change]], "Edit")),B598)</f>
        <v>1</v>
      </c>
      <c r="C599" s="16">
        <v>44609</v>
      </c>
      <c r="D599" s="10" t="s">
        <v>2509</v>
      </c>
      <c r="E599" s="10" t="s">
        <v>2453</v>
      </c>
      <c r="F599" s="10" t="s">
        <v>9</v>
      </c>
      <c r="G599" s="10" t="s">
        <v>2528</v>
      </c>
      <c r="H599" s="10" t="s">
        <v>994</v>
      </c>
      <c r="I599" s="10" t="s">
        <v>2506</v>
      </c>
      <c r="K599" s="2"/>
      <c r="M599" s="2"/>
    </row>
    <row r="600" spans="1:13">
      <c r="A600" t="s">
        <v>28</v>
      </c>
      <c r="B600">
        <f ca="1">IF(OR(changes[[#This Row],[Type]]="Checklist",changes[[#This Row],[Type]]="checklist-flat"),1+IF(changes[[#This Row],[Type of change]] = "Edit",COUNTIFS($I$4:changes[[#This Row],[Name]],changes[[#This Row],[Name]], $E$4:changes[[#This Row],[Type of change]], "Edit")),B599)</f>
        <v>1</v>
      </c>
      <c r="C600" s="16">
        <v>44609</v>
      </c>
      <c r="D600" s="10" t="s">
        <v>2509</v>
      </c>
      <c r="E600" s="10" t="s">
        <v>2453</v>
      </c>
      <c r="F600" s="10" t="s">
        <v>9</v>
      </c>
      <c r="G600" s="10" t="s">
        <v>2528</v>
      </c>
      <c r="H600" s="10" t="s">
        <v>55</v>
      </c>
      <c r="I600" s="10" t="s">
        <v>647</v>
      </c>
      <c r="K600" s="2"/>
      <c r="M600" s="2"/>
    </row>
    <row r="601" spans="1:13">
      <c r="A601" t="s">
        <v>28</v>
      </c>
      <c r="B601">
        <f ca="1">IF(OR(changes[[#This Row],[Type]]="Checklist",changes[[#This Row],[Type]]="checklist-flat"),1+IF(changes[[#This Row],[Type of change]] = "Edit",COUNTIFS($I$4:changes[[#This Row],[Name]],changes[[#This Row],[Name]], $E$4:changes[[#This Row],[Type of change]], "Edit")),B600)</f>
        <v>1</v>
      </c>
      <c r="C601" s="16">
        <v>44609</v>
      </c>
      <c r="D601" s="10" t="s">
        <v>2509</v>
      </c>
      <c r="E601" s="10" t="s">
        <v>2453</v>
      </c>
      <c r="F601" s="10" t="s">
        <v>9</v>
      </c>
      <c r="G601" s="10" t="s">
        <v>2530</v>
      </c>
      <c r="H601" s="10" t="s">
        <v>478</v>
      </c>
      <c r="I601" s="10" t="s">
        <v>2530</v>
      </c>
      <c r="K601" s="2"/>
      <c r="M601" s="2" t="s">
        <v>2529</v>
      </c>
    </row>
    <row r="602" spans="1:13">
      <c r="A602" t="s">
        <v>28</v>
      </c>
      <c r="B602">
        <f ca="1">IF(OR(changes[[#This Row],[Type]]="Checklist",changes[[#This Row],[Type]]="checklist-flat"),1+IF(changes[[#This Row],[Type of change]] = "Edit",COUNTIFS($I$4:changes[[#This Row],[Name]],changes[[#This Row],[Name]], $E$4:changes[[#This Row],[Type of change]], "Edit")),B601)</f>
        <v>1</v>
      </c>
      <c r="C602" s="16">
        <v>44609</v>
      </c>
      <c r="D602" s="10" t="s">
        <v>2509</v>
      </c>
      <c r="E602" s="10" t="s">
        <v>2453</v>
      </c>
      <c r="F602" s="10" t="s">
        <v>9</v>
      </c>
      <c r="G602" s="10" t="s">
        <v>2530</v>
      </c>
      <c r="H602" s="10" t="s">
        <v>55</v>
      </c>
      <c r="I602" s="10" t="s">
        <v>62</v>
      </c>
      <c r="K602" s="2"/>
      <c r="M602" s="2"/>
    </row>
    <row r="603" spans="1:13">
      <c r="A603" t="s">
        <v>28</v>
      </c>
      <c r="B603">
        <f ca="1">IF(OR(changes[[#This Row],[Type]]="Checklist",changes[[#This Row],[Type]]="checklist-flat"),1+IF(changes[[#This Row],[Type of change]] = "Edit",COUNTIFS($I$4:changes[[#This Row],[Name]],changes[[#This Row],[Name]], $E$4:changes[[#This Row],[Type of change]], "Edit")),B602)</f>
        <v>1</v>
      </c>
      <c r="C603" s="16">
        <v>44609</v>
      </c>
      <c r="D603" s="10" t="s">
        <v>2509</v>
      </c>
      <c r="E603" s="10" t="s">
        <v>2453</v>
      </c>
      <c r="F603" s="10" t="s">
        <v>9</v>
      </c>
      <c r="G603" s="10" t="s">
        <v>2530</v>
      </c>
      <c r="H603" s="10" t="s">
        <v>55</v>
      </c>
      <c r="I603" s="10" t="s">
        <v>63</v>
      </c>
      <c r="K603" s="2"/>
      <c r="M603" s="2"/>
    </row>
    <row r="604" spans="1:13">
      <c r="A604" t="s">
        <v>28</v>
      </c>
      <c r="B604">
        <f ca="1">IF(OR(changes[[#This Row],[Type]]="Checklist",changes[[#This Row],[Type]]="checklist-flat"),1+IF(changes[[#This Row],[Type of change]] = "Edit",COUNTIFS($I$4:changes[[#This Row],[Name]],changes[[#This Row],[Name]], $E$4:changes[[#This Row],[Type of change]], "Edit")),B603)</f>
        <v>1</v>
      </c>
      <c r="C604" s="16">
        <v>44609</v>
      </c>
      <c r="D604" s="10" t="s">
        <v>2509</v>
      </c>
      <c r="E604" s="10" t="s">
        <v>2453</v>
      </c>
      <c r="F604" s="10" t="s">
        <v>9</v>
      </c>
      <c r="G604" s="10" t="s">
        <v>2530</v>
      </c>
      <c r="H604" s="10" t="s">
        <v>994</v>
      </c>
      <c r="I604" s="10" t="s">
        <v>2506</v>
      </c>
      <c r="K604" s="2"/>
      <c r="M604" s="2"/>
    </row>
    <row r="605" spans="1:13">
      <c r="A605" t="s">
        <v>28</v>
      </c>
      <c r="B605">
        <f ca="1">IF(OR(changes[[#This Row],[Type]]="Checklist",changes[[#This Row],[Type]]="checklist-flat"),1+IF(changes[[#This Row],[Type of change]] = "Edit",COUNTIFS($I$4:changes[[#This Row],[Name]],changes[[#This Row],[Name]], $E$4:changes[[#This Row],[Type of change]], "Edit")),B604)</f>
        <v>1</v>
      </c>
      <c r="C605" s="16">
        <v>44609</v>
      </c>
      <c r="D605" s="10" t="s">
        <v>2509</v>
      </c>
      <c r="E605" s="10" t="s">
        <v>2453</v>
      </c>
      <c r="F605" s="10" t="s">
        <v>9</v>
      </c>
      <c r="G605" s="10" t="s">
        <v>2530</v>
      </c>
      <c r="H605" s="10" t="s">
        <v>55</v>
      </c>
      <c r="I605" s="10" t="s">
        <v>649</v>
      </c>
      <c r="K605" s="2"/>
      <c r="M605" s="2"/>
    </row>
    <row r="606" spans="1:13">
      <c r="A606" t="s">
        <v>28</v>
      </c>
      <c r="B606">
        <f ca="1">IF(OR(changes[[#This Row],[Type]]="Checklist",changes[[#This Row],[Type]]="checklist-flat"),1+IF(changes[[#This Row],[Type of change]] = "Edit",COUNTIFS($I$4:changes[[#This Row],[Name]],changes[[#This Row],[Name]], $E$4:changes[[#This Row],[Type of change]], "Edit")),B605)</f>
        <v>1</v>
      </c>
      <c r="C606" s="16">
        <v>44610</v>
      </c>
      <c r="D606" s="10" t="s">
        <v>2484</v>
      </c>
      <c r="E606" s="10" t="s">
        <v>2453</v>
      </c>
      <c r="F606" s="10" t="s">
        <v>9</v>
      </c>
      <c r="G606" s="10" t="s">
        <v>2531</v>
      </c>
      <c r="H606" s="10" t="s">
        <v>478</v>
      </c>
      <c r="I606" s="10" t="s">
        <v>2531</v>
      </c>
      <c r="K606" s="2"/>
      <c r="M606" s="2" t="s">
        <v>2532</v>
      </c>
    </row>
    <row r="607" spans="1:13">
      <c r="A607" t="s">
        <v>28</v>
      </c>
      <c r="B607">
        <f ca="1">IF(OR(changes[[#This Row],[Type]]="Checklist",changes[[#This Row],[Type]]="checklist-flat"),1+IF(changes[[#This Row],[Type of change]] = "Edit",COUNTIFS($I$4:changes[[#This Row],[Name]],changes[[#This Row],[Name]], $E$4:changes[[#This Row],[Type of change]], "Edit")),B606)</f>
        <v>1</v>
      </c>
      <c r="C607" s="16">
        <v>44610</v>
      </c>
      <c r="D607" s="10" t="s">
        <v>2484</v>
      </c>
      <c r="E607" s="10" t="s">
        <v>2453</v>
      </c>
      <c r="F607" s="10" t="s">
        <v>9</v>
      </c>
      <c r="G607" s="10" t="s">
        <v>2531</v>
      </c>
      <c r="H607" s="10" t="s">
        <v>479</v>
      </c>
      <c r="I607" s="10" t="s">
        <v>1176</v>
      </c>
      <c r="K607" s="2"/>
      <c r="M607" s="2"/>
    </row>
    <row r="608" spans="1:13">
      <c r="A608" t="s">
        <v>28</v>
      </c>
      <c r="B608">
        <f ca="1">IF(OR(changes[[#This Row],[Type]]="Checklist",changes[[#This Row],[Type]]="checklist-flat"),1+IF(changes[[#This Row],[Type of change]] = "Edit",COUNTIFS($I$4:changes[[#This Row],[Name]],changes[[#This Row],[Name]], $E$4:changes[[#This Row],[Type of change]], "Edit")),B607)</f>
        <v>1</v>
      </c>
      <c r="C608" s="16">
        <v>44610</v>
      </c>
      <c r="D608" s="10" t="s">
        <v>2484</v>
      </c>
      <c r="E608" s="10" t="s">
        <v>2453</v>
      </c>
      <c r="F608" s="10" t="s">
        <v>9</v>
      </c>
      <c r="G608" s="10" t="s">
        <v>2531</v>
      </c>
      <c r="H608" s="10" t="s">
        <v>55</v>
      </c>
      <c r="I608" s="10" t="s">
        <v>1177</v>
      </c>
      <c r="K608" s="2"/>
      <c r="M608" s="2"/>
    </row>
    <row r="609" spans="1:13">
      <c r="A609" t="s">
        <v>28</v>
      </c>
      <c r="B609">
        <f ca="1">IF(OR(changes[[#This Row],[Type]]="Checklist",changes[[#This Row],[Type]]="checklist-flat"),1+IF(changes[[#This Row],[Type of change]] = "Edit",COUNTIFS($I$4:changes[[#This Row],[Name]],changes[[#This Row],[Name]], $E$4:changes[[#This Row],[Type of change]], "Edit")),B608)</f>
        <v>1</v>
      </c>
      <c r="C609" s="16">
        <v>44610</v>
      </c>
      <c r="D609" s="10" t="s">
        <v>2484</v>
      </c>
      <c r="E609" s="10" t="s">
        <v>2453</v>
      </c>
      <c r="F609" s="10" t="s">
        <v>9</v>
      </c>
      <c r="G609" s="10" t="s">
        <v>2531</v>
      </c>
      <c r="H609" s="10" t="s">
        <v>55</v>
      </c>
      <c r="I609" s="10" t="s">
        <v>1178</v>
      </c>
      <c r="K609" s="2"/>
      <c r="M609" s="2"/>
    </row>
    <row r="610" spans="1:13">
      <c r="A610" t="s">
        <v>28</v>
      </c>
      <c r="B610">
        <f ca="1">IF(OR(changes[[#This Row],[Type]]="Checklist",changes[[#This Row],[Type]]="checklist-flat"),1+IF(changes[[#This Row],[Type of change]] = "Edit",COUNTIFS($I$4:changes[[#This Row],[Name]],changes[[#This Row],[Name]], $E$4:changes[[#This Row],[Type of change]], "Edit")),B609)</f>
        <v>1</v>
      </c>
      <c r="C610" s="16">
        <v>44610</v>
      </c>
      <c r="D610" s="10" t="s">
        <v>2484</v>
      </c>
      <c r="E610" s="10" t="s">
        <v>2453</v>
      </c>
      <c r="F610" s="10" t="s">
        <v>9</v>
      </c>
      <c r="G610" s="10" t="s">
        <v>2531</v>
      </c>
      <c r="H610" s="10" t="s">
        <v>269</v>
      </c>
      <c r="I610" s="10" t="s">
        <v>1179</v>
      </c>
      <c r="K610" s="2"/>
      <c r="M610" s="2"/>
    </row>
    <row r="611" spans="1:13">
      <c r="A611" t="s">
        <v>28</v>
      </c>
      <c r="B611">
        <f ca="1">IF(OR(changes[[#This Row],[Type]]="Checklist",changes[[#This Row],[Type]]="checklist-flat"),1+IF(changes[[#This Row],[Type of change]] = "Edit",COUNTIFS($I$4:changes[[#This Row],[Name]],changes[[#This Row],[Name]], $E$4:changes[[#This Row],[Type of change]], "Edit")),B610)</f>
        <v>1</v>
      </c>
      <c r="C611" s="16">
        <v>44610</v>
      </c>
      <c r="D611" s="10" t="s">
        <v>2484</v>
      </c>
      <c r="E611" s="10" t="s">
        <v>2453</v>
      </c>
      <c r="F611" s="10" t="s">
        <v>9</v>
      </c>
      <c r="G611" s="10" t="s">
        <v>2531</v>
      </c>
      <c r="H611" s="10" t="s">
        <v>479</v>
      </c>
      <c r="I611" s="10" t="s">
        <v>2533</v>
      </c>
      <c r="K611" s="2"/>
      <c r="M611" s="2"/>
    </row>
    <row r="612" spans="1:13">
      <c r="A612" t="s">
        <v>28</v>
      </c>
      <c r="B612">
        <f ca="1">IF(OR(changes[[#This Row],[Type]]="Checklist",changes[[#This Row],[Type]]="checklist-flat"),1+IF(changes[[#This Row],[Type of change]] = "Edit",COUNTIFS($I$4:changes[[#This Row],[Name]],changes[[#This Row],[Name]], $E$4:changes[[#This Row],[Type of change]], "Edit")),B611)</f>
        <v>1</v>
      </c>
      <c r="C612" s="16">
        <v>44610</v>
      </c>
      <c r="D612" s="10" t="s">
        <v>2484</v>
      </c>
      <c r="E612" s="10" t="s">
        <v>2453</v>
      </c>
      <c r="F612" s="10" t="s">
        <v>9</v>
      </c>
      <c r="G612" s="10" t="s">
        <v>2531</v>
      </c>
      <c r="H612" s="10" t="s">
        <v>269</v>
      </c>
      <c r="I612" s="10" t="s">
        <v>1180</v>
      </c>
      <c r="K612" s="2"/>
      <c r="M612" s="2"/>
    </row>
    <row r="613" spans="1:13">
      <c r="A613" t="s">
        <v>28</v>
      </c>
      <c r="B613">
        <f ca="1">IF(OR(changes[[#This Row],[Type]]="Checklist",changes[[#This Row],[Type]]="checklist-flat"),1+IF(changes[[#This Row],[Type of change]] = "Edit",COUNTIFS($I$4:changes[[#This Row],[Name]],changes[[#This Row],[Name]], $E$4:changes[[#This Row],[Type of change]], "Edit")),B612)</f>
        <v>1</v>
      </c>
      <c r="C613" s="16">
        <v>44610</v>
      </c>
      <c r="D613" s="10" t="s">
        <v>2484</v>
      </c>
      <c r="E613" s="10" t="s">
        <v>2453</v>
      </c>
      <c r="F613" s="10" t="s">
        <v>9</v>
      </c>
      <c r="G613" s="10" t="s">
        <v>2531</v>
      </c>
      <c r="H613" s="10" t="s">
        <v>269</v>
      </c>
      <c r="I613" s="10" t="s">
        <v>1181</v>
      </c>
      <c r="K613" s="2"/>
      <c r="M613" s="2"/>
    </row>
    <row r="614" spans="1:13">
      <c r="A614" t="s">
        <v>28</v>
      </c>
      <c r="B614">
        <f ca="1">IF(OR(changes[[#This Row],[Type]]="Checklist",changes[[#This Row],[Type]]="checklist-flat"),1+IF(changes[[#This Row],[Type of change]] = "Edit",COUNTIFS($I$4:changes[[#This Row],[Name]],changes[[#This Row],[Name]], $E$4:changes[[#This Row],[Type of change]], "Edit")),B613)</f>
        <v>1</v>
      </c>
      <c r="C614" s="16">
        <v>44610</v>
      </c>
      <c r="D614" s="10" t="s">
        <v>2484</v>
      </c>
      <c r="E614" s="10" t="s">
        <v>2453</v>
      </c>
      <c r="F614" s="10" t="s">
        <v>9</v>
      </c>
      <c r="G614" s="10" t="s">
        <v>2531</v>
      </c>
      <c r="H614" s="10" t="s">
        <v>269</v>
      </c>
      <c r="I614" s="10" t="s">
        <v>1182</v>
      </c>
      <c r="K614" s="2"/>
      <c r="M614" s="2"/>
    </row>
    <row r="615" spans="1:13">
      <c r="A615" t="s">
        <v>28</v>
      </c>
      <c r="B615">
        <f ca="1">IF(OR(changes[[#This Row],[Type]]="Checklist",changes[[#This Row],[Type]]="checklist-flat"),1+IF(changes[[#This Row],[Type of change]] = "Edit",COUNTIFS($I$4:changes[[#This Row],[Name]],changes[[#This Row],[Name]], $E$4:changes[[#This Row],[Type of change]], "Edit")),B614)</f>
        <v>1</v>
      </c>
      <c r="C615" s="16">
        <v>44610</v>
      </c>
      <c r="D615" s="10" t="s">
        <v>2484</v>
      </c>
      <c r="E615" s="10" t="s">
        <v>2453</v>
      </c>
      <c r="F615" s="10" t="s">
        <v>9</v>
      </c>
      <c r="G615" s="10" t="s">
        <v>2531</v>
      </c>
      <c r="H615" s="10" t="s">
        <v>269</v>
      </c>
      <c r="I615" s="10" t="s">
        <v>1183</v>
      </c>
      <c r="K615" s="2"/>
      <c r="M615" s="2"/>
    </row>
    <row r="616" spans="1:13">
      <c r="A616" t="s">
        <v>28</v>
      </c>
      <c r="B616">
        <f ca="1">IF(OR(changes[[#This Row],[Type]]="Checklist",changes[[#This Row],[Type]]="checklist-flat"),1+IF(changes[[#This Row],[Type of change]] = "Edit",COUNTIFS($I$4:changes[[#This Row],[Name]],changes[[#This Row],[Name]], $E$4:changes[[#This Row],[Type of change]], "Edit")),B615)</f>
        <v>1</v>
      </c>
      <c r="C616" s="16">
        <v>44610</v>
      </c>
      <c r="D616" s="10" t="s">
        <v>2484</v>
      </c>
      <c r="E616" s="10" t="s">
        <v>2453</v>
      </c>
      <c r="F616" s="10" t="s">
        <v>9</v>
      </c>
      <c r="G616" s="10" t="s">
        <v>2531</v>
      </c>
      <c r="H616" s="10" t="s">
        <v>269</v>
      </c>
      <c r="I616" s="10" t="s">
        <v>2534</v>
      </c>
      <c r="K616" s="2"/>
      <c r="M616" s="2"/>
    </row>
    <row r="617" spans="1:13">
      <c r="A617" t="s">
        <v>28</v>
      </c>
      <c r="B617">
        <f ca="1">IF(OR(changes[[#This Row],[Type]]="Checklist",changes[[#This Row],[Type]]="checklist-flat"),1+IF(changes[[#This Row],[Type of change]] = "Edit",COUNTIFS($I$4:changes[[#This Row],[Name]],changes[[#This Row],[Name]], $E$4:changes[[#This Row],[Type of change]], "Edit")),B616)</f>
        <v>1</v>
      </c>
      <c r="C617" s="16">
        <v>44610</v>
      </c>
      <c r="D617" s="10" t="s">
        <v>2484</v>
      </c>
      <c r="E617" s="10" t="s">
        <v>2453</v>
      </c>
      <c r="F617" s="10" t="s">
        <v>9</v>
      </c>
      <c r="G617" s="10" t="s">
        <v>2531</v>
      </c>
      <c r="H617" s="10" t="s">
        <v>269</v>
      </c>
      <c r="I617" s="10" t="s">
        <v>2535</v>
      </c>
      <c r="K617" s="2"/>
      <c r="M617" s="2"/>
    </row>
    <row r="618" spans="1:13">
      <c r="A618" t="s">
        <v>28</v>
      </c>
      <c r="B618">
        <f ca="1">IF(OR(changes[[#This Row],[Type]]="Checklist",changes[[#This Row],[Type]]="checklist-flat"),1+IF(changes[[#This Row],[Type of change]] = "Edit",COUNTIFS($I$4:changes[[#This Row],[Name]],changes[[#This Row],[Name]], $E$4:changes[[#This Row],[Type of change]], "Edit")),B617)</f>
        <v>1</v>
      </c>
      <c r="C618" s="16">
        <v>44610</v>
      </c>
      <c r="D618" s="10" t="s">
        <v>2484</v>
      </c>
      <c r="E618" s="10" t="s">
        <v>2453</v>
      </c>
      <c r="F618" s="10" t="s">
        <v>9</v>
      </c>
      <c r="G618" s="10" t="s">
        <v>2531</v>
      </c>
      <c r="H618" s="10" t="s">
        <v>269</v>
      </c>
      <c r="I618" s="10" t="s">
        <v>1200</v>
      </c>
      <c r="K618" s="2"/>
      <c r="M618" s="2"/>
    </row>
    <row r="619" spans="1:13">
      <c r="A619" t="s">
        <v>28</v>
      </c>
      <c r="B619">
        <f ca="1">IF(OR(changes[[#This Row],[Type]]="Checklist",changes[[#This Row],[Type]]="checklist-flat"),1+IF(changes[[#This Row],[Type of change]] = "Edit",COUNTIFS($I$4:changes[[#This Row],[Name]],changes[[#This Row],[Name]], $E$4:changes[[#This Row],[Type of change]], "Edit")),B618)</f>
        <v>1</v>
      </c>
      <c r="C619" s="16">
        <v>44610</v>
      </c>
      <c r="D619" s="10" t="s">
        <v>2484</v>
      </c>
      <c r="E619" s="10" t="s">
        <v>2453</v>
      </c>
      <c r="F619" s="10" t="s">
        <v>9</v>
      </c>
      <c r="G619" s="10" t="s">
        <v>2531</v>
      </c>
      <c r="H619" s="10" t="s">
        <v>269</v>
      </c>
      <c r="I619" s="10" t="s">
        <v>2536</v>
      </c>
      <c r="K619" s="2"/>
      <c r="M619" s="2"/>
    </row>
    <row r="620" spans="1:13">
      <c r="A620" t="s">
        <v>28</v>
      </c>
      <c r="B620">
        <f ca="1">IF(OR(changes[[#This Row],[Type]]="Checklist",changes[[#This Row],[Type]]="checklist-flat"),1+IF(changes[[#This Row],[Type of change]] = "Edit",COUNTIFS($I$4:changes[[#This Row],[Name]],changes[[#This Row],[Name]], $E$4:changes[[#This Row],[Type of change]], "Edit")),B619)</f>
        <v>1</v>
      </c>
      <c r="C620" s="16">
        <v>44610</v>
      </c>
      <c r="D620" s="10" t="s">
        <v>2484</v>
      </c>
      <c r="E620" s="10" t="s">
        <v>2453</v>
      </c>
      <c r="F620" s="10" t="s">
        <v>9</v>
      </c>
      <c r="G620" s="10" t="s">
        <v>2531</v>
      </c>
      <c r="H620" s="10" t="s">
        <v>269</v>
      </c>
      <c r="I620" s="10" t="s">
        <v>1202</v>
      </c>
      <c r="K620" s="2"/>
      <c r="M620" s="2"/>
    </row>
    <row r="621" spans="1:13">
      <c r="A621" t="s">
        <v>28</v>
      </c>
      <c r="B621">
        <f ca="1">IF(OR(changes[[#This Row],[Type]]="Checklist",changes[[#This Row],[Type]]="checklist-flat"),1+IF(changes[[#This Row],[Type of change]] = "Edit",COUNTIFS($I$4:changes[[#This Row],[Name]],changes[[#This Row],[Name]], $E$4:changes[[#This Row],[Type of change]], "Edit")),B620)</f>
        <v>1</v>
      </c>
      <c r="C621" s="16">
        <v>44610</v>
      </c>
      <c r="D621" s="10" t="s">
        <v>2484</v>
      </c>
      <c r="E621" s="10" t="s">
        <v>2453</v>
      </c>
      <c r="F621" s="10" t="s">
        <v>9</v>
      </c>
      <c r="G621" s="10" t="s">
        <v>2531</v>
      </c>
      <c r="H621" s="10" t="s">
        <v>269</v>
      </c>
      <c r="I621" s="10" t="s">
        <v>2537</v>
      </c>
      <c r="K621" s="2"/>
      <c r="M621" s="2"/>
    </row>
    <row r="622" spans="1:13">
      <c r="A622" t="s">
        <v>28</v>
      </c>
      <c r="B622">
        <f ca="1">IF(OR(changes[[#This Row],[Type]]="Checklist",changes[[#This Row],[Type]]="checklist-flat"),1+IF(changes[[#This Row],[Type of change]] = "Edit",COUNTIFS($I$4:changes[[#This Row],[Name]],changes[[#This Row],[Name]], $E$4:changes[[#This Row],[Type of change]], "Edit")),B621)</f>
        <v>1</v>
      </c>
      <c r="C622" s="16">
        <v>44610</v>
      </c>
      <c r="D622" s="10" t="s">
        <v>2484</v>
      </c>
      <c r="E622" s="10" t="s">
        <v>2453</v>
      </c>
      <c r="F622" s="10" t="s">
        <v>9</v>
      </c>
      <c r="G622" s="10" t="s">
        <v>2531</v>
      </c>
      <c r="H622" s="10" t="s">
        <v>269</v>
      </c>
      <c r="I622" s="10" t="s">
        <v>1204</v>
      </c>
      <c r="K622" s="2"/>
      <c r="M622" s="2"/>
    </row>
    <row r="623" spans="1:13">
      <c r="A623" t="s">
        <v>28</v>
      </c>
      <c r="B623">
        <f ca="1">IF(OR(changes[[#This Row],[Type]]="Checklist",changes[[#This Row],[Type]]="checklist-flat"),1+IF(changes[[#This Row],[Type of change]] = "Edit",COUNTIFS($I$4:changes[[#This Row],[Name]],changes[[#This Row],[Name]], $E$4:changes[[#This Row],[Type of change]], "Edit")),B622)</f>
        <v>1</v>
      </c>
      <c r="C623" s="16">
        <v>44610</v>
      </c>
      <c r="D623" s="10" t="s">
        <v>2484</v>
      </c>
      <c r="E623" s="10" t="s">
        <v>2453</v>
      </c>
      <c r="F623" s="10" t="s">
        <v>9</v>
      </c>
      <c r="G623" s="10" t="s">
        <v>2531</v>
      </c>
      <c r="H623" s="10" t="s">
        <v>269</v>
      </c>
      <c r="I623" s="10" t="s">
        <v>1205</v>
      </c>
      <c r="K623" s="2"/>
      <c r="M623" s="2"/>
    </row>
    <row r="624" spans="1:13">
      <c r="A624" t="s">
        <v>28</v>
      </c>
      <c r="B624">
        <f ca="1">IF(OR(changes[[#This Row],[Type]]="Checklist",changes[[#This Row],[Type]]="checklist-flat"),1+IF(changes[[#This Row],[Type of change]] = "Edit",COUNTIFS($I$4:changes[[#This Row],[Name]],changes[[#This Row],[Name]], $E$4:changes[[#This Row],[Type of change]], "Edit")),B623)</f>
        <v>1</v>
      </c>
      <c r="C624" s="16">
        <v>44610</v>
      </c>
      <c r="D624" s="10" t="s">
        <v>2484</v>
      </c>
      <c r="E624" s="10" t="s">
        <v>2453</v>
      </c>
      <c r="F624" s="10" t="s">
        <v>9</v>
      </c>
      <c r="G624" s="10" t="s">
        <v>2531</v>
      </c>
      <c r="H624" s="10" t="s">
        <v>64</v>
      </c>
      <c r="I624" s="10" t="s">
        <v>1142</v>
      </c>
      <c r="K624" s="2"/>
      <c r="M624" s="2"/>
    </row>
    <row r="625" spans="1:13">
      <c r="A625" t="s">
        <v>28</v>
      </c>
      <c r="B625">
        <f ca="1">IF(OR(changes[[#This Row],[Type]]="Checklist",changes[[#This Row],[Type]]="checklist-flat"),1+IF(changes[[#This Row],[Type of change]] = "Edit",COUNTIFS($I$4:changes[[#This Row],[Name]],changes[[#This Row],[Name]], $E$4:changes[[#This Row],[Type of change]], "Edit")),B624)</f>
        <v>1</v>
      </c>
      <c r="C625" s="16">
        <v>44613</v>
      </c>
      <c r="D625" s="10" t="s">
        <v>2484</v>
      </c>
      <c r="E625" s="10" t="s">
        <v>2453</v>
      </c>
      <c r="F625" s="10" t="s">
        <v>9</v>
      </c>
      <c r="G625" s="10" t="s">
        <v>764</v>
      </c>
      <c r="H625" s="10" t="s">
        <v>478</v>
      </c>
      <c r="I625" s="10" t="s">
        <v>764</v>
      </c>
      <c r="K625" s="2"/>
      <c r="M625" s="2"/>
    </row>
    <row r="626" spans="1:13">
      <c r="A626" t="s">
        <v>28</v>
      </c>
      <c r="B626">
        <f ca="1">IF(OR(changes[[#This Row],[Type]]="Checklist",changes[[#This Row],[Type]]="checklist-flat"),1+IF(changes[[#This Row],[Type of change]] = "Edit",COUNTIFS($I$4:changes[[#This Row],[Name]],changes[[#This Row],[Name]], $E$4:changes[[#This Row],[Type of change]], "Edit")),B625)</f>
        <v>1</v>
      </c>
      <c r="C626" s="16">
        <v>44613</v>
      </c>
      <c r="D626" s="10" t="s">
        <v>2484</v>
      </c>
      <c r="E626" s="10" t="s">
        <v>2453</v>
      </c>
      <c r="F626" s="10" t="s">
        <v>9</v>
      </c>
      <c r="G626" s="10" t="s">
        <v>764</v>
      </c>
      <c r="H626" s="10" t="s">
        <v>55</v>
      </c>
      <c r="I626" s="10" t="s">
        <v>765</v>
      </c>
      <c r="K626" s="2"/>
      <c r="M626" s="2"/>
    </row>
    <row r="627" spans="1:13">
      <c r="A627" t="s">
        <v>28</v>
      </c>
      <c r="B627">
        <f ca="1">IF(OR(changes[[#This Row],[Type]]="Checklist",changes[[#This Row],[Type]]="checklist-flat"),1+IF(changes[[#This Row],[Type of change]] = "Edit",COUNTIFS($I$4:changes[[#This Row],[Name]],changes[[#This Row],[Name]], $E$4:changes[[#This Row],[Type of change]], "Edit")),B626)</f>
        <v>1</v>
      </c>
      <c r="C627" s="16">
        <v>44613</v>
      </c>
      <c r="D627" s="10" t="s">
        <v>2484</v>
      </c>
      <c r="E627" s="10" t="s">
        <v>2453</v>
      </c>
      <c r="F627" s="10" t="s">
        <v>9</v>
      </c>
      <c r="G627" s="10" t="s">
        <v>764</v>
      </c>
      <c r="H627" s="10" t="s">
        <v>420</v>
      </c>
      <c r="I627" s="10" t="s">
        <v>766</v>
      </c>
      <c r="K627" s="2"/>
      <c r="M627" s="2"/>
    </row>
    <row r="628" spans="1:13">
      <c r="A628" t="s">
        <v>28</v>
      </c>
      <c r="B628">
        <f ca="1">IF(OR(changes[[#This Row],[Type]]="Checklist",changes[[#This Row],[Type]]="checklist-flat"),1+IF(changes[[#This Row],[Type of change]] = "Edit",COUNTIFS($I$4:changes[[#This Row],[Name]],changes[[#This Row],[Name]], $E$4:changes[[#This Row],[Type of change]], "Edit")),B627)</f>
        <v>1</v>
      </c>
      <c r="C628" s="16">
        <v>44613</v>
      </c>
      <c r="D628" s="10" t="s">
        <v>2484</v>
      </c>
      <c r="E628" s="10" t="s">
        <v>2453</v>
      </c>
      <c r="F628" s="10" t="s">
        <v>9</v>
      </c>
      <c r="G628" s="10" t="s">
        <v>764</v>
      </c>
      <c r="H628" s="10" t="s">
        <v>55</v>
      </c>
      <c r="I628" s="10" t="s">
        <v>767</v>
      </c>
      <c r="K628" s="2"/>
      <c r="M628" s="2"/>
    </row>
    <row r="629" spans="1:13">
      <c r="A629" t="s">
        <v>28</v>
      </c>
      <c r="B629">
        <f ca="1">IF(OR(changes[[#This Row],[Type]]="Checklist",changes[[#This Row],[Type]]="checklist-flat"),1+IF(changes[[#This Row],[Type of change]] = "Edit",COUNTIFS($I$4:changes[[#This Row],[Name]],changes[[#This Row],[Name]], $E$4:changes[[#This Row],[Type of change]], "Edit")),B628)</f>
        <v>1</v>
      </c>
      <c r="C629" s="16">
        <v>44613</v>
      </c>
      <c r="D629" s="10" t="s">
        <v>2484</v>
      </c>
      <c r="E629" s="10" t="s">
        <v>2453</v>
      </c>
      <c r="F629" s="10" t="s">
        <v>9</v>
      </c>
      <c r="G629" s="10" t="s">
        <v>764</v>
      </c>
      <c r="H629" s="10" t="s">
        <v>55</v>
      </c>
      <c r="I629" s="10" t="s">
        <v>768</v>
      </c>
      <c r="K629" s="2"/>
      <c r="M629" s="2"/>
    </row>
    <row r="630" spans="1:13">
      <c r="A630" t="s">
        <v>28</v>
      </c>
      <c r="B630">
        <f ca="1">IF(OR(changes[[#This Row],[Type]]="Checklist",changes[[#This Row],[Type]]="checklist-flat"),1+IF(changes[[#This Row],[Type of change]] = "Edit",COUNTIFS($I$4:changes[[#This Row],[Name]],changes[[#This Row],[Name]], $E$4:changes[[#This Row],[Type of change]], "Edit")),B629)</f>
        <v>1</v>
      </c>
      <c r="C630" s="16">
        <v>44613</v>
      </c>
      <c r="D630" s="10" t="s">
        <v>2484</v>
      </c>
      <c r="E630" s="10" t="s">
        <v>2453</v>
      </c>
      <c r="F630" s="10" t="s">
        <v>9</v>
      </c>
      <c r="G630" s="10" t="s">
        <v>764</v>
      </c>
      <c r="H630" s="10" t="s">
        <v>55</v>
      </c>
      <c r="I630" s="10" t="s">
        <v>769</v>
      </c>
      <c r="K630" s="2"/>
      <c r="M630" s="2"/>
    </row>
    <row r="631" spans="1:13">
      <c r="A631" t="s">
        <v>28</v>
      </c>
      <c r="B631">
        <f ca="1">IF(OR(changes[[#This Row],[Type]]="Checklist",changes[[#This Row],[Type]]="checklist-flat"),1+IF(changes[[#This Row],[Type of change]] = "Edit",COUNTIFS($I$4:changes[[#This Row],[Name]],changes[[#This Row],[Name]], $E$4:changes[[#This Row],[Type of change]], "Edit")),B630)</f>
        <v>1</v>
      </c>
      <c r="C631" s="16">
        <v>44613</v>
      </c>
      <c r="D631" s="10" t="s">
        <v>2484</v>
      </c>
      <c r="E631" s="10" t="s">
        <v>2453</v>
      </c>
      <c r="F631" s="10" t="s">
        <v>9</v>
      </c>
      <c r="G631" s="10" t="s">
        <v>764</v>
      </c>
      <c r="H631" s="10" t="s">
        <v>55</v>
      </c>
      <c r="I631" s="10" t="s">
        <v>770</v>
      </c>
      <c r="K631" s="2"/>
      <c r="M631" s="2"/>
    </row>
    <row r="632" spans="1:13">
      <c r="A632" t="s">
        <v>28</v>
      </c>
      <c r="B632">
        <f ca="1">IF(OR(changes[[#This Row],[Type]]="Checklist",changes[[#This Row],[Type]]="checklist-flat"),1+IF(changes[[#This Row],[Type of change]] = "Edit",COUNTIFS($I$4:changes[[#This Row],[Name]],changes[[#This Row],[Name]], $E$4:changes[[#This Row],[Type of change]], "Edit")),B631)</f>
        <v>1</v>
      </c>
      <c r="C632" s="16">
        <v>44613</v>
      </c>
      <c r="D632" s="10" t="s">
        <v>2484</v>
      </c>
      <c r="E632" s="10" t="s">
        <v>2453</v>
      </c>
      <c r="F632" s="10" t="s">
        <v>9</v>
      </c>
      <c r="G632" s="10" t="s">
        <v>764</v>
      </c>
      <c r="H632" s="10" t="s">
        <v>55</v>
      </c>
      <c r="I632" s="10" t="s">
        <v>771</v>
      </c>
      <c r="K632" s="2"/>
      <c r="M632" s="2"/>
    </row>
    <row r="633" spans="1:13">
      <c r="A633" t="s">
        <v>28</v>
      </c>
      <c r="B633">
        <f ca="1">IF(OR(changes[[#This Row],[Type]]="Checklist",changes[[#This Row],[Type]]="checklist-flat"),1+IF(changes[[#This Row],[Type of change]] = "Edit",COUNTIFS($I$4:changes[[#This Row],[Name]],changes[[#This Row],[Name]], $E$4:changes[[#This Row],[Type of change]], "Edit")),B632)</f>
        <v>1</v>
      </c>
      <c r="C633" s="16">
        <v>44613</v>
      </c>
      <c r="D633" s="10" t="s">
        <v>2484</v>
      </c>
      <c r="E633" s="10" t="s">
        <v>2453</v>
      </c>
      <c r="F633" s="10" t="s">
        <v>9</v>
      </c>
      <c r="G633" s="10" t="s">
        <v>764</v>
      </c>
      <c r="H633" s="10" t="s">
        <v>64</v>
      </c>
      <c r="I633" s="10" t="s">
        <v>772</v>
      </c>
      <c r="K633" s="2"/>
      <c r="M633" s="2"/>
    </row>
    <row r="634" spans="1:13">
      <c r="A634" t="s">
        <v>28</v>
      </c>
      <c r="B634">
        <f ca="1">IF(OR(changes[[#This Row],[Type]]="Checklist",changes[[#This Row],[Type]]="checklist-flat"),1+IF(changes[[#This Row],[Type of change]] = "Edit",COUNTIFS($I$4:changes[[#This Row],[Name]],changes[[#This Row],[Name]], $E$4:changes[[#This Row],[Type of change]], "Edit")),B633)</f>
        <v>1</v>
      </c>
      <c r="C634" s="16">
        <v>44613</v>
      </c>
      <c r="D634" s="10" t="s">
        <v>2484</v>
      </c>
      <c r="E634" s="10" t="s">
        <v>2453</v>
      </c>
      <c r="F634" s="10" t="s">
        <v>9</v>
      </c>
      <c r="G634" s="10" t="s">
        <v>2538</v>
      </c>
      <c r="H634" s="10" t="s">
        <v>478</v>
      </c>
      <c r="I634" s="10" t="s">
        <v>2538</v>
      </c>
      <c r="K634" s="2"/>
      <c r="M634" s="2"/>
    </row>
    <row r="635" spans="1:13">
      <c r="A635" t="s">
        <v>28</v>
      </c>
      <c r="B635">
        <f ca="1">IF(OR(changes[[#This Row],[Type]]="Checklist",changes[[#This Row],[Type]]="checklist-flat"),1+IF(changes[[#This Row],[Type of change]] = "Edit",COUNTIFS($I$4:changes[[#This Row],[Name]],changes[[#This Row],[Name]], $E$4:changes[[#This Row],[Type of change]], "Edit")),B634)</f>
        <v>1</v>
      </c>
      <c r="C635" s="16">
        <v>44613</v>
      </c>
      <c r="D635" s="10" t="s">
        <v>2484</v>
      </c>
      <c r="E635" s="10" t="s">
        <v>2453</v>
      </c>
      <c r="F635" s="10" t="s">
        <v>9</v>
      </c>
      <c r="G635" s="10" t="s">
        <v>2538</v>
      </c>
      <c r="H635" s="10" t="s">
        <v>55</v>
      </c>
      <c r="I635" s="10" t="s">
        <v>1103</v>
      </c>
      <c r="K635" s="2"/>
      <c r="M635" s="2"/>
    </row>
    <row r="636" spans="1:13">
      <c r="A636" t="s">
        <v>28</v>
      </c>
      <c r="B636">
        <f ca="1">IF(OR(changes[[#This Row],[Type]]="Checklist",changes[[#This Row],[Type]]="checklist-flat"),1+IF(changes[[#This Row],[Type of change]] = "Edit",COUNTIFS($I$4:changes[[#This Row],[Name]],changes[[#This Row],[Name]], $E$4:changes[[#This Row],[Type of change]], "Edit")),B635)</f>
        <v>1</v>
      </c>
      <c r="C636" s="16">
        <v>44613</v>
      </c>
      <c r="D636" s="10" t="s">
        <v>2484</v>
      </c>
      <c r="E636" s="10" t="s">
        <v>2453</v>
      </c>
      <c r="F636" s="10" t="s">
        <v>9</v>
      </c>
      <c r="G636" s="10" t="s">
        <v>2538</v>
      </c>
      <c r="H636" s="10" t="s">
        <v>55</v>
      </c>
      <c r="I636" s="10" t="s">
        <v>1104</v>
      </c>
      <c r="K636" s="2"/>
      <c r="M636" s="2"/>
    </row>
    <row r="637" spans="1:13">
      <c r="A637" t="s">
        <v>28</v>
      </c>
      <c r="B637">
        <f ca="1">IF(OR(changes[[#This Row],[Type]]="Checklist",changes[[#This Row],[Type]]="checklist-flat"),1+IF(changes[[#This Row],[Type of change]] = "Edit",COUNTIFS($I$4:changes[[#This Row],[Name]],changes[[#This Row],[Name]], $E$4:changes[[#This Row],[Type of change]], "Edit")),B636)</f>
        <v>1</v>
      </c>
      <c r="C637" s="16">
        <v>44613</v>
      </c>
      <c r="D637" s="10" t="s">
        <v>2484</v>
      </c>
      <c r="E637" s="10" t="s">
        <v>2453</v>
      </c>
      <c r="F637" s="10" t="s">
        <v>9</v>
      </c>
      <c r="G637" s="10" t="s">
        <v>2538</v>
      </c>
      <c r="H637" s="10" t="s">
        <v>64</v>
      </c>
      <c r="I637" s="10" t="s">
        <v>1105</v>
      </c>
      <c r="K637" s="2"/>
      <c r="M637" s="2"/>
    </row>
    <row r="638" spans="1:13">
      <c r="A638" t="s">
        <v>11</v>
      </c>
      <c r="B638">
        <f ca="1">IF(OR(changes[[#This Row],[Type]]="Checklist",changes[[#This Row],[Type]]="checklist-flat"),1+IF(changes[[#This Row],[Type of change]] = "Edit",COUNTIFS($I$4:changes[[#This Row],[Name]],changes[[#This Row],[Name]], $E$4:changes[[#This Row],[Type of change]], "Edit")),B637)</f>
        <v>1</v>
      </c>
      <c r="C638" s="16">
        <v>44613</v>
      </c>
      <c r="D638" s="10" t="s">
        <v>2484</v>
      </c>
      <c r="E638" s="10" t="s">
        <v>2453</v>
      </c>
      <c r="F638" s="10" t="s">
        <v>9</v>
      </c>
      <c r="G638" s="10" t="s">
        <v>2539</v>
      </c>
      <c r="H638" s="10" t="s">
        <v>478</v>
      </c>
      <c r="I638" s="10" t="s">
        <v>2539</v>
      </c>
      <c r="K638" s="2"/>
      <c r="M638" s="2" t="s">
        <v>2540</v>
      </c>
    </row>
    <row r="639" spans="1:13">
      <c r="A639" t="s">
        <v>11</v>
      </c>
      <c r="B639">
        <f ca="1">IF(OR(changes[[#This Row],[Type]]="Checklist",changes[[#This Row],[Type]]="checklist-flat"),1+IF(changes[[#This Row],[Type of change]] = "Edit",COUNTIFS($I$4:changes[[#This Row],[Name]],changes[[#This Row],[Name]], $E$4:changes[[#This Row],[Type of change]], "Edit")),B638)</f>
        <v>1</v>
      </c>
      <c r="C639" s="16">
        <v>44613</v>
      </c>
      <c r="D639" s="10" t="s">
        <v>2484</v>
      </c>
      <c r="E639" s="10" t="s">
        <v>2453</v>
      </c>
      <c r="F639" s="10" t="s">
        <v>9</v>
      </c>
      <c r="G639" s="10" t="s">
        <v>2539</v>
      </c>
      <c r="H639" s="10" t="s">
        <v>55</v>
      </c>
      <c r="I639" s="10" t="s">
        <v>1103</v>
      </c>
      <c r="K639" s="2"/>
      <c r="M639" s="2"/>
    </row>
    <row r="640" spans="1:13">
      <c r="A640" t="s">
        <v>11</v>
      </c>
      <c r="B640">
        <f ca="1">IF(OR(changes[[#This Row],[Type]]="Checklist",changes[[#This Row],[Type]]="checklist-flat"),1+IF(changes[[#This Row],[Type of change]] = "Edit",COUNTIFS($I$4:changes[[#This Row],[Name]],changes[[#This Row],[Name]], $E$4:changes[[#This Row],[Type of change]], "Edit")),B639)</f>
        <v>1</v>
      </c>
      <c r="C640" s="16">
        <v>44613</v>
      </c>
      <c r="D640" s="10" t="s">
        <v>2484</v>
      </c>
      <c r="E640" s="10" t="s">
        <v>2453</v>
      </c>
      <c r="F640" s="10" t="s">
        <v>9</v>
      </c>
      <c r="G640" s="10" t="s">
        <v>2539</v>
      </c>
      <c r="H640" s="10" t="s">
        <v>55</v>
      </c>
      <c r="I640" s="10" t="s">
        <v>2541</v>
      </c>
      <c r="K640" s="2"/>
      <c r="M640" s="2"/>
    </row>
    <row r="641" spans="1:13">
      <c r="A641" t="s">
        <v>11</v>
      </c>
      <c r="B641">
        <f ca="1">IF(OR(changes[[#This Row],[Type]]="Checklist",changes[[#This Row],[Type]]="checklist-flat"),1+IF(changes[[#This Row],[Type of change]] = "Edit",COUNTIFS($I$4:changes[[#This Row],[Name]],changes[[#This Row],[Name]], $E$4:changes[[#This Row],[Type of change]], "Edit")),B640)</f>
        <v>1</v>
      </c>
      <c r="C641" s="16">
        <v>44613</v>
      </c>
      <c r="D641" s="10" t="s">
        <v>2484</v>
      </c>
      <c r="E641" s="10" t="s">
        <v>2453</v>
      </c>
      <c r="F641" s="10" t="s">
        <v>9</v>
      </c>
      <c r="G641" s="10" t="s">
        <v>2539</v>
      </c>
      <c r="H641" s="10" t="s">
        <v>55</v>
      </c>
      <c r="I641" s="10" t="s">
        <v>2542</v>
      </c>
      <c r="K641" s="2"/>
      <c r="M641" s="2"/>
    </row>
    <row r="642" spans="1:13">
      <c r="A642" t="s">
        <v>11</v>
      </c>
      <c r="B642">
        <f ca="1">IF(OR(changes[[#This Row],[Type]]="Checklist",changes[[#This Row],[Type]]="checklist-flat"),1+IF(changes[[#This Row],[Type of change]] = "Edit",COUNTIFS($I$4:changes[[#This Row],[Name]],changes[[#This Row],[Name]], $E$4:changes[[#This Row],[Type of change]], "Edit")),B641)</f>
        <v>1</v>
      </c>
      <c r="C642" s="16">
        <v>44613</v>
      </c>
      <c r="D642" s="10" t="s">
        <v>2484</v>
      </c>
      <c r="E642" s="10" t="s">
        <v>2453</v>
      </c>
      <c r="F642" s="10" t="s">
        <v>9</v>
      </c>
      <c r="G642" s="10" t="s">
        <v>2539</v>
      </c>
      <c r="H642" s="10" t="s">
        <v>55</v>
      </c>
      <c r="I642" s="10" t="s">
        <v>2543</v>
      </c>
      <c r="K642" s="2"/>
      <c r="M642" s="2"/>
    </row>
    <row r="643" spans="1:13">
      <c r="A643" t="s">
        <v>11</v>
      </c>
      <c r="B643">
        <f ca="1">IF(OR(changes[[#This Row],[Type]]="Checklist",changes[[#This Row],[Type]]="checklist-flat"),1+IF(changes[[#This Row],[Type of change]] = "Edit",COUNTIFS($I$4:changes[[#This Row],[Name]],changes[[#This Row],[Name]], $E$4:changes[[#This Row],[Type of change]], "Edit")),B642)</f>
        <v>1</v>
      </c>
      <c r="C643" s="16">
        <v>44613</v>
      </c>
      <c r="D643" s="10" t="s">
        <v>2484</v>
      </c>
      <c r="E643" s="10" t="s">
        <v>2453</v>
      </c>
      <c r="F643" s="10" t="s">
        <v>9</v>
      </c>
      <c r="G643" s="10" t="s">
        <v>2539</v>
      </c>
      <c r="H643" s="10" t="s">
        <v>55</v>
      </c>
      <c r="I643" s="10" t="s">
        <v>2544</v>
      </c>
      <c r="K643" s="2"/>
      <c r="M643" s="2"/>
    </row>
    <row r="644" spans="1:13">
      <c r="A644" t="s">
        <v>11</v>
      </c>
      <c r="B644">
        <f ca="1">IF(OR(changes[[#This Row],[Type]]="Checklist",changes[[#This Row],[Type]]="checklist-flat"),1+IF(changes[[#This Row],[Type of change]] = "Edit",COUNTIFS($I$4:changes[[#This Row],[Name]],changes[[#This Row],[Name]], $E$4:changes[[#This Row],[Type of change]], "Edit")),B643)</f>
        <v>1</v>
      </c>
      <c r="C644" s="16">
        <v>44613</v>
      </c>
      <c r="D644" s="10" t="s">
        <v>2484</v>
      </c>
      <c r="E644" s="10" t="s">
        <v>2453</v>
      </c>
      <c r="F644" s="10" t="s">
        <v>9</v>
      </c>
      <c r="G644" s="10" t="s">
        <v>2539</v>
      </c>
      <c r="H644" s="10" t="s">
        <v>64</v>
      </c>
      <c r="I644" s="10" t="s">
        <v>1105</v>
      </c>
      <c r="K644" s="2"/>
      <c r="M644" s="2"/>
    </row>
    <row r="645" spans="1:13">
      <c r="A645" t="s">
        <v>28</v>
      </c>
      <c r="B645">
        <f ca="1">IF(OR(changes[[#This Row],[Type]]="Checklist",changes[[#This Row],[Type]]="checklist-flat"),1+IF(changes[[#This Row],[Type of change]] = "Edit",COUNTIFS($I$4:changes[[#This Row],[Name]],changes[[#This Row],[Name]], $E$4:changes[[#This Row],[Type of change]], "Edit")),B644)</f>
        <v>1</v>
      </c>
      <c r="C645" s="16">
        <v>44613</v>
      </c>
      <c r="D645" s="10" t="s">
        <v>2484</v>
      </c>
      <c r="E645" s="10" t="s">
        <v>2453</v>
      </c>
      <c r="F645" s="10" t="s">
        <v>9</v>
      </c>
      <c r="G645" s="10" t="s">
        <v>2545</v>
      </c>
      <c r="H645" s="10" t="s">
        <v>478</v>
      </c>
      <c r="I645" s="10" t="s">
        <v>2545</v>
      </c>
      <c r="K645" s="2"/>
      <c r="M645" s="2"/>
    </row>
    <row r="646" spans="1:13">
      <c r="A646" t="s">
        <v>28</v>
      </c>
      <c r="B646">
        <f ca="1">IF(OR(changes[[#This Row],[Type]]="Checklist",changes[[#This Row],[Type]]="checklist-flat"),1+IF(changes[[#This Row],[Type of change]] = "Edit",COUNTIFS($I$4:changes[[#This Row],[Name]],changes[[#This Row],[Name]], $E$4:changes[[#This Row],[Type of change]], "Edit")),B645)</f>
        <v>1</v>
      </c>
      <c r="C646" s="16">
        <v>44613</v>
      </c>
      <c r="D646" s="10" t="s">
        <v>2484</v>
      </c>
      <c r="E646" s="10" t="s">
        <v>2453</v>
      </c>
      <c r="F646" s="10" t="s">
        <v>9</v>
      </c>
      <c r="G646" s="10" t="s">
        <v>2545</v>
      </c>
      <c r="H646" s="10" t="s">
        <v>55</v>
      </c>
      <c r="I646" s="10" t="s">
        <v>1107</v>
      </c>
      <c r="K646" s="2"/>
      <c r="M646" s="2"/>
    </row>
    <row r="647" spans="1:13">
      <c r="A647" t="s">
        <v>28</v>
      </c>
      <c r="B647">
        <f ca="1">IF(OR(changes[[#This Row],[Type]]="Checklist",changes[[#This Row],[Type]]="checklist-flat"),1+IF(changes[[#This Row],[Type of change]] = "Edit",COUNTIFS($I$4:changes[[#This Row],[Name]],changes[[#This Row],[Name]], $E$4:changes[[#This Row],[Type of change]], "Edit")),B646)</f>
        <v>1</v>
      </c>
      <c r="C647" s="16">
        <v>44613</v>
      </c>
      <c r="D647" s="10" t="s">
        <v>2484</v>
      </c>
      <c r="E647" s="10" t="s">
        <v>2453</v>
      </c>
      <c r="F647" s="10" t="s">
        <v>9</v>
      </c>
      <c r="G647" s="10" t="s">
        <v>2545</v>
      </c>
      <c r="H647" s="10" t="s">
        <v>55</v>
      </c>
      <c r="I647" s="10" t="s">
        <v>1108</v>
      </c>
      <c r="K647" s="2"/>
      <c r="M647" s="2"/>
    </row>
    <row r="648" spans="1:13" ht="15" customHeight="1">
      <c r="A648" t="s">
        <v>28</v>
      </c>
      <c r="B648">
        <f ca="1">IF(OR(changes[[#This Row],[Type]]="Checklist",changes[[#This Row],[Type]]="checklist-flat"),1+IF(changes[[#This Row],[Type of change]] = "Edit",COUNTIFS($I$4:changes[[#This Row],[Name]],changes[[#This Row],[Name]], $E$4:changes[[#This Row],[Type of change]], "Edit")),B647)</f>
        <v>1</v>
      </c>
      <c r="C648" s="16">
        <v>44613</v>
      </c>
      <c r="D648" s="10" t="s">
        <v>2484</v>
      </c>
      <c r="E648" s="10" t="s">
        <v>2453</v>
      </c>
      <c r="F648" s="10" t="s">
        <v>9</v>
      </c>
      <c r="G648" s="10" t="s">
        <v>2545</v>
      </c>
      <c r="H648" s="10" t="s">
        <v>64</v>
      </c>
      <c r="I648" s="10" t="s">
        <v>1105</v>
      </c>
      <c r="K648" s="2"/>
      <c r="M648" s="2"/>
    </row>
    <row r="649" spans="1:13">
      <c r="A649" t="s">
        <v>28</v>
      </c>
      <c r="B649">
        <f ca="1">IF(OR(changes[[#This Row],[Type]]="Checklist",changes[[#This Row],[Type]]="checklist-flat"),1+IF(changes[[#This Row],[Type of change]] = "Edit",COUNTIFS($I$4:changes[[#This Row],[Name]],changes[[#This Row],[Name]], $E$4:changes[[#This Row],[Type of change]], "Edit")),B648)</f>
        <v>1</v>
      </c>
      <c r="C649" s="16">
        <v>44614</v>
      </c>
      <c r="D649" s="10" t="s">
        <v>2481</v>
      </c>
      <c r="E649" s="10" t="s">
        <v>2453</v>
      </c>
      <c r="F649" s="10" t="s">
        <v>52</v>
      </c>
      <c r="G649" s="10" t="s">
        <v>386</v>
      </c>
      <c r="H649" s="10" t="s">
        <v>478</v>
      </c>
      <c r="I649" s="10" t="s">
        <v>386</v>
      </c>
      <c r="K649" s="2"/>
      <c r="M649" t="s">
        <v>2546</v>
      </c>
    </row>
    <row r="650" spans="1:13">
      <c r="A650" t="s">
        <v>28</v>
      </c>
      <c r="B650">
        <f ca="1">IF(OR(changes[[#This Row],[Type]]="Checklist",changes[[#This Row],[Type]]="checklist-flat"),1+IF(changes[[#This Row],[Type of change]] = "Edit",COUNTIFS($I$4:changes[[#This Row],[Name]],changes[[#This Row],[Name]], $E$4:changes[[#This Row],[Type of change]], "Edit")),B649)</f>
        <v>1</v>
      </c>
      <c r="C650" s="16">
        <v>44614</v>
      </c>
      <c r="D650" s="10" t="s">
        <v>2481</v>
      </c>
      <c r="E650" s="10" t="s">
        <v>2453</v>
      </c>
      <c r="F650" s="10" t="s">
        <v>52</v>
      </c>
      <c r="G650" s="10" t="s">
        <v>386</v>
      </c>
      <c r="H650" s="10" t="s">
        <v>269</v>
      </c>
      <c r="I650" s="10" t="s">
        <v>387</v>
      </c>
      <c r="K650" s="2"/>
      <c r="M650" s="2"/>
    </row>
    <row r="651" spans="1:13">
      <c r="A651" t="s">
        <v>28</v>
      </c>
      <c r="B651">
        <f ca="1">IF(OR(changes[[#This Row],[Type]]="Checklist",changes[[#This Row],[Type]]="checklist-flat"),1+IF(changes[[#This Row],[Type of change]] = "Edit",COUNTIFS($I$4:changes[[#This Row],[Name]],changes[[#This Row],[Name]], $E$4:changes[[#This Row],[Type of change]], "Edit")),B650)</f>
        <v>1</v>
      </c>
      <c r="C651" s="16">
        <v>44614</v>
      </c>
      <c r="D651" s="10" t="s">
        <v>2481</v>
      </c>
      <c r="E651" s="10" t="s">
        <v>2453</v>
      </c>
      <c r="F651" s="10" t="s">
        <v>52</v>
      </c>
      <c r="G651" s="10" t="s">
        <v>386</v>
      </c>
      <c r="H651" s="10" t="s">
        <v>269</v>
      </c>
      <c r="I651" s="10" t="s">
        <v>388</v>
      </c>
      <c r="K651" s="2"/>
      <c r="M651" s="2"/>
    </row>
    <row r="652" spans="1:13">
      <c r="A652" t="s">
        <v>28</v>
      </c>
      <c r="B652">
        <f ca="1">IF(OR(changes[[#This Row],[Type]]="Checklist",changes[[#This Row],[Type]]="checklist-flat"),1+IF(changes[[#This Row],[Type of change]] = "Edit",COUNTIFS($I$4:changes[[#This Row],[Name]],changes[[#This Row],[Name]], $E$4:changes[[#This Row],[Type of change]], "Edit")),B651)</f>
        <v>1</v>
      </c>
      <c r="C652" s="16">
        <v>44614</v>
      </c>
      <c r="D652" s="10" t="s">
        <v>2481</v>
      </c>
      <c r="E652" s="10" t="s">
        <v>2453</v>
      </c>
      <c r="F652" s="10" t="s">
        <v>52</v>
      </c>
      <c r="G652" s="10" t="s">
        <v>386</v>
      </c>
      <c r="H652" s="10" t="s">
        <v>269</v>
      </c>
      <c r="I652" s="10" t="s">
        <v>389</v>
      </c>
      <c r="K652" s="2"/>
      <c r="M652" s="2"/>
    </row>
    <row r="653" spans="1:13">
      <c r="A653" t="s">
        <v>28</v>
      </c>
      <c r="B653">
        <f ca="1">IF(OR(changes[[#This Row],[Type]]="Checklist",changes[[#This Row],[Type]]="checklist-flat"),1+IF(changes[[#This Row],[Type of change]] = "Edit",COUNTIFS($I$4:changes[[#This Row],[Name]],changes[[#This Row],[Name]], $E$4:changes[[#This Row],[Type of change]], "Edit")),B652)</f>
        <v>1</v>
      </c>
      <c r="C653" s="16">
        <v>44614</v>
      </c>
      <c r="D653" s="10" t="s">
        <v>2481</v>
      </c>
      <c r="E653" s="10" t="s">
        <v>2453</v>
      </c>
      <c r="F653" s="10" t="s">
        <v>52</v>
      </c>
      <c r="G653" s="10" t="s">
        <v>386</v>
      </c>
      <c r="H653" s="10" t="s">
        <v>269</v>
      </c>
      <c r="I653" s="10" t="s">
        <v>390</v>
      </c>
      <c r="K653" s="2"/>
      <c r="M653" s="2"/>
    </row>
    <row r="654" spans="1:13">
      <c r="A654" t="s">
        <v>28</v>
      </c>
      <c r="B654">
        <f ca="1">IF(OR(changes[[#This Row],[Type]]="Checklist",changes[[#This Row],[Type]]="checklist-flat"),1+IF(changes[[#This Row],[Type of change]] = "Edit",COUNTIFS($I$4:changes[[#This Row],[Name]],changes[[#This Row],[Name]], $E$4:changes[[#This Row],[Type of change]], "Edit")),B653)</f>
        <v>1</v>
      </c>
      <c r="C654" s="16">
        <v>44614</v>
      </c>
      <c r="D654" s="10" t="s">
        <v>2481</v>
      </c>
      <c r="E654" s="10" t="s">
        <v>2453</v>
      </c>
      <c r="F654" s="10" t="s">
        <v>52</v>
      </c>
      <c r="G654" s="10" t="s">
        <v>386</v>
      </c>
      <c r="H654" s="10" t="s">
        <v>269</v>
      </c>
      <c r="I654" s="10" t="s">
        <v>391</v>
      </c>
      <c r="K654" s="2"/>
      <c r="M654" s="2"/>
    </row>
    <row r="655" spans="1:13">
      <c r="A655" t="s">
        <v>28</v>
      </c>
      <c r="B655">
        <f ca="1">IF(OR(changes[[#This Row],[Type]]="Checklist",changes[[#This Row],[Type]]="checklist-flat"),1+IF(changes[[#This Row],[Type of change]] = "Edit",COUNTIFS($I$4:changes[[#This Row],[Name]],changes[[#This Row],[Name]], $E$4:changes[[#This Row],[Type of change]], "Edit")),B654)</f>
        <v>1</v>
      </c>
      <c r="C655" s="16">
        <v>44614</v>
      </c>
      <c r="D655" s="10" t="s">
        <v>2547</v>
      </c>
      <c r="E655" s="10" t="s">
        <v>2453</v>
      </c>
      <c r="F655" s="10" t="s">
        <v>9</v>
      </c>
      <c r="G655" s="10" t="s">
        <v>2548</v>
      </c>
      <c r="H655" s="10" t="s">
        <v>478</v>
      </c>
      <c r="I655" s="10" t="s">
        <v>2548</v>
      </c>
      <c r="K655" s="2"/>
      <c r="M655" s="2"/>
    </row>
    <row r="656" spans="1:13">
      <c r="A656" t="s">
        <v>28</v>
      </c>
      <c r="B656">
        <f ca="1">IF(OR(changes[[#This Row],[Type]]="Checklist",changes[[#This Row],[Type]]="checklist-flat"),1+IF(changes[[#This Row],[Type of change]] = "Edit",COUNTIFS($I$4:changes[[#This Row],[Name]],changes[[#This Row],[Name]], $E$4:changes[[#This Row],[Type of change]], "Edit")),B655)</f>
        <v>1</v>
      </c>
      <c r="C656" s="16">
        <v>44614</v>
      </c>
      <c r="D656" s="10" t="s">
        <v>2547</v>
      </c>
      <c r="E656" s="10" t="s">
        <v>2453</v>
      </c>
      <c r="F656" s="10" t="s">
        <v>9</v>
      </c>
      <c r="G656" s="10" t="s">
        <v>2548</v>
      </c>
      <c r="H656" s="10" t="s">
        <v>479</v>
      </c>
      <c r="I656" s="10" t="s">
        <v>1336</v>
      </c>
      <c r="K656" s="2"/>
      <c r="M656" s="2"/>
    </row>
    <row r="657" spans="1:13">
      <c r="A657" t="s">
        <v>28</v>
      </c>
      <c r="B657">
        <f ca="1">IF(OR(changes[[#This Row],[Type]]="Checklist",changes[[#This Row],[Type]]="checklist-flat"),1+IF(changes[[#This Row],[Type of change]] = "Edit",COUNTIFS($I$4:changes[[#This Row],[Name]],changes[[#This Row],[Name]], $E$4:changes[[#This Row],[Type of change]], "Edit")),B656)</f>
        <v>1</v>
      </c>
      <c r="C657" s="16">
        <v>44614</v>
      </c>
      <c r="D657" s="10" t="s">
        <v>2547</v>
      </c>
      <c r="E657" s="10" t="s">
        <v>2453</v>
      </c>
      <c r="F657" s="10" t="s">
        <v>9</v>
      </c>
      <c r="G657" s="10" t="s">
        <v>2548</v>
      </c>
      <c r="H657" s="10" t="s">
        <v>55</v>
      </c>
      <c r="I657" s="10" t="s">
        <v>1337</v>
      </c>
      <c r="K657" s="2"/>
      <c r="M657" s="2"/>
    </row>
    <row r="658" spans="1:13">
      <c r="A658" t="s">
        <v>28</v>
      </c>
      <c r="B658">
        <f ca="1">IF(OR(changes[[#This Row],[Type]]="Checklist",changes[[#This Row],[Type]]="checklist-flat"),1+IF(changes[[#This Row],[Type of change]] = "Edit",COUNTIFS($I$4:changes[[#This Row],[Name]],changes[[#This Row],[Name]], $E$4:changes[[#This Row],[Type of change]], "Edit")),B657)</f>
        <v>1</v>
      </c>
      <c r="C658" s="16">
        <v>44614</v>
      </c>
      <c r="D658" s="10" t="s">
        <v>2547</v>
      </c>
      <c r="E658" s="10" t="s">
        <v>2453</v>
      </c>
      <c r="F658" s="10" t="s">
        <v>9</v>
      </c>
      <c r="G658" s="10" t="s">
        <v>2548</v>
      </c>
      <c r="H658" s="10" t="s">
        <v>55</v>
      </c>
      <c r="I658" s="10" t="s">
        <v>1338</v>
      </c>
      <c r="K658" s="2"/>
      <c r="M658" s="2"/>
    </row>
    <row r="659" spans="1:13">
      <c r="A659" t="s">
        <v>28</v>
      </c>
      <c r="B659">
        <f ca="1">IF(OR(changes[[#This Row],[Type]]="Checklist",changes[[#This Row],[Type]]="checklist-flat"),1+IF(changes[[#This Row],[Type of change]] = "Edit",COUNTIFS($I$4:changes[[#This Row],[Name]],changes[[#This Row],[Name]], $E$4:changes[[#This Row],[Type of change]], "Edit")),B658)</f>
        <v>1</v>
      </c>
      <c r="C659" s="16">
        <v>44614</v>
      </c>
      <c r="D659" s="10" t="s">
        <v>2547</v>
      </c>
      <c r="E659" s="10" t="s">
        <v>2453</v>
      </c>
      <c r="F659" s="10" t="s">
        <v>9</v>
      </c>
      <c r="G659" s="10" t="s">
        <v>2548</v>
      </c>
      <c r="H659" s="10" t="s">
        <v>479</v>
      </c>
      <c r="I659" s="10" t="s">
        <v>1339</v>
      </c>
      <c r="K659" s="2"/>
      <c r="M659" s="2"/>
    </row>
    <row r="660" spans="1:13">
      <c r="A660" t="s">
        <v>28</v>
      </c>
      <c r="B660">
        <f ca="1">IF(OR(changes[[#This Row],[Type]]="Checklist",changes[[#This Row],[Type]]="checklist-flat"),1+IF(changes[[#This Row],[Type of change]] = "Edit",COUNTIFS($I$4:changes[[#This Row],[Name]],changes[[#This Row],[Name]], $E$4:changes[[#This Row],[Type of change]], "Edit")),B659)</f>
        <v>1</v>
      </c>
      <c r="C660" s="16">
        <v>44614</v>
      </c>
      <c r="D660" s="10" t="s">
        <v>2547</v>
      </c>
      <c r="E660" s="10" t="s">
        <v>2453</v>
      </c>
      <c r="F660" s="10" t="s">
        <v>9</v>
      </c>
      <c r="G660" s="10" t="s">
        <v>2548</v>
      </c>
      <c r="H660" s="10" t="s">
        <v>55</v>
      </c>
      <c r="I660" s="10" t="s">
        <v>1340</v>
      </c>
      <c r="K660" s="2"/>
      <c r="M660" s="2"/>
    </row>
    <row r="661" spans="1:13">
      <c r="A661" t="s">
        <v>28</v>
      </c>
      <c r="B661">
        <f ca="1">IF(OR(changes[[#This Row],[Type]]="Checklist",changes[[#This Row],[Type]]="checklist-flat"),1+IF(changes[[#This Row],[Type of change]] = "Edit",COUNTIFS($I$4:changes[[#This Row],[Name]],changes[[#This Row],[Name]], $E$4:changes[[#This Row],[Type of change]], "Edit")),B660)</f>
        <v>1</v>
      </c>
      <c r="C661" s="16">
        <v>44614</v>
      </c>
      <c r="D661" s="10" t="s">
        <v>2547</v>
      </c>
      <c r="E661" s="10" t="s">
        <v>2453</v>
      </c>
      <c r="F661" s="10" t="s">
        <v>9</v>
      </c>
      <c r="G661" s="10" t="s">
        <v>2548</v>
      </c>
      <c r="H661" s="10" t="s">
        <v>55</v>
      </c>
      <c r="I661" s="10" t="s">
        <v>1337</v>
      </c>
      <c r="K661" s="2"/>
      <c r="M661" s="2"/>
    </row>
    <row r="662" spans="1:13">
      <c r="A662" t="s">
        <v>28</v>
      </c>
      <c r="B662">
        <f ca="1">IF(OR(changes[[#This Row],[Type]]="Checklist",changes[[#This Row],[Type]]="checklist-flat"),1+IF(changes[[#This Row],[Type of change]] = "Edit",COUNTIFS($I$4:changes[[#This Row],[Name]],changes[[#This Row],[Name]], $E$4:changes[[#This Row],[Type of change]], "Edit")),B661)</f>
        <v>1</v>
      </c>
      <c r="C662" s="16">
        <v>44614</v>
      </c>
      <c r="D662" s="10" t="s">
        <v>2547</v>
      </c>
      <c r="E662" s="10" t="s">
        <v>2453</v>
      </c>
      <c r="F662" s="10" t="s">
        <v>9</v>
      </c>
      <c r="G662" s="10" t="s">
        <v>2548</v>
      </c>
      <c r="H662" s="10" t="s">
        <v>55</v>
      </c>
      <c r="I662" s="10" t="s">
        <v>1341</v>
      </c>
      <c r="K662" s="2"/>
      <c r="M662" s="2"/>
    </row>
    <row r="663" spans="1:13">
      <c r="A663" t="s">
        <v>28</v>
      </c>
      <c r="B663">
        <f ca="1">IF(OR(changes[[#This Row],[Type]]="Checklist",changes[[#This Row],[Type]]="checklist-flat"),1+IF(changes[[#This Row],[Type of change]] = "Edit",COUNTIFS($I$4:changes[[#This Row],[Name]],changes[[#This Row],[Name]], $E$4:changes[[#This Row],[Type of change]], "Edit")),B662)</f>
        <v>1</v>
      </c>
      <c r="C663" s="16">
        <v>44614</v>
      </c>
      <c r="D663" s="10" t="s">
        <v>2547</v>
      </c>
      <c r="E663" s="10" t="s">
        <v>2453</v>
      </c>
      <c r="F663" s="10" t="s">
        <v>9</v>
      </c>
      <c r="G663" s="10" t="s">
        <v>2548</v>
      </c>
      <c r="H663" s="10" t="s">
        <v>55</v>
      </c>
      <c r="I663" s="10" t="s">
        <v>1342</v>
      </c>
      <c r="K663" s="2"/>
      <c r="M663" s="2"/>
    </row>
    <row r="664" spans="1:13">
      <c r="A664" t="s">
        <v>28</v>
      </c>
      <c r="B664">
        <f ca="1">IF(OR(changes[[#This Row],[Type]]="Checklist",changes[[#This Row],[Type]]="checklist-flat"),1+IF(changes[[#This Row],[Type of change]] = "Edit",COUNTIFS($I$4:changes[[#This Row],[Name]],changes[[#This Row],[Name]], $E$4:changes[[#This Row],[Type of change]], "Edit")),B663)</f>
        <v>1</v>
      </c>
      <c r="C664" s="16">
        <v>44614</v>
      </c>
      <c r="D664" s="10" t="s">
        <v>2547</v>
      </c>
      <c r="E664" s="10" t="s">
        <v>2453</v>
      </c>
      <c r="F664" s="10" t="s">
        <v>9</v>
      </c>
      <c r="G664" s="10" t="s">
        <v>2548</v>
      </c>
      <c r="H664" s="10" t="s">
        <v>55</v>
      </c>
      <c r="I664" s="10" t="s">
        <v>1343</v>
      </c>
      <c r="K664" s="2"/>
      <c r="M664" s="2"/>
    </row>
    <row r="665" spans="1:13">
      <c r="A665" t="s">
        <v>28</v>
      </c>
      <c r="B665">
        <f ca="1">IF(OR(changes[[#This Row],[Type]]="Checklist",changes[[#This Row],[Type]]="checklist-flat"),1+IF(changes[[#This Row],[Type of change]] = "Edit",COUNTIFS($I$4:changes[[#This Row],[Name]],changes[[#This Row],[Name]], $E$4:changes[[#This Row],[Type of change]], "Edit")),B664)</f>
        <v>1</v>
      </c>
      <c r="C665" s="16">
        <v>44614</v>
      </c>
      <c r="D665" s="10" t="s">
        <v>2547</v>
      </c>
      <c r="E665" s="10" t="s">
        <v>2453</v>
      </c>
      <c r="F665" s="10" t="s">
        <v>9</v>
      </c>
      <c r="G665" s="10" t="s">
        <v>2548</v>
      </c>
      <c r="H665" s="10" t="s">
        <v>55</v>
      </c>
      <c r="I665" s="10" t="s">
        <v>1344</v>
      </c>
      <c r="K665" s="2"/>
      <c r="M665" s="2"/>
    </row>
    <row r="666" spans="1:13">
      <c r="A666" t="s">
        <v>28</v>
      </c>
      <c r="B666">
        <f ca="1">IF(OR(changes[[#This Row],[Type]]="Checklist",changes[[#This Row],[Type]]="checklist-flat"),1+IF(changes[[#This Row],[Type of change]] = "Edit",COUNTIFS($I$4:changes[[#This Row],[Name]],changes[[#This Row],[Name]], $E$4:changes[[#This Row],[Type of change]], "Edit")),B665)</f>
        <v>1</v>
      </c>
      <c r="C666" s="16">
        <v>44614</v>
      </c>
      <c r="D666" s="10" t="s">
        <v>2547</v>
      </c>
      <c r="E666" s="10" t="s">
        <v>2453</v>
      </c>
      <c r="F666" s="10" t="s">
        <v>9</v>
      </c>
      <c r="G666" s="10" t="s">
        <v>2548</v>
      </c>
      <c r="H666" s="10" t="s">
        <v>55</v>
      </c>
      <c r="I666" s="10" t="s">
        <v>1345</v>
      </c>
      <c r="K666" s="2"/>
      <c r="M666" s="2"/>
    </row>
    <row r="667" spans="1:13">
      <c r="A667" t="s">
        <v>28</v>
      </c>
      <c r="B667">
        <f ca="1">IF(OR(changes[[#This Row],[Type]]="Checklist",changes[[#This Row],[Type]]="checklist-flat"),1+IF(changes[[#This Row],[Type of change]] = "Edit",COUNTIFS($I$4:changes[[#This Row],[Name]],changes[[#This Row],[Name]], $E$4:changes[[#This Row],[Type of change]], "Edit")),B666)</f>
        <v>1</v>
      </c>
      <c r="C667" s="16">
        <v>44614</v>
      </c>
      <c r="D667" s="10" t="s">
        <v>2547</v>
      </c>
      <c r="E667" s="10" t="s">
        <v>2453</v>
      </c>
      <c r="F667" s="10" t="s">
        <v>9</v>
      </c>
      <c r="G667" s="10" t="s">
        <v>2548</v>
      </c>
      <c r="H667" s="10" t="s">
        <v>55</v>
      </c>
      <c r="I667" s="10" t="s">
        <v>1346</v>
      </c>
      <c r="K667" s="2"/>
      <c r="M667" s="2"/>
    </row>
    <row r="668" spans="1:13">
      <c r="A668" t="s">
        <v>28</v>
      </c>
      <c r="B668">
        <f ca="1">IF(OR(changes[[#This Row],[Type]]="Checklist",changes[[#This Row],[Type]]="checklist-flat"),1+IF(changes[[#This Row],[Type of change]] = "Edit",COUNTIFS($I$4:changes[[#This Row],[Name]],changes[[#This Row],[Name]], $E$4:changes[[#This Row],[Type of change]], "Edit")),B667)</f>
        <v>1</v>
      </c>
      <c r="C668" s="16">
        <v>44614</v>
      </c>
      <c r="D668" s="10" t="s">
        <v>2547</v>
      </c>
      <c r="E668" s="10" t="s">
        <v>2453</v>
      </c>
      <c r="F668" s="10" t="s">
        <v>9</v>
      </c>
      <c r="G668" s="10" t="s">
        <v>2548</v>
      </c>
      <c r="H668" s="10" t="s">
        <v>479</v>
      </c>
      <c r="I668" s="10" t="s">
        <v>1347</v>
      </c>
      <c r="K668" s="2"/>
      <c r="M668" s="2"/>
    </row>
    <row r="669" spans="1:13">
      <c r="A669" t="s">
        <v>28</v>
      </c>
      <c r="B669">
        <f ca="1">IF(OR(changes[[#This Row],[Type]]="Checklist",changes[[#This Row],[Type]]="checklist-flat"),1+IF(changes[[#This Row],[Type of change]] = "Edit",COUNTIFS($I$4:changes[[#This Row],[Name]],changes[[#This Row],[Name]], $E$4:changes[[#This Row],[Type of change]], "Edit")),B668)</f>
        <v>1</v>
      </c>
      <c r="C669" s="16">
        <v>44614</v>
      </c>
      <c r="D669" s="10" t="s">
        <v>2547</v>
      </c>
      <c r="E669" s="10" t="s">
        <v>2453</v>
      </c>
      <c r="F669" s="10" t="s">
        <v>9</v>
      </c>
      <c r="G669" s="10" t="s">
        <v>2548</v>
      </c>
      <c r="H669" s="10" t="s">
        <v>55</v>
      </c>
      <c r="I669" s="10" t="s">
        <v>1348</v>
      </c>
      <c r="K669" s="2"/>
      <c r="M669" s="2"/>
    </row>
    <row r="670" spans="1:13">
      <c r="A670" t="s">
        <v>28</v>
      </c>
      <c r="B670">
        <f ca="1">IF(OR(changes[[#This Row],[Type]]="Checklist",changes[[#This Row],[Type]]="checklist-flat"),1+IF(changes[[#This Row],[Type of change]] = "Edit",COUNTIFS($I$4:changes[[#This Row],[Name]],changes[[#This Row],[Name]], $E$4:changes[[#This Row],[Type of change]], "Edit")),B669)</f>
        <v>1</v>
      </c>
      <c r="C670" s="16">
        <v>44614</v>
      </c>
      <c r="D670" s="10" t="s">
        <v>2547</v>
      </c>
      <c r="E670" s="10" t="s">
        <v>2453</v>
      </c>
      <c r="F670" s="10" t="s">
        <v>9</v>
      </c>
      <c r="G670" s="10" t="s">
        <v>2548</v>
      </c>
      <c r="H670" s="10" t="s">
        <v>55</v>
      </c>
      <c r="I670" s="10" t="s">
        <v>1349</v>
      </c>
      <c r="K670" s="2"/>
      <c r="M670" s="2"/>
    </row>
    <row r="671" spans="1:13">
      <c r="A671" t="s">
        <v>28</v>
      </c>
      <c r="B671">
        <f ca="1">IF(OR(changes[[#This Row],[Type]]="Checklist",changes[[#This Row],[Type]]="checklist-flat"),1+IF(changes[[#This Row],[Type of change]] = "Edit",COUNTIFS($I$4:changes[[#This Row],[Name]],changes[[#This Row],[Name]], $E$4:changes[[#This Row],[Type of change]], "Edit")),B670)</f>
        <v>1</v>
      </c>
      <c r="C671" s="16">
        <v>44614</v>
      </c>
      <c r="D671" s="10" t="s">
        <v>2547</v>
      </c>
      <c r="E671" s="10" t="s">
        <v>2453</v>
      </c>
      <c r="F671" s="10" t="s">
        <v>9</v>
      </c>
      <c r="G671" s="10" t="s">
        <v>2548</v>
      </c>
      <c r="H671" s="10" t="s">
        <v>479</v>
      </c>
      <c r="I671" s="10" t="s">
        <v>1350</v>
      </c>
      <c r="K671" s="2"/>
      <c r="M671" s="2"/>
    </row>
    <row r="672" spans="1:13">
      <c r="A672" t="s">
        <v>28</v>
      </c>
      <c r="B672">
        <f ca="1">IF(OR(changes[[#This Row],[Type]]="Checklist",changes[[#This Row],[Type]]="checklist-flat"),1+IF(changes[[#This Row],[Type of change]] = "Edit",COUNTIFS($I$4:changes[[#This Row],[Name]],changes[[#This Row],[Name]], $E$4:changes[[#This Row],[Type of change]], "Edit")),B671)</f>
        <v>1</v>
      </c>
      <c r="C672" s="16">
        <v>44614</v>
      </c>
      <c r="D672" s="10" t="s">
        <v>2547</v>
      </c>
      <c r="E672" s="10" t="s">
        <v>2453</v>
      </c>
      <c r="F672" s="10" t="s">
        <v>9</v>
      </c>
      <c r="G672" s="10" t="s">
        <v>2548</v>
      </c>
      <c r="H672" s="10" t="s">
        <v>55</v>
      </c>
      <c r="I672" s="10" t="s">
        <v>1351</v>
      </c>
      <c r="K672" s="2"/>
      <c r="M672" s="2"/>
    </row>
    <row r="673" spans="1:13">
      <c r="A673" t="s">
        <v>11</v>
      </c>
      <c r="B673">
        <f ca="1">IF(OR(changes[[#This Row],[Type]]="Checklist",changes[[#This Row],[Type]]="checklist-flat"),1+IF(changes[[#This Row],[Type of change]] = "Edit",COUNTIFS($I$4:changes[[#This Row],[Name]],changes[[#This Row],[Name]], $E$4:changes[[#This Row],[Type of change]], "Edit")),B672)</f>
        <v>1</v>
      </c>
      <c r="C673" s="16">
        <v>44615</v>
      </c>
      <c r="D673" s="1" t="s">
        <v>2481</v>
      </c>
      <c r="E673" t="s">
        <v>2453</v>
      </c>
      <c r="F673" s="10" t="s">
        <v>9</v>
      </c>
      <c r="G673" t="s">
        <v>2549</v>
      </c>
      <c r="H673" t="s">
        <v>478</v>
      </c>
      <c r="I673" t="s">
        <v>2550</v>
      </c>
      <c r="K673" s="2"/>
      <c r="M673" t="s">
        <v>2551</v>
      </c>
    </row>
    <row r="674" spans="1:13">
      <c r="A674" t="s">
        <v>11</v>
      </c>
      <c r="B674">
        <f ca="1">IF(OR(changes[[#This Row],[Type]]="Checklist",changes[[#This Row],[Type]]="checklist-flat"),1+IF(changes[[#This Row],[Type of change]] = "Edit",COUNTIFS($I$4:changes[[#This Row],[Name]],changes[[#This Row],[Name]], $E$4:changes[[#This Row],[Type of change]], "Edit")),B673)</f>
        <v>1</v>
      </c>
      <c r="C674" s="16">
        <v>44615</v>
      </c>
      <c r="D674" s="1" t="s">
        <v>2481</v>
      </c>
      <c r="E674" t="s">
        <v>2453</v>
      </c>
      <c r="F674" s="10" t="s">
        <v>9</v>
      </c>
      <c r="G674" t="s">
        <v>2549</v>
      </c>
      <c r="H674" t="s">
        <v>479</v>
      </c>
      <c r="I674" t="s">
        <v>2552</v>
      </c>
      <c r="K674" s="2"/>
    </row>
    <row r="675" spans="1:13">
      <c r="A675" t="s">
        <v>11</v>
      </c>
      <c r="B675">
        <f ca="1">IF(OR(changes[[#This Row],[Type]]="Checklist",changes[[#This Row],[Type]]="checklist-flat"),1+IF(changes[[#This Row],[Type of change]] = "Edit",COUNTIFS($I$4:changes[[#This Row],[Name]],changes[[#This Row],[Name]], $E$4:changes[[#This Row],[Type of change]], "Edit")),B674)</f>
        <v>1</v>
      </c>
      <c r="C675" s="16">
        <v>44615</v>
      </c>
      <c r="D675" s="1" t="s">
        <v>2481</v>
      </c>
      <c r="E675" t="s">
        <v>2453</v>
      </c>
      <c r="F675" s="10" t="s">
        <v>9</v>
      </c>
      <c r="G675" t="s">
        <v>2549</v>
      </c>
      <c r="H675" t="s">
        <v>55</v>
      </c>
      <c r="I675" t="s">
        <v>2010</v>
      </c>
      <c r="K675" s="2"/>
    </row>
    <row r="676" spans="1:13">
      <c r="A676" t="s">
        <v>11</v>
      </c>
      <c r="B676">
        <f ca="1">IF(OR(changes[[#This Row],[Type]]="Checklist",changes[[#This Row],[Type]]="checklist-flat"),1+IF(changes[[#This Row],[Type of change]] = "Edit",COUNTIFS($I$4:changes[[#This Row],[Name]],changes[[#This Row],[Name]], $E$4:changes[[#This Row],[Type of change]], "Edit")),B675)</f>
        <v>1</v>
      </c>
      <c r="C676" s="16">
        <v>44615</v>
      </c>
      <c r="D676" s="1" t="s">
        <v>2481</v>
      </c>
      <c r="E676" t="s">
        <v>2453</v>
      </c>
      <c r="F676" s="10" t="s">
        <v>9</v>
      </c>
      <c r="G676" t="s">
        <v>2549</v>
      </c>
      <c r="H676" t="s">
        <v>55</v>
      </c>
      <c r="I676" t="s">
        <v>2553</v>
      </c>
      <c r="K676" s="2"/>
    </row>
    <row r="677" spans="1:13">
      <c r="A677" t="s">
        <v>11</v>
      </c>
      <c r="B677">
        <f ca="1">IF(OR(changes[[#This Row],[Type]]="Checklist",changes[[#This Row],[Type]]="checklist-flat"),1+IF(changes[[#This Row],[Type of change]] = "Edit",COUNTIFS($I$4:changes[[#This Row],[Name]],changes[[#This Row],[Name]], $E$4:changes[[#This Row],[Type of change]], "Edit")),B676)</f>
        <v>1</v>
      </c>
      <c r="C677" s="16">
        <v>44615</v>
      </c>
      <c r="D677" s="1" t="s">
        <v>2481</v>
      </c>
      <c r="E677" t="s">
        <v>2453</v>
      </c>
      <c r="F677" s="10" t="s">
        <v>9</v>
      </c>
      <c r="G677" t="s">
        <v>2549</v>
      </c>
      <c r="H677" t="s">
        <v>994</v>
      </c>
      <c r="I677" t="s">
        <v>65</v>
      </c>
      <c r="K677" s="2"/>
    </row>
    <row r="678" spans="1:13">
      <c r="A678" t="s">
        <v>11</v>
      </c>
      <c r="B678">
        <f ca="1">IF(OR(changes[[#This Row],[Type]]="Checklist",changes[[#This Row],[Type]]="checklist-flat"),1+IF(changes[[#This Row],[Type of change]] = "Edit",COUNTIFS($I$4:changes[[#This Row],[Name]],changes[[#This Row],[Name]], $E$4:changes[[#This Row],[Type of change]], "Edit")),B677)</f>
        <v>1</v>
      </c>
      <c r="C678" s="16">
        <v>44615</v>
      </c>
      <c r="D678" s="1" t="s">
        <v>2481</v>
      </c>
      <c r="E678" t="s">
        <v>2453</v>
      </c>
      <c r="F678" s="10" t="s">
        <v>9</v>
      </c>
      <c r="G678" t="s">
        <v>2549</v>
      </c>
      <c r="H678" t="s">
        <v>479</v>
      </c>
      <c r="I678" t="s">
        <v>2554</v>
      </c>
      <c r="K678" s="2"/>
    </row>
    <row r="679" spans="1:13">
      <c r="A679" t="s">
        <v>11</v>
      </c>
      <c r="B679">
        <f ca="1">IF(OR(changes[[#This Row],[Type]]="Checklist",changes[[#This Row],[Type]]="checklist-flat"),1+IF(changes[[#This Row],[Type of change]] = "Edit",COUNTIFS($I$4:changes[[#This Row],[Name]],changes[[#This Row],[Name]], $E$4:changes[[#This Row],[Type of change]], "Edit")),B678)</f>
        <v>1</v>
      </c>
      <c r="C679" s="16">
        <v>44615</v>
      </c>
      <c r="D679" s="1" t="s">
        <v>2481</v>
      </c>
      <c r="E679" t="s">
        <v>2453</v>
      </c>
      <c r="F679" s="10" t="s">
        <v>9</v>
      </c>
      <c r="G679" t="s">
        <v>2549</v>
      </c>
      <c r="H679" t="s">
        <v>55</v>
      </c>
      <c r="I679" t="s">
        <v>1312</v>
      </c>
      <c r="K679" s="2"/>
    </row>
    <row r="680" spans="1:13">
      <c r="A680" t="s">
        <v>11</v>
      </c>
      <c r="B680">
        <f ca="1">IF(OR(changes[[#This Row],[Type]]="Checklist",changes[[#This Row],[Type]]="checklist-flat"),1+IF(changes[[#This Row],[Type of change]] = "Edit",COUNTIFS($I$4:changes[[#This Row],[Name]],changes[[#This Row],[Name]], $E$4:changes[[#This Row],[Type of change]], "Edit")),B679)</f>
        <v>1</v>
      </c>
      <c r="C680" s="16">
        <v>44615</v>
      </c>
      <c r="D680" s="1" t="s">
        <v>2481</v>
      </c>
      <c r="E680" t="s">
        <v>2453</v>
      </c>
      <c r="F680" s="10" t="s">
        <v>9</v>
      </c>
      <c r="G680" t="s">
        <v>2549</v>
      </c>
      <c r="H680" t="s">
        <v>55</v>
      </c>
      <c r="I680" t="s">
        <v>1313</v>
      </c>
      <c r="K680" s="2"/>
    </row>
    <row r="681" spans="1:13">
      <c r="A681" t="s">
        <v>11</v>
      </c>
      <c r="B681">
        <f ca="1">IF(OR(changes[[#This Row],[Type]]="Checklist",changes[[#This Row],[Type]]="checklist-flat"),1+IF(changes[[#This Row],[Type of change]] = "Edit",COUNTIFS($I$4:changes[[#This Row],[Name]],changes[[#This Row],[Name]], $E$4:changes[[#This Row],[Type of change]], "Edit")),B680)</f>
        <v>1</v>
      </c>
      <c r="C681" s="16">
        <v>44615</v>
      </c>
      <c r="D681" s="1" t="s">
        <v>2481</v>
      </c>
      <c r="E681" t="s">
        <v>2453</v>
      </c>
      <c r="F681" s="10" t="s">
        <v>9</v>
      </c>
      <c r="G681" t="s">
        <v>2549</v>
      </c>
      <c r="H681" t="s">
        <v>55</v>
      </c>
      <c r="I681" t="s">
        <v>1316</v>
      </c>
      <c r="K681" s="2"/>
    </row>
    <row r="682" spans="1:13">
      <c r="A682" t="s">
        <v>11</v>
      </c>
      <c r="B682">
        <f ca="1">IF(OR(changes[[#This Row],[Type]]="Checklist",changes[[#This Row],[Type]]="checklist-flat"),1+IF(changes[[#This Row],[Type of change]] = "Edit",COUNTIFS($I$4:changes[[#This Row],[Name]],changes[[#This Row],[Name]], $E$4:changes[[#This Row],[Type of change]], "Edit")),B681)</f>
        <v>1</v>
      </c>
      <c r="C682" s="16">
        <v>44615</v>
      </c>
      <c r="D682" s="1" t="s">
        <v>2481</v>
      </c>
      <c r="E682" t="s">
        <v>2453</v>
      </c>
      <c r="F682" s="10" t="s">
        <v>9</v>
      </c>
      <c r="G682" t="s">
        <v>2549</v>
      </c>
      <c r="H682" t="s">
        <v>55</v>
      </c>
      <c r="I682" t="s">
        <v>2555</v>
      </c>
      <c r="K682" s="2"/>
    </row>
    <row r="683" spans="1:13">
      <c r="A683" t="s">
        <v>11</v>
      </c>
      <c r="B683">
        <f ca="1">IF(OR(changes[[#This Row],[Type]]="Checklist",changes[[#This Row],[Type]]="checklist-flat"),1+IF(changes[[#This Row],[Type of change]] = "Edit",COUNTIFS($I$4:changes[[#This Row],[Name]],changes[[#This Row],[Name]], $E$4:changes[[#This Row],[Type of change]], "Edit")),B682)</f>
        <v>1</v>
      </c>
      <c r="C683" s="16">
        <v>44615</v>
      </c>
      <c r="D683" s="1" t="s">
        <v>2481</v>
      </c>
      <c r="E683" t="s">
        <v>2453</v>
      </c>
      <c r="F683" s="10" t="s">
        <v>9</v>
      </c>
      <c r="G683" t="s">
        <v>2549</v>
      </c>
      <c r="H683" t="s">
        <v>55</v>
      </c>
      <c r="I683" t="s">
        <v>1317</v>
      </c>
      <c r="K683" s="2"/>
    </row>
    <row r="684" spans="1:13">
      <c r="A684" t="s">
        <v>11</v>
      </c>
      <c r="B684">
        <f ca="1">IF(OR(changes[[#This Row],[Type]]="Checklist",changes[[#This Row],[Type]]="checklist-flat"),1+IF(changes[[#This Row],[Type of change]] = "Edit",COUNTIFS($I$4:changes[[#This Row],[Name]],changes[[#This Row],[Name]], $E$4:changes[[#This Row],[Type of change]], "Edit")),B683)</f>
        <v>1</v>
      </c>
      <c r="C684" s="16">
        <v>44615</v>
      </c>
      <c r="D684" s="1" t="s">
        <v>2481</v>
      </c>
      <c r="E684" t="s">
        <v>2453</v>
      </c>
      <c r="F684" s="10" t="s">
        <v>9</v>
      </c>
      <c r="G684" t="s">
        <v>2549</v>
      </c>
      <c r="H684" t="s">
        <v>55</v>
      </c>
      <c r="I684" t="s">
        <v>1318</v>
      </c>
      <c r="K684" s="2"/>
    </row>
    <row r="685" spans="1:13">
      <c r="A685" t="s">
        <v>11</v>
      </c>
      <c r="B685">
        <f ca="1">IF(OR(changes[[#This Row],[Type]]="Checklist",changes[[#This Row],[Type]]="checklist-flat"),1+IF(changes[[#This Row],[Type of change]] = "Edit",COUNTIFS($I$4:changes[[#This Row],[Name]],changes[[#This Row],[Name]], $E$4:changes[[#This Row],[Type of change]], "Edit")),B684)</f>
        <v>1</v>
      </c>
      <c r="C685" s="16">
        <v>44615</v>
      </c>
      <c r="D685" s="1" t="s">
        <v>2481</v>
      </c>
      <c r="E685" t="s">
        <v>2453</v>
      </c>
      <c r="F685" s="10" t="s">
        <v>9</v>
      </c>
      <c r="G685" t="s">
        <v>2549</v>
      </c>
      <c r="H685" t="s">
        <v>479</v>
      </c>
      <c r="I685" t="s">
        <v>2556</v>
      </c>
      <c r="K685" s="2"/>
    </row>
    <row r="686" spans="1:13">
      <c r="A686" t="s">
        <v>11</v>
      </c>
      <c r="B686">
        <f ca="1">IF(OR(changes[[#This Row],[Type]]="Checklist",changes[[#This Row],[Type]]="checklist-flat"),1+IF(changes[[#This Row],[Type of change]] = "Edit",COUNTIFS($I$4:changes[[#This Row],[Name]],changes[[#This Row],[Name]], $E$4:changes[[#This Row],[Type of change]], "Edit")),B685)</f>
        <v>1</v>
      </c>
      <c r="C686" s="16">
        <v>44615</v>
      </c>
      <c r="D686" s="1" t="s">
        <v>2481</v>
      </c>
      <c r="E686" t="s">
        <v>2453</v>
      </c>
      <c r="F686" s="10" t="s">
        <v>9</v>
      </c>
      <c r="G686" t="s">
        <v>2549</v>
      </c>
      <c r="H686" t="s">
        <v>55</v>
      </c>
      <c r="I686" t="s">
        <v>2557</v>
      </c>
      <c r="K686" s="2"/>
    </row>
    <row r="687" spans="1:13">
      <c r="A687" t="s">
        <v>11</v>
      </c>
      <c r="B687">
        <f ca="1">IF(OR(changes[[#This Row],[Type]]="Checklist",changes[[#This Row],[Type]]="checklist-flat"),1+IF(changes[[#This Row],[Type of change]] = "Edit",COUNTIFS($I$4:changes[[#This Row],[Name]],changes[[#This Row],[Name]], $E$4:changes[[#This Row],[Type of change]], "Edit")),B686)</f>
        <v>1</v>
      </c>
      <c r="C687" s="16">
        <v>44615</v>
      </c>
      <c r="D687" s="1" t="s">
        <v>2481</v>
      </c>
      <c r="E687" t="s">
        <v>2453</v>
      </c>
      <c r="F687" s="10" t="s">
        <v>9</v>
      </c>
      <c r="G687" t="s">
        <v>2549</v>
      </c>
      <c r="H687" t="s">
        <v>55</v>
      </c>
      <c r="I687" t="s">
        <v>2558</v>
      </c>
      <c r="K687" s="2"/>
    </row>
    <row r="688" spans="1:13">
      <c r="A688" t="s">
        <v>11</v>
      </c>
      <c r="B688">
        <f ca="1">IF(OR(changes[[#This Row],[Type]]="Checklist",changes[[#This Row],[Type]]="checklist-flat"),1+IF(changes[[#This Row],[Type of change]] = "Edit",COUNTIFS($I$4:changes[[#This Row],[Name]],changes[[#This Row],[Name]], $E$4:changes[[#This Row],[Type of change]], "Edit")),B687)</f>
        <v>1</v>
      </c>
      <c r="C688" s="16">
        <v>44615</v>
      </c>
      <c r="D688" s="1" t="s">
        <v>2481</v>
      </c>
      <c r="E688" t="s">
        <v>2453</v>
      </c>
      <c r="F688" s="10" t="s">
        <v>9</v>
      </c>
      <c r="G688" t="s">
        <v>2549</v>
      </c>
      <c r="H688" t="s">
        <v>478</v>
      </c>
      <c r="I688" t="s">
        <v>2549</v>
      </c>
      <c r="K688" s="2"/>
      <c r="M688" t="s">
        <v>2551</v>
      </c>
    </row>
    <row r="689" spans="1:13">
      <c r="A689" t="s">
        <v>11</v>
      </c>
      <c r="B689">
        <f ca="1">IF(OR(changes[[#This Row],[Type]]="Checklist",changes[[#This Row],[Type]]="checklist-flat"),1+IF(changes[[#This Row],[Type of change]] = "Edit",COUNTIFS($I$4:changes[[#This Row],[Name]],changes[[#This Row],[Name]], $E$4:changes[[#This Row],[Type of change]], "Edit")),B688)</f>
        <v>1</v>
      </c>
      <c r="C689" s="16">
        <v>44615</v>
      </c>
      <c r="D689" s="1" t="s">
        <v>2481</v>
      </c>
      <c r="E689" t="s">
        <v>2453</v>
      </c>
      <c r="F689" s="10" t="s">
        <v>9</v>
      </c>
      <c r="G689" t="s">
        <v>2549</v>
      </c>
      <c r="H689" t="s">
        <v>55</v>
      </c>
      <c r="I689" t="s">
        <v>1182</v>
      </c>
      <c r="K689" s="2"/>
    </row>
    <row r="690" spans="1:13">
      <c r="A690" t="s">
        <v>11</v>
      </c>
      <c r="B690">
        <f ca="1">IF(OR(changes[[#This Row],[Type]]="Checklist",changes[[#This Row],[Type]]="checklist-flat"),1+IF(changes[[#This Row],[Type of change]] = "Edit",COUNTIFS($I$4:changes[[#This Row],[Name]],changes[[#This Row],[Name]], $E$4:changes[[#This Row],[Type of change]], "Edit")),B689)</f>
        <v>1</v>
      </c>
      <c r="C690" s="16">
        <v>44615</v>
      </c>
      <c r="D690" s="1" t="s">
        <v>2481</v>
      </c>
      <c r="E690" t="s">
        <v>2453</v>
      </c>
      <c r="F690" s="10" t="s">
        <v>9</v>
      </c>
      <c r="G690" t="s">
        <v>2549</v>
      </c>
      <c r="H690" t="s">
        <v>55</v>
      </c>
      <c r="I690" t="s">
        <v>2559</v>
      </c>
      <c r="K690" s="2"/>
    </row>
    <row r="691" spans="1:13">
      <c r="A691" t="s">
        <v>11</v>
      </c>
      <c r="B691">
        <f ca="1">IF(OR(changes[[#This Row],[Type]]="Checklist",changes[[#This Row],[Type]]="checklist-flat"),1+IF(changes[[#This Row],[Type of change]] = "Edit",COUNTIFS($I$4:changes[[#This Row],[Name]],changes[[#This Row],[Name]], $E$4:changes[[#This Row],[Type of change]], "Edit")),B690)</f>
        <v>1</v>
      </c>
      <c r="C691" s="16">
        <v>44615</v>
      </c>
      <c r="D691" s="1" t="s">
        <v>2481</v>
      </c>
      <c r="E691" t="s">
        <v>2453</v>
      </c>
      <c r="F691" s="10" t="s">
        <v>9</v>
      </c>
      <c r="G691" t="s">
        <v>2560</v>
      </c>
      <c r="H691" t="s">
        <v>47</v>
      </c>
      <c r="I691" t="s">
        <v>2560</v>
      </c>
      <c r="K691" s="2"/>
      <c r="M691" t="s">
        <v>2551</v>
      </c>
    </row>
    <row r="692" spans="1:13">
      <c r="A692" t="s">
        <v>11</v>
      </c>
      <c r="B692">
        <f ca="1">IF(OR(changes[[#This Row],[Type]]="Checklist",changes[[#This Row],[Type]]="checklist-flat"),1+IF(changes[[#This Row],[Type of change]] = "Edit",COUNTIFS($I$4:changes[[#This Row],[Name]],changes[[#This Row],[Name]], $E$4:changes[[#This Row],[Type of change]], "Edit")),B691)</f>
        <v>1</v>
      </c>
      <c r="C692" s="16">
        <v>44615</v>
      </c>
      <c r="D692" s="1" t="s">
        <v>2481</v>
      </c>
      <c r="E692" t="s">
        <v>2453</v>
      </c>
      <c r="F692" s="10" t="s">
        <v>9</v>
      </c>
      <c r="G692" t="s">
        <v>2560</v>
      </c>
      <c r="H692" t="s">
        <v>479</v>
      </c>
      <c r="I692" t="s">
        <v>1402</v>
      </c>
      <c r="K692" s="2"/>
      <c r="M692" s="2"/>
    </row>
    <row r="693" spans="1:13">
      <c r="A693" t="s">
        <v>11</v>
      </c>
      <c r="B693">
        <f ca="1">IF(OR(changes[[#This Row],[Type]]="Checklist",changes[[#This Row],[Type]]="checklist-flat"),1+IF(changes[[#This Row],[Type of change]] = "Edit",COUNTIFS($I$4:changes[[#This Row],[Name]],changes[[#This Row],[Name]], $E$4:changes[[#This Row],[Type of change]], "Edit")),B692)</f>
        <v>1</v>
      </c>
      <c r="C693" s="16">
        <v>44615</v>
      </c>
      <c r="D693" s="1" t="s">
        <v>2481</v>
      </c>
      <c r="E693" t="s">
        <v>2453</v>
      </c>
      <c r="F693" s="10" t="s">
        <v>9</v>
      </c>
      <c r="G693" t="s">
        <v>2560</v>
      </c>
      <c r="H693" t="s">
        <v>55</v>
      </c>
      <c r="I693" t="s">
        <v>2010</v>
      </c>
      <c r="K693" s="2"/>
      <c r="M693" s="2"/>
    </row>
    <row r="694" spans="1:13">
      <c r="A694" t="s">
        <v>11</v>
      </c>
      <c r="B694">
        <f ca="1">IF(OR(changes[[#This Row],[Type]]="Checklist",changes[[#This Row],[Type]]="checklist-flat"),1+IF(changes[[#This Row],[Type of change]] = "Edit",COUNTIFS($I$4:changes[[#This Row],[Name]],changes[[#This Row],[Name]], $E$4:changes[[#This Row],[Type of change]], "Edit")),B693)</f>
        <v>1</v>
      </c>
      <c r="C694" s="16">
        <v>44615</v>
      </c>
      <c r="D694" s="1" t="s">
        <v>2481</v>
      </c>
      <c r="E694" t="s">
        <v>2453</v>
      </c>
      <c r="F694" s="10" t="s">
        <v>9</v>
      </c>
      <c r="G694" t="s">
        <v>2560</v>
      </c>
      <c r="H694" t="s">
        <v>55</v>
      </c>
      <c r="I694" t="s">
        <v>2553</v>
      </c>
      <c r="K694" s="2"/>
      <c r="M694" s="2"/>
    </row>
    <row r="695" spans="1:13">
      <c r="A695" t="s">
        <v>11</v>
      </c>
      <c r="B695">
        <f ca="1">IF(OR(changes[[#This Row],[Type]]="Checklist",changes[[#This Row],[Type]]="checklist-flat"),1+IF(changes[[#This Row],[Type of change]] = "Edit",COUNTIFS($I$4:changes[[#This Row],[Name]],changes[[#This Row],[Name]], $E$4:changes[[#This Row],[Type of change]], "Edit")),B694)</f>
        <v>1</v>
      </c>
      <c r="C695" s="16">
        <v>44615</v>
      </c>
      <c r="D695" s="1" t="s">
        <v>2481</v>
      </c>
      <c r="E695" t="s">
        <v>2453</v>
      </c>
      <c r="F695" s="10" t="s">
        <v>9</v>
      </c>
      <c r="G695" t="s">
        <v>2560</v>
      </c>
      <c r="H695" t="s">
        <v>994</v>
      </c>
      <c r="I695" t="s">
        <v>65</v>
      </c>
      <c r="K695" s="2"/>
      <c r="M695" s="2"/>
    </row>
    <row r="696" spans="1:13">
      <c r="A696" t="s">
        <v>11</v>
      </c>
      <c r="B696">
        <f ca="1">IF(OR(changes[[#This Row],[Type]]="Checklist",changes[[#This Row],[Type]]="checklist-flat"),1+IF(changes[[#This Row],[Type of change]] = "Edit",COUNTIFS($I$4:changes[[#This Row],[Name]],changes[[#This Row],[Name]], $E$4:changes[[#This Row],[Type of change]], "Edit")),B695)</f>
        <v>1</v>
      </c>
      <c r="C696" s="16">
        <v>44615</v>
      </c>
      <c r="D696" s="1" t="s">
        <v>2481</v>
      </c>
      <c r="E696" t="s">
        <v>2453</v>
      </c>
      <c r="F696" s="10" t="s">
        <v>9</v>
      </c>
      <c r="G696" t="s">
        <v>2560</v>
      </c>
      <c r="H696" t="s">
        <v>55</v>
      </c>
      <c r="I696" t="s">
        <v>1305</v>
      </c>
      <c r="K696" s="2"/>
      <c r="M696" s="2"/>
    </row>
    <row r="697" spans="1:13">
      <c r="A697" t="s">
        <v>11</v>
      </c>
      <c r="B697">
        <f ca="1">IF(OR(changes[[#This Row],[Type]]="Checklist",changes[[#This Row],[Type]]="checklist-flat"),1+IF(changes[[#This Row],[Type of change]] = "Edit",COUNTIFS($I$4:changes[[#This Row],[Name]],changes[[#This Row],[Name]], $E$4:changes[[#This Row],[Type of change]], "Edit")),B696)</f>
        <v>1</v>
      </c>
      <c r="C697" s="16">
        <v>44615</v>
      </c>
      <c r="D697" s="1" t="s">
        <v>2481</v>
      </c>
      <c r="E697" t="s">
        <v>2453</v>
      </c>
      <c r="F697" s="10" t="s">
        <v>9</v>
      </c>
      <c r="G697" t="s">
        <v>2560</v>
      </c>
      <c r="H697" t="s">
        <v>55</v>
      </c>
      <c r="I697" t="s">
        <v>2561</v>
      </c>
      <c r="K697" s="2"/>
      <c r="M697" s="2"/>
    </row>
    <row r="698" spans="1:13">
      <c r="A698" t="s">
        <v>11</v>
      </c>
      <c r="B698">
        <f ca="1">IF(OR(changes[[#This Row],[Type]]="Checklist",changes[[#This Row],[Type]]="checklist-flat"),1+IF(changes[[#This Row],[Type of change]] = "Edit",COUNTIFS($I$4:changes[[#This Row],[Name]],changes[[#This Row],[Name]], $E$4:changes[[#This Row],[Type of change]], "Edit")),B697)</f>
        <v>1</v>
      </c>
      <c r="C698" s="16">
        <v>44615</v>
      </c>
      <c r="D698" s="1" t="s">
        <v>2481</v>
      </c>
      <c r="E698" t="s">
        <v>2453</v>
      </c>
      <c r="F698" s="10" t="s">
        <v>9</v>
      </c>
      <c r="G698" t="s">
        <v>2560</v>
      </c>
      <c r="H698" t="s">
        <v>55</v>
      </c>
      <c r="I698" t="s">
        <v>1307</v>
      </c>
      <c r="K698" s="2"/>
      <c r="M698" s="2"/>
    </row>
    <row r="699" spans="1:13">
      <c r="A699" t="s">
        <v>11</v>
      </c>
      <c r="B699">
        <f ca="1">IF(OR(changes[[#This Row],[Type]]="Checklist",changes[[#This Row],[Type]]="checklist-flat"),1+IF(changes[[#This Row],[Type of change]] = "Edit",COUNTIFS($I$4:changes[[#This Row],[Name]],changes[[#This Row],[Name]], $E$4:changes[[#This Row],[Type of change]], "Edit")),B698)</f>
        <v>1</v>
      </c>
      <c r="C699" s="16">
        <v>44615</v>
      </c>
      <c r="D699" s="1" t="s">
        <v>2481</v>
      </c>
      <c r="E699" t="s">
        <v>2453</v>
      </c>
      <c r="F699" s="10" t="s">
        <v>9</v>
      </c>
      <c r="G699" t="s">
        <v>2560</v>
      </c>
      <c r="H699" t="s">
        <v>55</v>
      </c>
      <c r="I699" t="s">
        <v>2562</v>
      </c>
      <c r="K699" s="2"/>
      <c r="M699" s="2"/>
    </row>
    <row r="700" spans="1:13">
      <c r="A700" t="s">
        <v>11</v>
      </c>
      <c r="B700">
        <f ca="1">IF(OR(changes[[#This Row],[Type]]="Checklist",changes[[#This Row],[Type]]="checklist-flat"),1+IF(changes[[#This Row],[Type of change]] = "Edit",COUNTIFS($I$4:changes[[#This Row],[Name]],changes[[#This Row],[Name]], $E$4:changes[[#This Row],[Type of change]], "Edit")),B699)</f>
        <v>1</v>
      </c>
      <c r="C700" s="16">
        <v>44615</v>
      </c>
      <c r="D700" s="1" t="s">
        <v>2481</v>
      </c>
      <c r="E700" t="s">
        <v>2453</v>
      </c>
      <c r="F700" s="10" t="s">
        <v>9</v>
      </c>
      <c r="G700" t="s">
        <v>2560</v>
      </c>
      <c r="H700" t="s">
        <v>55</v>
      </c>
      <c r="I700" t="s">
        <v>2563</v>
      </c>
      <c r="K700" s="2"/>
      <c r="M700" s="2"/>
    </row>
    <row r="701" spans="1:13">
      <c r="A701" t="s">
        <v>11</v>
      </c>
      <c r="B701">
        <f ca="1">IF(OR(changes[[#This Row],[Type]]="Checklist",changes[[#This Row],[Type]]="checklist-flat"),1+IF(changes[[#This Row],[Type of change]] = "Edit",COUNTIFS($I$4:changes[[#This Row],[Name]],changes[[#This Row],[Name]], $E$4:changes[[#This Row],[Type of change]], "Edit")),B700)</f>
        <v>1</v>
      </c>
      <c r="C701" s="16">
        <v>44615</v>
      </c>
      <c r="D701" s="1" t="s">
        <v>2481</v>
      </c>
      <c r="E701" t="s">
        <v>2453</v>
      </c>
      <c r="F701" s="10" t="s">
        <v>9</v>
      </c>
      <c r="G701" t="s">
        <v>2560</v>
      </c>
      <c r="H701" t="s">
        <v>55</v>
      </c>
      <c r="I701" t="s">
        <v>1310</v>
      </c>
      <c r="K701" s="2"/>
      <c r="M701" s="2"/>
    </row>
    <row r="702" spans="1:13">
      <c r="A702" t="s">
        <v>11</v>
      </c>
      <c r="B702">
        <f ca="1">IF(OR(changes[[#This Row],[Type]]="Checklist",changes[[#This Row],[Type]]="checklist-flat"),1+IF(changes[[#This Row],[Type of change]] = "Edit",COUNTIFS($I$4:changes[[#This Row],[Name]],changes[[#This Row],[Name]], $E$4:changes[[#This Row],[Type of change]], "Edit")),B701)</f>
        <v>1</v>
      </c>
      <c r="C702" s="16">
        <v>44615</v>
      </c>
      <c r="D702" s="1" t="s">
        <v>2481</v>
      </c>
      <c r="E702" t="s">
        <v>2453</v>
      </c>
      <c r="F702" s="10" t="s">
        <v>9</v>
      </c>
      <c r="G702" t="s">
        <v>2560</v>
      </c>
      <c r="H702" t="s">
        <v>55</v>
      </c>
      <c r="I702" t="s">
        <v>1311</v>
      </c>
      <c r="K702" s="2"/>
      <c r="M702" s="2"/>
    </row>
    <row r="703" spans="1:13">
      <c r="A703" t="s">
        <v>11</v>
      </c>
      <c r="B703">
        <f ca="1">IF(OR(changes[[#This Row],[Type]]="Checklist",changes[[#This Row],[Type]]="checklist-flat"),1+IF(changes[[#This Row],[Type of change]] = "Edit",COUNTIFS($I$4:changes[[#This Row],[Name]],changes[[#This Row],[Name]], $E$4:changes[[#This Row],[Type of change]], "Edit")),B702)</f>
        <v>1</v>
      </c>
      <c r="C703" s="16">
        <v>44615</v>
      </c>
      <c r="D703" s="1" t="s">
        <v>2481</v>
      </c>
      <c r="E703" t="s">
        <v>2453</v>
      </c>
      <c r="F703" s="10" t="s">
        <v>9</v>
      </c>
      <c r="G703" t="s">
        <v>2560</v>
      </c>
      <c r="H703" t="s">
        <v>55</v>
      </c>
      <c r="I703" t="s">
        <v>1312</v>
      </c>
      <c r="K703" s="2"/>
      <c r="M703" s="2"/>
    </row>
    <row r="704" spans="1:13">
      <c r="A704" t="s">
        <v>11</v>
      </c>
      <c r="B704">
        <f ca="1">IF(OR(changes[[#This Row],[Type]]="Checklist",changes[[#This Row],[Type]]="checklist-flat"),1+IF(changes[[#This Row],[Type of change]] = "Edit",COUNTIFS($I$4:changes[[#This Row],[Name]],changes[[#This Row],[Name]], $E$4:changes[[#This Row],[Type of change]], "Edit")),B703)</f>
        <v>1</v>
      </c>
      <c r="C704" s="16">
        <v>44615</v>
      </c>
      <c r="D704" s="1" t="s">
        <v>2481</v>
      </c>
      <c r="E704" t="s">
        <v>2453</v>
      </c>
      <c r="F704" s="10" t="s">
        <v>9</v>
      </c>
      <c r="G704" t="s">
        <v>2560</v>
      </c>
      <c r="H704" t="s">
        <v>55</v>
      </c>
      <c r="I704" t="s">
        <v>1313</v>
      </c>
      <c r="K704" s="2"/>
      <c r="M704" s="2"/>
    </row>
    <row r="705" spans="1:13">
      <c r="A705" t="s">
        <v>11</v>
      </c>
      <c r="B705">
        <f ca="1">IF(OR(changes[[#This Row],[Type]]="Checklist",changes[[#This Row],[Type]]="checklist-flat"),1+IF(changes[[#This Row],[Type of change]] = "Edit",COUNTIFS($I$4:changes[[#This Row],[Name]],changes[[#This Row],[Name]], $E$4:changes[[#This Row],[Type of change]], "Edit")),B704)</f>
        <v>1</v>
      </c>
      <c r="C705" s="16">
        <v>44615</v>
      </c>
      <c r="D705" s="1" t="s">
        <v>2481</v>
      </c>
      <c r="E705" t="s">
        <v>2453</v>
      </c>
      <c r="F705" s="10" t="s">
        <v>9</v>
      </c>
      <c r="G705" t="s">
        <v>2560</v>
      </c>
      <c r="H705" t="s">
        <v>55</v>
      </c>
      <c r="I705" t="s">
        <v>2564</v>
      </c>
      <c r="K705" s="2"/>
      <c r="M705" s="2"/>
    </row>
    <row r="706" spans="1:13">
      <c r="A706" t="s">
        <v>11</v>
      </c>
      <c r="B706">
        <f ca="1">IF(OR(changes[[#This Row],[Type]]="Checklist",changes[[#This Row],[Type]]="checklist-flat"),1+IF(changes[[#This Row],[Type of change]] = "Edit",COUNTIFS($I$4:changes[[#This Row],[Name]],changes[[#This Row],[Name]], $E$4:changes[[#This Row],[Type of change]], "Edit")),B705)</f>
        <v>1</v>
      </c>
      <c r="C706" s="16">
        <v>44615</v>
      </c>
      <c r="D706" s="1" t="s">
        <v>2481</v>
      </c>
      <c r="E706" t="s">
        <v>2453</v>
      </c>
      <c r="F706" s="10" t="s">
        <v>9</v>
      </c>
      <c r="G706" t="s">
        <v>2560</v>
      </c>
      <c r="H706" t="s">
        <v>55</v>
      </c>
      <c r="I706" t="s">
        <v>2565</v>
      </c>
      <c r="K706" s="2"/>
      <c r="M706" s="2"/>
    </row>
    <row r="707" spans="1:13">
      <c r="A707" t="s">
        <v>11</v>
      </c>
      <c r="B707">
        <f ca="1">IF(OR(changes[[#This Row],[Type]]="Checklist",changes[[#This Row],[Type]]="checklist-flat"),1+IF(changes[[#This Row],[Type of change]] = "Edit",COUNTIFS($I$4:changes[[#This Row],[Name]],changes[[#This Row],[Name]], $E$4:changes[[#This Row],[Type of change]], "Edit")),B706)</f>
        <v>1</v>
      </c>
      <c r="C707" s="16">
        <v>44615</v>
      </c>
      <c r="D707" s="1" t="s">
        <v>2481</v>
      </c>
      <c r="E707" t="s">
        <v>2453</v>
      </c>
      <c r="F707" s="10" t="s">
        <v>9</v>
      </c>
      <c r="G707" t="s">
        <v>2560</v>
      </c>
      <c r="H707" t="s">
        <v>55</v>
      </c>
      <c r="I707" t="s">
        <v>1316</v>
      </c>
      <c r="K707" s="2"/>
      <c r="M707" s="2"/>
    </row>
    <row r="708" spans="1:13">
      <c r="A708" t="s">
        <v>11</v>
      </c>
      <c r="B708">
        <f ca="1">IF(OR(changes[[#This Row],[Type]]="Checklist",changes[[#This Row],[Type]]="checklist-flat"),1+IF(changes[[#This Row],[Type of change]] = "Edit",COUNTIFS($I$4:changes[[#This Row],[Name]],changes[[#This Row],[Name]], $E$4:changes[[#This Row],[Type of change]], "Edit")),B707)</f>
        <v>1</v>
      </c>
      <c r="C708" s="16">
        <v>44615</v>
      </c>
      <c r="D708" s="1" t="s">
        <v>2481</v>
      </c>
      <c r="E708" t="s">
        <v>2453</v>
      </c>
      <c r="F708" s="10" t="s">
        <v>9</v>
      </c>
      <c r="G708" t="s">
        <v>2560</v>
      </c>
      <c r="H708" t="s">
        <v>55</v>
      </c>
      <c r="I708" t="s">
        <v>2555</v>
      </c>
      <c r="K708" s="2"/>
      <c r="M708" s="2"/>
    </row>
    <row r="709" spans="1:13">
      <c r="A709" t="s">
        <v>11</v>
      </c>
      <c r="B709">
        <f ca="1">IF(OR(changes[[#This Row],[Type]]="Checklist",changes[[#This Row],[Type]]="checklist-flat"),1+IF(changes[[#This Row],[Type of change]] = "Edit",COUNTIFS($I$4:changes[[#This Row],[Name]],changes[[#This Row],[Name]], $E$4:changes[[#This Row],[Type of change]], "Edit")),B708)</f>
        <v>1</v>
      </c>
      <c r="C709" s="16">
        <v>44615</v>
      </c>
      <c r="D709" s="1" t="s">
        <v>2481</v>
      </c>
      <c r="E709" t="s">
        <v>2453</v>
      </c>
      <c r="F709" s="10" t="s">
        <v>9</v>
      </c>
      <c r="G709" t="s">
        <v>2560</v>
      </c>
      <c r="H709" t="s">
        <v>55</v>
      </c>
      <c r="I709" t="s">
        <v>1317</v>
      </c>
      <c r="K709" s="2"/>
      <c r="M709" s="2"/>
    </row>
    <row r="710" spans="1:13">
      <c r="A710" t="s">
        <v>11</v>
      </c>
      <c r="B710">
        <f ca="1">IF(OR(changes[[#This Row],[Type]]="Checklist",changes[[#This Row],[Type]]="checklist-flat"),1+IF(changes[[#This Row],[Type of change]] = "Edit",COUNTIFS($I$4:changes[[#This Row],[Name]],changes[[#This Row],[Name]], $E$4:changes[[#This Row],[Type of change]], "Edit")),B709)</f>
        <v>1</v>
      </c>
      <c r="C710" s="16">
        <v>44615</v>
      </c>
      <c r="D710" s="1" t="s">
        <v>2481</v>
      </c>
      <c r="E710" t="s">
        <v>2453</v>
      </c>
      <c r="F710" s="10" t="s">
        <v>9</v>
      </c>
      <c r="G710" t="s">
        <v>2560</v>
      </c>
      <c r="H710" t="s">
        <v>55</v>
      </c>
      <c r="I710" t="s">
        <v>1318</v>
      </c>
      <c r="K710" s="2"/>
      <c r="M710" s="2"/>
    </row>
    <row r="711" spans="1:13">
      <c r="A711" t="s">
        <v>11</v>
      </c>
      <c r="B711">
        <f ca="1">IF(OR(changes[[#This Row],[Type]]="Checklist",changes[[#This Row],[Type]]="checklist-flat"),1+IF(changes[[#This Row],[Type of change]] = "Edit",COUNTIFS($I$4:changes[[#This Row],[Name]],changes[[#This Row],[Name]], $E$4:changes[[#This Row],[Type of change]], "Edit")),B710)</f>
        <v>1</v>
      </c>
      <c r="C711" s="16">
        <v>44615</v>
      </c>
      <c r="D711" s="1" t="s">
        <v>2481</v>
      </c>
      <c r="E711" t="s">
        <v>2453</v>
      </c>
      <c r="F711" s="10" t="s">
        <v>9</v>
      </c>
      <c r="G711" t="s">
        <v>2560</v>
      </c>
      <c r="H711" t="s">
        <v>55</v>
      </c>
      <c r="I711" t="s">
        <v>1319</v>
      </c>
      <c r="K711" s="2"/>
      <c r="M711" s="2"/>
    </row>
    <row r="712" spans="1:13">
      <c r="A712" t="s">
        <v>11</v>
      </c>
      <c r="B712">
        <f ca="1">IF(OR(changes[[#This Row],[Type]]="Checklist",changes[[#This Row],[Type]]="checklist-flat"),1+IF(changes[[#This Row],[Type of change]] = "Edit",COUNTIFS($I$4:changes[[#This Row],[Name]],changes[[#This Row],[Name]], $E$4:changes[[#This Row],[Type of change]], "Edit")),B711)</f>
        <v>1</v>
      </c>
      <c r="C712" s="16">
        <v>44615</v>
      </c>
      <c r="D712" s="1" t="s">
        <v>2481</v>
      </c>
      <c r="E712" t="s">
        <v>2453</v>
      </c>
      <c r="F712" s="10" t="s">
        <v>9</v>
      </c>
      <c r="G712" t="s">
        <v>2560</v>
      </c>
      <c r="H712" t="s">
        <v>55</v>
      </c>
      <c r="I712" t="s">
        <v>2566</v>
      </c>
      <c r="K712" s="2"/>
      <c r="M712" s="2"/>
    </row>
    <row r="713" spans="1:13">
      <c r="A713" t="s">
        <v>11</v>
      </c>
      <c r="B713">
        <f ca="1">IF(OR(changes[[#This Row],[Type]]="Checklist",changes[[#This Row],[Type]]="checklist-flat"),1+IF(changes[[#This Row],[Type of change]] = "Edit",COUNTIFS($I$4:changes[[#This Row],[Name]],changes[[#This Row],[Name]], $E$4:changes[[#This Row],[Type of change]], "Edit")),B712)</f>
        <v>1</v>
      </c>
      <c r="C713" s="16">
        <v>44615</v>
      </c>
      <c r="D713" s="1" t="s">
        <v>2481</v>
      </c>
      <c r="E713" t="s">
        <v>2453</v>
      </c>
      <c r="F713" s="10" t="s">
        <v>9</v>
      </c>
      <c r="G713" t="s">
        <v>2560</v>
      </c>
      <c r="H713" t="s">
        <v>55</v>
      </c>
      <c r="I713" t="s">
        <v>2557</v>
      </c>
      <c r="K713" s="2"/>
      <c r="M713" s="2"/>
    </row>
    <row r="714" spans="1:13">
      <c r="A714" t="s">
        <v>11</v>
      </c>
      <c r="B714">
        <f ca="1">IF(OR(changes[[#This Row],[Type]]="Checklist",changes[[#This Row],[Type]]="checklist-flat"),1+IF(changes[[#This Row],[Type of change]] = "Edit",COUNTIFS($I$4:changes[[#This Row],[Name]],changes[[#This Row],[Name]], $E$4:changes[[#This Row],[Type of change]], "Edit")),B713)</f>
        <v>1</v>
      </c>
      <c r="C714" s="16">
        <v>44615</v>
      </c>
      <c r="D714" s="1" t="s">
        <v>2481</v>
      </c>
      <c r="E714" t="s">
        <v>2453</v>
      </c>
      <c r="F714" s="10" t="s">
        <v>9</v>
      </c>
      <c r="G714" t="s">
        <v>2560</v>
      </c>
      <c r="H714" t="s">
        <v>55</v>
      </c>
      <c r="I714" t="s">
        <v>2558</v>
      </c>
      <c r="K714" s="2"/>
      <c r="M714" s="2"/>
    </row>
    <row r="715" spans="1:13">
      <c r="A715" t="s">
        <v>11</v>
      </c>
      <c r="B715">
        <f ca="1">IF(OR(changes[[#This Row],[Type]]="Checklist",changes[[#This Row],[Type]]="checklist-flat"),1+IF(changes[[#This Row],[Type of change]] = "Edit",COUNTIFS($I$4:changes[[#This Row],[Name]],changes[[#This Row],[Name]], $E$4:changes[[#This Row],[Type of change]], "Edit")),B714)</f>
        <v>1</v>
      </c>
      <c r="C715" s="16">
        <v>44615</v>
      </c>
      <c r="D715" s="1" t="s">
        <v>2481</v>
      </c>
      <c r="E715" t="s">
        <v>2453</v>
      </c>
      <c r="F715" s="10" t="s">
        <v>9</v>
      </c>
      <c r="G715" t="s">
        <v>2560</v>
      </c>
      <c r="H715" t="s">
        <v>479</v>
      </c>
      <c r="I715" t="s">
        <v>1408</v>
      </c>
      <c r="K715" s="2"/>
      <c r="M715" s="2"/>
    </row>
    <row r="716" spans="1:13">
      <c r="A716" t="s">
        <v>11</v>
      </c>
      <c r="B716">
        <f ca="1">IF(OR(changes[[#This Row],[Type]]="Checklist",changes[[#This Row],[Type]]="checklist-flat"),1+IF(changes[[#This Row],[Type of change]] = "Edit",COUNTIFS($I$4:changes[[#This Row],[Name]],changes[[#This Row],[Name]], $E$4:changes[[#This Row],[Type of change]], "Edit")),B715)</f>
        <v>1</v>
      </c>
      <c r="C716" s="16">
        <v>44615</v>
      </c>
      <c r="D716" s="1" t="s">
        <v>2481</v>
      </c>
      <c r="E716" t="s">
        <v>2453</v>
      </c>
      <c r="F716" s="10" t="s">
        <v>9</v>
      </c>
      <c r="G716" t="s">
        <v>2560</v>
      </c>
      <c r="H716" t="s">
        <v>55</v>
      </c>
      <c r="I716" t="s">
        <v>2567</v>
      </c>
      <c r="K716" s="2"/>
      <c r="M716" s="2"/>
    </row>
    <row r="717" spans="1:13">
      <c r="A717" t="s">
        <v>11</v>
      </c>
      <c r="B717">
        <f ca="1">IF(OR(changes[[#This Row],[Type]]="Checklist",changes[[#This Row],[Type]]="checklist-flat"),1+IF(changes[[#This Row],[Type of change]] = "Edit",COUNTIFS($I$4:changes[[#This Row],[Name]],changes[[#This Row],[Name]], $E$4:changes[[#This Row],[Type of change]], "Edit")),B716)</f>
        <v>1</v>
      </c>
      <c r="C717" s="16">
        <v>44615</v>
      </c>
      <c r="D717" s="1" t="s">
        <v>2481</v>
      </c>
      <c r="E717" t="s">
        <v>2453</v>
      </c>
      <c r="F717" s="10" t="s">
        <v>9</v>
      </c>
      <c r="G717" t="s">
        <v>2560</v>
      </c>
      <c r="H717" t="s">
        <v>55</v>
      </c>
      <c r="I717" t="s">
        <v>2568</v>
      </c>
      <c r="K717" s="2"/>
      <c r="M717" s="2"/>
    </row>
    <row r="718" spans="1:13">
      <c r="A718" t="s">
        <v>11</v>
      </c>
      <c r="B718">
        <f ca="1">IF(OR(changes[[#This Row],[Type]]="Checklist",changes[[#This Row],[Type]]="checklist-flat"),1+IF(changes[[#This Row],[Type of change]] = "Edit",COUNTIFS($I$4:changes[[#This Row],[Name]],changes[[#This Row],[Name]], $E$4:changes[[#This Row],[Type of change]], "Edit")),B717)</f>
        <v>1</v>
      </c>
      <c r="C718" s="16">
        <v>44615</v>
      </c>
      <c r="D718" s="1" t="s">
        <v>2481</v>
      </c>
      <c r="E718" t="s">
        <v>2453</v>
      </c>
      <c r="F718" s="10" t="s">
        <v>9</v>
      </c>
      <c r="G718" t="s">
        <v>2560</v>
      </c>
      <c r="H718" t="s">
        <v>55</v>
      </c>
      <c r="I718" t="s">
        <v>1182</v>
      </c>
      <c r="K718" s="2"/>
      <c r="M718" s="2"/>
    </row>
    <row r="719" spans="1:13">
      <c r="A719" t="s">
        <v>11</v>
      </c>
      <c r="B719">
        <f ca="1">IF(OR(changes[[#This Row],[Type]]="Checklist",changes[[#This Row],[Type]]="checklist-flat"),1+IF(changes[[#This Row],[Type of change]] = "Edit",COUNTIFS($I$4:changes[[#This Row],[Name]],changes[[#This Row],[Name]], $E$4:changes[[#This Row],[Type of change]], "Edit")),B718)</f>
        <v>1</v>
      </c>
      <c r="C719" s="16">
        <v>44615</v>
      </c>
      <c r="D719" s="1" t="s">
        <v>2481</v>
      </c>
      <c r="E719" t="s">
        <v>2453</v>
      </c>
      <c r="F719" s="10" t="s">
        <v>9</v>
      </c>
      <c r="G719" t="s">
        <v>2560</v>
      </c>
      <c r="H719" t="s">
        <v>55</v>
      </c>
      <c r="I719" t="s">
        <v>2569</v>
      </c>
      <c r="K719" s="2"/>
      <c r="M719" s="2"/>
    </row>
    <row r="720" spans="1:13">
      <c r="A720" t="s">
        <v>11</v>
      </c>
      <c r="B720">
        <f ca="1">IF(OR(changes[[#This Row],[Type]]="Checklist",changes[[#This Row],[Type]]="checklist-flat"),1+IF(changes[[#This Row],[Type of change]] = "Edit",COUNTIFS($I$4:changes[[#This Row],[Name]],changes[[#This Row],[Name]], $E$4:changes[[#This Row],[Type of change]], "Edit")),B719)</f>
        <v>1</v>
      </c>
      <c r="C720" s="16">
        <v>44615</v>
      </c>
      <c r="D720" s="1" t="s">
        <v>2481</v>
      </c>
      <c r="E720" t="s">
        <v>2453</v>
      </c>
      <c r="F720" s="10" t="s">
        <v>9</v>
      </c>
      <c r="G720" t="s">
        <v>2560</v>
      </c>
      <c r="H720" t="s">
        <v>55</v>
      </c>
      <c r="I720" t="s">
        <v>2570</v>
      </c>
      <c r="K720" s="2"/>
      <c r="M720" s="2"/>
    </row>
    <row r="721" spans="1:13">
      <c r="A721" t="s">
        <v>11</v>
      </c>
      <c r="B721">
        <f ca="1">IF(OR(changes[[#This Row],[Type]]="Checklist",changes[[#This Row],[Type]]="checklist-flat"),1+IF(changes[[#This Row],[Type of change]] = "Edit",COUNTIFS($I$4:changes[[#This Row],[Name]],changes[[#This Row],[Name]], $E$4:changes[[#This Row],[Type of change]], "Edit")),B720)</f>
        <v>1</v>
      </c>
      <c r="C721" s="16">
        <v>44615</v>
      </c>
      <c r="D721" s="1" t="s">
        <v>2481</v>
      </c>
      <c r="E721" t="s">
        <v>2453</v>
      </c>
      <c r="F721" s="10" t="s">
        <v>9</v>
      </c>
      <c r="G721" t="s">
        <v>2560</v>
      </c>
      <c r="H721" t="s">
        <v>55</v>
      </c>
      <c r="I721" t="s">
        <v>2571</v>
      </c>
      <c r="K721" s="2"/>
      <c r="M721" s="2"/>
    </row>
    <row r="722" spans="1:13">
      <c r="A722" t="s">
        <v>11</v>
      </c>
      <c r="B722">
        <f ca="1">IF(OR(changes[[#This Row],[Type]]="Checklist",changes[[#This Row],[Type]]="checklist-flat"),1+IF(changes[[#This Row],[Type of change]] = "Edit",COUNTIFS($I$4:changes[[#This Row],[Name]],changes[[#This Row],[Name]], $E$4:changes[[#This Row],[Type of change]], "Edit")),B721)</f>
        <v>1</v>
      </c>
      <c r="C722" s="16">
        <v>44615</v>
      </c>
      <c r="D722" s="1" t="s">
        <v>2481</v>
      </c>
      <c r="E722" t="s">
        <v>2453</v>
      </c>
      <c r="F722" s="10" t="s">
        <v>9</v>
      </c>
      <c r="G722" t="s">
        <v>2560</v>
      </c>
      <c r="H722" t="s">
        <v>55</v>
      </c>
      <c r="I722" t="s">
        <v>2572</v>
      </c>
      <c r="K722" s="2"/>
      <c r="M722" s="2"/>
    </row>
    <row r="723" spans="1:13">
      <c r="A723" t="s">
        <v>11</v>
      </c>
      <c r="B723">
        <f ca="1">IF(OR(changes[[#This Row],[Type]]="Checklist",changes[[#This Row],[Type]]="checklist-flat"),1+IF(changes[[#This Row],[Type of change]] = "Edit",COUNTIFS($I$4:changes[[#This Row],[Name]],changes[[#This Row],[Name]], $E$4:changes[[#This Row],[Type of change]], "Edit")),B722)</f>
        <v>1</v>
      </c>
      <c r="C723" s="16">
        <v>44615</v>
      </c>
      <c r="D723" s="1" t="s">
        <v>2481</v>
      </c>
      <c r="E723" t="s">
        <v>2453</v>
      </c>
      <c r="F723" s="10" t="s">
        <v>9</v>
      </c>
      <c r="G723" t="s">
        <v>2560</v>
      </c>
      <c r="H723" t="s">
        <v>55</v>
      </c>
      <c r="I723" t="s">
        <v>2573</v>
      </c>
      <c r="K723" s="2"/>
      <c r="M723" s="2"/>
    </row>
    <row r="724" spans="1:13">
      <c r="A724" t="s">
        <v>11</v>
      </c>
      <c r="B724">
        <f ca="1">IF(OR(changes[[#This Row],[Type]]="Checklist",changes[[#This Row],[Type]]="checklist-flat"),1+IF(changes[[#This Row],[Type of change]] = "Edit",COUNTIFS($I$4:changes[[#This Row],[Name]],changes[[#This Row],[Name]], $E$4:changes[[#This Row],[Type of change]], "Edit")),B723)</f>
        <v>1</v>
      </c>
      <c r="C724" s="16">
        <v>44615</v>
      </c>
      <c r="D724" s="1" t="s">
        <v>2481</v>
      </c>
      <c r="E724" t="s">
        <v>2453</v>
      </c>
      <c r="F724" s="10" t="s">
        <v>9</v>
      </c>
      <c r="G724" t="s">
        <v>2560</v>
      </c>
      <c r="H724" t="s">
        <v>55</v>
      </c>
      <c r="I724" t="s">
        <v>2574</v>
      </c>
      <c r="K724" s="2"/>
      <c r="M724" s="2"/>
    </row>
    <row r="725" spans="1:13">
      <c r="A725" t="s">
        <v>11</v>
      </c>
      <c r="B725">
        <f ca="1">IF(OR(changes[[#This Row],[Type]]="Checklist",changes[[#This Row],[Type]]="checklist-flat"),1+IF(changes[[#This Row],[Type of change]] = "Edit",COUNTIFS($I$4:changes[[#This Row],[Name]],changes[[#This Row],[Name]], $E$4:changes[[#This Row],[Type of change]], "Edit")),B724)</f>
        <v>1</v>
      </c>
      <c r="C725" s="16">
        <v>44615</v>
      </c>
      <c r="D725" s="1" t="s">
        <v>2481</v>
      </c>
      <c r="E725" t="s">
        <v>2453</v>
      </c>
      <c r="F725" s="10" t="s">
        <v>9</v>
      </c>
      <c r="G725" t="s">
        <v>2560</v>
      </c>
      <c r="H725" t="s">
        <v>55</v>
      </c>
      <c r="I725" t="s">
        <v>2575</v>
      </c>
      <c r="K725" s="2"/>
      <c r="M725" s="2"/>
    </row>
    <row r="726" spans="1:13">
      <c r="A726" t="s">
        <v>11</v>
      </c>
      <c r="B726">
        <f ca="1">IF(OR(changes[[#This Row],[Type]]="Checklist",changes[[#This Row],[Type]]="checklist-flat"),1+IF(changes[[#This Row],[Type of change]] = "Edit",COUNTIFS($I$4:changes[[#This Row],[Name]],changes[[#This Row],[Name]], $E$4:changes[[#This Row],[Type of change]], "Edit")),B725)</f>
        <v>1</v>
      </c>
      <c r="C726" s="16">
        <v>44615</v>
      </c>
      <c r="D726" s="1" t="s">
        <v>2481</v>
      </c>
      <c r="E726" t="s">
        <v>2453</v>
      </c>
      <c r="F726" s="10" t="s">
        <v>9</v>
      </c>
      <c r="G726" t="s">
        <v>2560</v>
      </c>
      <c r="H726" t="s">
        <v>55</v>
      </c>
      <c r="I726" t="s">
        <v>2576</v>
      </c>
      <c r="K726" s="2"/>
      <c r="M726" s="2"/>
    </row>
    <row r="727" spans="1:13">
      <c r="A727" t="s">
        <v>11</v>
      </c>
      <c r="B727">
        <f ca="1">IF(OR(changes[[#This Row],[Type]]="Checklist",changes[[#This Row],[Type]]="checklist-flat"),1+IF(changes[[#This Row],[Type of change]] = "Edit",COUNTIFS($I$4:changes[[#This Row],[Name]],changes[[#This Row],[Name]], $E$4:changes[[#This Row],[Type of change]], "Edit")),B726)</f>
        <v>1</v>
      </c>
      <c r="C727" s="16">
        <v>44615</v>
      </c>
      <c r="D727" s="1" t="s">
        <v>2481</v>
      </c>
      <c r="E727" t="s">
        <v>2453</v>
      </c>
      <c r="F727" s="10" t="s">
        <v>9</v>
      </c>
      <c r="G727" t="s">
        <v>2560</v>
      </c>
      <c r="H727" t="s">
        <v>55</v>
      </c>
      <c r="I727" t="s">
        <v>2557</v>
      </c>
      <c r="K727" s="2"/>
      <c r="M727" s="2"/>
    </row>
    <row r="728" spans="1:13">
      <c r="A728" t="s">
        <v>11</v>
      </c>
      <c r="B728">
        <f ca="1">IF(OR(changes[[#This Row],[Type]]="Checklist",changes[[#This Row],[Type]]="checklist-flat"),1+IF(changes[[#This Row],[Type of change]] = "Edit",COUNTIFS($I$4:changes[[#This Row],[Name]],changes[[#This Row],[Name]], $E$4:changes[[#This Row],[Type of change]], "Edit")),B727)</f>
        <v>1</v>
      </c>
      <c r="C728" s="16">
        <v>44615</v>
      </c>
      <c r="D728" s="1" t="s">
        <v>2481</v>
      </c>
      <c r="E728" t="s">
        <v>2453</v>
      </c>
      <c r="F728" s="10" t="s">
        <v>9</v>
      </c>
      <c r="G728" t="s">
        <v>2560</v>
      </c>
      <c r="H728" t="s">
        <v>55</v>
      </c>
      <c r="I728" t="s">
        <v>2558</v>
      </c>
      <c r="K728" s="2"/>
      <c r="M728" s="2"/>
    </row>
    <row r="729" spans="1:13">
      <c r="A729" t="s">
        <v>11</v>
      </c>
      <c r="B729">
        <f ca="1">IF(OR(changes[[#This Row],[Type]]="Checklist",changes[[#This Row],[Type]]="checklist-flat"),1+IF(changes[[#This Row],[Type of change]] = "Edit",COUNTIFS($I$4:changes[[#This Row],[Name]],changes[[#This Row],[Name]], $E$4:changes[[#This Row],[Type of change]], "Edit")),B728)</f>
        <v>1</v>
      </c>
      <c r="C729" s="16">
        <v>44621</v>
      </c>
      <c r="D729" s="1" t="s">
        <v>2484</v>
      </c>
      <c r="E729" t="s">
        <v>2453</v>
      </c>
      <c r="F729" s="10" t="s">
        <v>9</v>
      </c>
      <c r="G729" t="s">
        <v>1137</v>
      </c>
      <c r="H729" t="s">
        <v>478</v>
      </c>
      <c r="I729" t="s">
        <v>2577</v>
      </c>
      <c r="K729" s="2"/>
      <c r="M729" s="2" t="s">
        <v>2578</v>
      </c>
    </row>
    <row r="730" spans="1:13">
      <c r="A730" t="s">
        <v>11</v>
      </c>
      <c r="B730">
        <f ca="1">IF(OR(changes[[#This Row],[Type]]="Checklist",changes[[#This Row],[Type]]="checklist-flat"),1+IF(changes[[#This Row],[Type of change]] = "Edit",COUNTIFS($I$4:changes[[#This Row],[Name]],changes[[#This Row],[Name]], $E$4:changes[[#This Row],[Type of change]], "Edit")),B729)</f>
        <v>1</v>
      </c>
      <c r="C730" s="16">
        <v>44621</v>
      </c>
      <c r="D730" s="1" t="s">
        <v>2484</v>
      </c>
      <c r="E730" t="s">
        <v>2453</v>
      </c>
      <c r="F730" s="10" t="s">
        <v>9</v>
      </c>
      <c r="G730" t="s">
        <v>1137</v>
      </c>
      <c r="H730" t="s">
        <v>55</v>
      </c>
      <c r="I730" t="s">
        <v>1138</v>
      </c>
      <c r="K730" s="2"/>
      <c r="M730" s="2"/>
    </row>
    <row r="731" spans="1:13">
      <c r="A731" t="s">
        <v>11</v>
      </c>
      <c r="B731">
        <f ca="1">IF(OR(changes[[#This Row],[Type]]="Checklist",changes[[#This Row],[Type]]="checklist-flat"),1+IF(changes[[#This Row],[Type of change]] = "Edit",COUNTIFS($I$4:changes[[#This Row],[Name]],changes[[#This Row],[Name]], $E$4:changes[[#This Row],[Type of change]], "Edit")),B730)</f>
        <v>1</v>
      </c>
      <c r="C731" s="16">
        <v>44621</v>
      </c>
      <c r="D731" s="1" t="s">
        <v>2484</v>
      </c>
      <c r="E731" t="s">
        <v>2453</v>
      </c>
      <c r="F731" s="10" t="s">
        <v>9</v>
      </c>
      <c r="G731" t="s">
        <v>1137</v>
      </c>
      <c r="H731" t="s">
        <v>55</v>
      </c>
      <c r="I731" t="s">
        <v>1139</v>
      </c>
      <c r="K731" s="2"/>
      <c r="M731" s="2"/>
    </row>
    <row r="732" spans="1:13">
      <c r="A732" t="s">
        <v>11</v>
      </c>
      <c r="B732">
        <f ca="1">IF(OR(changes[[#This Row],[Type]]="Checklist",changes[[#This Row],[Type]]="checklist-flat"),1+IF(changes[[#This Row],[Type of change]] = "Edit",COUNTIFS($I$4:changes[[#This Row],[Name]],changes[[#This Row],[Name]], $E$4:changes[[#This Row],[Type of change]], "Edit")),B731)</f>
        <v>1</v>
      </c>
      <c r="C732" s="16">
        <v>44621</v>
      </c>
      <c r="D732" s="1" t="s">
        <v>2484</v>
      </c>
      <c r="E732" t="s">
        <v>2453</v>
      </c>
      <c r="F732" s="10" t="s">
        <v>9</v>
      </c>
      <c r="G732" t="s">
        <v>1137</v>
      </c>
      <c r="H732" t="s">
        <v>55</v>
      </c>
      <c r="I732" t="s">
        <v>1140</v>
      </c>
      <c r="K732" s="2"/>
      <c r="M732" s="2"/>
    </row>
    <row r="733" spans="1:13">
      <c r="A733" t="s">
        <v>11</v>
      </c>
      <c r="B733">
        <f ca="1">IF(OR(changes[[#This Row],[Type]]="Checklist",changes[[#This Row],[Type]]="checklist-flat"),1+IF(changes[[#This Row],[Type of change]] = "Edit",COUNTIFS($I$4:changes[[#This Row],[Name]],changes[[#This Row],[Name]], $E$4:changes[[#This Row],[Type of change]], "Edit")),B732)</f>
        <v>1</v>
      </c>
      <c r="C733" s="16">
        <v>44621</v>
      </c>
      <c r="D733" s="1" t="s">
        <v>2484</v>
      </c>
      <c r="E733" t="s">
        <v>2453</v>
      </c>
      <c r="F733" s="10" t="s">
        <v>9</v>
      </c>
      <c r="G733" t="s">
        <v>1137</v>
      </c>
      <c r="H733" t="s">
        <v>55</v>
      </c>
      <c r="I733" t="s">
        <v>1141</v>
      </c>
      <c r="K733" s="2"/>
      <c r="M733" s="2"/>
    </row>
    <row r="734" spans="1:13">
      <c r="A734" t="s">
        <v>11</v>
      </c>
      <c r="B734">
        <f ca="1">IF(OR(changes[[#This Row],[Type]]="Checklist",changes[[#This Row],[Type]]="checklist-flat"),1+IF(changes[[#This Row],[Type of change]] = "Edit",COUNTIFS($I$4:changes[[#This Row],[Name]],changes[[#This Row],[Name]], $E$4:changes[[#This Row],[Type of change]], "Edit")),B733)</f>
        <v>1</v>
      </c>
      <c r="C734" s="16">
        <v>44621</v>
      </c>
      <c r="D734" s="1" t="s">
        <v>2484</v>
      </c>
      <c r="E734" t="s">
        <v>2453</v>
      </c>
      <c r="F734" s="10" t="s">
        <v>9</v>
      </c>
      <c r="G734" t="s">
        <v>1137</v>
      </c>
      <c r="H734" t="s">
        <v>64</v>
      </c>
      <c r="I734" t="s">
        <v>1142</v>
      </c>
      <c r="K734" s="2"/>
      <c r="M734" s="2"/>
    </row>
    <row r="735" spans="1:13">
      <c r="A735" t="s">
        <v>11</v>
      </c>
      <c r="B735">
        <f ca="1">IF(OR(changes[[#This Row],[Type]]="Checklist",changes[[#This Row],[Type]]="checklist-flat"),1+IF(changes[[#This Row],[Type of change]] = "Edit",COUNTIFS($I$4:changes[[#This Row],[Name]],changes[[#This Row],[Name]], $E$4:changes[[#This Row],[Type of change]], "Edit")),B734)</f>
        <v>1</v>
      </c>
      <c r="C735" s="16">
        <v>44621</v>
      </c>
      <c r="D735" s="1" t="s">
        <v>2484</v>
      </c>
      <c r="E735" t="s">
        <v>2453</v>
      </c>
      <c r="F735" s="10" t="s">
        <v>9</v>
      </c>
      <c r="G735" t="s">
        <v>1211</v>
      </c>
      <c r="H735" t="s">
        <v>478</v>
      </c>
      <c r="I735" t="s">
        <v>1211</v>
      </c>
      <c r="K735" s="2"/>
      <c r="M735" s="2" t="s">
        <v>2578</v>
      </c>
    </row>
    <row r="736" spans="1:13">
      <c r="A736" t="s">
        <v>11</v>
      </c>
      <c r="B736">
        <f ca="1">IF(OR(changes[[#This Row],[Type]]="Checklist",changes[[#This Row],[Type]]="checklist-flat"),1+IF(changes[[#This Row],[Type of change]] = "Edit",COUNTIFS($I$4:changes[[#This Row],[Name]],changes[[#This Row],[Name]], $E$4:changes[[#This Row],[Type of change]], "Edit")),B735)</f>
        <v>1</v>
      </c>
      <c r="C736" s="16">
        <v>44621</v>
      </c>
      <c r="D736" s="1" t="s">
        <v>2484</v>
      </c>
      <c r="E736" t="s">
        <v>2453</v>
      </c>
      <c r="F736" s="10" t="s">
        <v>9</v>
      </c>
      <c r="G736" t="s">
        <v>1211</v>
      </c>
      <c r="H736" t="s">
        <v>55</v>
      </c>
      <c r="I736" t="s">
        <v>1212</v>
      </c>
      <c r="K736" s="2"/>
      <c r="M736" s="2"/>
    </row>
    <row r="737" spans="1:13">
      <c r="A737" t="s">
        <v>11</v>
      </c>
      <c r="B737">
        <f ca="1">IF(OR(changes[[#This Row],[Type]]="Checklist",changes[[#This Row],[Type]]="checklist-flat"),1+IF(changes[[#This Row],[Type of change]] = "Edit",COUNTIFS($I$4:changes[[#This Row],[Name]],changes[[#This Row],[Name]], $E$4:changes[[#This Row],[Type of change]], "Edit")),B736)</f>
        <v>1</v>
      </c>
      <c r="C737" s="16">
        <v>44621</v>
      </c>
      <c r="D737" s="1" t="s">
        <v>2484</v>
      </c>
      <c r="E737" t="s">
        <v>2453</v>
      </c>
      <c r="F737" s="10" t="s">
        <v>9</v>
      </c>
      <c r="G737" t="s">
        <v>1211</v>
      </c>
      <c r="H737" t="s">
        <v>55</v>
      </c>
      <c r="I737" t="s">
        <v>1213</v>
      </c>
      <c r="K737" s="2"/>
      <c r="M737" s="2"/>
    </row>
    <row r="738" spans="1:13">
      <c r="A738" t="s">
        <v>11</v>
      </c>
      <c r="B738">
        <f ca="1">IF(OR(changes[[#This Row],[Type]]="Checklist",changes[[#This Row],[Type]]="checklist-flat"),1+IF(changes[[#This Row],[Type of change]] = "Edit",COUNTIFS($I$4:changes[[#This Row],[Name]],changes[[#This Row],[Name]], $E$4:changes[[#This Row],[Type of change]], "Edit")),B737)</f>
        <v>1</v>
      </c>
      <c r="C738" s="16">
        <v>44621</v>
      </c>
      <c r="D738" s="1" t="s">
        <v>2484</v>
      </c>
      <c r="E738" t="s">
        <v>2453</v>
      </c>
      <c r="F738" s="10" t="s">
        <v>9</v>
      </c>
      <c r="G738" t="s">
        <v>1211</v>
      </c>
      <c r="H738" t="s">
        <v>55</v>
      </c>
      <c r="I738" t="s">
        <v>1214</v>
      </c>
      <c r="K738" s="2"/>
      <c r="M738" s="2"/>
    </row>
    <row r="739" spans="1:13">
      <c r="A739" t="s">
        <v>11</v>
      </c>
      <c r="B739">
        <f ca="1">IF(OR(changes[[#This Row],[Type]]="Checklist",changes[[#This Row],[Type]]="checklist-flat"),1+IF(changes[[#This Row],[Type of change]] = "Edit",COUNTIFS($I$4:changes[[#This Row],[Name]],changes[[#This Row],[Name]], $E$4:changes[[#This Row],[Type of change]], "Edit")),B738)</f>
        <v>1</v>
      </c>
      <c r="C739" s="16">
        <v>44621</v>
      </c>
      <c r="D739" s="1" t="s">
        <v>2484</v>
      </c>
      <c r="E739" t="s">
        <v>2453</v>
      </c>
      <c r="F739" s="10" t="s">
        <v>9</v>
      </c>
      <c r="G739" t="s">
        <v>1211</v>
      </c>
      <c r="H739" t="s">
        <v>55</v>
      </c>
      <c r="I739" t="s">
        <v>1141</v>
      </c>
      <c r="K739" s="2"/>
      <c r="M739" s="2"/>
    </row>
    <row r="740" spans="1:13">
      <c r="A740" t="s">
        <v>11</v>
      </c>
      <c r="B740">
        <f ca="1">IF(OR(changes[[#This Row],[Type]]="Checklist",changes[[#This Row],[Type]]="checklist-flat"),1+IF(changes[[#This Row],[Type of change]] = "Edit",COUNTIFS($I$4:changes[[#This Row],[Name]],changes[[#This Row],[Name]], $E$4:changes[[#This Row],[Type of change]], "Edit")),B739)</f>
        <v>1</v>
      </c>
      <c r="C740" s="16">
        <v>44621</v>
      </c>
      <c r="D740" s="1" t="s">
        <v>2484</v>
      </c>
      <c r="E740" t="s">
        <v>2453</v>
      </c>
      <c r="F740" s="10" t="s">
        <v>9</v>
      </c>
      <c r="G740" t="s">
        <v>1211</v>
      </c>
      <c r="H740" t="s">
        <v>55</v>
      </c>
      <c r="I740" t="s">
        <v>1215</v>
      </c>
      <c r="K740" s="2"/>
      <c r="M740" s="2"/>
    </row>
    <row r="741" spans="1:13">
      <c r="A741" t="s">
        <v>11</v>
      </c>
      <c r="B741">
        <f ca="1">IF(OR(changes[[#This Row],[Type]]="Checklist",changes[[#This Row],[Type]]="checklist-flat"),1+IF(changes[[#This Row],[Type of change]] = "Edit",COUNTIFS($I$4:changes[[#This Row],[Name]],changes[[#This Row],[Name]], $E$4:changes[[#This Row],[Type of change]], "Edit")),B740)</f>
        <v>1</v>
      </c>
      <c r="C741" s="16">
        <v>44621</v>
      </c>
      <c r="D741" s="1" t="s">
        <v>2484</v>
      </c>
      <c r="E741" t="s">
        <v>2453</v>
      </c>
      <c r="F741" s="10" t="s">
        <v>9</v>
      </c>
      <c r="G741" t="s">
        <v>1211</v>
      </c>
      <c r="H741" t="s">
        <v>64</v>
      </c>
      <c r="I741" t="s">
        <v>1142</v>
      </c>
      <c r="K741" s="2"/>
      <c r="M741" s="2"/>
    </row>
    <row r="742" spans="1:13">
      <c r="A742" t="s">
        <v>28</v>
      </c>
      <c r="B742">
        <f ca="1">IF(OR(changes[[#This Row],[Type]]="Checklist",changes[[#This Row],[Type]]="checklist-flat"),1+IF(changes[[#This Row],[Type of change]] = "Edit",COUNTIFS($I$4:changes[[#This Row],[Name]],changes[[#This Row],[Name]], $E$4:changes[[#This Row],[Type of change]], "Edit")),B741)</f>
        <v>1</v>
      </c>
      <c r="C742" s="16">
        <v>44621</v>
      </c>
      <c r="D742" s="1" t="s">
        <v>2484</v>
      </c>
      <c r="E742" t="s">
        <v>2453</v>
      </c>
      <c r="F742" s="10" t="s">
        <v>9</v>
      </c>
      <c r="G742" t="s">
        <v>2579</v>
      </c>
      <c r="H742" t="s">
        <v>478</v>
      </c>
      <c r="I742" t="s">
        <v>781</v>
      </c>
      <c r="K742" s="2"/>
      <c r="M742" s="2" t="s">
        <v>2580</v>
      </c>
    </row>
    <row r="743" spans="1:13">
      <c r="A743" t="s">
        <v>28</v>
      </c>
      <c r="B743">
        <f ca="1">IF(OR(changes[[#This Row],[Type]]="Checklist",changes[[#This Row],[Type]]="checklist-flat"),1+IF(changes[[#This Row],[Type of change]] = "Edit",COUNTIFS($I$4:changes[[#This Row],[Name]],changes[[#This Row],[Name]], $E$4:changes[[#This Row],[Type of change]], "Edit")),B742)</f>
        <v>1</v>
      </c>
      <c r="C743" s="16">
        <v>44621</v>
      </c>
      <c r="D743" s="1" t="s">
        <v>2484</v>
      </c>
      <c r="E743" t="s">
        <v>2453</v>
      </c>
      <c r="F743" s="10" t="s">
        <v>9</v>
      </c>
      <c r="G743" t="s">
        <v>2579</v>
      </c>
      <c r="H743" t="s">
        <v>55</v>
      </c>
      <c r="I743" t="s">
        <v>782</v>
      </c>
      <c r="K743" s="2"/>
      <c r="M743" s="2"/>
    </row>
    <row r="744" spans="1:13">
      <c r="A744" t="s">
        <v>28</v>
      </c>
      <c r="B744">
        <f ca="1">IF(OR(changes[[#This Row],[Type]]="Checklist",changes[[#This Row],[Type]]="checklist-flat"),1+IF(changes[[#This Row],[Type of change]] = "Edit",COUNTIFS($I$4:changes[[#This Row],[Name]],changes[[#This Row],[Name]], $E$4:changes[[#This Row],[Type of change]], "Edit")),B743)</f>
        <v>1</v>
      </c>
      <c r="C744" s="16">
        <v>44621</v>
      </c>
      <c r="D744" s="1" t="s">
        <v>2484</v>
      </c>
      <c r="E744" t="s">
        <v>2453</v>
      </c>
      <c r="F744" s="10" t="s">
        <v>9</v>
      </c>
      <c r="G744" t="s">
        <v>2579</v>
      </c>
      <c r="H744" t="s">
        <v>55</v>
      </c>
      <c r="I744" t="s">
        <v>783</v>
      </c>
      <c r="K744" s="2"/>
      <c r="M744" s="2"/>
    </row>
    <row r="745" spans="1:13">
      <c r="A745" t="s">
        <v>28</v>
      </c>
      <c r="B745">
        <f ca="1">IF(OR(changes[[#This Row],[Type]]="Checklist",changes[[#This Row],[Type]]="checklist-flat"),1+IF(changes[[#This Row],[Type of change]] = "Edit",COUNTIFS($I$4:changes[[#This Row],[Name]],changes[[#This Row],[Name]], $E$4:changes[[#This Row],[Type of change]], "Edit")),B744)</f>
        <v>1</v>
      </c>
      <c r="C745" s="16">
        <v>44621</v>
      </c>
      <c r="D745" s="1" t="s">
        <v>2484</v>
      </c>
      <c r="E745" t="s">
        <v>2453</v>
      </c>
      <c r="F745" s="10" t="s">
        <v>9</v>
      </c>
      <c r="G745" t="s">
        <v>2579</v>
      </c>
      <c r="H745" t="s">
        <v>55</v>
      </c>
      <c r="I745" t="s">
        <v>786</v>
      </c>
      <c r="K745" s="2"/>
      <c r="M745" s="2"/>
    </row>
    <row r="746" spans="1:13">
      <c r="A746" t="s">
        <v>28</v>
      </c>
      <c r="B746">
        <f ca="1">IF(OR(changes[[#This Row],[Type]]="Checklist",changes[[#This Row],[Type]]="checklist-flat"),1+IF(changes[[#This Row],[Type of change]] = "Edit",COUNTIFS($I$4:changes[[#This Row],[Name]],changes[[#This Row],[Name]], $E$4:changes[[#This Row],[Type of change]], "Edit")),B745)</f>
        <v>1</v>
      </c>
      <c r="C746" s="16">
        <v>44621</v>
      </c>
      <c r="D746" s="1" t="s">
        <v>2484</v>
      </c>
      <c r="E746" t="s">
        <v>2453</v>
      </c>
      <c r="F746" s="10" t="s">
        <v>9</v>
      </c>
      <c r="G746" t="s">
        <v>2579</v>
      </c>
      <c r="H746" t="s">
        <v>55</v>
      </c>
      <c r="I746" t="s">
        <v>787</v>
      </c>
      <c r="K746" s="2"/>
      <c r="M746" s="2"/>
    </row>
    <row r="747" spans="1:13">
      <c r="A747" t="s">
        <v>28</v>
      </c>
      <c r="B747">
        <f ca="1">IF(OR(changes[[#This Row],[Type]]="Checklist",changes[[#This Row],[Type]]="checklist-flat"),1+IF(changes[[#This Row],[Type of change]] = "Edit",COUNTIFS($I$4:changes[[#This Row],[Name]],changes[[#This Row],[Name]], $E$4:changes[[#This Row],[Type of change]], "Edit")),B746)</f>
        <v>1</v>
      </c>
      <c r="C747" s="16">
        <v>44621</v>
      </c>
      <c r="D747" s="1" t="s">
        <v>2484</v>
      </c>
      <c r="E747" t="s">
        <v>2453</v>
      </c>
      <c r="F747" s="10" t="s">
        <v>9</v>
      </c>
      <c r="G747" t="s">
        <v>2579</v>
      </c>
      <c r="H747" t="s">
        <v>55</v>
      </c>
      <c r="I747" t="s">
        <v>788</v>
      </c>
      <c r="K747" s="2"/>
      <c r="M747" s="2"/>
    </row>
    <row r="748" spans="1:13">
      <c r="A748" t="s">
        <v>28</v>
      </c>
      <c r="B748">
        <f ca="1">IF(OR(changes[[#This Row],[Type]]="Checklist",changes[[#This Row],[Type]]="checklist-flat"),1+IF(changes[[#This Row],[Type of change]] = "Edit",COUNTIFS($I$4:changes[[#This Row],[Name]],changes[[#This Row],[Name]], $E$4:changes[[#This Row],[Type of change]], "Edit")),B747)</f>
        <v>1</v>
      </c>
      <c r="C748" s="16">
        <v>44621</v>
      </c>
      <c r="D748" s="1" t="s">
        <v>2484</v>
      </c>
      <c r="E748" t="s">
        <v>2453</v>
      </c>
      <c r="F748" s="10" t="s">
        <v>9</v>
      </c>
      <c r="G748" t="s">
        <v>2579</v>
      </c>
      <c r="H748" t="s">
        <v>64</v>
      </c>
      <c r="I748" t="s">
        <v>772</v>
      </c>
      <c r="K748" s="2"/>
      <c r="M748" s="2"/>
    </row>
    <row r="749" spans="1:13">
      <c r="A749" t="s">
        <v>28</v>
      </c>
      <c r="B749">
        <f ca="1">IF(OR(changes[[#This Row],[Type]]="Checklist",changes[[#This Row],[Type]]="checklist-flat"),1+IF(changes[[#This Row],[Type of change]] = "Edit",COUNTIFS($I$4:changes[[#This Row],[Name]],changes[[#This Row],[Name]], $E$4:changes[[#This Row],[Type of change]], "Edit")),B748)</f>
        <v>1</v>
      </c>
      <c r="C749" s="16">
        <v>44621</v>
      </c>
      <c r="D749" s="1" t="s">
        <v>2484</v>
      </c>
      <c r="E749" t="s">
        <v>2453</v>
      </c>
      <c r="F749" s="10" t="s">
        <v>9</v>
      </c>
      <c r="G749" t="s">
        <v>851</v>
      </c>
      <c r="H749" t="s">
        <v>478</v>
      </c>
      <c r="I749" t="s">
        <v>851</v>
      </c>
      <c r="K749" s="2"/>
      <c r="M749" s="2" t="s">
        <v>2580</v>
      </c>
    </row>
    <row r="750" spans="1:13">
      <c r="A750" t="s">
        <v>28</v>
      </c>
      <c r="B750">
        <f ca="1">IF(OR(changes[[#This Row],[Type]]="Checklist",changes[[#This Row],[Type]]="checklist-flat"),1+IF(changes[[#This Row],[Type of change]] = "Edit",COUNTIFS($I$4:changes[[#This Row],[Name]],changes[[#This Row],[Name]], $E$4:changes[[#This Row],[Type of change]], "Edit")),B749)</f>
        <v>1</v>
      </c>
      <c r="C750" s="16">
        <v>44621</v>
      </c>
      <c r="D750" s="1" t="s">
        <v>2484</v>
      </c>
      <c r="E750" t="s">
        <v>2453</v>
      </c>
      <c r="F750" s="10" t="s">
        <v>9</v>
      </c>
      <c r="G750" t="s">
        <v>851</v>
      </c>
      <c r="H750" t="s">
        <v>55</v>
      </c>
      <c r="I750" t="s">
        <v>2581</v>
      </c>
      <c r="K750" s="2"/>
      <c r="M750" s="2"/>
    </row>
    <row r="751" spans="1:13">
      <c r="A751" t="s">
        <v>28</v>
      </c>
      <c r="B751">
        <f ca="1">IF(OR(changes[[#This Row],[Type]]="Checklist",changes[[#This Row],[Type]]="checklist-flat"),1+IF(changes[[#This Row],[Type of change]] = "Edit",COUNTIFS($I$4:changes[[#This Row],[Name]],changes[[#This Row],[Name]], $E$4:changes[[#This Row],[Type of change]], "Edit")),B750)</f>
        <v>1</v>
      </c>
      <c r="C751" s="16">
        <v>44621</v>
      </c>
      <c r="D751" s="1" t="s">
        <v>2484</v>
      </c>
      <c r="E751" t="s">
        <v>2453</v>
      </c>
      <c r="F751" s="10" t="s">
        <v>9</v>
      </c>
      <c r="G751" t="s">
        <v>851</v>
      </c>
      <c r="H751" t="s">
        <v>214</v>
      </c>
      <c r="I751" t="s">
        <v>853</v>
      </c>
      <c r="K751" s="2"/>
      <c r="M751" s="2"/>
    </row>
    <row r="752" spans="1:13">
      <c r="A752" t="s">
        <v>28</v>
      </c>
      <c r="B752">
        <f ca="1">IF(OR(changes[[#This Row],[Type]]="Checklist",changes[[#This Row],[Type]]="checklist-flat"),1+IF(changes[[#This Row],[Type of change]] = "Edit",COUNTIFS($I$4:changes[[#This Row],[Name]],changes[[#This Row],[Name]], $E$4:changes[[#This Row],[Type of change]], "Edit")),B751)</f>
        <v>1</v>
      </c>
      <c r="C752" s="16">
        <v>44621</v>
      </c>
      <c r="D752" s="1" t="s">
        <v>2484</v>
      </c>
      <c r="E752" t="s">
        <v>2453</v>
      </c>
      <c r="F752" s="10" t="s">
        <v>9</v>
      </c>
      <c r="G752" t="s">
        <v>851</v>
      </c>
      <c r="H752" t="s">
        <v>55</v>
      </c>
      <c r="I752" t="s">
        <v>2582</v>
      </c>
      <c r="K752" s="2"/>
      <c r="M752" s="2"/>
    </row>
    <row r="753" spans="1:13">
      <c r="A753" t="s">
        <v>28</v>
      </c>
      <c r="B753">
        <f ca="1">IF(OR(changes[[#This Row],[Type]]="Checklist",changes[[#This Row],[Type]]="checklist-flat"),1+IF(changes[[#This Row],[Type of change]] = "Edit",COUNTIFS($I$4:changes[[#This Row],[Name]],changes[[#This Row],[Name]], $E$4:changes[[#This Row],[Type of change]], "Edit")),B752)</f>
        <v>1</v>
      </c>
      <c r="C753" s="16">
        <v>44621</v>
      </c>
      <c r="D753" s="1" t="s">
        <v>2484</v>
      </c>
      <c r="E753" t="s">
        <v>2453</v>
      </c>
      <c r="F753" s="10" t="s">
        <v>9</v>
      </c>
      <c r="G753" t="s">
        <v>851</v>
      </c>
      <c r="H753" t="s">
        <v>55</v>
      </c>
      <c r="I753" t="s">
        <v>855</v>
      </c>
      <c r="K753" s="2"/>
      <c r="M753" s="2"/>
    </row>
    <row r="754" spans="1:13">
      <c r="A754" t="s">
        <v>28</v>
      </c>
      <c r="B754">
        <f ca="1">IF(OR(changes[[#This Row],[Type]]="Checklist",changes[[#This Row],[Type]]="checklist-flat"),1+IF(changes[[#This Row],[Type of change]] = "Edit",COUNTIFS($I$4:changes[[#This Row],[Name]],changes[[#This Row],[Name]], $E$4:changes[[#This Row],[Type of change]], "Edit")),B753)</f>
        <v>1</v>
      </c>
      <c r="C754" s="16">
        <v>44621</v>
      </c>
      <c r="D754" s="1" t="s">
        <v>2484</v>
      </c>
      <c r="E754" t="s">
        <v>2453</v>
      </c>
      <c r="F754" s="10" t="s">
        <v>9</v>
      </c>
      <c r="G754" t="s">
        <v>851</v>
      </c>
      <c r="H754" t="s">
        <v>55</v>
      </c>
      <c r="I754" t="s">
        <v>2583</v>
      </c>
      <c r="K754" s="2"/>
      <c r="M754" s="2"/>
    </row>
    <row r="755" spans="1:13">
      <c r="A755" t="s">
        <v>28</v>
      </c>
      <c r="B755">
        <f ca="1">IF(OR(changes[[#This Row],[Type]]="Checklist",changes[[#This Row],[Type]]="checklist-flat"),1+IF(changes[[#This Row],[Type of change]] = "Edit",COUNTIFS($I$4:changes[[#This Row],[Name]],changes[[#This Row],[Name]], $E$4:changes[[#This Row],[Type of change]], "Edit")),B754)</f>
        <v>1</v>
      </c>
      <c r="C755" s="16">
        <v>44621</v>
      </c>
      <c r="D755" s="1" t="s">
        <v>2484</v>
      </c>
      <c r="E755" t="s">
        <v>2453</v>
      </c>
      <c r="F755" s="10" t="s">
        <v>9</v>
      </c>
      <c r="G755" t="s">
        <v>851</v>
      </c>
      <c r="H755" t="s">
        <v>55</v>
      </c>
      <c r="I755" t="s">
        <v>857</v>
      </c>
      <c r="K755" s="2"/>
      <c r="M755" s="2"/>
    </row>
    <row r="756" spans="1:13">
      <c r="A756" t="s">
        <v>28</v>
      </c>
      <c r="B756">
        <f ca="1">IF(OR(changes[[#This Row],[Type]]="Checklist",changes[[#This Row],[Type]]="checklist-flat"),1+IF(changes[[#This Row],[Type of change]] = "Edit",COUNTIFS($I$4:changes[[#This Row],[Name]],changes[[#This Row],[Name]], $E$4:changes[[#This Row],[Type of change]], "Edit")),B755)</f>
        <v>1</v>
      </c>
      <c r="C756" s="16">
        <v>44621</v>
      </c>
      <c r="D756" s="1" t="s">
        <v>2484</v>
      </c>
      <c r="E756" t="s">
        <v>2453</v>
      </c>
      <c r="F756" s="10" t="s">
        <v>9</v>
      </c>
      <c r="G756" t="s">
        <v>851</v>
      </c>
      <c r="H756" t="s">
        <v>55</v>
      </c>
      <c r="I756" t="s">
        <v>858</v>
      </c>
      <c r="K756" s="2"/>
      <c r="M756" s="2"/>
    </row>
    <row r="757" spans="1:13">
      <c r="A757" t="s">
        <v>28</v>
      </c>
      <c r="B757">
        <f ca="1">IF(OR(changes[[#This Row],[Type]]="Checklist",changes[[#This Row],[Type]]="checklist-flat"),1+IF(changes[[#This Row],[Type of change]] = "Edit",COUNTIFS($I$4:changes[[#This Row],[Name]],changes[[#This Row],[Name]], $E$4:changes[[#This Row],[Type of change]], "Edit")),B756)</f>
        <v>1</v>
      </c>
      <c r="C757" s="16">
        <v>44621</v>
      </c>
      <c r="D757" s="1" t="s">
        <v>2484</v>
      </c>
      <c r="E757" t="s">
        <v>2453</v>
      </c>
      <c r="F757" s="10" t="s">
        <v>9</v>
      </c>
      <c r="G757" t="s">
        <v>851</v>
      </c>
      <c r="H757" t="s">
        <v>420</v>
      </c>
      <c r="I757" t="s">
        <v>859</v>
      </c>
      <c r="K757" s="2"/>
      <c r="M757" s="2"/>
    </row>
    <row r="758" spans="1:13">
      <c r="A758" t="s">
        <v>28</v>
      </c>
      <c r="B758">
        <f ca="1">IF(OR(changes[[#This Row],[Type]]="Checklist",changes[[#This Row],[Type]]="checklist-flat"),1+IF(changes[[#This Row],[Type of change]] = "Edit",COUNTIFS($I$4:changes[[#This Row],[Name]],changes[[#This Row],[Name]], $E$4:changes[[#This Row],[Type of change]], "Edit")),B757)</f>
        <v>1</v>
      </c>
      <c r="C758" s="16">
        <v>44621</v>
      </c>
      <c r="D758" s="1" t="s">
        <v>2484</v>
      </c>
      <c r="E758" t="s">
        <v>2453</v>
      </c>
      <c r="F758" s="10" t="s">
        <v>9</v>
      </c>
      <c r="G758" t="s">
        <v>851</v>
      </c>
      <c r="H758" t="s">
        <v>55</v>
      </c>
      <c r="I758" t="s">
        <v>860</v>
      </c>
      <c r="K758" s="2"/>
      <c r="M758" s="2"/>
    </row>
    <row r="759" spans="1:13">
      <c r="A759" t="s">
        <v>28</v>
      </c>
      <c r="B759">
        <f ca="1">IF(OR(changes[[#This Row],[Type]]="Checklist",changes[[#This Row],[Type]]="checklist-flat"),1+IF(changes[[#This Row],[Type of change]] = "Edit",COUNTIFS($I$4:changes[[#This Row],[Name]],changes[[#This Row],[Name]], $E$4:changes[[#This Row],[Type of change]], "Edit")),B758)</f>
        <v>1</v>
      </c>
      <c r="C759" s="16">
        <v>44621</v>
      </c>
      <c r="D759" s="1" t="s">
        <v>2484</v>
      </c>
      <c r="E759" t="s">
        <v>2453</v>
      </c>
      <c r="F759" s="10" t="s">
        <v>9</v>
      </c>
      <c r="G759" t="s">
        <v>851</v>
      </c>
      <c r="H759" t="s">
        <v>64</v>
      </c>
      <c r="I759" t="s">
        <v>772</v>
      </c>
      <c r="K759" s="2"/>
      <c r="M759" s="2"/>
    </row>
    <row r="760" spans="1:13">
      <c r="A760" t="s">
        <v>11</v>
      </c>
      <c r="B760">
        <f ca="1">IF(OR(changes[[#This Row],[Type]]="Checklist",changes[[#This Row],[Type]]="checklist-flat"),1+IF(changes[[#This Row],[Type of change]] = "Edit",COUNTIFS($I$4:changes[[#This Row],[Name]],changes[[#This Row],[Name]], $E$4:changes[[#This Row],[Type of change]], "Edit")),B759)</f>
        <v>1</v>
      </c>
      <c r="C760" s="16">
        <v>44621</v>
      </c>
      <c r="D760" s="1" t="s">
        <v>2484</v>
      </c>
      <c r="E760" t="s">
        <v>2453</v>
      </c>
      <c r="F760" s="10" t="s">
        <v>9</v>
      </c>
      <c r="G760" t="s">
        <v>2584</v>
      </c>
      <c r="H760" t="s">
        <v>478</v>
      </c>
      <c r="I760" t="s">
        <v>2584</v>
      </c>
      <c r="K760" s="2"/>
      <c r="M760" s="2"/>
    </row>
    <row r="761" spans="1:13">
      <c r="A761" t="s">
        <v>11</v>
      </c>
      <c r="B761">
        <f ca="1">IF(OR(changes[[#This Row],[Type]]="Checklist",changes[[#This Row],[Type]]="checklist-flat"),1+IF(changes[[#This Row],[Type of change]] = "Edit",COUNTIFS($I$4:changes[[#This Row],[Name]],changes[[#This Row],[Name]], $E$4:changes[[#This Row],[Type of change]], "Edit")),B760)</f>
        <v>1</v>
      </c>
      <c r="C761" s="16">
        <v>44621</v>
      </c>
      <c r="D761" s="1" t="s">
        <v>2484</v>
      </c>
      <c r="E761" t="s">
        <v>2453</v>
      </c>
      <c r="F761" s="10" t="s">
        <v>9</v>
      </c>
      <c r="G761" t="s">
        <v>2584</v>
      </c>
      <c r="H761" t="s">
        <v>479</v>
      </c>
      <c r="I761" t="s">
        <v>2585</v>
      </c>
      <c r="K761" s="2"/>
      <c r="M761" s="2"/>
    </row>
    <row r="762" spans="1:13">
      <c r="A762" t="s">
        <v>11</v>
      </c>
      <c r="B762">
        <f ca="1">IF(OR(changes[[#This Row],[Type]]="Checklist",changes[[#This Row],[Type]]="checklist-flat"),1+IF(changes[[#This Row],[Type of change]] = "Edit",COUNTIFS($I$4:changes[[#This Row],[Name]],changes[[#This Row],[Name]], $E$4:changes[[#This Row],[Type of change]], "Edit")),B761)</f>
        <v>1</v>
      </c>
      <c r="C762" s="16">
        <v>44621</v>
      </c>
      <c r="D762" s="1" t="s">
        <v>2484</v>
      </c>
      <c r="E762" t="s">
        <v>2453</v>
      </c>
      <c r="F762" s="10" t="s">
        <v>9</v>
      </c>
      <c r="G762" t="s">
        <v>2584</v>
      </c>
      <c r="H762" t="s">
        <v>55</v>
      </c>
      <c r="I762" t="s">
        <v>2586</v>
      </c>
      <c r="K762" s="2"/>
      <c r="M762" s="2"/>
    </row>
    <row r="763" spans="1:13">
      <c r="A763" t="s">
        <v>11</v>
      </c>
      <c r="B763">
        <f ca="1">IF(OR(changes[[#This Row],[Type]]="Checklist",changes[[#This Row],[Type]]="checklist-flat"),1+IF(changes[[#This Row],[Type of change]] = "Edit",COUNTIFS($I$4:changes[[#This Row],[Name]],changes[[#This Row],[Name]], $E$4:changes[[#This Row],[Type of change]], "Edit")),B762)</f>
        <v>1</v>
      </c>
      <c r="C763" s="16">
        <v>44621</v>
      </c>
      <c r="D763" s="1" t="s">
        <v>2484</v>
      </c>
      <c r="E763" t="s">
        <v>2453</v>
      </c>
      <c r="F763" s="10" t="s">
        <v>9</v>
      </c>
      <c r="G763" t="s">
        <v>2584</v>
      </c>
      <c r="H763" t="s">
        <v>55</v>
      </c>
      <c r="I763" t="s">
        <v>2587</v>
      </c>
      <c r="K763" s="2"/>
      <c r="M763" s="2"/>
    </row>
    <row r="764" spans="1:13">
      <c r="A764" t="s">
        <v>11</v>
      </c>
      <c r="B764">
        <f ca="1">IF(OR(changes[[#This Row],[Type]]="Checklist",changes[[#This Row],[Type]]="checklist-flat"),1+IF(changes[[#This Row],[Type of change]] = "Edit",COUNTIFS($I$4:changes[[#This Row],[Name]],changes[[#This Row],[Name]], $E$4:changes[[#This Row],[Type of change]], "Edit")),B763)</f>
        <v>1</v>
      </c>
      <c r="C764" s="16">
        <v>44621</v>
      </c>
      <c r="D764" s="1" t="s">
        <v>2484</v>
      </c>
      <c r="E764" t="s">
        <v>2453</v>
      </c>
      <c r="F764" s="10" t="s">
        <v>9</v>
      </c>
      <c r="G764" t="s">
        <v>2584</v>
      </c>
      <c r="H764" t="s">
        <v>55</v>
      </c>
      <c r="I764" t="s">
        <v>2588</v>
      </c>
      <c r="K764" s="2"/>
      <c r="M764" s="2"/>
    </row>
    <row r="765" spans="1:13">
      <c r="A765" t="s">
        <v>11</v>
      </c>
      <c r="B765">
        <f ca="1">IF(OR(changes[[#This Row],[Type]]="Checklist",changes[[#This Row],[Type]]="checklist-flat"),1+IF(changes[[#This Row],[Type of change]] = "Edit",COUNTIFS($I$4:changes[[#This Row],[Name]],changes[[#This Row],[Name]], $E$4:changes[[#This Row],[Type of change]], "Edit")),B764)</f>
        <v>1</v>
      </c>
      <c r="C765" s="16">
        <v>44621</v>
      </c>
      <c r="D765" s="1" t="s">
        <v>2484</v>
      </c>
      <c r="E765" t="s">
        <v>2453</v>
      </c>
      <c r="F765" s="10" t="s">
        <v>9</v>
      </c>
      <c r="G765" t="s">
        <v>2584</v>
      </c>
      <c r="H765" t="s">
        <v>55</v>
      </c>
      <c r="I765" t="s">
        <v>2589</v>
      </c>
      <c r="K765" s="2"/>
      <c r="M765" s="2"/>
    </row>
    <row r="766" spans="1:13">
      <c r="A766" t="s">
        <v>11</v>
      </c>
      <c r="B766">
        <f ca="1">IF(OR(changes[[#This Row],[Type]]="Checklist",changes[[#This Row],[Type]]="checklist-flat"),1+IF(changes[[#This Row],[Type of change]] = "Edit",COUNTIFS($I$4:changes[[#This Row],[Name]],changes[[#This Row],[Name]], $E$4:changes[[#This Row],[Type of change]], "Edit")),B765)</f>
        <v>1</v>
      </c>
      <c r="C766" s="16">
        <v>44621</v>
      </c>
      <c r="D766" s="1" t="s">
        <v>2484</v>
      </c>
      <c r="E766" t="s">
        <v>2453</v>
      </c>
      <c r="F766" s="10" t="s">
        <v>9</v>
      </c>
      <c r="G766" t="s">
        <v>2584</v>
      </c>
      <c r="H766" t="s">
        <v>64</v>
      </c>
      <c r="I766" t="s">
        <v>772</v>
      </c>
      <c r="K766" s="2"/>
      <c r="M766" s="2"/>
    </row>
    <row r="767" spans="1:13">
      <c r="A767" t="s">
        <v>11</v>
      </c>
      <c r="B767">
        <f ca="1">IF(OR(changes[[#This Row],[Type]]="Checklist",changes[[#This Row],[Type]]="checklist-flat"),1+IF(changes[[#This Row],[Type of change]] = "Edit",COUNTIFS($I$4:changes[[#This Row],[Name]],changes[[#This Row],[Name]], $E$4:changes[[#This Row],[Type of change]], "Edit")),B766)</f>
        <v>1</v>
      </c>
      <c r="C767" s="16">
        <v>44621</v>
      </c>
      <c r="D767" s="1" t="s">
        <v>2484</v>
      </c>
      <c r="E767" t="s">
        <v>2453</v>
      </c>
      <c r="F767" s="10" t="s">
        <v>9</v>
      </c>
      <c r="G767" t="s">
        <v>2584</v>
      </c>
      <c r="H767" t="s">
        <v>479</v>
      </c>
      <c r="I767" t="s">
        <v>2590</v>
      </c>
      <c r="K767" s="2"/>
      <c r="M767" s="2"/>
    </row>
    <row r="768" spans="1:13">
      <c r="A768" t="s">
        <v>11</v>
      </c>
      <c r="B768">
        <f ca="1">IF(OR(changes[[#This Row],[Type]]="Checklist",changes[[#This Row],[Type]]="checklist-flat"),1+IF(changes[[#This Row],[Type of change]] = "Edit",COUNTIFS($I$4:changes[[#This Row],[Name]],changes[[#This Row],[Name]], $E$4:changes[[#This Row],[Type of change]], "Edit")),B767)</f>
        <v>1</v>
      </c>
      <c r="C768" s="16">
        <v>44621</v>
      </c>
      <c r="D768" s="1" t="s">
        <v>2484</v>
      </c>
      <c r="E768" t="s">
        <v>2453</v>
      </c>
      <c r="F768" s="10" t="s">
        <v>9</v>
      </c>
      <c r="G768" t="s">
        <v>2584</v>
      </c>
      <c r="H768" t="s">
        <v>55</v>
      </c>
      <c r="I768" t="s">
        <v>2591</v>
      </c>
      <c r="K768" s="2"/>
      <c r="M768" s="2"/>
    </row>
    <row r="769" spans="1:13">
      <c r="A769" t="s">
        <v>11</v>
      </c>
      <c r="B769">
        <f ca="1">IF(OR(changes[[#This Row],[Type]]="Checklist",changes[[#This Row],[Type]]="checklist-flat"),1+IF(changes[[#This Row],[Type of change]] = "Edit",COUNTIFS($I$4:changes[[#This Row],[Name]],changes[[#This Row],[Name]], $E$4:changes[[#This Row],[Type of change]], "Edit")),B768)</f>
        <v>1</v>
      </c>
      <c r="C769" s="16">
        <v>44621</v>
      </c>
      <c r="D769" s="1" t="s">
        <v>2484</v>
      </c>
      <c r="E769" t="s">
        <v>2453</v>
      </c>
      <c r="F769" s="10" t="s">
        <v>9</v>
      </c>
      <c r="G769" t="s">
        <v>2584</v>
      </c>
      <c r="H769" t="s">
        <v>55</v>
      </c>
      <c r="I769" t="s">
        <v>2592</v>
      </c>
      <c r="K769" s="2"/>
      <c r="M769" s="2"/>
    </row>
    <row r="770" spans="1:13">
      <c r="A770" t="s">
        <v>11</v>
      </c>
      <c r="B770">
        <f ca="1">IF(OR(changes[[#This Row],[Type]]="Checklist",changes[[#This Row],[Type]]="checklist-flat"),1+IF(changes[[#This Row],[Type of change]] = "Edit",COUNTIFS($I$4:changes[[#This Row],[Name]],changes[[#This Row],[Name]], $E$4:changes[[#This Row],[Type of change]], "Edit")),B769)</f>
        <v>1</v>
      </c>
      <c r="C770" s="16">
        <v>44621</v>
      </c>
      <c r="D770" s="1" t="s">
        <v>2484</v>
      </c>
      <c r="E770" t="s">
        <v>2453</v>
      </c>
      <c r="F770" s="10" t="s">
        <v>9</v>
      </c>
      <c r="G770" t="s">
        <v>2584</v>
      </c>
      <c r="H770" t="s">
        <v>55</v>
      </c>
      <c r="I770" t="s">
        <v>2593</v>
      </c>
      <c r="K770" s="2"/>
      <c r="M770" s="2"/>
    </row>
    <row r="771" spans="1:13">
      <c r="A771" t="s">
        <v>11</v>
      </c>
      <c r="B771">
        <f ca="1">IF(OR(changes[[#This Row],[Type]]="Checklist",changes[[#This Row],[Type]]="checklist-flat"),1+IF(changes[[#This Row],[Type of change]] = "Edit",COUNTIFS($I$4:changes[[#This Row],[Name]],changes[[#This Row],[Name]], $E$4:changes[[#This Row],[Type of change]], "Edit")),B770)</f>
        <v>1</v>
      </c>
      <c r="C771" s="16">
        <v>44621</v>
      </c>
      <c r="D771" s="1" t="s">
        <v>2484</v>
      </c>
      <c r="E771" t="s">
        <v>2453</v>
      </c>
      <c r="F771" s="10" t="s">
        <v>9</v>
      </c>
      <c r="G771" t="s">
        <v>2584</v>
      </c>
      <c r="H771" t="s">
        <v>64</v>
      </c>
      <c r="I771" t="s">
        <v>772</v>
      </c>
      <c r="K771" s="2"/>
      <c r="M771" s="2"/>
    </row>
    <row r="772" spans="1:13">
      <c r="A772" t="s">
        <v>11</v>
      </c>
      <c r="B772">
        <f ca="1">IF(OR(changes[[#This Row],[Type]]="Checklist",changes[[#This Row],[Type]]="checklist-flat"),1+IF(changes[[#This Row],[Type of change]] = "Edit",COUNTIFS($I$4:changes[[#This Row],[Name]],changes[[#This Row],[Name]], $E$4:changes[[#This Row],[Type of change]], "Edit")),B771)</f>
        <v>1</v>
      </c>
      <c r="C772" s="16">
        <v>44621</v>
      </c>
      <c r="D772" s="1" t="s">
        <v>2484</v>
      </c>
      <c r="E772" t="s">
        <v>2453</v>
      </c>
      <c r="F772" s="10" t="s">
        <v>9</v>
      </c>
      <c r="G772" t="s">
        <v>2584</v>
      </c>
      <c r="H772" t="s">
        <v>479</v>
      </c>
      <c r="I772" t="s">
        <v>2594</v>
      </c>
      <c r="K772" s="2"/>
      <c r="M772" s="2"/>
    </row>
    <row r="773" spans="1:13">
      <c r="A773" t="s">
        <v>11</v>
      </c>
      <c r="B773">
        <f ca="1">IF(OR(changes[[#This Row],[Type]]="Checklist",changes[[#This Row],[Type]]="checklist-flat"),1+IF(changes[[#This Row],[Type of change]] = "Edit",COUNTIFS($I$4:changes[[#This Row],[Name]],changes[[#This Row],[Name]], $E$4:changes[[#This Row],[Type of change]], "Edit")),B772)</f>
        <v>1</v>
      </c>
      <c r="C773" s="16">
        <v>44621</v>
      </c>
      <c r="D773" s="1" t="s">
        <v>2484</v>
      </c>
      <c r="E773" t="s">
        <v>2453</v>
      </c>
      <c r="F773" s="10" t="s">
        <v>9</v>
      </c>
      <c r="G773" t="s">
        <v>2584</v>
      </c>
      <c r="H773" t="s">
        <v>55</v>
      </c>
      <c r="I773" t="s">
        <v>2595</v>
      </c>
      <c r="K773" s="2"/>
      <c r="M773" s="2"/>
    </row>
    <row r="774" spans="1:13">
      <c r="A774" t="s">
        <v>11</v>
      </c>
      <c r="B774">
        <f ca="1">IF(OR(changes[[#This Row],[Type]]="Checklist",changes[[#This Row],[Type]]="checklist-flat"),1+IF(changes[[#This Row],[Type of change]] = "Edit",COUNTIFS($I$4:changes[[#This Row],[Name]],changes[[#This Row],[Name]], $E$4:changes[[#This Row],[Type of change]], "Edit")),B773)</f>
        <v>1</v>
      </c>
      <c r="C774" s="16">
        <v>44621</v>
      </c>
      <c r="D774" s="1" t="s">
        <v>2484</v>
      </c>
      <c r="E774" t="s">
        <v>2453</v>
      </c>
      <c r="F774" s="10" t="s">
        <v>9</v>
      </c>
      <c r="G774" t="s">
        <v>2584</v>
      </c>
      <c r="H774" t="s">
        <v>55</v>
      </c>
      <c r="I774" t="s">
        <v>2596</v>
      </c>
      <c r="K774" s="2"/>
      <c r="M774" s="2"/>
    </row>
    <row r="775" spans="1:13">
      <c r="A775" t="s">
        <v>11</v>
      </c>
      <c r="B775">
        <f ca="1">IF(OR(changes[[#This Row],[Type]]="Checklist",changes[[#This Row],[Type]]="checklist-flat"),1+IF(changes[[#This Row],[Type of change]] = "Edit",COUNTIFS($I$4:changes[[#This Row],[Name]],changes[[#This Row],[Name]], $E$4:changes[[#This Row],[Type of change]], "Edit")),B774)</f>
        <v>1</v>
      </c>
      <c r="C775" s="16">
        <v>44621</v>
      </c>
      <c r="D775" s="1" t="s">
        <v>2484</v>
      </c>
      <c r="E775" t="s">
        <v>2453</v>
      </c>
      <c r="F775" s="10" t="s">
        <v>9</v>
      </c>
      <c r="G775" t="s">
        <v>2584</v>
      </c>
      <c r="H775" t="s">
        <v>55</v>
      </c>
      <c r="I775" t="s">
        <v>2597</v>
      </c>
      <c r="K775" s="2"/>
      <c r="M775" s="2"/>
    </row>
    <row r="776" spans="1:13">
      <c r="A776" t="s">
        <v>11</v>
      </c>
      <c r="B776">
        <f ca="1">IF(OR(changes[[#This Row],[Type]]="Checklist",changes[[#This Row],[Type]]="checklist-flat"),1+IF(changes[[#This Row],[Type of change]] = "Edit",COUNTIFS($I$4:changes[[#This Row],[Name]],changes[[#This Row],[Name]], $E$4:changes[[#This Row],[Type of change]], "Edit")),B775)</f>
        <v>1</v>
      </c>
      <c r="C776" s="16">
        <v>44621</v>
      </c>
      <c r="D776" s="1" t="s">
        <v>2484</v>
      </c>
      <c r="E776" t="s">
        <v>2453</v>
      </c>
      <c r="F776" s="10" t="s">
        <v>9</v>
      </c>
      <c r="G776" t="s">
        <v>2584</v>
      </c>
      <c r="H776" t="s">
        <v>55</v>
      </c>
      <c r="I776" t="s">
        <v>2598</v>
      </c>
      <c r="K776" s="2"/>
      <c r="M776" s="2"/>
    </row>
    <row r="777" spans="1:13">
      <c r="A777" t="s">
        <v>11</v>
      </c>
      <c r="B777">
        <f ca="1">IF(OR(changes[[#This Row],[Type]]="Checklist",changes[[#This Row],[Type]]="checklist-flat"),1+IF(changes[[#This Row],[Type of change]] = "Edit",COUNTIFS($I$4:changes[[#This Row],[Name]],changes[[#This Row],[Name]], $E$4:changes[[#This Row],[Type of change]], "Edit")),B776)</f>
        <v>1</v>
      </c>
      <c r="C777" s="16">
        <v>44621</v>
      </c>
      <c r="D777" s="1" t="s">
        <v>2484</v>
      </c>
      <c r="E777" t="s">
        <v>2453</v>
      </c>
      <c r="F777" s="10" t="s">
        <v>9</v>
      </c>
      <c r="G777" t="s">
        <v>2584</v>
      </c>
      <c r="H777" t="s">
        <v>64</v>
      </c>
      <c r="I777" t="s">
        <v>772</v>
      </c>
      <c r="K777" s="2"/>
      <c r="M777" s="2"/>
    </row>
    <row r="778" spans="1:13">
      <c r="A778" t="s">
        <v>28</v>
      </c>
      <c r="B778">
        <f ca="1">IF(OR(changes[[#This Row],[Type]]="Checklist",changes[[#This Row],[Type]]="checklist-flat"),1+IF(changes[[#This Row],[Type of change]] = "Edit",COUNTIFS($I$4:changes[[#This Row],[Name]],changes[[#This Row],[Name]], $E$4:changes[[#This Row],[Type of change]], "Edit")),B777)</f>
        <v>1</v>
      </c>
      <c r="C778" s="16">
        <v>44635</v>
      </c>
      <c r="D778" s="1" t="s">
        <v>2484</v>
      </c>
      <c r="E778" t="s">
        <v>2453</v>
      </c>
      <c r="F778" s="10" t="s">
        <v>9</v>
      </c>
      <c r="G778" s="30" t="s">
        <v>1380</v>
      </c>
      <c r="H778" s="30" t="s">
        <v>478</v>
      </c>
      <c r="I778" s="30" t="s">
        <v>1380</v>
      </c>
      <c r="K778" s="2"/>
      <c r="M778" s="2"/>
    </row>
    <row r="779" spans="1:13">
      <c r="A779" t="s">
        <v>28</v>
      </c>
      <c r="B779">
        <f ca="1">IF(OR(changes[[#This Row],[Type]]="Checklist",changes[[#This Row],[Type]]="checklist-flat"),1+IF(changes[[#This Row],[Type of change]] = "Edit",COUNTIFS($I$4:changes[[#This Row],[Name]],changes[[#This Row],[Name]], $E$4:changes[[#This Row],[Type of change]], "Edit")),B778)</f>
        <v>1</v>
      </c>
      <c r="C779" s="16">
        <v>44635</v>
      </c>
      <c r="D779" s="1" t="s">
        <v>2484</v>
      </c>
      <c r="E779" t="s">
        <v>2453</v>
      </c>
      <c r="F779" s="10" t="s">
        <v>9</v>
      </c>
      <c r="G779" s="30" t="s">
        <v>1380</v>
      </c>
      <c r="H779" s="36" t="s">
        <v>479</v>
      </c>
      <c r="I779" s="36" t="s">
        <v>1381</v>
      </c>
      <c r="K779" s="2"/>
      <c r="M779" s="2"/>
    </row>
    <row r="780" spans="1:13">
      <c r="A780" t="s">
        <v>28</v>
      </c>
      <c r="B780">
        <f ca="1">IF(OR(changes[[#This Row],[Type]]="Checklist",changes[[#This Row],[Type]]="checklist-flat"),1+IF(changes[[#This Row],[Type of change]] = "Edit",COUNTIFS($I$4:changes[[#This Row],[Name]],changes[[#This Row],[Name]], $E$4:changes[[#This Row],[Type of change]], "Edit")),B779)</f>
        <v>1</v>
      </c>
      <c r="C780" s="16">
        <v>44635</v>
      </c>
      <c r="D780" s="1" t="s">
        <v>2484</v>
      </c>
      <c r="E780" t="s">
        <v>2453</v>
      </c>
      <c r="F780" s="10" t="s">
        <v>9</v>
      </c>
      <c r="G780" s="30" t="s">
        <v>1380</v>
      </c>
      <c r="H780" s="36" t="s">
        <v>55</v>
      </c>
      <c r="I780" s="36" t="s">
        <v>1382</v>
      </c>
      <c r="K780" s="2"/>
      <c r="M780" s="2"/>
    </row>
    <row r="781" spans="1:13">
      <c r="A781" t="s">
        <v>28</v>
      </c>
      <c r="B781">
        <f ca="1">IF(OR(changes[[#This Row],[Type]]="Checklist",changes[[#This Row],[Type]]="checklist-flat"),1+IF(changes[[#This Row],[Type of change]] = "Edit",COUNTIFS($I$4:changes[[#This Row],[Name]],changes[[#This Row],[Name]], $E$4:changes[[#This Row],[Type of change]], "Edit")),B780)</f>
        <v>1</v>
      </c>
      <c r="C781" s="16">
        <v>44635</v>
      </c>
      <c r="D781" s="1" t="s">
        <v>2484</v>
      </c>
      <c r="E781" t="s">
        <v>2453</v>
      </c>
      <c r="F781" s="10" t="s">
        <v>9</v>
      </c>
      <c r="G781" s="30" t="s">
        <v>1380</v>
      </c>
      <c r="H781" s="37" t="s">
        <v>214</v>
      </c>
      <c r="I781" s="36" t="s">
        <v>853</v>
      </c>
      <c r="K781" s="2"/>
      <c r="M781" s="2"/>
    </row>
    <row r="782" spans="1:13">
      <c r="A782" t="s">
        <v>28</v>
      </c>
      <c r="B782">
        <f ca="1">IF(OR(changes[[#This Row],[Type]]="Checklist",changes[[#This Row],[Type]]="checklist-flat"),1+IF(changes[[#This Row],[Type of change]] = "Edit",COUNTIFS($I$4:changes[[#This Row],[Name]],changes[[#This Row],[Name]], $E$4:changes[[#This Row],[Type of change]], "Edit")),B781)</f>
        <v>1</v>
      </c>
      <c r="C782" s="16">
        <v>44635</v>
      </c>
      <c r="D782" s="1" t="s">
        <v>2484</v>
      </c>
      <c r="E782" t="s">
        <v>2453</v>
      </c>
      <c r="F782" s="10" t="s">
        <v>9</v>
      </c>
      <c r="G782" s="30" t="s">
        <v>1380</v>
      </c>
      <c r="H782" s="36" t="s">
        <v>55</v>
      </c>
      <c r="I782" s="36" t="s">
        <v>854</v>
      </c>
      <c r="K782" s="2"/>
      <c r="M782" s="2"/>
    </row>
    <row r="783" spans="1:13">
      <c r="A783" t="s">
        <v>28</v>
      </c>
      <c r="B783">
        <f ca="1">IF(OR(changes[[#This Row],[Type]]="Checklist",changes[[#This Row],[Type]]="checklist-flat"),1+IF(changes[[#This Row],[Type of change]] = "Edit",COUNTIFS($I$4:changes[[#This Row],[Name]],changes[[#This Row],[Name]], $E$4:changes[[#This Row],[Type of change]], "Edit")),B782)</f>
        <v>1</v>
      </c>
      <c r="C783" s="16">
        <v>44635</v>
      </c>
      <c r="D783" s="1" t="s">
        <v>2484</v>
      </c>
      <c r="E783" t="s">
        <v>2453</v>
      </c>
      <c r="F783" s="10" t="s">
        <v>9</v>
      </c>
      <c r="G783" s="30" t="s">
        <v>1380</v>
      </c>
      <c r="H783" s="36" t="s">
        <v>479</v>
      </c>
      <c r="I783" s="36" t="s">
        <v>1383</v>
      </c>
      <c r="K783" s="2"/>
      <c r="M783" s="2"/>
    </row>
    <row r="784" spans="1:13">
      <c r="A784" t="s">
        <v>28</v>
      </c>
      <c r="B784">
        <f ca="1">IF(OR(changes[[#This Row],[Type]]="Checklist",changes[[#This Row],[Type]]="checklist-flat"),1+IF(changes[[#This Row],[Type of change]] = "Edit",COUNTIFS($I$4:changes[[#This Row],[Name]],changes[[#This Row],[Name]], $E$4:changes[[#This Row],[Type of change]], "Edit")),B783)</f>
        <v>1</v>
      </c>
      <c r="C784" s="16">
        <v>44635</v>
      </c>
      <c r="D784" s="1" t="s">
        <v>2484</v>
      </c>
      <c r="E784" t="s">
        <v>2453</v>
      </c>
      <c r="F784" s="10" t="s">
        <v>9</v>
      </c>
      <c r="G784" s="30" t="s">
        <v>1380</v>
      </c>
      <c r="H784" s="36" t="s">
        <v>55</v>
      </c>
      <c r="I784" s="36" t="s">
        <v>1384</v>
      </c>
      <c r="K784" s="2"/>
      <c r="M784" s="2"/>
    </row>
    <row r="785" spans="1:13">
      <c r="A785" t="s">
        <v>28</v>
      </c>
      <c r="B785">
        <f ca="1">IF(OR(changes[[#This Row],[Type]]="Checklist",changes[[#This Row],[Type]]="checklist-flat"),1+IF(changes[[#This Row],[Type of change]] = "Edit",COUNTIFS($I$4:changes[[#This Row],[Name]],changes[[#This Row],[Name]], $E$4:changes[[#This Row],[Type of change]], "Edit")),B784)</f>
        <v>1</v>
      </c>
      <c r="C785" s="16">
        <v>44635</v>
      </c>
      <c r="D785" s="1" t="s">
        <v>2484</v>
      </c>
      <c r="E785" t="s">
        <v>2453</v>
      </c>
      <c r="F785" s="10" t="s">
        <v>9</v>
      </c>
      <c r="G785" s="30" t="s">
        <v>1380</v>
      </c>
      <c r="H785" s="36" t="s">
        <v>55</v>
      </c>
      <c r="I785" s="36" t="s">
        <v>1385</v>
      </c>
      <c r="K785" s="2"/>
      <c r="M785" s="2"/>
    </row>
    <row r="786" spans="1:13">
      <c r="A786" t="s">
        <v>28</v>
      </c>
      <c r="B786">
        <f ca="1">IF(OR(changes[[#This Row],[Type]]="Checklist",changes[[#This Row],[Type]]="checklist-flat"),1+IF(changes[[#This Row],[Type of change]] = "Edit",COUNTIFS($I$4:changes[[#This Row],[Name]],changes[[#This Row],[Name]], $E$4:changes[[#This Row],[Type of change]], "Edit")),B785)</f>
        <v>1</v>
      </c>
      <c r="C786" s="16">
        <v>44635</v>
      </c>
      <c r="D786" s="1" t="s">
        <v>2484</v>
      </c>
      <c r="E786" t="s">
        <v>2453</v>
      </c>
      <c r="F786" s="10" t="s">
        <v>9</v>
      </c>
      <c r="G786" s="30" t="s">
        <v>1380</v>
      </c>
      <c r="H786" s="36" t="s">
        <v>55</v>
      </c>
      <c r="I786" s="36" t="s">
        <v>1386</v>
      </c>
      <c r="K786" s="2"/>
      <c r="M786" s="2"/>
    </row>
    <row r="787" spans="1:13">
      <c r="A787" t="s">
        <v>28</v>
      </c>
      <c r="B787">
        <f ca="1">IF(OR(changes[[#This Row],[Type]]="Checklist",changes[[#This Row],[Type]]="checklist-flat"),1+IF(changes[[#This Row],[Type of change]] = "Edit",COUNTIFS($I$4:changes[[#This Row],[Name]],changes[[#This Row],[Name]], $E$4:changes[[#This Row],[Type of change]], "Edit")),B786)</f>
        <v>1</v>
      </c>
      <c r="C787" s="16">
        <v>44635</v>
      </c>
      <c r="D787" s="1" t="s">
        <v>2484</v>
      </c>
      <c r="E787" t="s">
        <v>2453</v>
      </c>
      <c r="F787" s="10" t="s">
        <v>9</v>
      </c>
      <c r="G787" s="30" t="s">
        <v>1380</v>
      </c>
      <c r="H787" s="36" t="s">
        <v>55</v>
      </c>
      <c r="I787" s="36" t="s">
        <v>1387</v>
      </c>
      <c r="K787" s="2"/>
      <c r="M787" s="2"/>
    </row>
    <row r="788" spans="1:13">
      <c r="A788" t="s">
        <v>28</v>
      </c>
      <c r="B788">
        <f ca="1">IF(OR(changes[[#This Row],[Type]]="Checklist",changes[[#This Row],[Type]]="checklist-flat"),1+IF(changes[[#This Row],[Type of change]] = "Edit",COUNTIFS($I$4:changes[[#This Row],[Name]],changes[[#This Row],[Name]], $E$4:changes[[#This Row],[Type of change]], "Edit")),B787)</f>
        <v>1</v>
      </c>
      <c r="C788" s="16">
        <v>44635</v>
      </c>
      <c r="D788" s="1" t="s">
        <v>2484</v>
      </c>
      <c r="E788" t="s">
        <v>2453</v>
      </c>
      <c r="F788" s="10" t="s">
        <v>9</v>
      </c>
      <c r="G788" s="30" t="s">
        <v>1380</v>
      </c>
      <c r="H788" s="36" t="s">
        <v>55</v>
      </c>
      <c r="I788" s="36" t="s">
        <v>1388</v>
      </c>
      <c r="K788" s="2"/>
      <c r="M788" s="2"/>
    </row>
    <row r="789" spans="1:13">
      <c r="A789" t="s">
        <v>28</v>
      </c>
      <c r="B789">
        <f ca="1">IF(OR(changes[[#This Row],[Type]]="Checklist",changes[[#This Row],[Type]]="checklist-flat"),1+IF(changes[[#This Row],[Type of change]] = "Edit",COUNTIFS($I$4:changes[[#This Row],[Name]],changes[[#This Row],[Name]], $E$4:changes[[#This Row],[Type of change]], "Edit")),B788)</f>
        <v>1</v>
      </c>
      <c r="C789" s="16">
        <v>44635</v>
      </c>
      <c r="D789" s="1" t="s">
        <v>2484</v>
      </c>
      <c r="E789" t="s">
        <v>2453</v>
      </c>
      <c r="F789" s="10" t="s">
        <v>9</v>
      </c>
      <c r="G789" s="30" t="s">
        <v>1380</v>
      </c>
      <c r="H789" s="36" t="s">
        <v>55</v>
      </c>
      <c r="I789" s="36" t="s">
        <v>2599</v>
      </c>
      <c r="K789" s="2"/>
      <c r="M789" s="2"/>
    </row>
    <row r="790" spans="1:13">
      <c r="A790" t="s">
        <v>28</v>
      </c>
      <c r="B790">
        <f ca="1">IF(OR(changes[[#This Row],[Type]]="Checklist",changes[[#This Row],[Type]]="checklist-flat"),1+IF(changes[[#This Row],[Type of change]] = "Edit",COUNTIFS($I$4:changes[[#This Row],[Name]],changes[[#This Row],[Name]], $E$4:changes[[#This Row],[Type of change]], "Edit")),B789)</f>
        <v>1</v>
      </c>
      <c r="C790" s="16">
        <v>44635</v>
      </c>
      <c r="D790" s="1" t="s">
        <v>2484</v>
      </c>
      <c r="E790" t="s">
        <v>2453</v>
      </c>
      <c r="F790" s="10" t="s">
        <v>9</v>
      </c>
      <c r="G790" s="30" t="s">
        <v>1380</v>
      </c>
      <c r="H790" s="36" t="s">
        <v>1390</v>
      </c>
      <c r="I790" s="36" t="s">
        <v>1391</v>
      </c>
      <c r="K790" s="2"/>
      <c r="M790" s="2"/>
    </row>
    <row r="791" spans="1:13">
      <c r="A791" t="s">
        <v>28</v>
      </c>
      <c r="B791">
        <f ca="1">IF(OR(changes[[#This Row],[Type]]="Checklist",changes[[#This Row],[Type]]="checklist-flat"),1+IF(changes[[#This Row],[Type of change]] = "Edit",COUNTIFS($I$4:changes[[#This Row],[Name]],changes[[#This Row],[Name]], $E$4:changes[[#This Row],[Type of change]], "Edit")),B790)</f>
        <v>1</v>
      </c>
      <c r="C791" s="16">
        <v>44635</v>
      </c>
      <c r="D791" s="1" t="s">
        <v>2484</v>
      </c>
      <c r="E791" t="s">
        <v>2453</v>
      </c>
      <c r="F791" s="10" t="s">
        <v>9</v>
      </c>
      <c r="G791" s="30" t="s">
        <v>1380</v>
      </c>
      <c r="H791" s="36" t="s">
        <v>55</v>
      </c>
      <c r="I791" s="36" t="s">
        <v>1392</v>
      </c>
      <c r="K791" s="2"/>
      <c r="M791" s="2"/>
    </row>
    <row r="792" spans="1:13">
      <c r="A792" t="s">
        <v>28</v>
      </c>
      <c r="B792">
        <f ca="1">IF(OR(changes[[#This Row],[Type]]="Checklist",changes[[#This Row],[Type]]="checklist-flat"),1+IF(changes[[#This Row],[Type of change]] = "Edit",COUNTIFS($I$4:changes[[#This Row],[Name]],changes[[#This Row],[Name]], $E$4:changes[[#This Row],[Type of change]], "Edit")),B791)</f>
        <v>1</v>
      </c>
      <c r="C792" s="16">
        <v>44635</v>
      </c>
      <c r="D792" s="1" t="s">
        <v>2484</v>
      </c>
      <c r="E792" t="s">
        <v>2453</v>
      </c>
      <c r="F792" s="10" t="s">
        <v>9</v>
      </c>
      <c r="G792" s="30" t="s">
        <v>1380</v>
      </c>
      <c r="H792" s="36" t="s">
        <v>55</v>
      </c>
      <c r="I792" s="36" t="s">
        <v>1393</v>
      </c>
      <c r="K792" s="2"/>
      <c r="M792" s="2"/>
    </row>
    <row r="793" spans="1:13">
      <c r="A793" t="s">
        <v>28</v>
      </c>
      <c r="B793">
        <f ca="1">IF(OR(changes[[#This Row],[Type]]="Checklist",changes[[#This Row],[Type]]="checklist-flat"),1+IF(changes[[#This Row],[Type of change]] = "Edit",COUNTIFS($I$4:changes[[#This Row],[Name]],changes[[#This Row],[Name]], $E$4:changes[[#This Row],[Type of change]], "Edit")),B792)</f>
        <v>1</v>
      </c>
      <c r="C793" s="16">
        <v>44635</v>
      </c>
      <c r="D793" s="1" t="s">
        <v>2484</v>
      </c>
      <c r="E793" t="s">
        <v>2453</v>
      </c>
      <c r="F793" s="10" t="s">
        <v>9</v>
      </c>
      <c r="G793" s="30" t="s">
        <v>1380</v>
      </c>
      <c r="H793" s="36" t="s">
        <v>55</v>
      </c>
      <c r="I793" s="36" t="s">
        <v>1394</v>
      </c>
      <c r="K793" s="2"/>
      <c r="M793" s="2"/>
    </row>
    <row r="794" spans="1:13">
      <c r="A794" t="s">
        <v>28</v>
      </c>
      <c r="B794">
        <f ca="1">IF(OR(changes[[#This Row],[Type]]="Checklist",changes[[#This Row],[Type]]="checklist-flat"),1+IF(changes[[#This Row],[Type of change]] = "Edit",COUNTIFS($I$4:changes[[#This Row],[Name]],changes[[#This Row],[Name]], $E$4:changes[[#This Row],[Type of change]], "Edit")),B793)</f>
        <v>1</v>
      </c>
      <c r="C794" s="16">
        <v>44635</v>
      </c>
      <c r="D794" s="1" t="s">
        <v>2484</v>
      </c>
      <c r="E794" t="s">
        <v>2453</v>
      </c>
      <c r="F794" s="10" t="s">
        <v>9</v>
      </c>
      <c r="G794" s="30" t="s">
        <v>1380</v>
      </c>
      <c r="H794" s="36" t="s">
        <v>64</v>
      </c>
      <c r="I794" s="36" t="s">
        <v>772</v>
      </c>
      <c r="K794" s="2"/>
      <c r="M794" s="2"/>
    </row>
    <row r="795" spans="1:13">
      <c r="A795" t="s">
        <v>28</v>
      </c>
      <c r="B795">
        <f ca="1">IF(OR(changes[[#This Row],[Type]]="Checklist",changes[[#This Row],[Type]]="checklist-flat"),1+IF(changes[[#This Row],[Type of change]] = "Edit",COUNTIFS($I$4:changes[[#This Row],[Name]],changes[[#This Row],[Name]], $E$4:changes[[#This Row],[Type of change]], "Edit")),B794)</f>
        <v>1</v>
      </c>
      <c r="C795" s="16">
        <v>44635</v>
      </c>
      <c r="D795" s="1" t="s">
        <v>2484</v>
      </c>
      <c r="E795" t="s">
        <v>2453</v>
      </c>
      <c r="F795" s="10" t="s">
        <v>9</v>
      </c>
      <c r="G795" s="30" t="s">
        <v>2600</v>
      </c>
      <c r="H795" s="30" t="s">
        <v>478</v>
      </c>
      <c r="I795" s="30" t="s">
        <v>2600</v>
      </c>
      <c r="K795" s="2"/>
      <c r="M795" s="2"/>
    </row>
    <row r="796" spans="1:13">
      <c r="A796" t="s">
        <v>28</v>
      </c>
      <c r="B796">
        <f ca="1">IF(OR(changes[[#This Row],[Type]]="Checklist",changes[[#This Row],[Type]]="checklist-flat"),1+IF(changes[[#This Row],[Type of change]] = "Edit",COUNTIFS($I$4:changes[[#This Row],[Name]],changes[[#This Row],[Name]], $E$4:changes[[#This Row],[Type of change]], "Edit")),B795)</f>
        <v>1</v>
      </c>
      <c r="C796" s="16">
        <v>44635</v>
      </c>
      <c r="D796" s="1" t="s">
        <v>2484</v>
      </c>
      <c r="E796" t="s">
        <v>2453</v>
      </c>
      <c r="F796" s="10" t="s">
        <v>9</v>
      </c>
      <c r="G796" s="30" t="s">
        <v>2600</v>
      </c>
      <c r="H796" s="30" t="s">
        <v>479</v>
      </c>
      <c r="I796" s="30" t="s">
        <v>1176</v>
      </c>
      <c r="K796" s="2"/>
      <c r="M796" s="2"/>
    </row>
    <row r="797" spans="1:13">
      <c r="A797" t="s">
        <v>28</v>
      </c>
      <c r="B797">
        <f ca="1">IF(OR(changes[[#This Row],[Type]]="Checklist",changes[[#This Row],[Type]]="checklist-flat"),1+IF(changes[[#This Row],[Type of change]] = "Edit",COUNTIFS($I$4:changes[[#This Row],[Name]],changes[[#This Row],[Name]], $E$4:changes[[#This Row],[Type of change]], "Edit")),B796)</f>
        <v>1</v>
      </c>
      <c r="C797" s="16">
        <v>44635</v>
      </c>
      <c r="D797" s="1" t="s">
        <v>2484</v>
      </c>
      <c r="E797" t="s">
        <v>2453</v>
      </c>
      <c r="F797" s="10" t="s">
        <v>9</v>
      </c>
      <c r="G797" s="30" t="s">
        <v>2600</v>
      </c>
      <c r="H797" s="30" t="s">
        <v>55</v>
      </c>
      <c r="I797" s="30" t="s">
        <v>1177</v>
      </c>
      <c r="K797" s="2"/>
      <c r="M797" s="2"/>
    </row>
    <row r="798" spans="1:13">
      <c r="A798" t="s">
        <v>28</v>
      </c>
      <c r="B798">
        <f ca="1">IF(OR(changes[[#This Row],[Type]]="Checklist",changes[[#This Row],[Type]]="checklist-flat"),1+IF(changes[[#This Row],[Type of change]] = "Edit",COUNTIFS($I$4:changes[[#This Row],[Name]],changes[[#This Row],[Name]], $E$4:changes[[#This Row],[Type of change]], "Edit")),B797)</f>
        <v>1</v>
      </c>
      <c r="C798" s="16">
        <v>44635</v>
      </c>
      <c r="D798" s="1" t="s">
        <v>2484</v>
      </c>
      <c r="E798" t="s">
        <v>2453</v>
      </c>
      <c r="F798" s="10" t="s">
        <v>9</v>
      </c>
      <c r="G798" s="30" t="s">
        <v>2600</v>
      </c>
      <c r="H798" s="30" t="s">
        <v>55</v>
      </c>
      <c r="I798" s="30" t="s">
        <v>1178</v>
      </c>
      <c r="K798" s="2"/>
      <c r="M798" s="2"/>
    </row>
    <row r="799" spans="1:13">
      <c r="A799" t="s">
        <v>28</v>
      </c>
      <c r="B799">
        <f ca="1">IF(OR(changes[[#This Row],[Type]]="Checklist",changes[[#This Row],[Type]]="checklist-flat"),1+IF(changes[[#This Row],[Type of change]] = "Edit",COUNTIFS($I$4:changes[[#This Row],[Name]],changes[[#This Row],[Name]], $E$4:changes[[#This Row],[Type of change]], "Edit")),B798)</f>
        <v>1</v>
      </c>
      <c r="C799" s="16">
        <v>44635</v>
      </c>
      <c r="D799" s="1" t="s">
        <v>2484</v>
      </c>
      <c r="E799" t="s">
        <v>2453</v>
      </c>
      <c r="F799" s="10" t="s">
        <v>9</v>
      </c>
      <c r="G799" s="30" t="s">
        <v>2600</v>
      </c>
      <c r="H799" s="30" t="s">
        <v>269</v>
      </c>
      <c r="I799" s="30" t="s">
        <v>1179</v>
      </c>
      <c r="K799" s="2"/>
      <c r="M799" s="2"/>
    </row>
    <row r="800" spans="1:13">
      <c r="A800" t="s">
        <v>28</v>
      </c>
      <c r="B800">
        <f ca="1">IF(OR(changes[[#This Row],[Type]]="Checklist",changes[[#This Row],[Type]]="checklist-flat"),1+IF(changes[[#This Row],[Type of change]] = "Edit",COUNTIFS($I$4:changes[[#This Row],[Name]],changes[[#This Row],[Name]], $E$4:changes[[#This Row],[Type of change]], "Edit")),B799)</f>
        <v>1</v>
      </c>
      <c r="C800" s="16">
        <v>44635</v>
      </c>
      <c r="D800" s="1" t="s">
        <v>2484</v>
      </c>
      <c r="E800" t="s">
        <v>2453</v>
      </c>
      <c r="F800" s="10" t="s">
        <v>9</v>
      </c>
      <c r="G800" s="30" t="s">
        <v>2600</v>
      </c>
      <c r="H800" s="30" t="s">
        <v>64</v>
      </c>
      <c r="I800" s="30" t="s">
        <v>1142</v>
      </c>
      <c r="K800" s="2"/>
      <c r="M800" s="2"/>
    </row>
    <row r="801" spans="1:13">
      <c r="A801" t="s">
        <v>28</v>
      </c>
      <c r="B801">
        <f ca="1">IF(OR(changes[[#This Row],[Type]]="Checklist",changes[[#This Row],[Type]]="checklist-flat"),1+IF(changes[[#This Row],[Type of change]] = "Edit",COUNTIFS($I$4:changes[[#This Row],[Name]],changes[[#This Row],[Name]], $E$4:changes[[#This Row],[Type of change]], "Edit")),B800)</f>
        <v>1</v>
      </c>
      <c r="C801" s="16">
        <v>44635</v>
      </c>
      <c r="D801" s="1" t="s">
        <v>2484</v>
      </c>
      <c r="E801" t="s">
        <v>2453</v>
      </c>
      <c r="F801" s="10" t="s">
        <v>9</v>
      </c>
      <c r="G801" s="30" t="s">
        <v>2600</v>
      </c>
      <c r="H801" s="30" t="s">
        <v>479</v>
      </c>
      <c r="I801" s="30" t="s">
        <v>2601</v>
      </c>
      <c r="K801" s="2"/>
      <c r="M801" s="2"/>
    </row>
    <row r="802" spans="1:13">
      <c r="A802" t="s">
        <v>28</v>
      </c>
      <c r="B802">
        <f ca="1">IF(OR(changes[[#This Row],[Type]]="Checklist",changes[[#This Row],[Type]]="checklist-flat"),1+IF(changes[[#This Row],[Type of change]] = "Edit",COUNTIFS($I$4:changes[[#This Row],[Name]],changes[[#This Row],[Name]], $E$4:changes[[#This Row],[Type of change]], "Edit")),B801)</f>
        <v>1</v>
      </c>
      <c r="C802" s="16">
        <v>44635</v>
      </c>
      <c r="D802" s="1" t="s">
        <v>2484</v>
      </c>
      <c r="E802" t="s">
        <v>2453</v>
      </c>
      <c r="F802" s="10" t="s">
        <v>9</v>
      </c>
      <c r="G802" s="30" t="s">
        <v>2600</v>
      </c>
      <c r="H802" s="30" t="s">
        <v>269</v>
      </c>
      <c r="I802" s="30" t="s">
        <v>2602</v>
      </c>
      <c r="K802" s="2"/>
      <c r="M802" s="2"/>
    </row>
    <row r="803" spans="1:13">
      <c r="A803" t="s">
        <v>28</v>
      </c>
      <c r="B803">
        <f ca="1">IF(OR(changes[[#This Row],[Type]]="Checklist",changes[[#This Row],[Type]]="checklist-flat"),1+IF(changes[[#This Row],[Type of change]] = "Edit",COUNTIFS($I$4:changes[[#This Row],[Name]],changes[[#This Row],[Name]], $E$4:changes[[#This Row],[Type of change]], "Edit")),B802)</f>
        <v>1</v>
      </c>
      <c r="C803" s="16">
        <v>44635</v>
      </c>
      <c r="D803" s="1" t="s">
        <v>2484</v>
      </c>
      <c r="E803" t="s">
        <v>2453</v>
      </c>
      <c r="F803" s="10" t="s">
        <v>9</v>
      </c>
      <c r="G803" s="30" t="s">
        <v>2600</v>
      </c>
      <c r="H803" s="30" t="s">
        <v>269</v>
      </c>
      <c r="I803" s="30" t="s">
        <v>2603</v>
      </c>
      <c r="K803" s="2"/>
      <c r="M803" s="2"/>
    </row>
    <row r="804" spans="1:13">
      <c r="A804" t="s">
        <v>28</v>
      </c>
      <c r="B804">
        <f ca="1">IF(OR(changes[[#This Row],[Type]]="Checklist",changes[[#This Row],[Type]]="checklist-flat"),1+IF(changes[[#This Row],[Type of change]] = "Edit",COUNTIFS($I$4:changes[[#This Row],[Name]],changes[[#This Row],[Name]], $E$4:changes[[#This Row],[Type of change]], "Edit")),B803)</f>
        <v>1</v>
      </c>
      <c r="C804" s="16">
        <v>44635</v>
      </c>
      <c r="D804" s="1" t="s">
        <v>2484</v>
      </c>
      <c r="E804" t="s">
        <v>2453</v>
      </c>
      <c r="F804" s="10" t="s">
        <v>9</v>
      </c>
      <c r="G804" s="30" t="s">
        <v>2600</v>
      </c>
      <c r="H804" s="30" t="s">
        <v>269</v>
      </c>
      <c r="I804" s="30" t="s">
        <v>2604</v>
      </c>
      <c r="K804" s="2"/>
      <c r="M804" s="2"/>
    </row>
    <row r="805" spans="1:13">
      <c r="A805" t="s">
        <v>28</v>
      </c>
      <c r="B805">
        <f ca="1">IF(OR(changes[[#This Row],[Type]]="Checklist",changes[[#This Row],[Type]]="checklist-flat"),1+IF(changes[[#This Row],[Type of change]] = "Edit",COUNTIFS($I$4:changes[[#This Row],[Name]],changes[[#This Row],[Name]], $E$4:changes[[#This Row],[Type of change]], "Edit")),B804)</f>
        <v>1</v>
      </c>
      <c r="C805" s="16">
        <v>44635</v>
      </c>
      <c r="D805" s="1" t="s">
        <v>2484</v>
      </c>
      <c r="E805" t="s">
        <v>2453</v>
      </c>
      <c r="F805" s="10" t="s">
        <v>9</v>
      </c>
      <c r="G805" s="30" t="s">
        <v>2600</v>
      </c>
      <c r="H805" s="30" t="s">
        <v>269</v>
      </c>
      <c r="I805" s="30" t="s">
        <v>2605</v>
      </c>
      <c r="K805" s="2"/>
      <c r="M805" s="2"/>
    </row>
    <row r="806" spans="1:13">
      <c r="A806" t="s">
        <v>28</v>
      </c>
      <c r="B806">
        <f ca="1">IF(OR(changes[[#This Row],[Type]]="Checklist",changes[[#This Row],[Type]]="checklist-flat"),1+IF(changes[[#This Row],[Type of change]] = "Edit",COUNTIFS($I$4:changes[[#This Row],[Name]],changes[[#This Row],[Name]], $E$4:changes[[#This Row],[Type of change]], "Edit")),B805)</f>
        <v>1</v>
      </c>
      <c r="C806" s="16">
        <v>44635</v>
      </c>
      <c r="D806" s="1" t="s">
        <v>2484</v>
      </c>
      <c r="E806" t="s">
        <v>2453</v>
      </c>
      <c r="F806" s="10" t="s">
        <v>9</v>
      </c>
      <c r="G806" s="30" t="s">
        <v>2600</v>
      </c>
      <c r="H806" s="30" t="s">
        <v>269</v>
      </c>
      <c r="I806" s="30" t="s">
        <v>2606</v>
      </c>
      <c r="K806" s="2"/>
      <c r="M806" s="2"/>
    </row>
    <row r="807" spans="1:13">
      <c r="A807" t="s">
        <v>28</v>
      </c>
      <c r="B807">
        <f ca="1">IF(OR(changes[[#This Row],[Type]]="Checklist",changes[[#This Row],[Type]]="checklist-flat"),1+IF(changes[[#This Row],[Type of change]] = "Edit",COUNTIFS($I$4:changes[[#This Row],[Name]],changes[[#This Row],[Name]], $E$4:changes[[#This Row],[Type of change]], "Edit")),B806)</f>
        <v>1</v>
      </c>
      <c r="C807" s="16">
        <v>44635</v>
      </c>
      <c r="D807" s="1" t="s">
        <v>2484</v>
      </c>
      <c r="E807" t="s">
        <v>2453</v>
      </c>
      <c r="F807" s="10" t="s">
        <v>9</v>
      </c>
      <c r="G807" s="30" t="s">
        <v>2600</v>
      </c>
      <c r="H807" s="30" t="s">
        <v>269</v>
      </c>
      <c r="I807" s="30" t="s">
        <v>2607</v>
      </c>
      <c r="K807" s="2"/>
      <c r="M807" s="2"/>
    </row>
    <row r="808" spans="1:13">
      <c r="A808" t="s">
        <v>28</v>
      </c>
      <c r="B808">
        <f ca="1">IF(OR(changes[[#This Row],[Type]]="Checklist",changes[[#This Row],[Type]]="checklist-flat"),1+IF(changes[[#This Row],[Type of change]] = "Edit",COUNTIFS($I$4:changes[[#This Row],[Name]],changes[[#This Row],[Name]], $E$4:changes[[#This Row],[Type of change]], "Edit")),B807)</f>
        <v>1</v>
      </c>
      <c r="C808" s="16">
        <v>44635</v>
      </c>
      <c r="D808" s="1" t="s">
        <v>2484</v>
      </c>
      <c r="E808" t="s">
        <v>2453</v>
      </c>
      <c r="F808" s="10" t="s">
        <v>9</v>
      </c>
      <c r="G808" s="30" t="s">
        <v>2600</v>
      </c>
      <c r="H808" s="30" t="s">
        <v>269</v>
      </c>
      <c r="I808" s="30" t="s">
        <v>2608</v>
      </c>
      <c r="K808" s="2"/>
      <c r="M808" s="2"/>
    </row>
    <row r="809" spans="1:13">
      <c r="A809" t="s">
        <v>28</v>
      </c>
      <c r="B809">
        <f ca="1">IF(OR(changes[[#This Row],[Type]]="Checklist",changes[[#This Row],[Type]]="checklist-flat"),1+IF(changes[[#This Row],[Type of change]] = "Edit",COUNTIFS($I$4:changes[[#This Row],[Name]],changes[[#This Row],[Name]], $E$4:changes[[#This Row],[Type of change]], "Edit")),B808)</f>
        <v>1</v>
      </c>
      <c r="C809" s="16">
        <v>44635</v>
      </c>
      <c r="D809" s="1" t="s">
        <v>2484</v>
      </c>
      <c r="E809" t="s">
        <v>2453</v>
      </c>
      <c r="F809" s="10" t="s">
        <v>9</v>
      </c>
      <c r="G809" s="30" t="s">
        <v>2600</v>
      </c>
      <c r="H809" s="30" t="s">
        <v>269</v>
      </c>
      <c r="I809" s="30" t="s">
        <v>2609</v>
      </c>
      <c r="K809" s="2"/>
      <c r="M809" s="2"/>
    </row>
    <row r="810" spans="1:13">
      <c r="A810" t="s">
        <v>28</v>
      </c>
      <c r="B810">
        <f ca="1">IF(OR(changes[[#This Row],[Type]]="Checklist",changes[[#This Row],[Type]]="checklist-flat"),1+IF(changes[[#This Row],[Type of change]] = "Edit",COUNTIFS($I$4:changes[[#This Row],[Name]],changes[[#This Row],[Name]], $E$4:changes[[#This Row],[Type of change]], "Edit")),B809)</f>
        <v>1</v>
      </c>
      <c r="C810" s="16">
        <v>44635</v>
      </c>
      <c r="D810" s="1" t="s">
        <v>2484</v>
      </c>
      <c r="E810" t="s">
        <v>2453</v>
      </c>
      <c r="F810" s="10" t="s">
        <v>9</v>
      </c>
      <c r="G810" s="30" t="s">
        <v>2600</v>
      </c>
      <c r="H810" s="30" t="s">
        <v>269</v>
      </c>
      <c r="I810" s="30" t="s">
        <v>2610</v>
      </c>
      <c r="K810" s="2"/>
      <c r="M810" s="2"/>
    </row>
    <row r="811" spans="1:13">
      <c r="A811" t="s">
        <v>28</v>
      </c>
      <c r="B811">
        <f ca="1">IF(OR(changes[[#This Row],[Type]]="Checklist",changes[[#This Row],[Type]]="checklist-flat"),1+IF(changes[[#This Row],[Type of change]] = "Edit",COUNTIFS($I$4:changes[[#This Row],[Name]],changes[[#This Row],[Name]], $E$4:changes[[#This Row],[Type of change]], "Edit")),B810)</f>
        <v>1</v>
      </c>
      <c r="C811" s="16">
        <v>44635</v>
      </c>
      <c r="D811" s="1" t="s">
        <v>2484</v>
      </c>
      <c r="E811" t="s">
        <v>2453</v>
      </c>
      <c r="F811" s="10" t="s">
        <v>9</v>
      </c>
      <c r="G811" s="30" t="s">
        <v>2600</v>
      </c>
      <c r="H811" s="30" t="s">
        <v>269</v>
      </c>
      <c r="I811" s="30" t="s">
        <v>2611</v>
      </c>
      <c r="K811" s="2"/>
      <c r="M811" s="2"/>
    </row>
    <row r="812" spans="1:13">
      <c r="A812" t="s">
        <v>28</v>
      </c>
      <c r="B812">
        <f ca="1">IF(OR(changes[[#This Row],[Type]]="Checklist",changes[[#This Row],[Type]]="checklist-flat"),1+IF(changes[[#This Row],[Type of change]] = "Edit",COUNTIFS($I$4:changes[[#This Row],[Name]],changes[[#This Row],[Name]], $E$4:changes[[#This Row],[Type of change]], "Edit")),B811)</f>
        <v>1</v>
      </c>
      <c r="C812" s="16">
        <v>44635</v>
      </c>
      <c r="D812" s="1" t="s">
        <v>2484</v>
      </c>
      <c r="E812" t="s">
        <v>2453</v>
      </c>
      <c r="F812" s="10" t="s">
        <v>9</v>
      </c>
      <c r="G812" s="30" t="s">
        <v>2600</v>
      </c>
      <c r="H812" s="30" t="s">
        <v>269</v>
      </c>
      <c r="I812" s="30" t="s">
        <v>2612</v>
      </c>
      <c r="K812" s="2"/>
      <c r="M812" s="2"/>
    </row>
    <row r="813" spans="1:13">
      <c r="A813" t="s">
        <v>28</v>
      </c>
      <c r="B813">
        <f ca="1">IF(OR(changes[[#This Row],[Type]]="Checklist",changes[[#This Row],[Type]]="checklist-flat"),1+IF(changes[[#This Row],[Type of change]] = "Edit",COUNTIFS($I$4:changes[[#This Row],[Name]],changes[[#This Row],[Name]], $E$4:changes[[#This Row],[Type of change]], "Edit")),B812)</f>
        <v>1</v>
      </c>
      <c r="C813" s="16">
        <v>44635</v>
      </c>
      <c r="D813" s="1" t="s">
        <v>2484</v>
      </c>
      <c r="E813" t="s">
        <v>2453</v>
      </c>
      <c r="F813" s="10" t="s">
        <v>9</v>
      </c>
      <c r="G813" s="30" t="s">
        <v>2600</v>
      </c>
      <c r="H813" s="30" t="s">
        <v>269</v>
      </c>
      <c r="I813" s="30" t="s">
        <v>2613</v>
      </c>
      <c r="K813" s="2"/>
      <c r="M813" s="2"/>
    </row>
    <row r="814" spans="1:13">
      <c r="A814" t="s">
        <v>28</v>
      </c>
      <c r="B814">
        <f ca="1">IF(OR(changes[[#This Row],[Type]]="Checklist",changes[[#This Row],[Type]]="checklist-flat"),1+IF(changes[[#This Row],[Type of change]] = "Edit",COUNTIFS($I$4:changes[[#This Row],[Name]],changes[[#This Row],[Name]], $E$4:changes[[#This Row],[Type of change]], "Edit")),B813)</f>
        <v>1</v>
      </c>
      <c r="C814" s="16">
        <v>44635</v>
      </c>
      <c r="D814" s="1" t="s">
        <v>2484</v>
      </c>
      <c r="E814" t="s">
        <v>2453</v>
      </c>
      <c r="F814" s="10" t="s">
        <v>9</v>
      </c>
      <c r="G814" s="30" t="s">
        <v>2600</v>
      </c>
      <c r="H814" s="30" t="s">
        <v>269</v>
      </c>
      <c r="I814" s="30" t="s">
        <v>2614</v>
      </c>
      <c r="K814" s="2"/>
      <c r="M814" s="2"/>
    </row>
    <row r="815" spans="1:13">
      <c r="A815" t="s">
        <v>28</v>
      </c>
      <c r="B815">
        <f ca="1">IF(OR(changes[[#This Row],[Type]]="Checklist",changes[[#This Row],[Type]]="checklist-flat"),1+IF(changes[[#This Row],[Type of change]] = "Edit",COUNTIFS($I$4:changes[[#This Row],[Name]],changes[[#This Row],[Name]], $E$4:changes[[#This Row],[Type of change]], "Edit")),B814)</f>
        <v>1</v>
      </c>
      <c r="C815" s="16">
        <v>44635</v>
      </c>
      <c r="D815" s="1" t="s">
        <v>2484</v>
      </c>
      <c r="E815" t="s">
        <v>2453</v>
      </c>
      <c r="F815" s="10" t="s">
        <v>9</v>
      </c>
      <c r="G815" s="30" t="s">
        <v>2600</v>
      </c>
      <c r="H815" s="30" t="s">
        <v>269</v>
      </c>
      <c r="I815" s="30" t="s">
        <v>1204</v>
      </c>
      <c r="K815" s="2"/>
      <c r="M815" s="2"/>
    </row>
    <row r="816" spans="1:13">
      <c r="A816" t="s">
        <v>28</v>
      </c>
      <c r="B816">
        <f ca="1">IF(OR(changes[[#This Row],[Type]]="Checklist",changes[[#This Row],[Type]]="checklist-flat"),1+IF(changes[[#This Row],[Type of change]] = "Edit",COUNTIFS($I$4:changes[[#This Row],[Name]],changes[[#This Row],[Name]], $E$4:changes[[#This Row],[Type of change]], "Edit")),B815)</f>
        <v>1</v>
      </c>
      <c r="C816" s="16">
        <v>44635</v>
      </c>
      <c r="D816" s="1" t="s">
        <v>2484</v>
      </c>
      <c r="E816" t="s">
        <v>2453</v>
      </c>
      <c r="F816" s="10" t="s">
        <v>9</v>
      </c>
      <c r="G816" s="30" t="s">
        <v>2600</v>
      </c>
      <c r="H816" s="30" t="s">
        <v>269</v>
      </c>
      <c r="I816" s="30" t="s">
        <v>1205</v>
      </c>
      <c r="K816" s="2"/>
      <c r="M816" s="2"/>
    </row>
    <row r="817" spans="1:13">
      <c r="A817" t="s">
        <v>28</v>
      </c>
      <c r="B817">
        <f ca="1">IF(OR(changes[[#This Row],[Type]]="Checklist",changes[[#This Row],[Type]]="checklist-flat"),1+IF(changes[[#This Row],[Type of change]] = "Edit",COUNTIFS($I$4:changes[[#This Row],[Name]],changes[[#This Row],[Name]], $E$4:changes[[#This Row],[Type of change]], "Edit")),B816)</f>
        <v>1</v>
      </c>
      <c r="C817" s="16">
        <v>44635</v>
      </c>
      <c r="D817" s="1" t="s">
        <v>2484</v>
      </c>
      <c r="E817" t="s">
        <v>2453</v>
      </c>
      <c r="F817" s="10" t="s">
        <v>9</v>
      </c>
      <c r="G817" s="30" t="s">
        <v>2600</v>
      </c>
      <c r="H817" s="30" t="s">
        <v>64</v>
      </c>
      <c r="I817" s="30" t="s">
        <v>1142</v>
      </c>
      <c r="K817" s="2"/>
      <c r="M817" s="2"/>
    </row>
    <row r="818" spans="1:13">
      <c r="A818" t="s">
        <v>28</v>
      </c>
      <c r="B818">
        <f ca="1">IF(OR(changes[[#This Row],[Type]]="Checklist",changes[[#This Row],[Type]]="checklist-flat"),1+IF(changes[[#This Row],[Type of change]] = "Edit",COUNTIFS($I$4:changes[[#This Row],[Name]],changes[[#This Row],[Name]], $E$4:changes[[#This Row],[Type of change]], "Edit")),B817)</f>
        <v>1</v>
      </c>
      <c r="C818" s="16">
        <v>44635</v>
      </c>
      <c r="D818" s="1" t="s">
        <v>2484</v>
      </c>
      <c r="E818" t="s">
        <v>2453</v>
      </c>
      <c r="F818" s="10" t="s">
        <v>9</v>
      </c>
      <c r="G818" s="30" t="s">
        <v>2615</v>
      </c>
      <c r="H818" s="30" t="s">
        <v>478</v>
      </c>
      <c r="I818" s="30" t="s">
        <v>2615</v>
      </c>
      <c r="K818" s="2"/>
      <c r="M818" s="2"/>
    </row>
    <row r="819" spans="1:13">
      <c r="A819" t="s">
        <v>28</v>
      </c>
      <c r="B819">
        <f ca="1">IF(OR(changes[[#This Row],[Type]]="Checklist",changes[[#This Row],[Type]]="checklist-flat"),1+IF(changes[[#This Row],[Type of change]] = "Edit",COUNTIFS($I$4:changes[[#This Row],[Name]],changes[[#This Row],[Name]], $E$4:changes[[#This Row],[Type of change]], "Edit")),B818)</f>
        <v>1</v>
      </c>
      <c r="C819" s="16">
        <v>44635</v>
      </c>
      <c r="D819" s="1" t="s">
        <v>2484</v>
      </c>
      <c r="E819" t="s">
        <v>2453</v>
      </c>
      <c r="F819" s="10" t="s">
        <v>9</v>
      </c>
      <c r="G819" s="30" t="s">
        <v>2615</v>
      </c>
      <c r="H819" s="30" t="s">
        <v>479</v>
      </c>
      <c r="I819" s="30" t="s">
        <v>1176</v>
      </c>
      <c r="K819" s="2"/>
      <c r="M819" s="2"/>
    </row>
    <row r="820" spans="1:13">
      <c r="A820" t="s">
        <v>28</v>
      </c>
      <c r="B820">
        <f ca="1">IF(OR(changes[[#This Row],[Type]]="Checklist",changes[[#This Row],[Type]]="checklist-flat"),1+IF(changes[[#This Row],[Type of change]] = "Edit",COUNTIFS($I$4:changes[[#This Row],[Name]],changes[[#This Row],[Name]], $E$4:changes[[#This Row],[Type of change]], "Edit")),B819)</f>
        <v>1</v>
      </c>
      <c r="C820" s="16">
        <v>44635</v>
      </c>
      <c r="D820" s="1" t="s">
        <v>2484</v>
      </c>
      <c r="E820" t="s">
        <v>2453</v>
      </c>
      <c r="F820" s="10" t="s">
        <v>9</v>
      </c>
      <c r="G820" s="30" t="s">
        <v>2615</v>
      </c>
      <c r="H820" s="30" t="s">
        <v>55</v>
      </c>
      <c r="I820" s="30" t="s">
        <v>1177</v>
      </c>
      <c r="K820" s="2"/>
      <c r="M820" s="2"/>
    </row>
    <row r="821" spans="1:13">
      <c r="A821" t="s">
        <v>28</v>
      </c>
      <c r="B821">
        <f ca="1">IF(OR(changes[[#This Row],[Type]]="Checklist",changes[[#This Row],[Type]]="checklist-flat"),1+IF(changes[[#This Row],[Type of change]] = "Edit",COUNTIFS($I$4:changes[[#This Row],[Name]],changes[[#This Row],[Name]], $E$4:changes[[#This Row],[Type of change]], "Edit")),B820)</f>
        <v>1</v>
      </c>
      <c r="C821" s="16">
        <v>44635</v>
      </c>
      <c r="D821" s="1" t="s">
        <v>2484</v>
      </c>
      <c r="E821" t="s">
        <v>2453</v>
      </c>
      <c r="F821" s="10" t="s">
        <v>9</v>
      </c>
      <c r="G821" s="30" t="s">
        <v>2615</v>
      </c>
      <c r="H821" s="30" t="s">
        <v>55</v>
      </c>
      <c r="I821" s="30" t="s">
        <v>1178</v>
      </c>
      <c r="K821" s="2"/>
      <c r="M821" s="2"/>
    </row>
    <row r="822" spans="1:13">
      <c r="A822" t="s">
        <v>28</v>
      </c>
      <c r="B822">
        <f ca="1">IF(OR(changes[[#This Row],[Type]]="Checklist",changes[[#This Row],[Type]]="checklist-flat"),1+IF(changes[[#This Row],[Type of change]] = "Edit",COUNTIFS($I$4:changes[[#This Row],[Name]],changes[[#This Row],[Name]], $E$4:changes[[#This Row],[Type of change]], "Edit")),B821)</f>
        <v>1</v>
      </c>
      <c r="C822" s="16">
        <v>44635</v>
      </c>
      <c r="D822" s="1" t="s">
        <v>2484</v>
      </c>
      <c r="E822" t="s">
        <v>2453</v>
      </c>
      <c r="F822" s="10" t="s">
        <v>9</v>
      </c>
      <c r="G822" s="30" t="s">
        <v>2615</v>
      </c>
      <c r="H822" s="30" t="s">
        <v>269</v>
      </c>
      <c r="I822" s="30" t="s">
        <v>1179</v>
      </c>
      <c r="K822" s="2"/>
      <c r="M822" s="2"/>
    </row>
    <row r="823" spans="1:13">
      <c r="A823" t="s">
        <v>28</v>
      </c>
      <c r="B823">
        <f ca="1">IF(OR(changes[[#This Row],[Type]]="Checklist",changes[[#This Row],[Type]]="checklist-flat"),1+IF(changes[[#This Row],[Type of change]] = "Edit",COUNTIFS($I$4:changes[[#This Row],[Name]],changes[[#This Row],[Name]], $E$4:changes[[#This Row],[Type of change]], "Edit")),B822)</f>
        <v>1</v>
      </c>
      <c r="C823" s="16">
        <v>44635</v>
      </c>
      <c r="D823" s="1" t="s">
        <v>2484</v>
      </c>
      <c r="E823" t="s">
        <v>2453</v>
      </c>
      <c r="F823" s="10" t="s">
        <v>9</v>
      </c>
      <c r="G823" s="30" t="s">
        <v>2615</v>
      </c>
      <c r="H823" s="30" t="s">
        <v>479</v>
      </c>
      <c r="I823" s="30" t="s">
        <v>2533</v>
      </c>
      <c r="K823" s="2"/>
      <c r="M823" s="2"/>
    </row>
    <row r="824" spans="1:13">
      <c r="A824" t="s">
        <v>28</v>
      </c>
      <c r="B824">
        <f ca="1">IF(OR(changes[[#This Row],[Type]]="Checklist",changes[[#This Row],[Type]]="checklist-flat"),1+IF(changes[[#This Row],[Type of change]] = "Edit",COUNTIFS($I$4:changes[[#This Row],[Name]],changes[[#This Row],[Name]], $E$4:changes[[#This Row],[Type of change]], "Edit")),B823)</f>
        <v>1</v>
      </c>
      <c r="C824" s="16">
        <v>44635</v>
      </c>
      <c r="D824" s="1" t="s">
        <v>2484</v>
      </c>
      <c r="E824" t="s">
        <v>2453</v>
      </c>
      <c r="F824" s="10" t="s">
        <v>9</v>
      </c>
      <c r="G824" s="30" t="s">
        <v>2615</v>
      </c>
      <c r="H824" s="30" t="s">
        <v>269</v>
      </c>
      <c r="I824" s="30" t="s">
        <v>1180</v>
      </c>
      <c r="K824" s="2"/>
      <c r="M824" s="2"/>
    </row>
    <row r="825" spans="1:13">
      <c r="A825" t="s">
        <v>28</v>
      </c>
      <c r="B825">
        <f ca="1">IF(OR(changes[[#This Row],[Type]]="Checklist",changes[[#This Row],[Type]]="checklist-flat"),1+IF(changes[[#This Row],[Type of change]] = "Edit",COUNTIFS($I$4:changes[[#This Row],[Name]],changes[[#This Row],[Name]], $E$4:changes[[#This Row],[Type of change]], "Edit")),B824)</f>
        <v>1</v>
      </c>
      <c r="C825" s="16">
        <v>44635</v>
      </c>
      <c r="D825" s="1" t="s">
        <v>2484</v>
      </c>
      <c r="E825" t="s">
        <v>2453</v>
      </c>
      <c r="F825" s="10" t="s">
        <v>9</v>
      </c>
      <c r="G825" s="30" t="s">
        <v>2615</v>
      </c>
      <c r="H825" s="30" t="s">
        <v>269</v>
      </c>
      <c r="I825" s="30" t="s">
        <v>1181</v>
      </c>
      <c r="K825" s="2"/>
      <c r="M825" s="2"/>
    </row>
    <row r="826" spans="1:13">
      <c r="A826" t="s">
        <v>28</v>
      </c>
      <c r="B826">
        <f ca="1">IF(OR(changes[[#This Row],[Type]]="Checklist",changes[[#This Row],[Type]]="checklist-flat"),1+IF(changes[[#This Row],[Type of change]] = "Edit",COUNTIFS($I$4:changes[[#This Row],[Name]],changes[[#This Row],[Name]], $E$4:changes[[#This Row],[Type of change]], "Edit")),B825)</f>
        <v>1</v>
      </c>
      <c r="C826" s="16">
        <v>44635</v>
      </c>
      <c r="D826" s="1" t="s">
        <v>2484</v>
      </c>
      <c r="E826" t="s">
        <v>2453</v>
      </c>
      <c r="F826" s="10" t="s">
        <v>9</v>
      </c>
      <c r="G826" s="30" t="s">
        <v>2615</v>
      </c>
      <c r="H826" s="30" t="s">
        <v>269</v>
      </c>
      <c r="I826" s="30" t="s">
        <v>1182</v>
      </c>
      <c r="K826" s="2"/>
      <c r="M826" s="2"/>
    </row>
    <row r="827" spans="1:13">
      <c r="A827" t="s">
        <v>28</v>
      </c>
      <c r="B827">
        <f ca="1">IF(OR(changes[[#This Row],[Type]]="Checklist",changes[[#This Row],[Type]]="checklist-flat"),1+IF(changes[[#This Row],[Type of change]] = "Edit",COUNTIFS($I$4:changes[[#This Row],[Name]],changes[[#This Row],[Name]], $E$4:changes[[#This Row],[Type of change]], "Edit")),B826)</f>
        <v>1</v>
      </c>
      <c r="C827" s="16">
        <v>44635</v>
      </c>
      <c r="D827" s="1" t="s">
        <v>2484</v>
      </c>
      <c r="E827" t="s">
        <v>2453</v>
      </c>
      <c r="F827" s="10" t="s">
        <v>9</v>
      </c>
      <c r="G827" s="30" t="s">
        <v>2615</v>
      </c>
      <c r="H827" s="30" t="s">
        <v>269</v>
      </c>
      <c r="I827" s="30" t="s">
        <v>1183</v>
      </c>
      <c r="K827" s="2"/>
      <c r="M827" s="2"/>
    </row>
    <row r="828" spans="1:13">
      <c r="A828" t="s">
        <v>28</v>
      </c>
      <c r="B828">
        <f ca="1">IF(OR(changes[[#This Row],[Type]]="Checklist",changes[[#This Row],[Type]]="checklist-flat"),1+IF(changes[[#This Row],[Type of change]] = "Edit",COUNTIFS($I$4:changes[[#This Row],[Name]],changes[[#This Row],[Name]], $E$4:changes[[#This Row],[Type of change]], "Edit")),B827)</f>
        <v>1</v>
      </c>
      <c r="C828" s="16">
        <v>44635</v>
      </c>
      <c r="D828" s="1" t="s">
        <v>2484</v>
      </c>
      <c r="E828" t="s">
        <v>2453</v>
      </c>
      <c r="F828" s="10" t="s">
        <v>9</v>
      </c>
      <c r="G828" s="30" t="s">
        <v>2615</v>
      </c>
      <c r="H828" s="30" t="s">
        <v>269</v>
      </c>
      <c r="I828" s="30" t="s">
        <v>2534</v>
      </c>
      <c r="K828" s="2"/>
      <c r="M828" s="2"/>
    </row>
    <row r="829" spans="1:13">
      <c r="A829" t="s">
        <v>28</v>
      </c>
      <c r="B829">
        <f ca="1">IF(OR(changes[[#This Row],[Type]]="Checklist",changes[[#This Row],[Type]]="checklist-flat"),1+IF(changes[[#This Row],[Type of change]] = "Edit",COUNTIFS($I$4:changes[[#This Row],[Name]],changes[[#This Row],[Name]], $E$4:changes[[#This Row],[Type of change]], "Edit")),B828)</f>
        <v>1</v>
      </c>
      <c r="C829" s="16">
        <v>44635</v>
      </c>
      <c r="D829" s="1" t="s">
        <v>2484</v>
      </c>
      <c r="E829" t="s">
        <v>2453</v>
      </c>
      <c r="F829" s="10" t="s">
        <v>9</v>
      </c>
      <c r="G829" s="30" t="s">
        <v>2615</v>
      </c>
      <c r="H829" s="30" t="s">
        <v>269</v>
      </c>
      <c r="I829" s="30" t="s">
        <v>2535</v>
      </c>
      <c r="K829" s="2"/>
      <c r="M829" s="2"/>
    </row>
    <row r="830" spans="1:13">
      <c r="A830" t="s">
        <v>28</v>
      </c>
      <c r="B830">
        <f ca="1">IF(OR(changes[[#This Row],[Type]]="Checklist",changes[[#This Row],[Type]]="checklist-flat"),1+IF(changes[[#This Row],[Type of change]] = "Edit",COUNTIFS($I$4:changes[[#This Row],[Name]],changes[[#This Row],[Name]], $E$4:changes[[#This Row],[Type of change]], "Edit")),B829)</f>
        <v>1</v>
      </c>
      <c r="C830" s="16">
        <v>44635</v>
      </c>
      <c r="D830" s="1" t="s">
        <v>2484</v>
      </c>
      <c r="E830" t="s">
        <v>2453</v>
      </c>
      <c r="F830" s="10" t="s">
        <v>9</v>
      </c>
      <c r="G830" s="30" t="s">
        <v>2615</v>
      </c>
      <c r="H830" s="30" t="s">
        <v>269</v>
      </c>
      <c r="I830" s="30" t="s">
        <v>1200</v>
      </c>
      <c r="K830" s="2"/>
      <c r="M830" s="2"/>
    </row>
    <row r="831" spans="1:13">
      <c r="A831" t="s">
        <v>28</v>
      </c>
      <c r="B831">
        <f ca="1">IF(OR(changes[[#This Row],[Type]]="Checklist",changes[[#This Row],[Type]]="checklist-flat"),1+IF(changes[[#This Row],[Type of change]] = "Edit",COUNTIFS($I$4:changes[[#This Row],[Name]],changes[[#This Row],[Name]], $E$4:changes[[#This Row],[Type of change]], "Edit")),B830)</f>
        <v>1</v>
      </c>
      <c r="C831" s="16">
        <v>44635</v>
      </c>
      <c r="D831" s="1" t="s">
        <v>2484</v>
      </c>
      <c r="E831" t="s">
        <v>2453</v>
      </c>
      <c r="F831" s="10" t="s">
        <v>9</v>
      </c>
      <c r="G831" s="30" t="s">
        <v>2615</v>
      </c>
      <c r="H831" s="30" t="s">
        <v>269</v>
      </c>
      <c r="I831" s="30" t="s">
        <v>2536</v>
      </c>
      <c r="K831" s="2"/>
      <c r="M831" s="2"/>
    </row>
    <row r="832" spans="1:13">
      <c r="A832" t="s">
        <v>28</v>
      </c>
      <c r="B832">
        <f ca="1">IF(OR(changes[[#This Row],[Type]]="Checklist",changes[[#This Row],[Type]]="checklist-flat"),1+IF(changes[[#This Row],[Type of change]] = "Edit",COUNTIFS($I$4:changes[[#This Row],[Name]],changes[[#This Row],[Name]], $E$4:changes[[#This Row],[Type of change]], "Edit")),B831)</f>
        <v>1</v>
      </c>
      <c r="C832" s="16">
        <v>44635</v>
      </c>
      <c r="D832" s="1" t="s">
        <v>2484</v>
      </c>
      <c r="E832" t="s">
        <v>2453</v>
      </c>
      <c r="F832" s="10" t="s">
        <v>9</v>
      </c>
      <c r="G832" s="30" t="s">
        <v>2615</v>
      </c>
      <c r="H832" s="30" t="s">
        <v>269</v>
      </c>
      <c r="I832" s="30" t="s">
        <v>1202</v>
      </c>
      <c r="K832" s="2"/>
      <c r="M832" s="2"/>
    </row>
    <row r="833" spans="1:13">
      <c r="A833" t="s">
        <v>28</v>
      </c>
      <c r="B833">
        <f ca="1">IF(OR(changes[[#This Row],[Type]]="Checklist",changes[[#This Row],[Type]]="checklist-flat"),1+IF(changes[[#This Row],[Type of change]] = "Edit",COUNTIFS($I$4:changes[[#This Row],[Name]],changes[[#This Row],[Name]], $E$4:changes[[#This Row],[Type of change]], "Edit")),B832)</f>
        <v>1</v>
      </c>
      <c r="C833" s="16">
        <v>44635</v>
      </c>
      <c r="D833" s="1" t="s">
        <v>2484</v>
      </c>
      <c r="E833" t="s">
        <v>2453</v>
      </c>
      <c r="F833" s="10" t="s">
        <v>9</v>
      </c>
      <c r="G833" s="30" t="s">
        <v>2615</v>
      </c>
      <c r="H833" s="30" t="s">
        <v>269</v>
      </c>
      <c r="I833" s="30" t="s">
        <v>2537</v>
      </c>
      <c r="K833" s="2"/>
      <c r="M833" s="2"/>
    </row>
    <row r="834" spans="1:13">
      <c r="A834" t="s">
        <v>28</v>
      </c>
      <c r="B834">
        <f ca="1">IF(OR(changes[[#This Row],[Type]]="Checklist",changes[[#This Row],[Type]]="checklist-flat"),1+IF(changes[[#This Row],[Type of change]] = "Edit",COUNTIFS($I$4:changes[[#This Row],[Name]],changes[[#This Row],[Name]], $E$4:changes[[#This Row],[Type of change]], "Edit")),B833)</f>
        <v>1</v>
      </c>
      <c r="C834" s="16">
        <v>44635</v>
      </c>
      <c r="D834" s="1" t="s">
        <v>2484</v>
      </c>
      <c r="E834" t="s">
        <v>2453</v>
      </c>
      <c r="F834" s="10" t="s">
        <v>9</v>
      </c>
      <c r="G834" s="30" t="s">
        <v>2615</v>
      </c>
      <c r="H834" s="30" t="s">
        <v>269</v>
      </c>
      <c r="I834" s="30" t="s">
        <v>1204</v>
      </c>
      <c r="K834" s="2"/>
      <c r="M834" s="2"/>
    </row>
    <row r="835" spans="1:13">
      <c r="A835" t="s">
        <v>28</v>
      </c>
      <c r="B835">
        <f ca="1">IF(OR(changes[[#This Row],[Type]]="Checklist",changes[[#This Row],[Type]]="checklist-flat"),1+IF(changes[[#This Row],[Type of change]] = "Edit",COUNTIFS($I$4:changes[[#This Row],[Name]],changes[[#This Row],[Name]], $E$4:changes[[#This Row],[Type of change]], "Edit")),B834)</f>
        <v>1</v>
      </c>
      <c r="C835" s="16">
        <v>44635</v>
      </c>
      <c r="D835" s="1" t="s">
        <v>2484</v>
      </c>
      <c r="E835" t="s">
        <v>2453</v>
      </c>
      <c r="F835" s="10" t="s">
        <v>9</v>
      </c>
      <c r="G835" s="30" t="s">
        <v>2615</v>
      </c>
      <c r="H835" s="30" t="s">
        <v>269</v>
      </c>
      <c r="I835" s="30" t="s">
        <v>1205</v>
      </c>
      <c r="K835" s="2"/>
      <c r="M835" s="2"/>
    </row>
    <row r="836" spans="1:13">
      <c r="A836" t="s">
        <v>28</v>
      </c>
      <c r="B836">
        <f ca="1">IF(OR(changes[[#This Row],[Type]]="Checklist",changes[[#This Row],[Type]]="checklist-flat"),1+IF(changes[[#This Row],[Type of change]] = "Edit",COUNTIFS($I$4:changes[[#This Row],[Name]],changes[[#This Row],[Name]], $E$4:changes[[#This Row],[Type of change]], "Edit")),B835)</f>
        <v>1</v>
      </c>
      <c r="C836" s="16">
        <v>44635</v>
      </c>
      <c r="D836" s="1" t="s">
        <v>2484</v>
      </c>
      <c r="E836" t="s">
        <v>2453</v>
      </c>
      <c r="F836" s="10" t="s">
        <v>9</v>
      </c>
      <c r="G836" s="30" t="s">
        <v>2615</v>
      </c>
      <c r="H836" s="30" t="s">
        <v>64</v>
      </c>
      <c r="I836" s="30" t="s">
        <v>1142</v>
      </c>
      <c r="K836" s="2"/>
      <c r="M836" s="2"/>
    </row>
    <row r="837" spans="1:13">
      <c r="A837" t="s">
        <v>11</v>
      </c>
      <c r="B837">
        <f ca="1">IF(OR(changes[[#This Row],[Type]]="Checklist",changes[[#This Row],[Type]]="checklist-flat"),1+IF(changes[[#This Row],[Type of change]] = "Edit",COUNTIFS($I$4:changes[[#This Row],[Name]],changes[[#This Row],[Name]], $E$4:changes[[#This Row],[Type of change]], "Edit")),B836)</f>
        <v>1</v>
      </c>
      <c r="C837" s="16">
        <v>44636</v>
      </c>
      <c r="D837" s="1" t="s">
        <v>2481</v>
      </c>
      <c r="E837" t="s">
        <v>2453</v>
      </c>
      <c r="F837" s="10" t="s">
        <v>9</v>
      </c>
      <c r="G837" s="10" t="s">
        <v>2616</v>
      </c>
      <c r="H837" t="s">
        <v>47</v>
      </c>
      <c r="I837" t="s">
        <v>2616</v>
      </c>
      <c r="K837" s="2"/>
      <c r="M837" s="2" t="s">
        <v>2617</v>
      </c>
    </row>
    <row r="838" spans="1:13">
      <c r="A838" t="s">
        <v>11</v>
      </c>
      <c r="B838">
        <f ca="1">IF(OR(changes[[#This Row],[Type]]="Checklist",changes[[#This Row],[Type]]="checklist-flat"),1+IF(changes[[#This Row],[Type of change]] = "Edit",COUNTIFS($I$4:changes[[#This Row],[Name]],changes[[#This Row],[Name]], $E$4:changes[[#This Row],[Type of change]], "Edit")),B837)</f>
        <v>1</v>
      </c>
      <c r="C838" s="16">
        <v>44636</v>
      </c>
      <c r="D838" s="1" t="s">
        <v>2481</v>
      </c>
      <c r="E838" t="s">
        <v>2453</v>
      </c>
      <c r="F838" s="10" t="s">
        <v>9</v>
      </c>
      <c r="G838" s="10" t="s">
        <v>2616</v>
      </c>
      <c r="H838" t="s">
        <v>55</v>
      </c>
      <c r="I838" t="s">
        <v>2618</v>
      </c>
      <c r="K838" s="2"/>
      <c r="M838" t="s">
        <v>2619</v>
      </c>
    </row>
    <row r="839" spans="1:13">
      <c r="A839" t="s">
        <v>11</v>
      </c>
      <c r="B839">
        <f ca="1">IF(OR(changes[[#This Row],[Type]]="Checklist",changes[[#This Row],[Type]]="checklist-flat"),1+IF(changes[[#This Row],[Type of change]] = "Edit",COUNTIFS($I$4:changes[[#This Row],[Name]],changes[[#This Row],[Name]], $E$4:changes[[#This Row],[Type of change]], "Edit")),B838)</f>
        <v>1</v>
      </c>
      <c r="C839" s="16">
        <v>44636</v>
      </c>
      <c r="D839" s="1" t="s">
        <v>2481</v>
      </c>
      <c r="E839" t="s">
        <v>2453</v>
      </c>
      <c r="F839" s="10" t="s">
        <v>9</v>
      </c>
      <c r="G839" s="10" t="s">
        <v>2616</v>
      </c>
      <c r="H839" t="s">
        <v>55</v>
      </c>
      <c r="I839" t="s">
        <v>2620</v>
      </c>
      <c r="K839" s="2"/>
      <c r="M839" t="s">
        <v>2621</v>
      </c>
    </row>
    <row r="840" spans="1:13">
      <c r="A840" t="s">
        <v>11</v>
      </c>
      <c r="B840">
        <f ca="1">IF(OR(changes[[#This Row],[Type]]="Checklist",changes[[#This Row],[Type]]="checklist-flat"),1+IF(changes[[#This Row],[Type of change]] = "Edit",COUNTIFS($I$4:changes[[#This Row],[Name]],changes[[#This Row],[Name]], $E$4:changes[[#This Row],[Type of change]], "Edit")),B839)</f>
        <v>1</v>
      </c>
      <c r="C840" s="16">
        <v>44636</v>
      </c>
      <c r="D840" s="1" t="s">
        <v>2481</v>
      </c>
      <c r="E840" t="s">
        <v>2453</v>
      </c>
      <c r="F840" s="10" t="s">
        <v>9</v>
      </c>
      <c r="G840" s="10" t="s">
        <v>2616</v>
      </c>
      <c r="H840" t="s">
        <v>55</v>
      </c>
      <c r="I840" t="s">
        <v>2622</v>
      </c>
      <c r="K840" s="2"/>
      <c r="M840" t="s">
        <v>2621</v>
      </c>
    </row>
    <row r="841" spans="1:13">
      <c r="A841" t="s">
        <v>11</v>
      </c>
      <c r="B841">
        <f ca="1">IF(OR(changes[[#This Row],[Type]]="Checklist",changes[[#This Row],[Type]]="checklist-flat"),1+IF(changes[[#This Row],[Type of change]] = "Edit",COUNTIFS($I$4:changes[[#This Row],[Name]],changes[[#This Row],[Name]], $E$4:changes[[#This Row],[Type of change]], "Edit")),B840)</f>
        <v>1</v>
      </c>
      <c r="C841" s="16">
        <v>44636</v>
      </c>
      <c r="D841" s="1" t="s">
        <v>2484</v>
      </c>
      <c r="E841" t="s">
        <v>2453</v>
      </c>
      <c r="F841" s="10" t="s">
        <v>9</v>
      </c>
      <c r="G841" t="s">
        <v>2623</v>
      </c>
      <c r="H841" t="s">
        <v>478</v>
      </c>
      <c r="I841" t="s">
        <v>2623</v>
      </c>
      <c r="K841" s="2"/>
      <c r="M841" s="2" t="s">
        <v>2624</v>
      </c>
    </row>
    <row r="842" spans="1:13">
      <c r="A842" t="s">
        <v>11</v>
      </c>
      <c r="B842">
        <f ca="1">IF(OR(changes[[#This Row],[Type]]="Checklist",changes[[#This Row],[Type]]="checklist-flat"),1+IF(changes[[#This Row],[Type of change]] = "Edit",COUNTIFS($I$4:changes[[#This Row],[Name]],changes[[#This Row],[Name]], $E$4:changes[[#This Row],[Type of change]], "Edit")),B841)</f>
        <v>1</v>
      </c>
      <c r="C842" s="16">
        <v>44636</v>
      </c>
      <c r="D842" s="1" t="s">
        <v>2484</v>
      </c>
      <c r="E842" t="s">
        <v>2453</v>
      </c>
      <c r="F842" s="10" t="s">
        <v>9</v>
      </c>
      <c r="G842" t="s">
        <v>2623</v>
      </c>
      <c r="H842" t="s">
        <v>479</v>
      </c>
      <c r="I842" t="s">
        <v>2625</v>
      </c>
      <c r="K842" s="2"/>
      <c r="M842" s="2"/>
    </row>
    <row r="843" spans="1:13">
      <c r="A843" t="s">
        <v>11</v>
      </c>
      <c r="B843">
        <f ca="1">IF(OR(changes[[#This Row],[Type]]="Checklist",changes[[#This Row],[Type]]="checklist-flat"),1+IF(changes[[#This Row],[Type of change]] = "Edit",COUNTIFS($I$4:changes[[#This Row],[Name]],changes[[#This Row],[Name]], $E$4:changes[[#This Row],[Type of change]], "Edit")),B842)</f>
        <v>1</v>
      </c>
      <c r="C843" s="16">
        <v>44636</v>
      </c>
      <c r="D843" s="1" t="s">
        <v>2484</v>
      </c>
      <c r="E843" t="s">
        <v>2453</v>
      </c>
      <c r="F843" s="10" t="s">
        <v>9</v>
      </c>
      <c r="G843" t="s">
        <v>2623</v>
      </c>
      <c r="H843" t="s">
        <v>2626</v>
      </c>
      <c r="I843" t="s">
        <v>2627</v>
      </c>
      <c r="K843" s="2"/>
      <c r="M843" s="2"/>
    </row>
    <row r="844" spans="1:13">
      <c r="A844" t="s">
        <v>11</v>
      </c>
      <c r="B844">
        <f ca="1">IF(OR(changes[[#This Row],[Type]]="Checklist",changes[[#This Row],[Type]]="checklist-flat"),1+IF(changes[[#This Row],[Type of change]] = "Edit",COUNTIFS($I$4:changes[[#This Row],[Name]],changes[[#This Row],[Name]], $E$4:changes[[#This Row],[Type of change]], "Edit")),B843)</f>
        <v>1</v>
      </c>
      <c r="C844" s="16">
        <v>44636</v>
      </c>
      <c r="D844" s="1" t="s">
        <v>2484</v>
      </c>
      <c r="E844" t="s">
        <v>2453</v>
      </c>
      <c r="F844" s="10" t="s">
        <v>9</v>
      </c>
      <c r="G844" t="s">
        <v>2623</v>
      </c>
      <c r="H844" t="s">
        <v>2626</v>
      </c>
      <c r="I844" t="s">
        <v>2628</v>
      </c>
      <c r="K844" s="2"/>
      <c r="M844" s="2"/>
    </row>
    <row r="845" spans="1:13">
      <c r="A845" t="s">
        <v>11</v>
      </c>
      <c r="B845">
        <f ca="1">IF(OR(changes[[#This Row],[Type]]="Checklist",changes[[#This Row],[Type]]="checklist-flat"),1+IF(changes[[#This Row],[Type of change]] = "Edit",COUNTIFS($I$4:changes[[#This Row],[Name]],changes[[#This Row],[Name]], $E$4:changes[[#This Row],[Type of change]], "Edit")),B844)</f>
        <v>1</v>
      </c>
      <c r="C845" s="16">
        <v>44636</v>
      </c>
      <c r="D845" s="1" t="s">
        <v>2484</v>
      </c>
      <c r="E845" t="s">
        <v>2453</v>
      </c>
      <c r="F845" s="10" t="s">
        <v>9</v>
      </c>
      <c r="G845" t="s">
        <v>2623</v>
      </c>
      <c r="H845" t="s">
        <v>2626</v>
      </c>
      <c r="I845" t="s">
        <v>2629</v>
      </c>
      <c r="K845" s="2"/>
      <c r="M845" s="2"/>
    </row>
    <row r="846" spans="1:13">
      <c r="A846" t="s">
        <v>11</v>
      </c>
      <c r="B846">
        <f ca="1">IF(OR(changes[[#This Row],[Type]]="Checklist",changes[[#This Row],[Type]]="checklist-flat"),1+IF(changes[[#This Row],[Type of change]] = "Edit",COUNTIFS($I$4:changes[[#This Row],[Name]],changes[[#This Row],[Name]], $E$4:changes[[#This Row],[Type of change]], "Edit")),B845)</f>
        <v>1</v>
      </c>
      <c r="C846" s="16">
        <v>44636</v>
      </c>
      <c r="D846" s="1" t="s">
        <v>2484</v>
      </c>
      <c r="E846" t="s">
        <v>2453</v>
      </c>
      <c r="F846" s="10" t="s">
        <v>9</v>
      </c>
      <c r="G846" t="s">
        <v>2623</v>
      </c>
      <c r="H846" s="38" t="s">
        <v>2626</v>
      </c>
      <c r="I846" t="s">
        <v>2630</v>
      </c>
      <c r="K846" s="2"/>
      <c r="M846" s="2"/>
    </row>
    <row r="847" spans="1:13">
      <c r="A847" t="s">
        <v>11</v>
      </c>
      <c r="B847">
        <f ca="1">IF(OR(changes[[#This Row],[Type]]="Checklist",changes[[#This Row],[Type]]="checklist-flat"),1+IF(changes[[#This Row],[Type of change]] = "Edit",COUNTIFS($I$4:changes[[#This Row],[Name]],changes[[#This Row],[Name]], $E$4:changes[[#This Row],[Type of change]], "Edit")),B846)</f>
        <v>1</v>
      </c>
      <c r="C847" s="16">
        <v>44636</v>
      </c>
      <c r="D847" s="1" t="s">
        <v>2484</v>
      </c>
      <c r="E847" t="s">
        <v>2453</v>
      </c>
      <c r="F847" s="10" t="s">
        <v>9</v>
      </c>
      <c r="G847" t="s">
        <v>2623</v>
      </c>
      <c r="H847" s="38" t="s">
        <v>64</v>
      </c>
      <c r="I847" t="s">
        <v>422</v>
      </c>
      <c r="K847" s="2"/>
      <c r="M847" s="2"/>
    </row>
    <row r="848" spans="1:13">
      <c r="A848" t="s">
        <v>11</v>
      </c>
      <c r="B848">
        <f ca="1">IF(OR(changes[[#This Row],[Type]]="Checklist",changes[[#This Row],[Type]]="checklist-flat"),1+IF(changes[[#This Row],[Type of change]] = "Edit",COUNTIFS($I$4:changes[[#This Row],[Name]],changes[[#This Row],[Name]], $E$4:changes[[#This Row],[Type of change]], "Edit")),B847)</f>
        <v>1</v>
      </c>
      <c r="C848" s="16">
        <v>44636</v>
      </c>
      <c r="D848" s="1" t="s">
        <v>2484</v>
      </c>
      <c r="E848" t="s">
        <v>2453</v>
      </c>
      <c r="F848" s="10" t="s">
        <v>9</v>
      </c>
      <c r="G848" t="s">
        <v>2623</v>
      </c>
      <c r="H848" t="s">
        <v>479</v>
      </c>
      <c r="I848" t="s">
        <v>2631</v>
      </c>
      <c r="K848" s="2"/>
      <c r="M848" s="2"/>
    </row>
    <row r="849" spans="1:13">
      <c r="A849" t="s">
        <v>11</v>
      </c>
      <c r="B849">
        <f ca="1">IF(OR(changes[[#This Row],[Type]]="Checklist",changes[[#This Row],[Type]]="checklist-flat"),1+IF(changes[[#This Row],[Type of change]] = "Edit",COUNTIFS($I$4:changes[[#This Row],[Name]],changes[[#This Row],[Name]], $E$4:changes[[#This Row],[Type of change]], "Edit")),B848)</f>
        <v>1</v>
      </c>
      <c r="C849" s="16">
        <v>44636</v>
      </c>
      <c r="D849" s="1" t="s">
        <v>2484</v>
      </c>
      <c r="E849" t="s">
        <v>2453</v>
      </c>
      <c r="F849" s="10" t="s">
        <v>9</v>
      </c>
      <c r="G849" t="s">
        <v>2623</v>
      </c>
      <c r="H849" t="s">
        <v>2626</v>
      </c>
      <c r="I849" t="s">
        <v>2632</v>
      </c>
      <c r="K849" s="2"/>
      <c r="M849" s="2"/>
    </row>
    <row r="850" spans="1:13">
      <c r="A850" t="s">
        <v>11</v>
      </c>
      <c r="B850">
        <f ca="1">IF(OR(changes[[#This Row],[Type]]="Checklist",changes[[#This Row],[Type]]="checklist-flat"),1+IF(changes[[#This Row],[Type of change]] = "Edit",COUNTIFS($I$4:changes[[#This Row],[Name]],changes[[#This Row],[Name]], $E$4:changes[[#This Row],[Type of change]], "Edit")),B849)</f>
        <v>1</v>
      </c>
      <c r="C850" s="16">
        <v>44636</v>
      </c>
      <c r="D850" s="1" t="s">
        <v>2484</v>
      </c>
      <c r="E850" t="s">
        <v>2453</v>
      </c>
      <c r="F850" s="10" t="s">
        <v>9</v>
      </c>
      <c r="G850" t="s">
        <v>2623</v>
      </c>
      <c r="H850" t="s">
        <v>2626</v>
      </c>
      <c r="I850" t="s">
        <v>2633</v>
      </c>
      <c r="K850" s="2"/>
      <c r="M850" s="2"/>
    </row>
    <row r="851" spans="1:13">
      <c r="A851" t="s">
        <v>11</v>
      </c>
      <c r="B851">
        <f ca="1">IF(OR(changes[[#This Row],[Type]]="Checklist",changes[[#This Row],[Type]]="checklist-flat"),1+IF(changes[[#This Row],[Type of change]] = "Edit",COUNTIFS($I$4:changes[[#This Row],[Name]],changes[[#This Row],[Name]], $E$4:changes[[#This Row],[Type of change]], "Edit")),B850)</f>
        <v>1</v>
      </c>
      <c r="C851" s="16">
        <v>44636</v>
      </c>
      <c r="D851" s="1" t="s">
        <v>2484</v>
      </c>
      <c r="E851" t="s">
        <v>2453</v>
      </c>
      <c r="F851" s="10" t="s">
        <v>9</v>
      </c>
      <c r="G851" t="s">
        <v>2623</v>
      </c>
      <c r="H851" t="s">
        <v>2626</v>
      </c>
      <c r="I851" t="s">
        <v>2634</v>
      </c>
      <c r="K851" s="2"/>
      <c r="M851" s="2"/>
    </row>
    <row r="852" spans="1:13">
      <c r="A852" t="s">
        <v>11</v>
      </c>
      <c r="B852">
        <f ca="1">IF(OR(changes[[#This Row],[Type]]="Checklist",changes[[#This Row],[Type]]="checklist-flat"),1+IF(changes[[#This Row],[Type of change]] = "Edit",COUNTIFS($I$4:changes[[#This Row],[Name]],changes[[#This Row],[Name]], $E$4:changes[[#This Row],[Type of change]], "Edit")),B851)</f>
        <v>1</v>
      </c>
      <c r="C852" s="16">
        <v>44636</v>
      </c>
      <c r="D852" s="1" t="s">
        <v>2484</v>
      </c>
      <c r="E852" t="s">
        <v>2453</v>
      </c>
      <c r="F852" s="10" t="s">
        <v>9</v>
      </c>
      <c r="G852" t="s">
        <v>2623</v>
      </c>
      <c r="H852" t="s">
        <v>2626</v>
      </c>
      <c r="I852" t="s">
        <v>2635</v>
      </c>
      <c r="K852" s="2"/>
      <c r="M852" s="2"/>
    </row>
    <row r="853" spans="1:13">
      <c r="A853" t="s">
        <v>11</v>
      </c>
      <c r="B853">
        <f ca="1">IF(OR(changes[[#This Row],[Type]]="Checklist",changes[[#This Row],[Type]]="checklist-flat"),1+IF(changes[[#This Row],[Type of change]] = "Edit",COUNTIFS($I$4:changes[[#This Row],[Name]],changes[[#This Row],[Name]], $E$4:changes[[#This Row],[Type of change]], "Edit")),B852)</f>
        <v>1</v>
      </c>
      <c r="C853" s="16">
        <v>44636</v>
      </c>
      <c r="D853" s="1" t="s">
        <v>2484</v>
      </c>
      <c r="E853" t="s">
        <v>2453</v>
      </c>
      <c r="F853" s="10" t="s">
        <v>9</v>
      </c>
      <c r="G853" t="s">
        <v>2623</v>
      </c>
      <c r="H853" t="s">
        <v>64</v>
      </c>
      <c r="I853" t="s">
        <v>422</v>
      </c>
      <c r="K853" s="2"/>
      <c r="M853" s="2"/>
    </row>
    <row r="854" spans="1:13">
      <c r="A854" t="s">
        <v>28</v>
      </c>
      <c r="B854">
        <f ca="1">IF(OR(changes[[#This Row],[Type]]="Checklist",changes[[#This Row],[Type]]="checklist-flat"),1+IF(changes[[#This Row],[Type of change]] = "Edit",COUNTIFS($I$4:changes[[#This Row],[Name]],changes[[#This Row],[Name]], $E$4:changes[[#This Row],[Type of change]], "Edit")),B853)</f>
        <v>1</v>
      </c>
      <c r="C854" s="16">
        <v>44636</v>
      </c>
      <c r="D854" s="1" t="s">
        <v>2636</v>
      </c>
      <c r="E854" t="s">
        <v>2453</v>
      </c>
      <c r="F854" s="10" t="s">
        <v>52</v>
      </c>
      <c r="G854" s="10" t="s">
        <v>901</v>
      </c>
      <c r="H854" t="s">
        <v>478</v>
      </c>
      <c r="I854" t="s">
        <v>901</v>
      </c>
      <c r="K854" s="2"/>
      <c r="M854" s="2"/>
    </row>
    <row r="855" spans="1:13">
      <c r="A855" t="s">
        <v>28</v>
      </c>
      <c r="B855">
        <f ca="1">IF(OR(changes[[#This Row],[Type]]="Checklist",changes[[#This Row],[Type]]="checklist-flat"),1+IF(changes[[#This Row],[Type of change]] = "Edit",COUNTIFS($I$4:changes[[#This Row],[Name]],changes[[#This Row],[Name]], $E$4:changes[[#This Row],[Type of change]], "Edit")),B854)</f>
        <v>1</v>
      </c>
      <c r="C855" s="16">
        <v>44636</v>
      </c>
      <c r="D855" s="1" t="s">
        <v>2636</v>
      </c>
      <c r="E855" t="s">
        <v>2453</v>
      </c>
      <c r="F855" s="10" t="s">
        <v>52</v>
      </c>
      <c r="G855" s="10" t="s">
        <v>901</v>
      </c>
      <c r="H855" t="s">
        <v>55</v>
      </c>
      <c r="I855" t="s">
        <v>2637</v>
      </c>
      <c r="K855" s="2"/>
      <c r="M855" s="2"/>
    </row>
    <row r="856" spans="1:13">
      <c r="A856" t="s">
        <v>28</v>
      </c>
      <c r="B856">
        <f ca="1">IF(OR(changes[[#This Row],[Type]]="Checklist",changes[[#This Row],[Type]]="checklist-flat"),1+IF(changes[[#This Row],[Type of change]] = "Edit",COUNTIFS($I$4:changes[[#This Row],[Name]],changes[[#This Row],[Name]], $E$4:changes[[#This Row],[Type of change]], "Edit")),B855)</f>
        <v>1</v>
      </c>
      <c r="C856" s="16">
        <v>44636</v>
      </c>
      <c r="D856" s="1" t="s">
        <v>2636</v>
      </c>
      <c r="E856" t="s">
        <v>2453</v>
      </c>
      <c r="F856" s="10" t="s">
        <v>52</v>
      </c>
      <c r="G856" s="10" t="s">
        <v>901</v>
      </c>
      <c r="H856" t="s">
        <v>55</v>
      </c>
      <c r="I856" t="s">
        <v>336</v>
      </c>
      <c r="K856" s="2"/>
      <c r="M856" s="2"/>
    </row>
    <row r="857" spans="1:13">
      <c r="A857" t="s">
        <v>28</v>
      </c>
      <c r="B857">
        <f ca="1">IF(OR(changes[[#This Row],[Type]]="Checklist",changes[[#This Row],[Type]]="checklist-flat"),1+IF(changes[[#This Row],[Type of change]] = "Edit",COUNTIFS($I$4:changes[[#This Row],[Name]],changes[[#This Row],[Name]], $E$4:changes[[#This Row],[Type of change]], "Edit")),B856)</f>
        <v>1</v>
      </c>
      <c r="C857" s="16">
        <v>44636</v>
      </c>
      <c r="D857" s="1" t="s">
        <v>2636</v>
      </c>
      <c r="E857" t="s">
        <v>2453</v>
      </c>
      <c r="F857" s="10" t="s">
        <v>52</v>
      </c>
      <c r="G857" s="10" t="s">
        <v>901</v>
      </c>
      <c r="H857" t="s">
        <v>55</v>
      </c>
      <c r="I857" t="s">
        <v>256</v>
      </c>
      <c r="K857" s="2"/>
      <c r="M857" s="2"/>
    </row>
    <row r="858" spans="1:13">
      <c r="A858" t="s">
        <v>28</v>
      </c>
      <c r="B858">
        <f ca="1">IF(OR(changes[[#This Row],[Type]]="Checklist",changes[[#This Row],[Type]]="checklist-flat"),1+IF(changes[[#This Row],[Type of change]] = "Edit",COUNTIFS($I$4:changes[[#This Row],[Name]],changes[[#This Row],[Name]], $E$4:changes[[#This Row],[Type of change]], "Edit")),B857)</f>
        <v>1</v>
      </c>
      <c r="C858" s="16">
        <v>44636</v>
      </c>
      <c r="D858" s="1" t="s">
        <v>2636</v>
      </c>
      <c r="E858" t="s">
        <v>2453</v>
      </c>
      <c r="F858" s="10" t="s">
        <v>52</v>
      </c>
      <c r="G858" s="10" t="s">
        <v>901</v>
      </c>
      <c r="H858" t="s">
        <v>55</v>
      </c>
      <c r="I858" t="s">
        <v>2638</v>
      </c>
      <c r="K858" s="2"/>
      <c r="M858" s="2"/>
    </row>
    <row r="859" spans="1:13">
      <c r="A859" t="s">
        <v>28</v>
      </c>
      <c r="B859">
        <f ca="1">IF(OR(changes[[#This Row],[Type]]="Checklist",changes[[#This Row],[Type]]="checklist-flat"),1+IF(changes[[#This Row],[Type of change]] = "Edit",COUNTIFS($I$4:changes[[#This Row],[Name]],changes[[#This Row],[Name]], $E$4:changes[[#This Row],[Type of change]], "Edit")),B858)</f>
        <v>1</v>
      </c>
      <c r="C859" s="16">
        <v>44636</v>
      </c>
      <c r="D859" s="1" t="s">
        <v>2636</v>
      </c>
      <c r="E859" t="s">
        <v>2453</v>
      </c>
      <c r="F859" s="10" t="s">
        <v>52</v>
      </c>
      <c r="G859" s="10" t="s">
        <v>901</v>
      </c>
      <c r="H859" t="s">
        <v>55</v>
      </c>
      <c r="I859" t="s">
        <v>2639</v>
      </c>
      <c r="K859" s="2"/>
      <c r="M859" s="2"/>
    </row>
    <row r="860" spans="1:13">
      <c r="A860" t="s">
        <v>28</v>
      </c>
      <c r="B860">
        <f ca="1">IF(OR(changes[[#This Row],[Type]]="Checklist",changes[[#This Row],[Type]]="checklist-flat"),1+IF(changes[[#This Row],[Type of change]] = "Edit",COUNTIFS($I$4:changes[[#This Row],[Name]],changes[[#This Row],[Name]], $E$4:changes[[#This Row],[Type of change]], "Edit")),B859)</f>
        <v>1</v>
      </c>
      <c r="C860" s="16">
        <v>44636</v>
      </c>
      <c r="D860" s="1" t="s">
        <v>2636</v>
      </c>
      <c r="E860" t="s">
        <v>2453</v>
      </c>
      <c r="F860" s="10" t="s">
        <v>52</v>
      </c>
      <c r="G860" s="10" t="s">
        <v>901</v>
      </c>
      <c r="H860" t="s">
        <v>55</v>
      </c>
      <c r="I860" t="s">
        <v>2640</v>
      </c>
      <c r="K860" s="2"/>
      <c r="M860" s="2"/>
    </row>
    <row r="861" spans="1:13">
      <c r="A861" t="s">
        <v>28</v>
      </c>
      <c r="B861">
        <f ca="1">IF(OR(changes[[#This Row],[Type]]="Checklist",changes[[#This Row],[Type]]="checklist-flat"),1+IF(changes[[#This Row],[Type of change]] = "Edit",COUNTIFS($I$4:changes[[#This Row],[Name]],changes[[#This Row],[Name]], $E$4:changes[[#This Row],[Type of change]], "Edit")),B860)</f>
        <v>1</v>
      </c>
      <c r="C861" s="16">
        <v>44636</v>
      </c>
      <c r="D861" s="1" t="s">
        <v>2636</v>
      </c>
      <c r="E861" t="s">
        <v>2453</v>
      </c>
      <c r="F861" s="10" t="s">
        <v>52</v>
      </c>
      <c r="G861" s="10" t="s">
        <v>901</v>
      </c>
      <c r="H861" t="s">
        <v>55</v>
      </c>
      <c r="I861" t="s">
        <v>2641</v>
      </c>
      <c r="K861" s="2"/>
      <c r="M861" s="2"/>
    </row>
    <row r="862" spans="1:13">
      <c r="A862" t="s">
        <v>28</v>
      </c>
      <c r="B862">
        <f ca="1">IF(OR(changes[[#This Row],[Type]]="Checklist",changes[[#This Row],[Type]]="checklist-flat"),1+IF(changes[[#This Row],[Type of change]] = "Edit",COUNTIFS($I$4:changes[[#This Row],[Name]],changes[[#This Row],[Name]], $E$4:changes[[#This Row],[Type of change]], "Edit")),B861)</f>
        <v>1</v>
      </c>
      <c r="C862" s="16">
        <v>44636</v>
      </c>
      <c r="D862" s="1" t="s">
        <v>2636</v>
      </c>
      <c r="E862" t="s">
        <v>2453</v>
      </c>
      <c r="F862" s="10" t="s">
        <v>52</v>
      </c>
      <c r="G862" s="10" t="s">
        <v>901</v>
      </c>
      <c r="H862" t="s">
        <v>55</v>
      </c>
      <c r="I862" t="s">
        <v>916</v>
      </c>
      <c r="K862" s="2"/>
      <c r="M862" s="2"/>
    </row>
    <row r="863" spans="1:13">
      <c r="A863" t="s">
        <v>28</v>
      </c>
      <c r="B863">
        <f ca="1">IF(OR(changes[[#This Row],[Type]]="Checklist",changes[[#This Row],[Type]]="checklist-flat"),1+IF(changes[[#This Row],[Type of change]] = "Edit",COUNTIFS($I$4:changes[[#This Row],[Name]],changes[[#This Row],[Name]], $E$4:changes[[#This Row],[Type of change]], "Edit")),B862)</f>
        <v>1</v>
      </c>
      <c r="C863" s="16">
        <v>44636</v>
      </c>
      <c r="D863" s="1" t="s">
        <v>2450</v>
      </c>
      <c r="E863" t="s">
        <v>19</v>
      </c>
      <c r="F863" s="10" t="s">
        <v>52</v>
      </c>
      <c r="G863" s="10" t="s">
        <v>2642</v>
      </c>
      <c r="H863" t="s">
        <v>478</v>
      </c>
      <c r="I863" t="s">
        <v>2642</v>
      </c>
      <c r="K863" s="2"/>
      <c r="M863" t="s">
        <v>2643</v>
      </c>
    </row>
    <row r="864" spans="1:13">
      <c r="A864" t="s">
        <v>28</v>
      </c>
      <c r="B864">
        <f ca="1">IF(OR(changes[[#This Row],[Type]]="Checklist",changes[[#This Row],[Type]]="checklist-flat"),1+IF(changes[[#This Row],[Type of change]] = "Edit",COUNTIFS($I$4:changes[[#This Row],[Name]],changes[[#This Row],[Name]], $E$4:changes[[#This Row],[Type of change]], "Edit")),B863)</f>
        <v>1</v>
      </c>
      <c r="C864" s="16">
        <v>44636</v>
      </c>
      <c r="D864" s="1" t="s">
        <v>2450</v>
      </c>
      <c r="E864" t="s">
        <v>19</v>
      </c>
      <c r="F864" s="10" t="s">
        <v>52</v>
      </c>
      <c r="G864" s="10" t="s">
        <v>2642</v>
      </c>
      <c r="H864" t="s">
        <v>55</v>
      </c>
      <c r="I864" t="s">
        <v>2644</v>
      </c>
      <c r="K864" s="2"/>
      <c r="M864" t="s">
        <v>2643</v>
      </c>
    </row>
    <row r="865" spans="1:13">
      <c r="A865" t="s">
        <v>28</v>
      </c>
      <c r="B865">
        <f ca="1">IF(OR(changes[[#This Row],[Type]]="Checklist",changes[[#This Row],[Type]]="checklist-flat"),1+IF(changes[[#This Row],[Type of change]] = "Edit",COUNTIFS($I$4:changes[[#This Row],[Name]],changes[[#This Row],[Name]], $E$4:changes[[#This Row],[Type of change]], "Edit")),B864)</f>
        <v>1</v>
      </c>
      <c r="C865" s="16">
        <v>44636</v>
      </c>
      <c r="D865" s="1" t="s">
        <v>2450</v>
      </c>
      <c r="E865" t="s">
        <v>19</v>
      </c>
      <c r="F865" s="10" t="s">
        <v>52</v>
      </c>
      <c r="G865" s="10" t="s">
        <v>2642</v>
      </c>
      <c r="H865" t="s">
        <v>437</v>
      </c>
      <c r="I865" t="s">
        <v>2645</v>
      </c>
      <c r="K865" s="2"/>
      <c r="M865" t="s">
        <v>2643</v>
      </c>
    </row>
    <row r="866" spans="1:13">
      <c r="A866" t="s">
        <v>28</v>
      </c>
      <c r="B866">
        <f ca="1">IF(OR(changes[[#This Row],[Type]]="Checklist",changes[[#This Row],[Type]]="checklist-flat"),1+IF(changes[[#This Row],[Type of change]] = "Edit",COUNTIFS($I$4:changes[[#This Row],[Name]],changes[[#This Row],[Name]], $E$4:changes[[#This Row],[Type of change]], "Edit")),B865)</f>
        <v>1</v>
      </c>
      <c r="C866" s="16">
        <v>44636</v>
      </c>
      <c r="D866" s="1" t="s">
        <v>2450</v>
      </c>
      <c r="E866" t="s">
        <v>19</v>
      </c>
      <c r="F866" s="10" t="s">
        <v>52</v>
      </c>
      <c r="G866" s="10" t="s">
        <v>2642</v>
      </c>
      <c r="H866" t="s">
        <v>437</v>
      </c>
      <c r="I866" t="s">
        <v>2646</v>
      </c>
      <c r="K866" s="2"/>
      <c r="M866" t="s">
        <v>2643</v>
      </c>
    </row>
    <row r="867" spans="1:13">
      <c r="A867" t="s">
        <v>28</v>
      </c>
      <c r="B867">
        <f ca="1">IF(OR(changes[[#This Row],[Type]]="Checklist",changes[[#This Row],[Type]]="checklist-flat"),1+IF(changes[[#This Row],[Type of change]] = "Edit",COUNTIFS($I$4:changes[[#This Row],[Name]],changes[[#This Row],[Name]], $E$4:changes[[#This Row],[Type of change]], "Edit")),B866)</f>
        <v>1</v>
      </c>
      <c r="C867" s="16">
        <v>44636</v>
      </c>
      <c r="D867" s="1" t="s">
        <v>2450</v>
      </c>
      <c r="E867" t="s">
        <v>19</v>
      </c>
      <c r="F867" s="10" t="s">
        <v>52</v>
      </c>
      <c r="G867" s="10" t="s">
        <v>2642</v>
      </c>
      <c r="H867" t="s">
        <v>437</v>
      </c>
      <c r="I867" t="s">
        <v>2647</v>
      </c>
      <c r="K867" s="2"/>
      <c r="M867" t="s">
        <v>2643</v>
      </c>
    </row>
    <row r="868" spans="1:13">
      <c r="A868" t="s">
        <v>28</v>
      </c>
      <c r="B868">
        <f ca="1">IF(OR(changes[[#This Row],[Type]]="Checklist",changes[[#This Row],[Type]]="checklist-flat"),1+IF(changes[[#This Row],[Type of change]] = "Edit",COUNTIFS($I$4:changes[[#This Row],[Name]],changes[[#This Row],[Name]], $E$4:changes[[#This Row],[Type of change]], "Edit")),B867)</f>
        <v>1</v>
      </c>
      <c r="C868" s="16">
        <v>44636</v>
      </c>
      <c r="D868" s="1" t="s">
        <v>2450</v>
      </c>
      <c r="E868" t="s">
        <v>19</v>
      </c>
      <c r="F868" s="10" t="s">
        <v>52</v>
      </c>
      <c r="G868" s="10" t="s">
        <v>2642</v>
      </c>
      <c r="H868" t="s">
        <v>437</v>
      </c>
      <c r="I868" t="s">
        <v>2648</v>
      </c>
      <c r="K868" s="39"/>
      <c r="M868" t="s">
        <v>2643</v>
      </c>
    </row>
    <row r="869" spans="1:13">
      <c r="A869" t="s">
        <v>28</v>
      </c>
      <c r="B869">
        <f ca="1">IF(OR(changes[[#This Row],[Type]]="Checklist",changes[[#This Row],[Type]]="checklist-flat"),1+IF(changes[[#This Row],[Type of change]] = "Edit",COUNTIFS($I$4:changes[[#This Row],[Name]],changes[[#This Row],[Name]], $E$4:changes[[#This Row],[Type of change]], "Edit")),B868)</f>
        <v>1</v>
      </c>
      <c r="C869" s="16">
        <v>44636</v>
      </c>
      <c r="D869" s="1" t="s">
        <v>2450</v>
      </c>
      <c r="E869" t="s">
        <v>19</v>
      </c>
      <c r="F869" s="10" t="s">
        <v>52</v>
      </c>
      <c r="G869" s="10" t="s">
        <v>2642</v>
      </c>
      <c r="H869" t="s">
        <v>437</v>
      </c>
      <c r="I869" t="s">
        <v>2649</v>
      </c>
      <c r="K869" s="2"/>
      <c r="M869" t="s">
        <v>2643</v>
      </c>
    </row>
    <row r="870" spans="1:13">
      <c r="A870" t="s">
        <v>28</v>
      </c>
      <c r="B870">
        <f ca="1">IF(OR(changes[[#This Row],[Type]]="Checklist",changes[[#This Row],[Type]]="checklist-flat"),1+IF(changes[[#This Row],[Type of change]] = "Edit",COUNTIFS($I$4:changes[[#This Row],[Name]],changes[[#This Row],[Name]], $E$4:changes[[#This Row],[Type of change]], "Edit")),B869)</f>
        <v>1</v>
      </c>
      <c r="C870" s="16">
        <v>44636</v>
      </c>
      <c r="D870" s="1" t="s">
        <v>2450</v>
      </c>
      <c r="E870" t="s">
        <v>19</v>
      </c>
      <c r="F870" s="10" t="s">
        <v>52</v>
      </c>
      <c r="G870" s="10" t="s">
        <v>2642</v>
      </c>
      <c r="H870" t="s">
        <v>437</v>
      </c>
      <c r="I870" t="s">
        <v>2650</v>
      </c>
      <c r="K870" s="2"/>
      <c r="M870" t="s">
        <v>2643</v>
      </c>
    </row>
    <row r="871" spans="1:13">
      <c r="A871" t="s">
        <v>28</v>
      </c>
      <c r="B871">
        <f ca="1">IF(OR(changes[[#This Row],[Type]]="Checklist",changes[[#This Row],[Type]]="checklist-flat"),1+IF(changes[[#This Row],[Type of change]] = "Edit",COUNTIFS($I$4:changes[[#This Row],[Name]],changes[[#This Row],[Name]], $E$4:changes[[#This Row],[Type of change]], "Edit")),B870)</f>
        <v>1</v>
      </c>
      <c r="C871" s="16">
        <v>44636</v>
      </c>
      <c r="D871" s="1" t="s">
        <v>2450</v>
      </c>
      <c r="E871" t="s">
        <v>19</v>
      </c>
      <c r="F871" s="10" t="s">
        <v>52</v>
      </c>
      <c r="G871" s="10" t="s">
        <v>2642</v>
      </c>
      <c r="H871" t="s">
        <v>437</v>
      </c>
      <c r="I871" t="s">
        <v>2651</v>
      </c>
      <c r="K871" s="2"/>
      <c r="M871" t="s">
        <v>2643</v>
      </c>
    </row>
    <row r="872" spans="1:13">
      <c r="A872" t="s">
        <v>28</v>
      </c>
      <c r="B872">
        <f ca="1">IF(OR(changes[[#This Row],[Type]]="Checklist",changes[[#This Row],[Type]]="checklist-flat"),1+IF(changes[[#This Row],[Type of change]] = "Edit",COUNTIFS($I$4:changes[[#This Row],[Name]],changes[[#This Row],[Name]], $E$4:changes[[#This Row],[Type of change]], "Edit")),B871)</f>
        <v>1</v>
      </c>
      <c r="C872" s="16">
        <v>44636</v>
      </c>
      <c r="D872" s="1" t="s">
        <v>2450</v>
      </c>
      <c r="E872" t="s">
        <v>19</v>
      </c>
      <c r="F872" s="10" t="s">
        <v>52</v>
      </c>
      <c r="G872" s="10" t="s">
        <v>2642</v>
      </c>
      <c r="H872" t="s">
        <v>437</v>
      </c>
      <c r="I872" t="s">
        <v>2652</v>
      </c>
      <c r="K872" s="2"/>
      <c r="M872" t="s">
        <v>2643</v>
      </c>
    </row>
    <row r="873" spans="1:13">
      <c r="A873" t="s">
        <v>28</v>
      </c>
      <c r="B873">
        <f ca="1">IF(OR(changes[[#This Row],[Type]]="Checklist",changes[[#This Row],[Type]]="checklist-flat"),1+IF(changes[[#This Row],[Type of change]] = "Edit",COUNTIFS($I$4:changes[[#This Row],[Name]],changes[[#This Row],[Name]], $E$4:changes[[#This Row],[Type of change]], "Edit")),B872)</f>
        <v>1</v>
      </c>
      <c r="C873" s="16">
        <v>44636</v>
      </c>
      <c r="D873" s="1" t="s">
        <v>2450</v>
      </c>
      <c r="E873" t="s">
        <v>19</v>
      </c>
      <c r="F873" s="10" t="s">
        <v>52</v>
      </c>
      <c r="G873" s="10" t="s">
        <v>2642</v>
      </c>
      <c r="H873" t="s">
        <v>437</v>
      </c>
      <c r="I873" t="s">
        <v>2653</v>
      </c>
      <c r="K873" s="2"/>
      <c r="M873" t="s">
        <v>2643</v>
      </c>
    </row>
    <row r="874" spans="1:13">
      <c r="A874" t="s">
        <v>28</v>
      </c>
      <c r="B874">
        <f ca="1">IF(OR(changes[[#This Row],[Type]]="Checklist",changes[[#This Row],[Type]]="checklist-flat"),1+IF(changes[[#This Row],[Type of change]] = "Edit",COUNTIFS($I$4:changes[[#This Row],[Name]],changes[[#This Row],[Name]], $E$4:changes[[#This Row],[Type of change]], "Edit")),B873)</f>
        <v>1</v>
      </c>
      <c r="C874" s="16">
        <v>44636</v>
      </c>
      <c r="D874" s="1" t="s">
        <v>2450</v>
      </c>
      <c r="E874" t="s">
        <v>19</v>
      </c>
      <c r="F874" s="10" t="s">
        <v>52</v>
      </c>
      <c r="G874" s="10" t="s">
        <v>2642</v>
      </c>
      <c r="H874" t="s">
        <v>437</v>
      </c>
      <c r="I874" t="s">
        <v>2654</v>
      </c>
      <c r="K874" s="2"/>
      <c r="M874" t="s">
        <v>2643</v>
      </c>
    </row>
    <row r="875" spans="1:13">
      <c r="A875" t="s">
        <v>28</v>
      </c>
      <c r="B875">
        <f ca="1">IF(OR(changes[[#This Row],[Type]]="Checklist",changes[[#This Row],[Type]]="checklist-flat"),1+IF(changes[[#This Row],[Type of change]] = "Edit",COUNTIFS($I$4:changes[[#This Row],[Name]],changes[[#This Row],[Name]], $E$4:changes[[#This Row],[Type of change]], "Edit")),B874)</f>
        <v>1</v>
      </c>
      <c r="C875" s="16">
        <v>44636</v>
      </c>
      <c r="D875" s="1" t="s">
        <v>2450</v>
      </c>
      <c r="E875" t="s">
        <v>19</v>
      </c>
      <c r="F875" s="10" t="s">
        <v>52</v>
      </c>
      <c r="G875" s="10" t="s">
        <v>2642</v>
      </c>
      <c r="H875" t="s">
        <v>437</v>
      </c>
      <c r="I875" t="s">
        <v>2655</v>
      </c>
      <c r="K875" s="2"/>
      <c r="M875" t="s">
        <v>2643</v>
      </c>
    </row>
    <row r="876" spans="1:13">
      <c r="A876" t="s">
        <v>28</v>
      </c>
      <c r="B876">
        <f ca="1">IF(OR(changes[[#This Row],[Type]]="Checklist",changes[[#This Row],[Type]]="checklist-flat"),1+IF(changes[[#This Row],[Type of change]] = "Edit",COUNTIFS($I$4:changes[[#This Row],[Name]],changes[[#This Row],[Name]], $E$4:changes[[#This Row],[Type of change]], "Edit")),B875)</f>
        <v>1</v>
      </c>
      <c r="C876" s="16">
        <v>44636</v>
      </c>
      <c r="D876" s="1" t="s">
        <v>2450</v>
      </c>
      <c r="E876" t="s">
        <v>19</v>
      </c>
      <c r="F876" s="10" t="s">
        <v>52</v>
      </c>
      <c r="G876" s="10" t="s">
        <v>2642</v>
      </c>
      <c r="H876" t="s">
        <v>437</v>
      </c>
      <c r="I876" t="s">
        <v>2656</v>
      </c>
      <c r="K876" s="2"/>
      <c r="M876" t="s">
        <v>2643</v>
      </c>
    </row>
    <row r="877" spans="1:13">
      <c r="A877" t="s">
        <v>28</v>
      </c>
      <c r="B877">
        <f ca="1">IF(OR(changes[[#This Row],[Type]]="Checklist",changes[[#This Row],[Type]]="checklist-flat"),1+IF(changes[[#This Row],[Type of change]] = "Edit",COUNTIFS($I$4:changes[[#This Row],[Name]],changes[[#This Row],[Name]], $E$4:changes[[#This Row],[Type of change]], "Edit")),B876)</f>
        <v>1</v>
      </c>
      <c r="C877" s="16">
        <v>44636</v>
      </c>
      <c r="D877" s="1" t="s">
        <v>2450</v>
      </c>
      <c r="E877" t="s">
        <v>19</v>
      </c>
      <c r="F877" s="10" t="s">
        <v>52</v>
      </c>
      <c r="G877" s="10" t="s">
        <v>2642</v>
      </c>
      <c r="H877" t="s">
        <v>437</v>
      </c>
      <c r="I877" t="s">
        <v>2657</v>
      </c>
      <c r="K877" s="2"/>
      <c r="M877" t="s">
        <v>2643</v>
      </c>
    </row>
    <row r="878" spans="1:13">
      <c r="A878" t="s">
        <v>28</v>
      </c>
      <c r="B878">
        <f ca="1">IF(OR(changes[[#This Row],[Type]]="Checklist",changes[[#This Row],[Type]]="checklist-flat"),1+IF(changes[[#This Row],[Type of change]] = "Edit",COUNTIFS($I$4:changes[[#This Row],[Name]],changes[[#This Row],[Name]], $E$4:changes[[#This Row],[Type of change]], "Edit")),B877)</f>
        <v>1</v>
      </c>
      <c r="C878" s="16">
        <v>44636</v>
      </c>
      <c r="D878" s="1" t="s">
        <v>2450</v>
      </c>
      <c r="E878" t="s">
        <v>19</v>
      </c>
      <c r="F878" s="10" t="s">
        <v>52</v>
      </c>
      <c r="G878" s="10" t="s">
        <v>2642</v>
      </c>
      <c r="H878" t="s">
        <v>437</v>
      </c>
      <c r="I878" t="s">
        <v>2658</v>
      </c>
      <c r="K878" s="2"/>
      <c r="M878" t="s">
        <v>2643</v>
      </c>
    </row>
    <row r="879" spans="1:13">
      <c r="A879" t="s">
        <v>28</v>
      </c>
      <c r="B879">
        <f ca="1">IF(OR(changes[[#This Row],[Type]]="Checklist",changes[[#This Row],[Type]]="checklist-flat"),1+IF(changes[[#This Row],[Type of change]] = "Edit",COUNTIFS($I$4:changes[[#This Row],[Name]],changes[[#This Row],[Name]], $E$4:changes[[#This Row],[Type of change]], "Edit")),B878)</f>
        <v>1</v>
      </c>
      <c r="C879" s="16">
        <v>44636</v>
      </c>
      <c r="D879" s="1" t="s">
        <v>2450</v>
      </c>
      <c r="E879" t="s">
        <v>19</v>
      </c>
      <c r="F879" s="10" t="s">
        <v>52</v>
      </c>
      <c r="G879" s="10" t="s">
        <v>2642</v>
      </c>
      <c r="H879" t="s">
        <v>437</v>
      </c>
      <c r="I879" t="s">
        <v>2659</v>
      </c>
      <c r="K879" s="2"/>
      <c r="M879" t="s">
        <v>2643</v>
      </c>
    </row>
    <row r="880" spans="1:13">
      <c r="A880" t="s">
        <v>28</v>
      </c>
      <c r="B880">
        <f ca="1">IF(OR(changes[[#This Row],[Type]]="Checklist",changes[[#This Row],[Type]]="checklist-flat"),1+IF(changes[[#This Row],[Type of change]] = "Edit",COUNTIFS($I$4:changes[[#This Row],[Name]],changes[[#This Row],[Name]], $E$4:changes[[#This Row],[Type of change]], "Edit")),B879)</f>
        <v>1</v>
      </c>
      <c r="C880" s="16">
        <v>44636</v>
      </c>
      <c r="D880" s="1" t="s">
        <v>2450</v>
      </c>
      <c r="E880" t="s">
        <v>19</v>
      </c>
      <c r="F880" s="10" t="s">
        <v>52</v>
      </c>
      <c r="G880" s="10" t="s">
        <v>2642</v>
      </c>
      <c r="H880" t="s">
        <v>437</v>
      </c>
      <c r="I880" t="s">
        <v>2660</v>
      </c>
      <c r="K880" s="2"/>
      <c r="M880" t="s">
        <v>2643</v>
      </c>
    </row>
    <row r="881" spans="1:13">
      <c r="A881" t="s">
        <v>28</v>
      </c>
      <c r="B881">
        <f ca="1">IF(OR(changes[[#This Row],[Type]]="Checklist",changes[[#This Row],[Type]]="checklist-flat"),1+IF(changes[[#This Row],[Type of change]] = "Edit",COUNTIFS($I$4:changes[[#This Row],[Name]],changes[[#This Row],[Name]], $E$4:changes[[#This Row],[Type of change]], "Edit")),B880)</f>
        <v>1</v>
      </c>
      <c r="C881" s="16">
        <v>44636</v>
      </c>
      <c r="D881" s="1" t="s">
        <v>2450</v>
      </c>
      <c r="E881" t="s">
        <v>19</v>
      </c>
      <c r="F881" s="10" t="s">
        <v>52</v>
      </c>
      <c r="G881" s="10" t="s">
        <v>2642</v>
      </c>
      <c r="H881" t="s">
        <v>994</v>
      </c>
      <c r="I881" t="s">
        <v>65</v>
      </c>
      <c r="K881" s="2"/>
      <c r="M881" t="s">
        <v>2643</v>
      </c>
    </row>
    <row r="882" spans="1:13" ht="14.25" customHeight="1">
      <c r="A882" t="s">
        <v>28</v>
      </c>
      <c r="B882">
        <f ca="1">IF(OR(changes[[#This Row],[Type]]="Checklist",changes[[#This Row],[Type]]="checklist-flat"),1+IF(changes[[#This Row],[Type of change]] = "Edit",COUNTIFS($I$4:changes[[#This Row],[Name]],changes[[#This Row],[Name]], $E$4:changes[[#This Row],[Type of change]], "Edit")),B881)</f>
        <v>1</v>
      </c>
      <c r="C882" s="16">
        <v>44636</v>
      </c>
      <c r="D882" s="1" t="s">
        <v>2450</v>
      </c>
      <c r="E882" t="s">
        <v>19</v>
      </c>
      <c r="F882" s="10" t="s">
        <v>52</v>
      </c>
      <c r="G882" s="10" t="s">
        <v>2661</v>
      </c>
      <c r="H882" t="s">
        <v>478</v>
      </c>
      <c r="I882" t="s">
        <v>2661</v>
      </c>
      <c r="K882" s="2"/>
      <c r="M882" t="s">
        <v>2643</v>
      </c>
    </row>
    <row r="883" spans="1:13">
      <c r="A883" t="s">
        <v>28</v>
      </c>
      <c r="B883">
        <f ca="1">IF(OR(changes[[#This Row],[Type]]="Checklist",changes[[#This Row],[Type]]="checklist-flat"),1+IF(changes[[#This Row],[Type of change]] = "Edit",COUNTIFS($I$4:changes[[#This Row],[Name]],changes[[#This Row],[Name]], $E$4:changes[[#This Row],[Type of change]], "Edit")),B882)</f>
        <v>1</v>
      </c>
      <c r="C883" s="16">
        <v>44636</v>
      </c>
      <c r="D883" s="1" t="s">
        <v>2450</v>
      </c>
      <c r="E883" t="s">
        <v>19</v>
      </c>
      <c r="F883" s="10" t="s">
        <v>52</v>
      </c>
      <c r="G883" s="10" t="s">
        <v>2661</v>
      </c>
      <c r="H883" t="s">
        <v>55</v>
      </c>
      <c r="I883" t="s">
        <v>2662</v>
      </c>
      <c r="K883" s="2"/>
      <c r="M883" t="s">
        <v>2643</v>
      </c>
    </row>
    <row r="884" spans="1:13">
      <c r="A884" t="s">
        <v>28</v>
      </c>
      <c r="B884">
        <f ca="1">IF(OR(changes[[#This Row],[Type]]="Checklist",changes[[#This Row],[Type]]="checklist-flat"),1+IF(changes[[#This Row],[Type of change]] = "Edit",COUNTIFS($I$4:changes[[#This Row],[Name]],changes[[#This Row],[Name]], $E$4:changes[[#This Row],[Type of change]], "Edit")),B883)</f>
        <v>1</v>
      </c>
      <c r="C884" s="16">
        <v>44636</v>
      </c>
      <c r="D884" s="1" t="s">
        <v>2450</v>
      </c>
      <c r="E884" t="s">
        <v>19</v>
      </c>
      <c r="F884" s="10" t="s">
        <v>52</v>
      </c>
      <c r="G884" s="10" t="s">
        <v>2661</v>
      </c>
      <c r="H884" t="s">
        <v>64</v>
      </c>
      <c r="I884" t="s">
        <v>2663</v>
      </c>
      <c r="K884" s="2"/>
      <c r="M884" t="s">
        <v>2643</v>
      </c>
    </row>
    <row r="885" spans="1:13">
      <c r="A885" t="s">
        <v>28</v>
      </c>
      <c r="B885">
        <f ca="1">IF(OR(changes[[#This Row],[Type]]="Checklist",changes[[#This Row],[Type]]="checklist-flat"),1+IF(changes[[#This Row],[Type of change]] = "Edit",COUNTIFS($I$4:changes[[#This Row],[Name]],changes[[#This Row],[Name]], $E$4:changes[[#This Row],[Type of change]], "Edit")),B884)</f>
        <v>1</v>
      </c>
      <c r="C885" s="16">
        <v>44636</v>
      </c>
      <c r="D885" s="1" t="s">
        <v>2450</v>
      </c>
      <c r="E885" t="s">
        <v>19</v>
      </c>
      <c r="F885" s="10" t="s">
        <v>52</v>
      </c>
      <c r="G885" s="10" t="s">
        <v>2664</v>
      </c>
      <c r="H885" t="s">
        <v>478</v>
      </c>
      <c r="I885" t="s">
        <v>2664</v>
      </c>
      <c r="K885" s="2"/>
      <c r="M885" t="s">
        <v>2643</v>
      </c>
    </row>
    <row r="886" spans="1:13">
      <c r="A886" t="s">
        <v>28</v>
      </c>
      <c r="B886">
        <f ca="1">IF(OR(changes[[#This Row],[Type]]="Checklist",changes[[#This Row],[Type]]="checklist-flat"),1+IF(changes[[#This Row],[Type of change]] = "Edit",COUNTIFS($I$4:changes[[#This Row],[Name]],changes[[#This Row],[Name]], $E$4:changes[[#This Row],[Type of change]], "Edit")),B885)</f>
        <v>1</v>
      </c>
      <c r="C886" s="16">
        <v>44636</v>
      </c>
      <c r="D886" s="1" t="s">
        <v>2450</v>
      </c>
      <c r="E886" t="s">
        <v>19</v>
      </c>
      <c r="F886" s="10" t="s">
        <v>52</v>
      </c>
      <c r="G886" s="10" t="s">
        <v>2664</v>
      </c>
      <c r="H886" t="s">
        <v>55</v>
      </c>
      <c r="I886" t="s">
        <v>2665</v>
      </c>
      <c r="K886" s="2"/>
      <c r="M886" t="s">
        <v>2643</v>
      </c>
    </row>
    <row r="887" spans="1:13">
      <c r="A887" t="s">
        <v>28</v>
      </c>
      <c r="B887">
        <f ca="1">IF(OR(changes[[#This Row],[Type]]="Checklist",changes[[#This Row],[Type]]="checklist-flat"),1+IF(changes[[#This Row],[Type of change]] = "Edit",COUNTIFS($I$4:changes[[#This Row],[Name]],changes[[#This Row],[Name]], $E$4:changes[[#This Row],[Type of change]], "Edit")),B886)</f>
        <v>1</v>
      </c>
      <c r="C887" s="16">
        <v>44636</v>
      </c>
      <c r="D887" s="1" t="s">
        <v>2450</v>
      </c>
      <c r="E887" t="s">
        <v>19</v>
      </c>
      <c r="F887" s="10" t="s">
        <v>52</v>
      </c>
      <c r="G887" s="10" t="s">
        <v>2664</v>
      </c>
      <c r="H887" t="s">
        <v>437</v>
      </c>
      <c r="I887" t="s">
        <v>2666</v>
      </c>
      <c r="K887" s="2"/>
      <c r="M887" t="s">
        <v>2643</v>
      </c>
    </row>
    <row r="888" spans="1:13">
      <c r="A888" t="s">
        <v>28</v>
      </c>
      <c r="B888">
        <f ca="1">IF(OR(changes[[#This Row],[Type]]="Checklist",changes[[#This Row],[Type]]="checklist-flat"),1+IF(changes[[#This Row],[Type of change]] = "Edit",COUNTIFS($I$4:changes[[#This Row],[Name]],changes[[#This Row],[Name]], $E$4:changes[[#This Row],[Type of change]], "Edit")),B887)</f>
        <v>1</v>
      </c>
      <c r="C888" s="16">
        <v>44636</v>
      </c>
      <c r="D888" s="1" t="s">
        <v>2450</v>
      </c>
      <c r="E888" t="s">
        <v>19</v>
      </c>
      <c r="F888" s="10" t="s">
        <v>52</v>
      </c>
      <c r="G888" s="10" t="s">
        <v>2664</v>
      </c>
      <c r="H888" t="s">
        <v>437</v>
      </c>
      <c r="I888" t="s">
        <v>2667</v>
      </c>
      <c r="K888" s="2"/>
      <c r="M888" t="s">
        <v>2643</v>
      </c>
    </row>
    <row r="889" spans="1:13">
      <c r="A889" t="s">
        <v>28</v>
      </c>
      <c r="B889">
        <f ca="1">IF(OR(changes[[#This Row],[Type]]="Checklist",changes[[#This Row],[Type]]="checklist-flat"),1+IF(changes[[#This Row],[Type of change]] = "Edit",COUNTIFS($I$4:changes[[#This Row],[Name]],changes[[#This Row],[Name]], $E$4:changes[[#This Row],[Type of change]], "Edit")),B888)</f>
        <v>1</v>
      </c>
      <c r="C889" s="16">
        <v>44636</v>
      </c>
      <c r="D889" s="1" t="s">
        <v>2450</v>
      </c>
      <c r="E889" t="s">
        <v>19</v>
      </c>
      <c r="F889" s="10" t="s">
        <v>52</v>
      </c>
      <c r="G889" s="10" t="s">
        <v>2664</v>
      </c>
      <c r="H889" t="s">
        <v>437</v>
      </c>
      <c r="I889" t="s">
        <v>2668</v>
      </c>
      <c r="K889" s="2"/>
      <c r="M889" t="s">
        <v>2643</v>
      </c>
    </row>
    <row r="890" spans="1:13">
      <c r="A890" t="s">
        <v>28</v>
      </c>
      <c r="B890">
        <f ca="1">IF(OR(changes[[#This Row],[Type]]="Checklist",changes[[#This Row],[Type]]="checklist-flat"),1+IF(changes[[#This Row],[Type of change]] = "Edit",COUNTIFS($I$4:changes[[#This Row],[Name]],changes[[#This Row],[Name]], $E$4:changes[[#This Row],[Type of change]], "Edit")),B889)</f>
        <v>1</v>
      </c>
      <c r="C890" s="16">
        <v>44636</v>
      </c>
      <c r="D890" s="1" t="s">
        <v>2450</v>
      </c>
      <c r="E890" t="s">
        <v>19</v>
      </c>
      <c r="F890" s="10" t="s">
        <v>52</v>
      </c>
      <c r="G890" s="10" t="s">
        <v>2664</v>
      </c>
      <c r="H890" t="s">
        <v>64</v>
      </c>
      <c r="I890" t="s">
        <v>2669</v>
      </c>
      <c r="K890" s="2"/>
      <c r="M890" t="s">
        <v>2643</v>
      </c>
    </row>
    <row r="891" spans="1:13">
      <c r="A891" t="s">
        <v>28</v>
      </c>
      <c r="B891">
        <f ca="1">IF(OR(changes[[#This Row],[Type]]="Checklist",changes[[#This Row],[Type]]="checklist-flat"),1+IF(changes[[#This Row],[Type of change]] = "Edit",COUNTIFS($I$4:changes[[#This Row],[Name]],changes[[#This Row],[Name]], $E$4:changes[[#This Row],[Type of change]], "Edit")),B890)</f>
        <v>1</v>
      </c>
      <c r="C891" s="16">
        <v>44636</v>
      </c>
      <c r="D891" s="1" t="s">
        <v>2450</v>
      </c>
      <c r="E891" t="s">
        <v>19</v>
      </c>
      <c r="F891" s="10" t="s">
        <v>52</v>
      </c>
      <c r="G891" s="10" t="s">
        <v>2670</v>
      </c>
      <c r="H891" t="s">
        <v>478</v>
      </c>
      <c r="I891" t="s">
        <v>2670</v>
      </c>
      <c r="K891" s="2"/>
      <c r="M891" t="s">
        <v>2643</v>
      </c>
    </row>
    <row r="892" spans="1:13">
      <c r="A892" t="s">
        <v>28</v>
      </c>
      <c r="B892">
        <f ca="1">IF(OR(changes[[#This Row],[Type]]="Checklist",changes[[#This Row],[Type]]="checklist-flat"),1+IF(changes[[#This Row],[Type of change]] = "Edit",COUNTIFS($I$4:changes[[#This Row],[Name]],changes[[#This Row],[Name]], $E$4:changes[[#This Row],[Type of change]], "Edit")),B891)</f>
        <v>1</v>
      </c>
      <c r="C892" s="16">
        <v>44636</v>
      </c>
      <c r="D892" s="1" t="s">
        <v>2450</v>
      </c>
      <c r="E892" t="s">
        <v>19</v>
      </c>
      <c r="F892" s="10" t="s">
        <v>52</v>
      </c>
      <c r="G892" s="10" t="s">
        <v>2670</v>
      </c>
      <c r="H892" t="s">
        <v>55</v>
      </c>
      <c r="I892" t="s">
        <v>2671</v>
      </c>
      <c r="K892" s="2"/>
      <c r="M892" t="s">
        <v>2643</v>
      </c>
    </row>
    <row r="893" spans="1:13">
      <c r="A893" t="s">
        <v>28</v>
      </c>
      <c r="B893">
        <f ca="1">IF(OR(changes[[#This Row],[Type]]="Checklist",changes[[#This Row],[Type]]="checklist-flat"),1+IF(changes[[#This Row],[Type of change]] = "Edit",COUNTIFS($I$4:changes[[#This Row],[Name]],changes[[#This Row],[Name]], $E$4:changes[[#This Row],[Type of change]], "Edit")),B892)</f>
        <v>1</v>
      </c>
      <c r="C893" s="16">
        <v>44636</v>
      </c>
      <c r="D893" s="1" t="s">
        <v>2450</v>
      </c>
      <c r="E893" t="s">
        <v>19</v>
      </c>
      <c r="F893" s="10" t="s">
        <v>52</v>
      </c>
      <c r="G893" s="10" t="s">
        <v>2670</v>
      </c>
      <c r="H893" t="s">
        <v>437</v>
      </c>
      <c r="I893" t="s">
        <v>2672</v>
      </c>
      <c r="K893" s="2"/>
      <c r="M893" t="s">
        <v>2643</v>
      </c>
    </row>
    <row r="894" spans="1:13">
      <c r="A894" t="s">
        <v>28</v>
      </c>
      <c r="B894">
        <f ca="1">IF(OR(changes[[#This Row],[Type]]="Checklist",changes[[#This Row],[Type]]="checklist-flat"),1+IF(changes[[#This Row],[Type of change]] = "Edit",COUNTIFS($I$4:changes[[#This Row],[Name]],changes[[#This Row],[Name]], $E$4:changes[[#This Row],[Type of change]], "Edit")),B893)</f>
        <v>1</v>
      </c>
      <c r="C894" s="16">
        <v>44636</v>
      </c>
      <c r="D894" s="1" t="s">
        <v>2450</v>
      </c>
      <c r="E894" t="s">
        <v>19</v>
      </c>
      <c r="F894" s="10" t="s">
        <v>52</v>
      </c>
      <c r="G894" s="10" t="s">
        <v>2670</v>
      </c>
      <c r="H894" t="s">
        <v>437</v>
      </c>
      <c r="I894" t="s">
        <v>2673</v>
      </c>
      <c r="K894" s="2"/>
      <c r="M894" t="s">
        <v>2643</v>
      </c>
    </row>
    <row r="895" spans="1:13">
      <c r="A895" t="s">
        <v>28</v>
      </c>
      <c r="B895">
        <f ca="1">IF(OR(changes[[#This Row],[Type]]="Checklist",changes[[#This Row],[Type]]="checklist-flat"),1+IF(changes[[#This Row],[Type of change]] = "Edit",COUNTIFS($I$4:changes[[#This Row],[Name]],changes[[#This Row],[Name]], $E$4:changes[[#This Row],[Type of change]], "Edit")),B894)</f>
        <v>1</v>
      </c>
      <c r="C895" s="16">
        <v>44636</v>
      </c>
      <c r="D895" s="1" t="s">
        <v>2450</v>
      </c>
      <c r="E895" t="s">
        <v>19</v>
      </c>
      <c r="F895" s="10" t="s">
        <v>52</v>
      </c>
      <c r="G895" s="10" t="s">
        <v>2670</v>
      </c>
      <c r="H895" t="s">
        <v>437</v>
      </c>
      <c r="I895" t="s">
        <v>2674</v>
      </c>
      <c r="K895" s="2"/>
      <c r="M895" t="s">
        <v>2643</v>
      </c>
    </row>
    <row r="896" spans="1:13">
      <c r="A896" t="s">
        <v>28</v>
      </c>
      <c r="B896">
        <f ca="1">IF(OR(changes[[#This Row],[Type]]="Checklist",changes[[#This Row],[Type]]="checklist-flat"),1+IF(changes[[#This Row],[Type of change]] = "Edit",COUNTIFS($I$4:changes[[#This Row],[Name]],changes[[#This Row],[Name]], $E$4:changes[[#This Row],[Type of change]], "Edit")),B895)</f>
        <v>1</v>
      </c>
      <c r="C896" s="16">
        <v>44636</v>
      </c>
      <c r="D896" s="1" t="s">
        <v>2450</v>
      </c>
      <c r="E896" t="s">
        <v>19</v>
      </c>
      <c r="F896" s="10" t="s">
        <v>52</v>
      </c>
      <c r="G896" s="10" t="s">
        <v>2670</v>
      </c>
      <c r="H896" t="s">
        <v>437</v>
      </c>
      <c r="I896" t="s">
        <v>2675</v>
      </c>
      <c r="K896" s="2"/>
      <c r="M896" t="s">
        <v>2643</v>
      </c>
    </row>
    <row r="897" spans="1:13">
      <c r="A897" t="s">
        <v>28</v>
      </c>
      <c r="B897">
        <f ca="1">IF(OR(changes[[#This Row],[Type]]="Checklist",changes[[#This Row],[Type]]="checklist-flat"),1+IF(changes[[#This Row],[Type of change]] = "Edit",COUNTIFS($I$4:changes[[#This Row],[Name]],changes[[#This Row],[Name]], $E$4:changes[[#This Row],[Type of change]], "Edit")),B896)</f>
        <v>1</v>
      </c>
      <c r="C897" s="16">
        <v>44636</v>
      </c>
      <c r="D897" s="1" t="s">
        <v>2450</v>
      </c>
      <c r="E897" t="s">
        <v>19</v>
      </c>
      <c r="F897" s="10" t="s">
        <v>52</v>
      </c>
      <c r="G897" s="10" t="s">
        <v>2670</v>
      </c>
      <c r="H897" t="s">
        <v>437</v>
      </c>
      <c r="I897" t="s">
        <v>2676</v>
      </c>
      <c r="K897" s="2"/>
      <c r="M897" t="s">
        <v>2643</v>
      </c>
    </row>
    <row r="898" spans="1:13">
      <c r="A898" t="s">
        <v>28</v>
      </c>
      <c r="B898">
        <f ca="1">IF(OR(changes[[#This Row],[Type]]="Checklist",changes[[#This Row],[Type]]="checklist-flat"),1+IF(changes[[#This Row],[Type of change]] = "Edit",COUNTIFS($I$4:changes[[#This Row],[Name]],changes[[#This Row],[Name]], $E$4:changes[[#This Row],[Type of change]], "Edit")),B897)</f>
        <v>1</v>
      </c>
      <c r="C898" s="16">
        <v>44636</v>
      </c>
      <c r="D898" s="1" t="s">
        <v>2450</v>
      </c>
      <c r="E898" t="s">
        <v>19</v>
      </c>
      <c r="F898" s="10" t="s">
        <v>52</v>
      </c>
      <c r="G898" s="10" t="s">
        <v>2670</v>
      </c>
      <c r="H898" t="s">
        <v>437</v>
      </c>
      <c r="I898" t="s">
        <v>2677</v>
      </c>
      <c r="K898" s="2"/>
      <c r="M898" t="s">
        <v>2643</v>
      </c>
    </row>
    <row r="899" spans="1:13">
      <c r="A899" t="s">
        <v>28</v>
      </c>
      <c r="B899">
        <f ca="1">IF(OR(changes[[#This Row],[Type]]="Checklist",changes[[#This Row],[Type]]="checklist-flat"),1+IF(changes[[#This Row],[Type of change]] = "Edit",COUNTIFS($I$4:changes[[#This Row],[Name]],changes[[#This Row],[Name]], $E$4:changes[[#This Row],[Type of change]], "Edit")),B898)</f>
        <v>1</v>
      </c>
      <c r="C899" s="16">
        <v>44636</v>
      </c>
      <c r="D899" s="1" t="s">
        <v>2450</v>
      </c>
      <c r="E899" t="s">
        <v>19</v>
      </c>
      <c r="F899" s="10" t="s">
        <v>52</v>
      </c>
      <c r="G899" s="10" t="s">
        <v>2670</v>
      </c>
      <c r="H899" t="s">
        <v>437</v>
      </c>
      <c r="I899" t="s">
        <v>2499</v>
      </c>
      <c r="K899" s="2"/>
      <c r="M899" t="s">
        <v>2643</v>
      </c>
    </row>
    <row r="900" spans="1:13">
      <c r="A900" t="s">
        <v>28</v>
      </c>
      <c r="B900">
        <f ca="1">IF(OR(changes[[#This Row],[Type]]="Checklist",changes[[#This Row],[Type]]="checklist-flat"),1+IF(changes[[#This Row],[Type of change]] = "Edit",COUNTIFS($I$4:changes[[#This Row],[Name]],changes[[#This Row],[Name]], $E$4:changes[[#This Row],[Type of change]], "Edit")),B899)</f>
        <v>1</v>
      </c>
      <c r="C900" s="16">
        <v>44636</v>
      </c>
      <c r="D900" s="1" t="s">
        <v>2450</v>
      </c>
      <c r="E900" t="s">
        <v>19</v>
      </c>
      <c r="F900" s="10" t="s">
        <v>52</v>
      </c>
      <c r="G900" s="10" t="s">
        <v>2670</v>
      </c>
      <c r="H900" t="s">
        <v>951</v>
      </c>
      <c r="I900" t="s">
        <v>377</v>
      </c>
      <c r="K900" s="2"/>
      <c r="M900" t="s">
        <v>2643</v>
      </c>
    </row>
    <row r="901" spans="1:13">
      <c r="A901" t="s">
        <v>28</v>
      </c>
      <c r="B901">
        <f ca="1">IF(OR(changes[[#This Row],[Type]]="Checklist",changes[[#This Row],[Type]]="checklist-flat"),1+IF(changes[[#This Row],[Type of change]] = "Edit",COUNTIFS($I$4:changes[[#This Row],[Name]],changes[[#This Row],[Name]], $E$4:changes[[#This Row],[Type of change]], "Edit")),B900)</f>
        <v>1</v>
      </c>
      <c r="C901" s="16">
        <v>44636</v>
      </c>
      <c r="D901" s="1" t="s">
        <v>2450</v>
      </c>
      <c r="E901" t="s">
        <v>19</v>
      </c>
      <c r="F901" s="10" t="s">
        <v>52</v>
      </c>
      <c r="G901" s="10" t="s">
        <v>2670</v>
      </c>
      <c r="H901" t="s">
        <v>951</v>
      </c>
      <c r="I901" t="s">
        <v>2501</v>
      </c>
      <c r="K901" s="2"/>
      <c r="M901" t="s">
        <v>2643</v>
      </c>
    </row>
    <row r="902" spans="1:13">
      <c r="A902" t="s">
        <v>28</v>
      </c>
      <c r="B902">
        <f ca="1">IF(OR(changes[[#This Row],[Type]]="Checklist",changes[[#This Row],[Type]]="checklist-flat"),1+IF(changes[[#This Row],[Type of change]] = "Edit",COUNTIFS($I$4:changes[[#This Row],[Name]],changes[[#This Row],[Name]], $E$4:changes[[#This Row],[Type of change]], "Edit")),B901)</f>
        <v>1</v>
      </c>
      <c r="C902" s="16">
        <v>44636</v>
      </c>
      <c r="D902" s="1" t="s">
        <v>2450</v>
      </c>
      <c r="E902" t="s">
        <v>19</v>
      </c>
      <c r="F902" s="10" t="s">
        <v>52</v>
      </c>
      <c r="G902" s="10" t="s">
        <v>2670</v>
      </c>
      <c r="H902" t="s">
        <v>951</v>
      </c>
      <c r="I902" t="s">
        <v>2678</v>
      </c>
      <c r="K902" s="2"/>
      <c r="M902" t="s">
        <v>2643</v>
      </c>
    </row>
    <row r="903" spans="1:13">
      <c r="A903" t="s">
        <v>28</v>
      </c>
      <c r="B903">
        <f ca="1">IF(OR(changes[[#This Row],[Type]]="Checklist",changes[[#This Row],[Type]]="checklist-flat"),1+IF(changes[[#This Row],[Type of change]] = "Edit",COUNTIFS($I$4:changes[[#This Row],[Name]],changes[[#This Row],[Name]], $E$4:changes[[#This Row],[Type of change]], "Edit")),B902)</f>
        <v>1</v>
      </c>
      <c r="C903" s="16">
        <v>44636</v>
      </c>
      <c r="D903" s="1" t="s">
        <v>2450</v>
      </c>
      <c r="E903" t="s">
        <v>19</v>
      </c>
      <c r="F903" s="10" t="s">
        <v>52</v>
      </c>
      <c r="G903" s="10" t="s">
        <v>2670</v>
      </c>
      <c r="H903" t="s">
        <v>951</v>
      </c>
      <c r="I903" t="s">
        <v>2679</v>
      </c>
      <c r="K903" s="2"/>
      <c r="M903" t="s">
        <v>2643</v>
      </c>
    </row>
    <row r="904" spans="1:13">
      <c r="A904" t="s">
        <v>28</v>
      </c>
      <c r="B904">
        <f ca="1">IF(OR(changes[[#This Row],[Type]]="Checklist",changes[[#This Row],[Type]]="checklist-flat"),1+IF(changes[[#This Row],[Type of change]] = "Edit",COUNTIFS($I$4:changes[[#This Row],[Name]],changes[[#This Row],[Name]], $E$4:changes[[#This Row],[Type of change]], "Edit")),B903)</f>
        <v>1</v>
      </c>
      <c r="C904" s="16">
        <v>44636</v>
      </c>
      <c r="D904" s="1" t="s">
        <v>2450</v>
      </c>
      <c r="E904" t="s">
        <v>19</v>
      </c>
      <c r="F904" s="10" t="s">
        <v>52</v>
      </c>
      <c r="G904" s="10" t="s">
        <v>2670</v>
      </c>
      <c r="H904" t="s">
        <v>437</v>
      </c>
      <c r="I904" t="s">
        <v>2680</v>
      </c>
      <c r="K904" s="2"/>
      <c r="M904" t="s">
        <v>2643</v>
      </c>
    </row>
    <row r="905" spans="1:13">
      <c r="A905" t="s">
        <v>28</v>
      </c>
      <c r="B905">
        <f ca="1">IF(OR(changes[[#This Row],[Type]]="Checklist",changes[[#This Row],[Type]]="checklist-flat"),1+IF(changes[[#This Row],[Type of change]] = "Edit",COUNTIFS($I$4:changes[[#This Row],[Name]],changes[[#This Row],[Name]], $E$4:changes[[#This Row],[Type of change]], "Edit")),B904)</f>
        <v>1</v>
      </c>
      <c r="C905" s="16">
        <v>44636</v>
      </c>
      <c r="D905" s="1" t="s">
        <v>2450</v>
      </c>
      <c r="E905" t="s">
        <v>19</v>
      </c>
      <c r="F905" s="10" t="s">
        <v>52</v>
      </c>
      <c r="G905" s="10" t="s">
        <v>2670</v>
      </c>
      <c r="H905" t="s">
        <v>437</v>
      </c>
      <c r="I905" t="s">
        <v>2681</v>
      </c>
      <c r="K905" s="2"/>
      <c r="M905" t="s">
        <v>2643</v>
      </c>
    </row>
    <row r="906" spans="1:13">
      <c r="A906" t="s">
        <v>28</v>
      </c>
      <c r="B906">
        <f ca="1">IF(OR(changes[[#This Row],[Type]]="Checklist",changes[[#This Row],[Type]]="checklist-flat"),1+IF(changes[[#This Row],[Type of change]] = "Edit",COUNTIFS($I$4:changes[[#This Row],[Name]],changes[[#This Row],[Name]], $E$4:changes[[#This Row],[Type of change]], "Edit")),B905)</f>
        <v>1</v>
      </c>
      <c r="C906" s="16">
        <v>44636</v>
      </c>
      <c r="D906" s="1" t="s">
        <v>2450</v>
      </c>
      <c r="E906" t="s">
        <v>19</v>
      </c>
      <c r="F906" s="10" t="s">
        <v>52</v>
      </c>
      <c r="G906" s="10" t="s">
        <v>2670</v>
      </c>
      <c r="H906" t="s">
        <v>64</v>
      </c>
      <c r="I906" t="s">
        <v>2669</v>
      </c>
      <c r="K906" s="2"/>
      <c r="M906" t="s">
        <v>2643</v>
      </c>
    </row>
    <row r="907" spans="1:13">
      <c r="A907" t="s">
        <v>28</v>
      </c>
      <c r="B907">
        <f ca="1">IF(OR(changes[[#This Row],[Type]]="Checklist",changes[[#This Row],[Type]]="checklist-flat"),1+IF(changes[[#This Row],[Type of change]] = "Edit",COUNTIFS($I$4:changes[[#This Row],[Name]],changes[[#This Row],[Name]], $E$4:changes[[#This Row],[Type of change]], "Edit")),B906)</f>
        <v>1</v>
      </c>
      <c r="C907" s="16">
        <v>44636</v>
      </c>
      <c r="D907" s="1" t="s">
        <v>2450</v>
      </c>
      <c r="E907" t="s">
        <v>19</v>
      </c>
      <c r="F907" s="10" t="s">
        <v>52</v>
      </c>
      <c r="G907" s="10" t="s">
        <v>2682</v>
      </c>
      <c r="H907" t="s">
        <v>478</v>
      </c>
      <c r="I907" t="s">
        <v>2682</v>
      </c>
      <c r="K907" s="2"/>
      <c r="M907" t="s">
        <v>2643</v>
      </c>
    </row>
    <row r="908" spans="1:13">
      <c r="A908" t="s">
        <v>28</v>
      </c>
      <c r="B908">
        <f ca="1">IF(OR(changes[[#This Row],[Type]]="Checklist",changes[[#This Row],[Type]]="checklist-flat"),1+IF(changes[[#This Row],[Type of change]] = "Edit",COUNTIFS($I$4:changes[[#This Row],[Name]],changes[[#This Row],[Name]], $E$4:changes[[#This Row],[Type of change]], "Edit")),B907)</f>
        <v>1</v>
      </c>
      <c r="C908" s="16">
        <v>44636</v>
      </c>
      <c r="D908" s="1" t="s">
        <v>2450</v>
      </c>
      <c r="E908" t="s">
        <v>19</v>
      </c>
      <c r="F908" s="10" t="s">
        <v>52</v>
      </c>
      <c r="G908" s="10" t="s">
        <v>2682</v>
      </c>
      <c r="H908" t="s">
        <v>1184</v>
      </c>
      <c r="I908" t="s">
        <v>2683</v>
      </c>
      <c r="K908" s="2"/>
      <c r="M908" t="s">
        <v>2643</v>
      </c>
    </row>
    <row r="909" spans="1:13">
      <c r="A909" t="s">
        <v>28</v>
      </c>
      <c r="B909">
        <f ca="1">IF(OR(changes[[#This Row],[Type]]="Checklist",changes[[#This Row],[Type]]="checklist-flat"),1+IF(changes[[#This Row],[Type of change]] = "Edit",COUNTIFS($I$4:changes[[#This Row],[Name]],changes[[#This Row],[Name]], $E$4:changes[[#This Row],[Type of change]], "Edit")),B908)</f>
        <v>1</v>
      </c>
      <c r="C909" s="16">
        <v>44636</v>
      </c>
      <c r="D909" s="1" t="s">
        <v>2450</v>
      </c>
      <c r="E909" t="s">
        <v>19</v>
      </c>
      <c r="F909" s="10" t="s">
        <v>52</v>
      </c>
      <c r="G909" s="10" t="s">
        <v>2682</v>
      </c>
      <c r="H909" t="s">
        <v>55</v>
      </c>
      <c r="I909" t="s">
        <v>2684</v>
      </c>
      <c r="K909" s="2"/>
      <c r="M909" t="s">
        <v>2643</v>
      </c>
    </row>
    <row r="910" spans="1:13">
      <c r="A910" t="s">
        <v>28</v>
      </c>
      <c r="B910">
        <f ca="1">IF(OR(changes[[#This Row],[Type]]="Checklist",changes[[#This Row],[Type]]="checklist-flat"),1+IF(changes[[#This Row],[Type of change]] = "Edit",COUNTIFS($I$4:changes[[#This Row],[Name]],changes[[#This Row],[Name]], $E$4:changes[[#This Row],[Type of change]], "Edit")),B909)</f>
        <v>1</v>
      </c>
      <c r="C910" s="16">
        <v>44636</v>
      </c>
      <c r="D910" s="1" t="s">
        <v>2450</v>
      </c>
      <c r="E910" t="s">
        <v>19</v>
      </c>
      <c r="F910" s="10" t="s">
        <v>52</v>
      </c>
      <c r="G910" s="10" t="s">
        <v>2682</v>
      </c>
      <c r="H910" t="s">
        <v>437</v>
      </c>
      <c r="I910" t="s">
        <v>2685</v>
      </c>
      <c r="K910" s="2"/>
      <c r="M910" t="s">
        <v>2643</v>
      </c>
    </row>
    <row r="911" spans="1:13">
      <c r="A911" t="s">
        <v>28</v>
      </c>
      <c r="B911">
        <f ca="1">IF(OR(changes[[#This Row],[Type]]="Checklist",changes[[#This Row],[Type]]="checklist-flat"),1+IF(changes[[#This Row],[Type of change]] = "Edit",COUNTIFS($I$4:changes[[#This Row],[Name]],changes[[#This Row],[Name]], $E$4:changes[[#This Row],[Type of change]], "Edit")),B910)</f>
        <v>1</v>
      </c>
      <c r="C911" s="16">
        <v>44636</v>
      </c>
      <c r="D911" s="1" t="s">
        <v>2450</v>
      </c>
      <c r="E911" t="s">
        <v>19</v>
      </c>
      <c r="F911" s="10" t="s">
        <v>52</v>
      </c>
      <c r="G911" s="10" t="s">
        <v>2682</v>
      </c>
      <c r="H911" t="s">
        <v>437</v>
      </c>
      <c r="I911" t="s">
        <v>2686</v>
      </c>
      <c r="K911" s="2"/>
      <c r="M911" t="s">
        <v>2643</v>
      </c>
    </row>
    <row r="912" spans="1:13">
      <c r="A912" t="s">
        <v>28</v>
      </c>
      <c r="B912">
        <f ca="1">IF(OR(changes[[#This Row],[Type]]="Checklist",changes[[#This Row],[Type]]="checklist-flat"),1+IF(changes[[#This Row],[Type of change]] = "Edit",COUNTIFS($I$4:changes[[#This Row],[Name]],changes[[#This Row],[Name]], $E$4:changes[[#This Row],[Type of change]], "Edit")),B911)</f>
        <v>1</v>
      </c>
      <c r="C912" s="16">
        <v>44636</v>
      </c>
      <c r="D912" s="1" t="s">
        <v>2450</v>
      </c>
      <c r="E912" t="s">
        <v>19</v>
      </c>
      <c r="F912" s="10" t="s">
        <v>52</v>
      </c>
      <c r="G912" s="10" t="s">
        <v>2682</v>
      </c>
      <c r="H912" t="s">
        <v>437</v>
      </c>
      <c r="I912" t="s">
        <v>2687</v>
      </c>
      <c r="K912" s="2"/>
      <c r="M912" t="s">
        <v>2643</v>
      </c>
    </row>
    <row r="913" spans="1:13">
      <c r="A913" t="s">
        <v>28</v>
      </c>
      <c r="B913">
        <f ca="1">IF(OR(changes[[#This Row],[Type]]="Checklist",changes[[#This Row],[Type]]="checklist-flat"),1+IF(changes[[#This Row],[Type of change]] = "Edit",COUNTIFS($I$4:changes[[#This Row],[Name]],changes[[#This Row],[Name]], $E$4:changes[[#This Row],[Type of change]], "Edit")),B912)</f>
        <v>1</v>
      </c>
      <c r="C913" s="16">
        <v>44636</v>
      </c>
      <c r="D913" s="1" t="s">
        <v>2450</v>
      </c>
      <c r="E913" t="s">
        <v>19</v>
      </c>
      <c r="F913" s="10" t="s">
        <v>52</v>
      </c>
      <c r="G913" s="10" t="s">
        <v>2682</v>
      </c>
      <c r="H913" t="s">
        <v>437</v>
      </c>
      <c r="I913" t="s">
        <v>2688</v>
      </c>
      <c r="K913" s="2"/>
      <c r="M913" t="s">
        <v>2643</v>
      </c>
    </row>
    <row r="914" spans="1:13">
      <c r="A914" t="s">
        <v>28</v>
      </c>
      <c r="B914">
        <f ca="1">IF(OR(changes[[#This Row],[Type]]="Checklist",changes[[#This Row],[Type]]="checklist-flat"),1+IF(changes[[#This Row],[Type of change]] = "Edit",COUNTIFS($I$4:changes[[#This Row],[Name]],changes[[#This Row],[Name]], $E$4:changes[[#This Row],[Type of change]], "Edit")),B913)</f>
        <v>1</v>
      </c>
      <c r="C914" s="16">
        <v>44636</v>
      </c>
      <c r="D914" s="1" t="s">
        <v>2450</v>
      </c>
      <c r="E914" t="s">
        <v>19</v>
      </c>
      <c r="F914" s="10" t="s">
        <v>52</v>
      </c>
      <c r="G914" s="10" t="s">
        <v>2682</v>
      </c>
      <c r="H914" t="s">
        <v>437</v>
      </c>
      <c r="I914" t="s">
        <v>2689</v>
      </c>
      <c r="K914" s="2"/>
      <c r="M914" t="s">
        <v>2643</v>
      </c>
    </row>
    <row r="915" spans="1:13">
      <c r="A915" t="s">
        <v>28</v>
      </c>
      <c r="B915">
        <f ca="1">IF(OR(changes[[#This Row],[Type]]="Checklist",changes[[#This Row],[Type]]="checklist-flat"),1+IF(changes[[#This Row],[Type of change]] = "Edit",COUNTIFS($I$4:changes[[#This Row],[Name]],changes[[#This Row],[Name]], $E$4:changes[[#This Row],[Type of change]], "Edit")),B914)</f>
        <v>1</v>
      </c>
      <c r="C915" s="16">
        <v>44636</v>
      </c>
      <c r="D915" s="1" t="s">
        <v>2450</v>
      </c>
      <c r="E915" t="s">
        <v>19</v>
      </c>
      <c r="F915" s="10" t="s">
        <v>52</v>
      </c>
      <c r="G915" s="10" t="s">
        <v>2682</v>
      </c>
      <c r="H915" t="s">
        <v>437</v>
      </c>
      <c r="I915" t="s">
        <v>2690</v>
      </c>
      <c r="K915" s="2"/>
      <c r="M915" t="s">
        <v>2643</v>
      </c>
    </row>
    <row r="916" spans="1:13">
      <c r="A916" t="s">
        <v>28</v>
      </c>
      <c r="B916">
        <f ca="1">IF(OR(changes[[#This Row],[Type]]="Checklist",changes[[#This Row],[Type]]="checklist-flat"),1+IF(changes[[#This Row],[Type of change]] = "Edit",COUNTIFS($I$4:changes[[#This Row],[Name]],changes[[#This Row],[Name]], $E$4:changes[[#This Row],[Type of change]], "Edit")),B915)</f>
        <v>1</v>
      </c>
      <c r="C916" s="16">
        <v>44636</v>
      </c>
      <c r="D916" s="1" t="s">
        <v>2450</v>
      </c>
      <c r="E916" t="s">
        <v>19</v>
      </c>
      <c r="F916" s="10" t="s">
        <v>52</v>
      </c>
      <c r="G916" s="10" t="s">
        <v>2682</v>
      </c>
      <c r="H916" t="s">
        <v>437</v>
      </c>
      <c r="I916" t="s">
        <v>2691</v>
      </c>
      <c r="K916" s="2"/>
      <c r="M916" t="s">
        <v>2643</v>
      </c>
    </row>
    <row r="917" spans="1:13">
      <c r="A917" t="s">
        <v>28</v>
      </c>
      <c r="B917">
        <f ca="1">IF(OR(changes[[#This Row],[Type]]="Checklist",changes[[#This Row],[Type]]="checklist-flat"),1+IF(changes[[#This Row],[Type of change]] = "Edit",COUNTIFS($I$4:changes[[#This Row],[Name]],changes[[#This Row],[Name]], $E$4:changes[[#This Row],[Type of change]], "Edit")),B916)</f>
        <v>1</v>
      </c>
      <c r="C917" s="16">
        <v>44636</v>
      </c>
      <c r="D917" s="1" t="s">
        <v>2450</v>
      </c>
      <c r="E917" t="s">
        <v>19</v>
      </c>
      <c r="F917" s="10" t="s">
        <v>52</v>
      </c>
      <c r="G917" s="10" t="s">
        <v>2682</v>
      </c>
      <c r="H917" t="s">
        <v>437</v>
      </c>
      <c r="I917" t="s">
        <v>2499</v>
      </c>
      <c r="K917" s="2"/>
      <c r="M917" t="s">
        <v>2643</v>
      </c>
    </row>
    <row r="918" spans="1:13">
      <c r="A918" t="s">
        <v>28</v>
      </c>
      <c r="B918">
        <f ca="1">IF(OR(changes[[#This Row],[Type]]="Checklist",changes[[#This Row],[Type]]="checklist-flat"),1+IF(changes[[#This Row],[Type of change]] = "Edit",COUNTIFS($I$4:changes[[#This Row],[Name]],changes[[#This Row],[Name]], $E$4:changes[[#This Row],[Type of change]], "Edit")),B917)</f>
        <v>1</v>
      </c>
      <c r="C918" s="16">
        <v>44636</v>
      </c>
      <c r="D918" s="1" t="s">
        <v>2450</v>
      </c>
      <c r="E918" t="s">
        <v>19</v>
      </c>
      <c r="F918" s="10" t="s">
        <v>52</v>
      </c>
      <c r="G918" s="10" t="s">
        <v>2682</v>
      </c>
      <c r="H918" t="s">
        <v>951</v>
      </c>
      <c r="I918" t="s">
        <v>377</v>
      </c>
      <c r="K918" s="2"/>
      <c r="M918" t="s">
        <v>2643</v>
      </c>
    </row>
    <row r="919" spans="1:13">
      <c r="A919" t="s">
        <v>28</v>
      </c>
      <c r="B919">
        <f ca="1">IF(OR(changes[[#This Row],[Type]]="Checklist",changes[[#This Row],[Type]]="checklist-flat"),1+IF(changes[[#This Row],[Type of change]] = "Edit",COUNTIFS($I$4:changes[[#This Row],[Name]],changes[[#This Row],[Name]], $E$4:changes[[#This Row],[Type of change]], "Edit")),B918)</f>
        <v>1</v>
      </c>
      <c r="C919" s="16">
        <v>44636</v>
      </c>
      <c r="D919" s="1" t="s">
        <v>2450</v>
      </c>
      <c r="E919" t="s">
        <v>19</v>
      </c>
      <c r="F919" s="10" t="s">
        <v>52</v>
      </c>
      <c r="G919" s="10" t="s">
        <v>2682</v>
      </c>
      <c r="H919" t="s">
        <v>951</v>
      </c>
      <c r="I919" t="s">
        <v>2501</v>
      </c>
      <c r="K919" s="2"/>
      <c r="M919" t="s">
        <v>2643</v>
      </c>
    </row>
    <row r="920" spans="1:13">
      <c r="A920" t="s">
        <v>28</v>
      </c>
      <c r="B920">
        <f ca="1">IF(OR(changes[[#This Row],[Type]]="Checklist",changes[[#This Row],[Type]]="checklist-flat"),1+IF(changes[[#This Row],[Type of change]] = "Edit",COUNTIFS($I$4:changes[[#This Row],[Name]],changes[[#This Row],[Name]], $E$4:changes[[#This Row],[Type of change]], "Edit")),B919)</f>
        <v>1</v>
      </c>
      <c r="C920" s="16">
        <v>44636</v>
      </c>
      <c r="D920" s="1" t="s">
        <v>2450</v>
      </c>
      <c r="E920" t="s">
        <v>19</v>
      </c>
      <c r="F920" s="10" t="s">
        <v>52</v>
      </c>
      <c r="G920" s="10" t="s">
        <v>2682</v>
      </c>
      <c r="H920" t="s">
        <v>951</v>
      </c>
      <c r="I920" t="s">
        <v>2678</v>
      </c>
      <c r="K920" s="2"/>
      <c r="M920" t="s">
        <v>2643</v>
      </c>
    </row>
    <row r="921" spans="1:13">
      <c r="A921" t="s">
        <v>28</v>
      </c>
      <c r="B921">
        <f ca="1">IF(OR(changes[[#This Row],[Type]]="Checklist",changes[[#This Row],[Type]]="checklist-flat"),1+IF(changes[[#This Row],[Type of change]] = "Edit",COUNTIFS($I$4:changes[[#This Row],[Name]],changes[[#This Row],[Name]], $E$4:changes[[#This Row],[Type of change]], "Edit")),B920)</f>
        <v>1</v>
      </c>
      <c r="C921" s="16">
        <v>44636</v>
      </c>
      <c r="D921" s="1" t="s">
        <v>2450</v>
      </c>
      <c r="E921" t="s">
        <v>19</v>
      </c>
      <c r="F921" s="10" t="s">
        <v>52</v>
      </c>
      <c r="G921" s="10" t="s">
        <v>2682</v>
      </c>
      <c r="H921" t="s">
        <v>951</v>
      </c>
      <c r="I921" t="s">
        <v>2679</v>
      </c>
      <c r="K921" s="2"/>
      <c r="M921" t="s">
        <v>2643</v>
      </c>
    </row>
    <row r="922" spans="1:13">
      <c r="A922" t="s">
        <v>28</v>
      </c>
      <c r="B922">
        <f ca="1">IF(OR(changes[[#This Row],[Type]]="Checklist",changes[[#This Row],[Type]]="checklist-flat"),1+IF(changes[[#This Row],[Type of change]] = "Edit",COUNTIFS($I$4:changes[[#This Row],[Name]],changes[[#This Row],[Name]], $E$4:changes[[#This Row],[Type of change]], "Edit")),B921)</f>
        <v>1</v>
      </c>
      <c r="C922" s="16">
        <v>44636</v>
      </c>
      <c r="D922" s="1" t="s">
        <v>2450</v>
      </c>
      <c r="E922" t="s">
        <v>19</v>
      </c>
      <c r="F922" s="10" t="s">
        <v>52</v>
      </c>
      <c r="G922" s="10" t="s">
        <v>2682</v>
      </c>
      <c r="H922" t="s">
        <v>437</v>
      </c>
      <c r="I922" t="s">
        <v>2692</v>
      </c>
      <c r="K922" s="2"/>
      <c r="M922" t="s">
        <v>2643</v>
      </c>
    </row>
    <row r="923" spans="1:13">
      <c r="A923" t="s">
        <v>28</v>
      </c>
      <c r="B923">
        <f ca="1">IF(OR(changes[[#This Row],[Type]]="Checklist",changes[[#This Row],[Type]]="checklist-flat"),1+IF(changes[[#This Row],[Type of change]] = "Edit",COUNTIFS($I$4:changes[[#This Row],[Name]],changes[[#This Row],[Name]], $E$4:changes[[#This Row],[Type of change]], "Edit")),B922)</f>
        <v>1</v>
      </c>
      <c r="C923" s="16">
        <v>44636</v>
      </c>
      <c r="D923" s="1" t="s">
        <v>2450</v>
      </c>
      <c r="E923" t="s">
        <v>19</v>
      </c>
      <c r="F923" s="10" t="s">
        <v>52</v>
      </c>
      <c r="G923" s="10" t="s">
        <v>2682</v>
      </c>
      <c r="H923" t="s">
        <v>437</v>
      </c>
      <c r="I923" t="s">
        <v>2681</v>
      </c>
      <c r="K923" s="2"/>
      <c r="M923" t="s">
        <v>2643</v>
      </c>
    </row>
    <row r="924" spans="1:13">
      <c r="A924" t="s">
        <v>28</v>
      </c>
      <c r="B924">
        <f ca="1">IF(OR(changes[[#This Row],[Type]]="Checklist",changes[[#This Row],[Type]]="checklist-flat"),1+IF(changes[[#This Row],[Type of change]] = "Edit",COUNTIFS($I$4:changes[[#This Row],[Name]],changes[[#This Row],[Name]], $E$4:changes[[#This Row],[Type of change]], "Edit")),B923)</f>
        <v>1</v>
      </c>
      <c r="C924" s="16">
        <v>44636</v>
      </c>
      <c r="D924" s="1" t="s">
        <v>2450</v>
      </c>
      <c r="E924" t="s">
        <v>19</v>
      </c>
      <c r="F924" s="10" t="s">
        <v>52</v>
      </c>
      <c r="G924" s="10" t="s">
        <v>2682</v>
      </c>
      <c r="H924" t="s">
        <v>64</v>
      </c>
      <c r="I924" t="s">
        <v>2669</v>
      </c>
      <c r="K924" s="2"/>
      <c r="M924" t="s">
        <v>2643</v>
      </c>
    </row>
    <row r="925" spans="1:13">
      <c r="A925" t="s">
        <v>28</v>
      </c>
      <c r="B925">
        <f ca="1">IF(OR(changes[[#This Row],[Type]]="Checklist",changes[[#This Row],[Type]]="checklist-flat"),1+IF(changes[[#This Row],[Type of change]] = "Edit",COUNTIFS($I$4:changes[[#This Row],[Name]],changes[[#This Row],[Name]], $E$4:changes[[#This Row],[Type of change]], "Edit")),B924)</f>
        <v>1</v>
      </c>
      <c r="C925" s="16">
        <v>44636</v>
      </c>
      <c r="D925" s="1" t="s">
        <v>2450</v>
      </c>
      <c r="E925" t="s">
        <v>19</v>
      </c>
      <c r="F925" s="10" t="s">
        <v>52</v>
      </c>
      <c r="G925" s="10" t="s">
        <v>2682</v>
      </c>
      <c r="H925" t="s">
        <v>1184</v>
      </c>
      <c r="I925" t="s">
        <v>2693</v>
      </c>
      <c r="K925" s="2"/>
      <c r="M925" t="s">
        <v>2643</v>
      </c>
    </row>
    <row r="926" spans="1:13">
      <c r="A926" t="s">
        <v>28</v>
      </c>
      <c r="B926">
        <f ca="1">IF(OR(changes[[#This Row],[Type]]="Checklist",changes[[#This Row],[Type]]="checklist-flat"),1+IF(changes[[#This Row],[Type of change]] = "Edit",COUNTIFS($I$4:changes[[#This Row],[Name]],changes[[#This Row],[Name]], $E$4:changes[[#This Row],[Type of change]], "Edit")),B925)</f>
        <v>1</v>
      </c>
      <c r="C926" s="16">
        <v>44636</v>
      </c>
      <c r="D926" s="1" t="s">
        <v>2450</v>
      </c>
      <c r="E926" t="s">
        <v>19</v>
      </c>
      <c r="F926" s="10" t="s">
        <v>52</v>
      </c>
      <c r="G926" s="10" t="s">
        <v>2682</v>
      </c>
      <c r="H926" t="s">
        <v>55</v>
      </c>
      <c r="I926" t="s">
        <v>2684</v>
      </c>
      <c r="K926" s="2"/>
      <c r="M926" t="s">
        <v>2643</v>
      </c>
    </row>
    <row r="927" spans="1:13">
      <c r="A927" t="s">
        <v>28</v>
      </c>
      <c r="B927">
        <f ca="1">IF(OR(changes[[#This Row],[Type]]="Checklist",changes[[#This Row],[Type]]="checklist-flat"),1+IF(changes[[#This Row],[Type of change]] = "Edit",COUNTIFS($I$4:changes[[#This Row],[Name]],changes[[#This Row],[Name]], $E$4:changes[[#This Row],[Type of change]], "Edit")),B926)</f>
        <v>1</v>
      </c>
      <c r="C927" s="16">
        <v>44636</v>
      </c>
      <c r="D927" s="1" t="s">
        <v>2450</v>
      </c>
      <c r="E927" t="s">
        <v>19</v>
      </c>
      <c r="F927" s="10" t="s">
        <v>52</v>
      </c>
      <c r="G927" s="10" t="s">
        <v>2682</v>
      </c>
      <c r="H927" t="s">
        <v>437</v>
      </c>
      <c r="I927" t="s">
        <v>2685</v>
      </c>
      <c r="K927" s="2"/>
      <c r="M927" t="s">
        <v>2643</v>
      </c>
    </row>
    <row r="928" spans="1:13">
      <c r="A928" t="s">
        <v>28</v>
      </c>
      <c r="B928">
        <f ca="1">IF(OR(changes[[#This Row],[Type]]="Checklist",changes[[#This Row],[Type]]="checklist-flat"),1+IF(changes[[#This Row],[Type of change]] = "Edit",COUNTIFS($I$4:changes[[#This Row],[Name]],changes[[#This Row],[Name]], $E$4:changes[[#This Row],[Type of change]], "Edit")),B927)</f>
        <v>1</v>
      </c>
      <c r="C928" s="16">
        <v>44636</v>
      </c>
      <c r="D928" s="1" t="s">
        <v>2450</v>
      </c>
      <c r="E928" t="s">
        <v>19</v>
      </c>
      <c r="F928" s="10" t="s">
        <v>52</v>
      </c>
      <c r="G928" s="10" t="s">
        <v>2682</v>
      </c>
      <c r="H928" t="s">
        <v>437</v>
      </c>
      <c r="I928" t="s">
        <v>2686</v>
      </c>
      <c r="K928" s="2"/>
      <c r="M928" t="s">
        <v>2643</v>
      </c>
    </row>
    <row r="929" spans="1:13">
      <c r="A929" t="s">
        <v>28</v>
      </c>
      <c r="B929">
        <f ca="1">IF(OR(changes[[#This Row],[Type]]="Checklist",changes[[#This Row],[Type]]="checklist-flat"),1+IF(changes[[#This Row],[Type of change]] = "Edit",COUNTIFS($I$4:changes[[#This Row],[Name]],changes[[#This Row],[Name]], $E$4:changes[[#This Row],[Type of change]], "Edit")),B928)</f>
        <v>1</v>
      </c>
      <c r="C929" s="16">
        <v>44636</v>
      </c>
      <c r="D929" s="1" t="s">
        <v>2450</v>
      </c>
      <c r="E929" t="s">
        <v>19</v>
      </c>
      <c r="F929" s="10" t="s">
        <v>52</v>
      </c>
      <c r="G929" s="10" t="s">
        <v>2682</v>
      </c>
      <c r="H929" t="s">
        <v>437</v>
      </c>
      <c r="I929" t="s">
        <v>2687</v>
      </c>
      <c r="K929" s="2"/>
      <c r="M929" t="s">
        <v>2643</v>
      </c>
    </row>
    <row r="930" spans="1:13">
      <c r="A930" t="s">
        <v>28</v>
      </c>
      <c r="B930">
        <f ca="1">IF(OR(changes[[#This Row],[Type]]="Checklist",changes[[#This Row],[Type]]="checklist-flat"),1+IF(changes[[#This Row],[Type of change]] = "Edit",COUNTIFS($I$4:changes[[#This Row],[Name]],changes[[#This Row],[Name]], $E$4:changes[[#This Row],[Type of change]], "Edit")),B929)</f>
        <v>1</v>
      </c>
      <c r="C930" s="16">
        <v>44636</v>
      </c>
      <c r="D930" s="1" t="s">
        <v>2450</v>
      </c>
      <c r="E930" t="s">
        <v>19</v>
      </c>
      <c r="F930" s="10" t="s">
        <v>52</v>
      </c>
      <c r="G930" s="10" t="s">
        <v>2682</v>
      </c>
      <c r="H930" t="s">
        <v>437</v>
      </c>
      <c r="I930" t="s">
        <v>2688</v>
      </c>
      <c r="K930" s="2"/>
      <c r="M930" t="s">
        <v>2643</v>
      </c>
    </row>
    <row r="931" spans="1:13">
      <c r="A931" t="s">
        <v>28</v>
      </c>
      <c r="B931">
        <f ca="1">IF(OR(changes[[#This Row],[Type]]="Checklist",changes[[#This Row],[Type]]="checklist-flat"),1+IF(changes[[#This Row],[Type of change]] = "Edit",COUNTIFS($I$4:changes[[#This Row],[Name]],changes[[#This Row],[Name]], $E$4:changes[[#This Row],[Type of change]], "Edit")),B930)</f>
        <v>1</v>
      </c>
      <c r="C931" s="16">
        <v>44636</v>
      </c>
      <c r="D931" s="1" t="s">
        <v>2450</v>
      </c>
      <c r="E931" t="s">
        <v>19</v>
      </c>
      <c r="F931" s="10" t="s">
        <v>52</v>
      </c>
      <c r="G931" s="10" t="s">
        <v>2682</v>
      </c>
      <c r="H931" t="s">
        <v>437</v>
      </c>
      <c r="I931" t="s">
        <v>2689</v>
      </c>
      <c r="K931" s="2"/>
      <c r="M931" t="s">
        <v>2643</v>
      </c>
    </row>
    <row r="932" spans="1:13">
      <c r="A932" t="s">
        <v>28</v>
      </c>
      <c r="B932">
        <f ca="1">IF(OR(changes[[#This Row],[Type]]="Checklist",changes[[#This Row],[Type]]="checklist-flat"),1+IF(changes[[#This Row],[Type of change]] = "Edit",COUNTIFS($I$4:changes[[#This Row],[Name]],changes[[#This Row],[Name]], $E$4:changes[[#This Row],[Type of change]], "Edit")),B931)</f>
        <v>1</v>
      </c>
      <c r="C932" s="16">
        <v>44636</v>
      </c>
      <c r="D932" s="1" t="s">
        <v>2450</v>
      </c>
      <c r="E932" t="s">
        <v>19</v>
      </c>
      <c r="F932" s="10" t="s">
        <v>52</v>
      </c>
      <c r="G932" s="10" t="s">
        <v>2682</v>
      </c>
      <c r="H932" t="s">
        <v>437</v>
      </c>
      <c r="I932" t="s">
        <v>2690</v>
      </c>
      <c r="K932" s="2"/>
      <c r="M932" t="s">
        <v>2643</v>
      </c>
    </row>
    <row r="933" spans="1:13">
      <c r="A933" t="s">
        <v>28</v>
      </c>
      <c r="B933">
        <f ca="1">IF(OR(changes[[#This Row],[Type]]="Checklist",changes[[#This Row],[Type]]="checklist-flat"),1+IF(changes[[#This Row],[Type of change]] = "Edit",COUNTIFS($I$4:changes[[#This Row],[Name]],changes[[#This Row],[Name]], $E$4:changes[[#This Row],[Type of change]], "Edit")),B932)</f>
        <v>1</v>
      </c>
      <c r="C933" s="16">
        <v>44636</v>
      </c>
      <c r="D933" s="1" t="s">
        <v>2450</v>
      </c>
      <c r="E933" t="s">
        <v>19</v>
      </c>
      <c r="F933" s="10" t="s">
        <v>52</v>
      </c>
      <c r="G933" s="10" t="s">
        <v>2682</v>
      </c>
      <c r="H933" t="s">
        <v>437</v>
      </c>
      <c r="I933" t="s">
        <v>2691</v>
      </c>
      <c r="K933" s="2"/>
      <c r="M933" t="s">
        <v>2643</v>
      </c>
    </row>
    <row r="934" spans="1:13">
      <c r="A934" t="s">
        <v>28</v>
      </c>
      <c r="B934">
        <f ca="1">IF(OR(changes[[#This Row],[Type]]="Checklist",changes[[#This Row],[Type]]="checklist-flat"),1+IF(changes[[#This Row],[Type of change]] = "Edit",COUNTIFS($I$4:changes[[#This Row],[Name]],changes[[#This Row],[Name]], $E$4:changes[[#This Row],[Type of change]], "Edit")),B933)</f>
        <v>1</v>
      </c>
      <c r="C934" s="16">
        <v>44636</v>
      </c>
      <c r="D934" s="1" t="s">
        <v>2450</v>
      </c>
      <c r="E934" t="s">
        <v>19</v>
      </c>
      <c r="F934" s="10" t="s">
        <v>52</v>
      </c>
      <c r="G934" s="10" t="s">
        <v>2682</v>
      </c>
      <c r="H934" t="s">
        <v>437</v>
      </c>
      <c r="I934" t="s">
        <v>2499</v>
      </c>
      <c r="K934" s="2"/>
      <c r="M934" t="s">
        <v>2643</v>
      </c>
    </row>
    <row r="935" spans="1:13">
      <c r="A935" t="s">
        <v>28</v>
      </c>
      <c r="B935">
        <f ca="1">IF(OR(changes[[#This Row],[Type]]="Checklist",changes[[#This Row],[Type]]="checklist-flat"),1+IF(changes[[#This Row],[Type of change]] = "Edit",COUNTIFS($I$4:changes[[#This Row],[Name]],changes[[#This Row],[Name]], $E$4:changes[[#This Row],[Type of change]], "Edit")),B934)</f>
        <v>1</v>
      </c>
      <c r="C935" s="16">
        <v>44636</v>
      </c>
      <c r="D935" s="1" t="s">
        <v>2450</v>
      </c>
      <c r="E935" t="s">
        <v>19</v>
      </c>
      <c r="F935" s="10" t="s">
        <v>52</v>
      </c>
      <c r="G935" s="10" t="s">
        <v>2682</v>
      </c>
      <c r="H935" t="s">
        <v>951</v>
      </c>
      <c r="I935" t="s">
        <v>377</v>
      </c>
      <c r="K935" s="2"/>
      <c r="M935" t="s">
        <v>2643</v>
      </c>
    </row>
    <row r="936" spans="1:13">
      <c r="A936" t="s">
        <v>28</v>
      </c>
      <c r="B936">
        <f ca="1">IF(OR(changes[[#This Row],[Type]]="Checklist",changes[[#This Row],[Type]]="checklist-flat"),1+IF(changes[[#This Row],[Type of change]] = "Edit",COUNTIFS($I$4:changes[[#This Row],[Name]],changes[[#This Row],[Name]], $E$4:changes[[#This Row],[Type of change]], "Edit")),B935)</f>
        <v>1</v>
      </c>
      <c r="C936" s="16">
        <v>44636</v>
      </c>
      <c r="D936" s="1" t="s">
        <v>2450</v>
      </c>
      <c r="E936" t="s">
        <v>19</v>
      </c>
      <c r="F936" s="10" t="s">
        <v>52</v>
      </c>
      <c r="G936" s="10" t="s">
        <v>2682</v>
      </c>
      <c r="H936" t="s">
        <v>951</v>
      </c>
      <c r="I936" t="s">
        <v>2501</v>
      </c>
      <c r="K936" s="2"/>
      <c r="M936" t="s">
        <v>2643</v>
      </c>
    </row>
    <row r="937" spans="1:13">
      <c r="A937" t="s">
        <v>28</v>
      </c>
      <c r="B937">
        <f ca="1">IF(OR(changes[[#This Row],[Type]]="Checklist",changes[[#This Row],[Type]]="checklist-flat"),1+IF(changes[[#This Row],[Type of change]] = "Edit",COUNTIFS($I$4:changes[[#This Row],[Name]],changes[[#This Row],[Name]], $E$4:changes[[#This Row],[Type of change]], "Edit")),B936)</f>
        <v>1</v>
      </c>
      <c r="C937" s="16">
        <v>44636</v>
      </c>
      <c r="D937" s="1" t="s">
        <v>2450</v>
      </c>
      <c r="E937" t="s">
        <v>19</v>
      </c>
      <c r="F937" s="10" t="s">
        <v>52</v>
      </c>
      <c r="G937" s="10" t="s">
        <v>2682</v>
      </c>
      <c r="H937" t="s">
        <v>951</v>
      </c>
      <c r="I937" t="s">
        <v>2678</v>
      </c>
      <c r="K937" s="2"/>
      <c r="M937" t="s">
        <v>2643</v>
      </c>
    </row>
    <row r="938" spans="1:13">
      <c r="A938" t="s">
        <v>28</v>
      </c>
      <c r="B938">
        <f ca="1">IF(OR(changes[[#This Row],[Type]]="Checklist",changes[[#This Row],[Type]]="checklist-flat"),1+IF(changes[[#This Row],[Type of change]] = "Edit",COUNTIFS($I$4:changes[[#This Row],[Name]],changes[[#This Row],[Name]], $E$4:changes[[#This Row],[Type of change]], "Edit")),B937)</f>
        <v>1</v>
      </c>
      <c r="C938" s="16">
        <v>44636</v>
      </c>
      <c r="D938" s="1" t="s">
        <v>2450</v>
      </c>
      <c r="E938" t="s">
        <v>19</v>
      </c>
      <c r="F938" s="10" t="s">
        <v>52</v>
      </c>
      <c r="G938" s="10" t="s">
        <v>2682</v>
      </c>
      <c r="H938" t="s">
        <v>951</v>
      </c>
      <c r="I938" t="s">
        <v>2679</v>
      </c>
      <c r="K938" s="2"/>
      <c r="M938" t="s">
        <v>2643</v>
      </c>
    </row>
    <row r="939" spans="1:13">
      <c r="A939" t="s">
        <v>28</v>
      </c>
      <c r="B939">
        <f ca="1">IF(OR(changes[[#This Row],[Type]]="Checklist",changes[[#This Row],[Type]]="checklist-flat"),1+IF(changes[[#This Row],[Type of change]] = "Edit",COUNTIFS($I$4:changes[[#This Row],[Name]],changes[[#This Row],[Name]], $E$4:changes[[#This Row],[Type of change]], "Edit")),B938)</f>
        <v>1</v>
      </c>
      <c r="C939" s="16">
        <v>44636</v>
      </c>
      <c r="D939" s="1" t="s">
        <v>2450</v>
      </c>
      <c r="E939" t="s">
        <v>19</v>
      </c>
      <c r="F939" s="10" t="s">
        <v>52</v>
      </c>
      <c r="G939" s="10" t="s">
        <v>2682</v>
      </c>
      <c r="H939" t="s">
        <v>437</v>
      </c>
      <c r="I939" t="s">
        <v>2692</v>
      </c>
      <c r="K939" s="2"/>
      <c r="M939" t="s">
        <v>2643</v>
      </c>
    </row>
    <row r="940" spans="1:13">
      <c r="A940" t="s">
        <v>28</v>
      </c>
      <c r="B940">
        <f ca="1">IF(OR(changes[[#This Row],[Type]]="Checklist",changes[[#This Row],[Type]]="checklist-flat"),1+IF(changes[[#This Row],[Type of change]] = "Edit",COUNTIFS($I$4:changes[[#This Row],[Name]],changes[[#This Row],[Name]], $E$4:changes[[#This Row],[Type of change]], "Edit")),B939)</f>
        <v>1</v>
      </c>
      <c r="C940" s="16">
        <v>44636</v>
      </c>
      <c r="D940" s="1" t="s">
        <v>2450</v>
      </c>
      <c r="E940" t="s">
        <v>19</v>
      </c>
      <c r="F940" s="10" t="s">
        <v>52</v>
      </c>
      <c r="G940" s="10" t="s">
        <v>2682</v>
      </c>
      <c r="H940" t="s">
        <v>437</v>
      </c>
      <c r="I940" t="s">
        <v>2681</v>
      </c>
      <c r="K940" s="2"/>
      <c r="M940" t="s">
        <v>2643</v>
      </c>
    </row>
    <row r="941" spans="1:13">
      <c r="A941" t="s">
        <v>28</v>
      </c>
      <c r="B941">
        <f ca="1">IF(OR(changes[[#This Row],[Type]]="Checklist",changes[[#This Row],[Type]]="checklist-flat"),1+IF(changes[[#This Row],[Type of change]] = "Edit",COUNTIFS($I$4:changes[[#This Row],[Name]],changes[[#This Row],[Name]], $E$4:changes[[#This Row],[Type of change]], "Edit")),B940)</f>
        <v>1</v>
      </c>
      <c r="C941" s="16">
        <v>44636</v>
      </c>
      <c r="D941" s="1" t="s">
        <v>2450</v>
      </c>
      <c r="E941" t="s">
        <v>19</v>
      </c>
      <c r="F941" s="10" t="s">
        <v>52</v>
      </c>
      <c r="G941" s="10" t="s">
        <v>2682</v>
      </c>
      <c r="H941" t="s">
        <v>64</v>
      </c>
      <c r="I941" t="s">
        <v>2669</v>
      </c>
      <c r="K941" s="2"/>
      <c r="M941" t="s">
        <v>2643</v>
      </c>
    </row>
    <row r="942" spans="1:13">
      <c r="A942" t="s">
        <v>28</v>
      </c>
      <c r="B942">
        <f ca="1">IF(OR(changes[[#This Row],[Type]]="Checklist",changes[[#This Row],[Type]]="checklist-flat"),1+IF(changes[[#This Row],[Type of change]] = "Edit",COUNTIFS($I$4:changes[[#This Row],[Name]],changes[[#This Row],[Name]], $E$4:changes[[#This Row],[Type of change]], "Edit")),B941)</f>
        <v>1</v>
      </c>
      <c r="C942" s="16">
        <v>44636</v>
      </c>
      <c r="D942" s="1" t="s">
        <v>2450</v>
      </c>
      <c r="E942" t="s">
        <v>19</v>
      </c>
      <c r="F942" s="10" t="s">
        <v>52</v>
      </c>
      <c r="G942" s="10" t="s">
        <v>2682</v>
      </c>
      <c r="H942" t="s">
        <v>1184</v>
      </c>
      <c r="I942" t="s">
        <v>2694</v>
      </c>
      <c r="K942" s="2"/>
      <c r="M942" t="s">
        <v>2643</v>
      </c>
    </row>
    <row r="943" spans="1:13">
      <c r="A943" t="s">
        <v>28</v>
      </c>
      <c r="B943">
        <f ca="1">IF(OR(changes[[#This Row],[Type]]="Checklist",changes[[#This Row],[Type]]="checklist-flat"),1+IF(changes[[#This Row],[Type of change]] = "Edit",COUNTIFS($I$4:changes[[#This Row],[Name]],changes[[#This Row],[Name]], $E$4:changes[[#This Row],[Type of change]], "Edit")),B942)</f>
        <v>1</v>
      </c>
      <c r="C943" s="16">
        <v>44636</v>
      </c>
      <c r="D943" s="1" t="s">
        <v>2450</v>
      </c>
      <c r="E943" t="s">
        <v>19</v>
      </c>
      <c r="F943" s="10" t="s">
        <v>52</v>
      </c>
      <c r="G943" s="10" t="s">
        <v>2682</v>
      </c>
      <c r="H943" t="s">
        <v>55</v>
      </c>
      <c r="I943" t="s">
        <v>2684</v>
      </c>
      <c r="K943" s="2"/>
      <c r="M943" t="s">
        <v>2643</v>
      </c>
    </row>
    <row r="944" spans="1:13">
      <c r="A944" t="s">
        <v>28</v>
      </c>
      <c r="B944">
        <f ca="1">IF(OR(changes[[#This Row],[Type]]="Checklist",changes[[#This Row],[Type]]="checklist-flat"),1+IF(changes[[#This Row],[Type of change]] = "Edit",COUNTIFS($I$4:changes[[#This Row],[Name]],changes[[#This Row],[Name]], $E$4:changes[[#This Row],[Type of change]], "Edit")),B943)</f>
        <v>1</v>
      </c>
      <c r="C944" s="16">
        <v>44636</v>
      </c>
      <c r="D944" s="1" t="s">
        <v>2450</v>
      </c>
      <c r="E944" t="s">
        <v>19</v>
      </c>
      <c r="F944" s="10" t="s">
        <v>52</v>
      </c>
      <c r="G944" s="10" t="s">
        <v>2682</v>
      </c>
      <c r="H944" t="s">
        <v>437</v>
      </c>
      <c r="I944" t="s">
        <v>2685</v>
      </c>
      <c r="K944" s="2"/>
      <c r="M944" t="s">
        <v>2643</v>
      </c>
    </row>
    <row r="945" spans="1:13">
      <c r="A945" t="s">
        <v>28</v>
      </c>
      <c r="B945">
        <f ca="1">IF(OR(changes[[#This Row],[Type]]="Checklist",changes[[#This Row],[Type]]="checklist-flat"),1+IF(changes[[#This Row],[Type of change]] = "Edit",COUNTIFS($I$4:changes[[#This Row],[Name]],changes[[#This Row],[Name]], $E$4:changes[[#This Row],[Type of change]], "Edit")),B944)</f>
        <v>1</v>
      </c>
      <c r="C945" s="16">
        <v>44636</v>
      </c>
      <c r="D945" s="1" t="s">
        <v>2450</v>
      </c>
      <c r="E945" t="s">
        <v>19</v>
      </c>
      <c r="F945" s="10" t="s">
        <v>52</v>
      </c>
      <c r="G945" s="10" t="s">
        <v>2682</v>
      </c>
      <c r="H945" t="s">
        <v>437</v>
      </c>
      <c r="I945" t="s">
        <v>2686</v>
      </c>
      <c r="K945" s="2"/>
      <c r="M945" t="s">
        <v>2643</v>
      </c>
    </row>
    <row r="946" spans="1:13">
      <c r="A946" t="s">
        <v>28</v>
      </c>
      <c r="B946">
        <f ca="1">IF(OR(changes[[#This Row],[Type]]="Checklist",changes[[#This Row],[Type]]="checklist-flat"),1+IF(changes[[#This Row],[Type of change]] = "Edit",COUNTIFS($I$4:changes[[#This Row],[Name]],changes[[#This Row],[Name]], $E$4:changes[[#This Row],[Type of change]], "Edit")),B945)</f>
        <v>1</v>
      </c>
      <c r="C946" s="16">
        <v>44636</v>
      </c>
      <c r="D946" s="1" t="s">
        <v>2450</v>
      </c>
      <c r="E946" t="s">
        <v>19</v>
      </c>
      <c r="F946" s="10" t="s">
        <v>52</v>
      </c>
      <c r="G946" s="10" t="s">
        <v>2682</v>
      </c>
      <c r="H946" t="s">
        <v>437</v>
      </c>
      <c r="I946" t="s">
        <v>2687</v>
      </c>
      <c r="K946" s="2"/>
      <c r="M946" t="s">
        <v>2643</v>
      </c>
    </row>
    <row r="947" spans="1:13">
      <c r="A947" t="s">
        <v>28</v>
      </c>
      <c r="B947">
        <f ca="1">IF(OR(changes[[#This Row],[Type]]="Checklist",changes[[#This Row],[Type]]="checklist-flat"),1+IF(changes[[#This Row],[Type of change]] = "Edit",COUNTIFS($I$4:changes[[#This Row],[Name]],changes[[#This Row],[Name]], $E$4:changes[[#This Row],[Type of change]], "Edit")),B946)</f>
        <v>1</v>
      </c>
      <c r="C947" s="16">
        <v>44636</v>
      </c>
      <c r="D947" s="1" t="s">
        <v>2450</v>
      </c>
      <c r="E947" t="s">
        <v>19</v>
      </c>
      <c r="F947" s="10" t="s">
        <v>52</v>
      </c>
      <c r="G947" s="10" t="s">
        <v>2682</v>
      </c>
      <c r="H947" t="s">
        <v>437</v>
      </c>
      <c r="I947" t="s">
        <v>2688</v>
      </c>
      <c r="K947" s="2"/>
      <c r="M947" t="s">
        <v>2643</v>
      </c>
    </row>
    <row r="948" spans="1:13">
      <c r="A948" t="s">
        <v>28</v>
      </c>
      <c r="B948">
        <f ca="1">IF(OR(changes[[#This Row],[Type]]="Checklist",changes[[#This Row],[Type]]="checklist-flat"),1+IF(changes[[#This Row],[Type of change]] = "Edit",COUNTIFS($I$4:changes[[#This Row],[Name]],changes[[#This Row],[Name]], $E$4:changes[[#This Row],[Type of change]], "Edit")),B947)</f>
        <v>1</v>
      </c>
      <c r="C948" s="16">
        <v>44636</v>
      </c>
      <c r="D948" s="1" t="s">
        <v>2450</v>
      </c>
      <c r="E948" t="s">
        <v>19</v>
      </c>
      <c r="F948" s="10" t="s">
        <v>52</v>
      </c>
      <c r="G948" s="10" t="s">
        <v>2682</v>
      </c>
      <c r="H948" t="s">
        <v>437</v>
      </c>
      <c r="I948" t="s">
        <v>2689</v>
      </c>
      <c r="K948" s="2"/>
      <c r="M948" t="s">
        <v>2643</v>
      </c>
    </row>
    <row r="949" spans="1:13">
      <c r="A949" t="s">
        <v>28</v>
      </c>
      <c r="B949">
        <f ca="1">IF(OR(changes[[#This Row],[Type]]="Checklist",changes[[#This Row],[Type]]="checklist-flat"),1+IF(changes[[#This Row],[Type of change]] = "Edit",COUNTIFS($I$4:changes[[#This Row],[Name]],changes[[#This Row],[Name]], $E$4:changes[[#This Row],[Type of change]], "Edit")),B948)</f>
        <v>1</v>
      </c>
      <c r="C949" s="16">
        <v>44636</v>
      </c>
      <c r="D949" s="1" t="s">
        <v>2450</v>
      </c>
      <c r="E949" t="s">
        <v>19</v>
      </c>
      <c r="F949" s="10" t="s">
        <v>52</v>
      </c>
      <c r="G949" s="10" t="s">
        <v>2682</v>
      </c>
      <c r="H949" t="s">
        <v>437</v>
      </c>
      <c r="I949" t="s">
        <v>2690</v>
      </c>
      <c r="K949" s="2"/>
      <c r="M949" t="s">
        <v>2643</v>
      </c>
    </row>
    <row r="950" spans="1:13">
      <c r="A950" t="s">
        <v>28</v>
      </c>
      <c r="B950">
        <f ca="1">IF(OR(changes[[#This Row],[Type]]="Checklist",changes[[#This Row],[Type]]="checklist-flat"),1+IF(changes[[#This Row],[Type of change]] = "Edit",COUNTIFS($I$4:changes[[#This Row],[Name]],changes[[#This Row],[Name]], $E$4:changes[[#This Row],[Type of change]], "Edit")),B949)</f>
        <v>1</v>
      </c>
      <c r="C950" s="16">
        <v>44636</v>
      </c>
      <c r="D950" s="1" t="s">
        <v>2450</v>
      </c>
      <c r="E950" t="s">
        <v>19</v>
      </c>
      <c r="F950" s="10" t="s">
        <v>52</v>
      </c>
      <c r="G950" s="10" t="s">
        <v>2682</v>
      </c>
      <c r="H950" t="s">
        <v>437</v>
      </c>
      <c r="I950" t="s">
        <v>2691</v>
      </c>
      <c r="K950" s="2"/>
      <c r="M950" t="s">
        <v>2643</v>
      </c>
    </row>
    <row r="951" spans="1:13">
      <c r="A951" t="s">
        <v>28</v>
      </c>
      <c r="B951">
        <f ca="1">IF(OR(changes[[#This Row],[Type]]="Checklist",changes[[#This Row],[Type]]="checklist-flat"),1+IF(changes[[#This Row],[Type of change]] = "Edit",COUNTIFS($I$4:changes[[#This Row],[Name]],changes[[#This Row],[Name]], $E$4:changes[[#This Row],[Type of change]], "Edit")),B950)</f>
        <v>1</v>
      </c>
      <c r="C951" s="16">
        <v>44636</v>
      </c>
      <c r="D951" s="1" t="s">
        <v>2450</v>
      </c>
      <c r="E951" t="s">
        <v>19</v>
      </c>
      <c r="F951" s="10" t="s">
        <v>52</v>
      </c>
      <c r="G951" s="10" t="s">
        <v>2682</v>
      </c>
      <c r="H951" t="s">
        <v>437</v>
      </c>
      <c r="I951" t="s">
        <v>2499</v>
      </c>
      <c r="K951" s="2"/>
      <c r="M951" t="s">
        <v>2643</v>
      </c>
    </row>
    <row r="952" spans="1:13">
      <c r="A952" t="s">
        <v>28</v>
      </c>
      <c r="B952">
        <f ca="1">IF(OR(changes[[#This Row],[Type]]="Checklist",changes[[#This Row],[Type]]="checklist-flat"),1+IF(changes[[#This Row],[Type of change]] = "Edit",COUNTIFS($I$4:changes[[#This Row],[Name]],changes[[#This Row],[Name]], $E$4:changes[[#This Row],[Type of change]], "Edit")),B951)</f>
        <v>1</v>
      </c>
      <c r="C952" s="16">
        <v>44636</v>
      </c>
      <c r="D952" s="1" t="s">
        <v>2450</v>
      </c>
      <c r="E952" t="s">
        <v>19</v>
      </c>
      <c r="F952" s="10" t="s">
        <v>52</v>
      </c>
      <c r="G952" s="10" t="s">
        <v>2682</v>
      </c>
      <c r="H952" t="s">
        <v>951</v>
      </c>
      <c r="I952" t="s">
        <v>377</v>
      </c>
      <c r="K952" s="2"/>
      <c r="M952" t="s">
        <v>2643</v>
      </c>
    </row>
    <row r="953" spans="1:13">
      <c r="A953" t="s">
        <v>28</v>
      </c>
      <c r="B953">
        <f ca="1">IF(OR(changes[[#This Row],[Type]]="Checklist",changes[[#This Row],[Type]]="checklist-flat"),1+IF(changes[[#This Row],[Type of change]] = "Edit",COUNTIFS($I$4:changes[[#This Row],[Name]],changes[[#This Row],[Name]], $E$4:changes[[#This Row],[Type of change]], "Edit")),B952)</f>
        <v>1</v>
      </c>
      <c r="C953" s="16">
        <v>44636</v>
      </c>
      <c r="D953" s="1" t="s">
        <v>2450</v>
      </c>
      <c r="E953" t="s">
        <v>19</v>
      </c>
      <c r="F953" s="10" t="s">
        <v>52</v>
      </c>
      <c r="G953" s="10" t="s">
        <v>2682</v>
      </c>
      <c r="H953" t="s">
        <v>951</v>
      </c>
      <c r="I953" t="s">
        <v>2501</v>
      </c>
      <c r="K953" s="2"/>
      <c r="M953" t="s">
        <v>2643</v>
      </c>
    </row>
    <row r="954" spans="1:13">
      <c r="A954" t="s">
        <v>28</v>
      </c>
      <c r="B954">
        <f ca="1">IF(OR(changes[[#This Row],[Type]]="Checklist",changes[[#This Row],[Type]]="checklist-flat"),1+IF(changes[[#This Row],[Type of change]] = "Edit",COUNTIFS($I$4:changes[[#This Row],[Name]],changes[[#This Row],[Name]], $E$4:changes[[#This Row],[Type of change]], "Edit")),B953)</f>
        <v>1</v>
      </c>
      <c r="C954" s="16">
        <v>44636</v>
      </c>
      <c r="D954" s="1" t="s">
        <v>2450</v>
      </c>
      <c r="E954" t="s">
        <v>19</v>
      </c>
      <c r="F954" s="10" t="s">
        <v>52</v>
      </c>
      <c r="G954" s="10" t="s">
        <v>2682</v>
      </c>
      <c r="H954" t="s">
        <v>951</v>
      </c>
      <c r="I954" t="s">
        <v>2678</v>
      </c>
      <c r="K954" s="2"/>
      <c r="M954" t="s">
        <v>2643</v>
      </c>
    </row>
    <row r="955" spans="1:13">
      <c r="A955" t="s">
        <v>28</v>
      </c>
      <c r="B955">
        <f ca="1">IF(OR(changes[[#This Row],[Type]]="Checklist",changes[[#This Row],[Type]]="checklist-flat"),1+IF(changes[[#This Row],[Type of change]] = "Edit",COUNTIFS($I$4:changes[[#This Row],[Name]],changes[[#This Row],[Name]], $E$4:changes[[#This Row],[Type of change]], "Edit")),B954)</f>
        <v>1</v>
      </c>
      <c r="C955" s="16">
        <v>44636</v>
      </c>
      <c r="D955" s="1" t="s">
        <v>2450</v>
      </c>
      <c r="E955" t="s">
        <v>19</v>
      </c>
      <c r="F955" s="10" t="s">
        <v>52</v>
      </c>
      <c r="G955" s="10" t="s">
        <v>2682</v>
      </c>
      <c r="H955" t="s">
        <v>951</v>
      </c>
      <c r="I955" t="s">
        <v>2679</v>
      </c>
      <c r="K955" s="2"/>
      <c r="M955" t="s">
        <v>2643</v>
      </c>
    </row>
    <row r="956" spans="1:13">
      <c r="A956" t="s">
        <v>28</v>
      </c>
      <c r="B956">
        <f ca="1">IF(OR(changes[[#This Row],[Type]]="Checklist",changes[[#This Row],[Type]]="checklist-flat"),1+IF(changes[[#This Row],[Type of change]] = "Edit",COUNTIFS($I$4:changes[[#This Row],[Name]],changes[[#This Row],[Name]], $E$4:changes[[#This Row],[Type of change]], "Edit")),B955)</f>
        <v>1</v>
      </c>
      <c r="C956" s="16">
        <v>44636</v>
      </c>
      <c r="D956" s="1" t="s">
        <v>2450</v>
      </c>
      <c r="E956" t="s">
        <v>19</v>
      </c>
      <c r="F956" s="10" t="s">
        <v>52</v>
      </c>
      <c r="G956" s="10" t="s">
        <v>2682</v>
      </c>
      <c r="H956" t="s">
        <v>437</v>
      </c>
      <c r="I956" t="s">
        <v>2692</v>
      </c>
      <c r="K956" s="2"/>
      <c r="M956" t="s">
        <v>2643</v>
      </c>
    </row>
    <row r="957" spans="1:13">
      <c r="A957" t="s">
        <v>28</v>
      </c>
      <c r="B957">
        <f ca="1">IF(OR(changes[[#This Row],[Type]]="Checklist",changes[[#This Row],[Type]]="checklist-flat"),1+IF(changes[[#This Row],[Type of change]] = "Edit",COUNTIFS($I$4:changes[[#This Row],[Name]],changes[[#This Row],[Name]], $E$4:changes[[#This Row],[Type of change]], "Edit")),B956)</f>
        <v>1</v>
      </c>
      <c r="C957" s="16">
        <v>44636</v>
      </c>
      <c r="D957" s="1" t="s">
        <v>2450</v>
      </c>
      <c r="E957" t="s">
        <v>19</v>
      </c>
      <c r="F957" s="10" t="s">
        <v>52</v>
      </c>
      <c r="G957" s="10" t="s">
        <v>2682</v>
      </c>
      <c r="H957" t="s">
        <v>437</v>
      </c>
      <c r="I957" t="s">
        <v>2681</v>
      </c>
      <c r="K957" s="2"/>
      <c r="M957" t="s">
        <v>2643</v>
      </c>
    </row>
    <row r="958" spans="1:13">
      <c r="A958" t="s">
        <v>28</v>
      </c>
      <c r="B958">
        <f ca="1">IF(OR(changes[[#This Row],[Type]]="Checklist",changes[[#This Row],[Type]]="checklist-flat"),1+IF(changes[[#This Row],[Type of change]] = "Edit",COUNTIFS($I$4:changes[[#This Row],[Name]],changes[[#This Row],[Name]], $E$4:changes[[#This Row],[Type of change]], "Edit")),B957)</f>
        <v>1</v>
      </c>
      <c r="C958" s="16">
        <v>44636</v>
      </c>
      <c r="D958" s="1" t="s">
        <v>2450</v>
      </c>
      <c r="E958" t="s">
        <v>19</v>
      </c>
      <c r="F958" s="10" t="s">
        <v>52</v>
      </c>
      <c r="G958" s="10" t="s">
        <v>2682</v>
      </c>
      <c r="H958" t="s">
        <v>64</v>
      </c>
      <c r="I958" t="s">
        <v>2669</v>
      </c>
      <c r="K958" s="2"/>
      <c r="M958" t="s">
        <v>2643</v>
      </c>
    </row>
    <row r="959" spans="1:13">
      <c r="A959" t="s">
        <v>28</v>
      </c>
      <c r="B959">
        <f ca="1">IF(OR(changes[[#This Row],[Type]]="Checklist",changes[[#This Row],[Type]]="checklist-flat"),1+IF(changes[[#This Row],[Type of change]] = "Edit",COUNTIFS($I$4:changes[[#This Row],[Name]],changes[[#This Row],[Name]], $E$4:changes[[#This Row],[Type of change]], "Edit")),B958)</f>
        <v>1</v>
      </c>
      <c r="C959" s="16">
        <v>44636</v>
      </c>
      <c r="D959" s="1" t="s">
        <v>2450</v>
      </c>
      <c r="E959" t="s">
        <v>19</v>
      </c>
      <c r="F959" s="10" t="s">
        <v>52</v>
      </c>
      <c r="G959" s="10" t="s">
        <v>2695</v>
      </c>
      <c r="H959" t="s">
        <v>478</v>
      </c>
      <c r="I959" t="s">
        <v>2695</v>
      </c>
      <c r="K959" s="2"/>
      <c r="M959" t="s">
        <v>2643</v>
      </c>
    </row>
    <row r="960" spans="1:13">
      <c r="A960" t="s">
        <v>28</v>
      </c>
      <c r="B960">
        <f ca="1">IF(OR(changes[[#This Row],[Type]]="Checklist",changes[[#This Row],[Type]]="checklist-flat"),1+IF(changes[[#This Row],[Type of change]] = "Edit",COUNTIFS($I$4:changes[[#This Row],[Name]],changes[[#This Row],[Name]], $E$4:changes[[#This Row],[Type of change]], "Edit")),B959)</f>
        <v>1</v>
      </c>
      <c r="C960" s="16">
        <v>44636</v>
      </c>
      <c r="D960" s="1" t="s">
        <v>2450</v>
      </c>
      <c r="E960" t="s">
        <v>19</v>
      </c>
      <c r="F960" s="10" t="s">
        <v>52</v>
      </c>
      <c r="G960" s="10" t="s">
        <v>2695</v>
      </c>
      <c r="H960" t="s">
        <v>269</v>
      </c>
      <c r="I960" t="s">
        <v>2696</v>
      </c>
      <c r="K960" s="2"/>
      <c r="M960" t="s">
        <v>2643</v>
      </c>
    </row>
    <row r="961" spans="1:13">
      <c r="A961" t="s">
        <v>28</v>
      </c>
      <c r="B961">
        <f ca="1">IF(OR(changes[[#This Row],[Type]]="Checklist",changes[[#This Row],[Type]]="checklist-flat"),1+IF(changes[[#This Row],[Type of change]] = "Edit",COUNTIFS($I$4:changes[[#This Row],[Name]],changes[[#This Row],[Name]], $E$4:changes[[#This Row],[Type of change]], "Edit")),B960)</f>
        <v>1</v>
      </c>
      <c r="C961" s="16">
        <v>44636</v>
      </c>
      <c r="D961" s="1" t="s">
        <v>2450</v>
      </c>
      <c r="E961" t="s">
        <v>19</v>
      </c>
      <c r="F961" s="10" t="s">
        <v>52</v>
      </c>
      <c r="G961" s="10" t="s">
        <v>2695</v>
      </c>
      <c r="H961" t="s">
        <v>437</v>
      </c>
      <c r="I961" t="s">
        <v>2499</v>
      </c>
      <c r="K961" s="2"/>
      <c r="M961" t="s">
        <v>2643</v>
      </c>
    </row>
    <row r="962" spans="1:13">
      <c r="A962" t="s">
        <v>28</v>
      </c>
      <c r="B962">
        <f ca="1">IF(OR(changes[[#This Row],[Type]]="Checklist",changes[[#This Row],[Type]]="checklist-flat"),1+IF(changes[[#This Row],[Type of change]] = "Edit",COUNTIFS($I$4:changes[[#This Row],[Name]],changes[[#This Row],[Name]], $E$4:changes[[#This Row],[Type of change]], "Edit")),B961)</f>
        <v>1</v>
      </c>
      <c r="C962" s="16">
        <v>44636</v>
      </c>
      <c r="D962" s="1" t="s">
        <v>2450</v>
      </c>
      <c r="E962" t="s">
        <v>19</v>
      </c>
      <c r="F962" s="10" t="s">
        <v>52</v>
      </c>
      <c r="G962" s="10" t="s">
        <v>2695</v>
      </c>
      <c r="H962" t="s">
        <v>951</v>
      </c>
      <c r="I962" t="s">
        <v>377</v>
      </c>
      <c r="K962" s="2"/>
      <c r="M962" t="s">
        <v>2643</v>
      </c>
    </row>
    <row r="963" spans="1:13">
      <c r="A963" t="s">
        <v>28</v>
      </c>
      <c r="B963">
        <f ca="1">IF(OR(changes[[#This Row],[Type]]="Checklist",changes[[#This Row],[Type]]="checklist-flat"),1+IF(changes[[#This Row],[Type of change]] = "Edit",COUNTIFS($I$4:changes[[#This Row],[Name]],changes[[#This Row],[Name]], $E$4:changes[[#This Row],[Type of change]], "Edit")),B962)</f>
        <v>1</v>
      </c>
      <c r="C963" s="16">
        <v>44636</v>
      </c>
      <c r="D963" s="1" t="s">
        <v>2450</v>
      </c>
      <c r="E963" t="s">
        <v>19</v>
      </c>
      <c r="F963" s="10" t="s">
        <v>52</v>
      </c>
      <c r="G963" s="10" t="s">
        <v>2695</v>
      </c>
      <c r="H963" t="s">
        <v>951</v>
      </c>
      <c r="I963" t="s">
        <v>2501</v>
      </c>
      <c r="K963" s="2"/>
      <c r="M963" t="s">
        <v>2643</v>
      </c>
    </row>
    <row r="964" spans="1:13">
      <c r="A964" t="s">
        <v>28</v>
      </c>
      <c r="B964">
        <f ca="1">IF(OR(changes[[#This Row],[Type]]="Checklist",changes[[#This Row],[Type]]="checklist-flat"),1+IF(changes[[#This Row],[Type of change]] = "Edit",COUNTIFS($I$4:changes[[#This Row],[Name]],changes[[#This Row],[Name]], $E$4:changes[[#This Row],[Type of change]], "Edit")),B963)</f>
        <v>1</v>
      </c>
      <c r="C964" s="16">
        <v>44636</v>
      </c>
      <c r="D964" s="1" t="s">
        <v>2450</v>
      </c>
      <c r="E964" t="s">
        <v>19</v>
      </c>
      <c r="F964" s="10" t="s">
        <v>52</v>
      </c>
      <c r="G964" s="10" t="s">
        <v>2695</v>
      </c>
      <c r="H964" t="s">
        <v>951</v>
      </c>
      <c r="I964" t="s">
        <v>2678</v>
      </c>
      <c r="K964" s="2"/>
      <c r="M964" t="s">
        <v>2643</v>
      </c>
    </row>
    <row r="965" spans="1:13">
      <c r="A965" t="s">
        <v>28</v>
      </c>
      <c r="B965">
        <f ca="1">IF(OR(changes[[#This Row],[Type]]="Checklist",changes[[#This Row],[Type]]="checklist-flat"),1+IF(changes[[#This Row],[Type of change]] = "Edit",COUNTIFS($I$4:changes[[#This Row],[Name]],changes[[#This Row],[Name]], $E$4:changes[[#This Row],[Type of change]], "Edit")),B964)</f>
        <v>1</v>
      </c>
      <c r="C965" s="16">
        <v>44636</v>
      </c>
      <c r="D965" s="1" t="s">
        <v>2450</v>
      </c>
      <c r="E965" t="s">
        <v>19</v>
      </c>
      <c r="F965" s="10" t="s">
        <v>52</v>
      </c>
      <c r="G965" s="10" t="s">
        <v>2695</v>
      </c>
      <c r="H965" t="s">
        <v>951</v>
      </c>
      <c r="I965" t="s">
        <v>2679</v>
      </c>
      <c r="K965" s="2"/>
      <c r="M965" t="s">
        <v>2643</v>
      </c>
    </row>
    <row r="966" spans="1:13">
      <c r="A966" t="s">
        <v>28</v>
      </c>
      <c r="B966">
        <f ca="1">IF(OR(changes[[#This Row],[Type]]="Checklist",changes[[#This Row],[Type]]="checklist-flat"),1+IF(changes[[#This Row],[Type of change]] = "Edit",COUNTIFS($I$4:changes[[#This Row],[Name]],changes[[#This Row],[Name]], $E$4:changes[[#This Row],[Type of change]], "Edit")),B965)</f>
        <v>1</v>
      </c>
      <c r="C966" s="16">
        <v>44636</v>
      </c>
      <c r="D966" s="1" t="s">
        <v>2450</v>
      </c>
      <c r="E966" t="s">
        <v>19</v>
      </c>
      <c r="F966" s="10" t="s">
        <v>52</v>
      </c>
      <c r="G966" s="10" t="s">
        <v>2695</v>
      </c>
      <c r="H966" t="s">
        <v>437</v>
      </c>
      <c r="I966" t="s">
        <v>2692</v>
      </c>
      <c r="K966" s="2"/>
      <c r="M966" t="s">
        <v>2643</v>
      </c>
    </row>
    <row r="967" spans="1:13">
      <c r="A967" t="s">
        <v>28</v>
      </c>
      <c r="B967">
        <f ca="1">IF(OR(changes[[#This Row],[Type]]="Checklist",changes[[#This Row],[Type]]="checklist-flat"),1+IF(changes[[#This Row],[Type of change]] = "Edit",COUNTIFS($I$4:changes[[#This Row],[Name]],changes[[#This Row],[Name]], $E$4:changes[[#This Row],[Type of change]], "Edit")),B966)</f>
        <v>1</v>
      </c>
      <c r="C967" s="16">
        <v>44636</v>
      </c>
      <c r="D967" s="1" t="s">
        <v>2450</v>
      </c>
      <c r="E967" t="s">
        <v>19</v>
      </c>
      <c r="F967" s="10" t="s">
        <v>52</v>
      </c>
      <c r="G967" s="10" t="s">
        <v>2695</v>
      </c>
      <c r="H967" t="s">
        <v>437</v>
      </c>
      <c r="I967" t="s">
        <v>2681</v>
      </c>
      <c r="K967" s="2"/>
      <c r="M967" t="s">
        <v>2643</v>
      </c>
    </row>
    <row r="968" spans="1:13">
      <c r="A968" t="s">
        <v>28</v>
      </c>
      <c r="B968">
        <f ca="1">IF(OR(changes[[#This Row],[Type]]="Checklist",changes[[#This Row],[Type]]="checklist-flat"),1+IF(changes[[#This Row],[Type of change]] = "Edit",COUNTIFS($I$4:changes[[#This Row],[Name]],changes[[#This Row],[Name]], $E$4:changes[[#This Row],[Type of change]], "Edit")),B967)</f>
        <v>1</v>
      </c>
      <c r="C968" s="16">
        <v>44636</v>
      </c>
      <c r="D968" s="1" t="s">
        <v>2450</v>
      </c>
      <c r="E968" t="s">
        <v>19</v>
      </c>
      <c r="F968" s="10" t="s">
        <v>52</v>
      </c>
      <c r="G968" s="10" t="s">
        <v>2695</v>
      </c>
      <c r="H968" t="s">
        <v>64</v>
      </c>
      <c r="I968" t="s">
        <v>2669</v>
      </c>
      <c r="K968" s="2"/>
      <c r="M968" t="s">
        <v>2643</v>
      </c>
    </row>
    <row r="969" spans="1:13">
      <c r="A969" t="s">
        <v>28</v>
      </c>
      <c r="B969">
        <f ca="1">IF(OR(changes[[#This Row],[Type]]="Checklist",changes[[#This Row],[Type]]="checklist-flat"),1+IF(changes[[#This Row],[Type of change]] = "Edit",COUNTIFS($I$4:changes[[#This Row],[Name]],changes[[#This Row],[Name]], $E$4:changes[[#This Row],[Type of change]], "Edit")),B968)</f>
        <v>1</v>
      </c>
      <c r="C969" s="16">
        <v>44636</v>
      </c>
      <c r="D969" s="1" t="s">
        <v>2450</v>
      </c>
      <c r="E969" t="s">
        <v>19</v>
      </c>
      <c r="F969" s="10" t="s">
        <v>52</v>
      </c>
      <c r="G969" s="10" t="s">
        <v>2697</v>
      </c>
      <c r="H969" t="s">
        <v>478</v>
      </c>
      <c r="I969" t="s">
        <v>2697</v>
      </c>
      <c r="K969" s="2"/>
      <c r="M969" t="s">
        <v>2643</v>
      </c>
    </row>
    <row r="970" spans="1:13">
      <c r="A970" t="s">
        <v>28</v>
      </c>
      <c r="B970">
        <f ca="1">IF(OR(changes[[#This Row],[Type]]="Checklist",changes[[#This Row],[Type]]="checklist-flat"),1+IF(changes[[#This Row],[Type of change]] = "Edit",COUNTIFS($I$4:changes[[#This Row],[Name]],changes[[#This Row],[Name]], $E$4:changes[[#This Row],[Type of change]], "Edit")),B969)</f>
        <v>1</v>
      </c>
      <c r="C970" s="16">
        <v>44636</v>
      </c>
      <c r="D970" s="1" t="s">
        <v>2450</v>
      </c>
      <c r="E970" t="s">
        <v>19</v>
      </c>
      <c r="F970" s="10" t="s">
        <v>52</v>
      </c>
      <c r="G970" s="10" t="s">
        <v>2697</v>
      </c>
      <c r="H970" t="s">
        <v>55</v>
      </c>
      <c r="I970" t="s">
        <v>2698</v>
      </c>
      <c r="K970" s="2"/>
      <c r="M970" t="s">
        <v>2643</v>
      </c>
    </row>
    <row r="971" spans="1:13">
      <c r="A971" t="s">
        <v>28</v>
      </c>
      <c r="B971">
        <f ca="1">IF(OR(changes[[#This Row],[Type]]="Checklist",changes[[#This Row],[Type]]="checklist-flat"),1+IF(changes[[#This Row],[Type of change]] = "Edit",COUNTIFS($I$4:changes[[#This Row],[Name]],changes[[#This Row],[Name]], $E$4:changes[[#This Row],[Type of change]], "Edit")),B970)</f>
        <v>1</v>
      </c>
      <c r="C971" s="16">
        <v>44636</v>
      </c>
      <c r="D971" s="1" t="s">
        <v>2450</v>
      </c>
      <c r="E971" t="s">
        <v>19</v>
      </c>
      <c r="F971" s="10" t="s">
        <v>52</v>
      </c>
      <c r="G971" s="10" t="s">
        <v>2697</v>
      </c>
      <c r="H971" t="s">
        <v>437</v>
      </c>
      <c r="I971" t="s">
        <v>2699</v>
      </c>
      <c r="K971" s="2"/>
      <c r="M971" t="s">
        <v>2643</v>
      </c>
    </row>
    <row r="972" spans="1:13">
      <c r="A972" t="s">
        <v>28</v>
      </c>
      <c r="B972">
        <f ca="1">IF(OR(changes[[#This Row],[Type]]="Checklist",changes[[#This Row],[Type]]="checklist-flat"),1+IF(changes[[#This Row],[Type of change]] = "Edit",COUNTIFS($I$4:changes[[#This Row],[Name]],changes[[#This Row],[Name]], $E$4:changes[[#This Row],[Type of change]], "Edit")),B971)</f>
        <v>1</v>
      </c>
      <c r="C972" s="16">
        <v>44636</v>
      </c>
      <c r="D972" s="1" t="s">
        <v>2450</v>
      </c>
      <c r="E972" t="s">
        <v>19</v>
      </c>
      <c r="F972" s="10" t="s">
        <v>52</v>
      </c>
      <c r="G972" s="10" t="s">
        <v>2697</v>
      </c>
      <c r="H972" t="s">
        <v>437</v>
      </c>
      <c r="I972" t="s">
        <v>2700</v>
      </c>
      <c r="K972" s="2"/>
      <c r="M972" t="s">
        <v>2643</v>
      </c>
    </row>
    <row r="973" spans="1:13">
      <c r="A973" t="s">
        <v>28</v>
      </c>
      <c r="B973">
        <f ca="1">IF(OR(changes[[#This Row],[Type]]="Checklist",changes[[#This Row],[Type]]="checklist-flat"),1+IF(changes[[#This Row],[Type of change]] = "Edit",COUNTIFS($I$4:changes[[#This Row],[Name]],changes[[#This Row],[Name]], $E$4:changes[[#This Row],[Type of change]], "Edit")),B972)</f>
        <v>1</v>
      </c>
      <c r="C973" s="16">
        <v>44636</v>
      </c>
      <c r="D973" s="1" t="s">
        <v>2450</v>
      </c>
      <c r="E973" t="s">
        <v>19</v>
      </c>
      <c r="F973" s="10" t="s">
        <v>52</v>
      </c>
      <c r="G973" s="10" t="s">
        <v>2697</v>
      </c>
      <c r="H973" t="s">
        <v>437</v>
      </c>
      <c r="I973" t="s">
        <v>2701</v>
      </c>
      <c r="K973" s="2"/>
      <c r="M973" t="s">
        <v>2643</v>
      </c>
    </row>
    <row r="974" spans="1:13">
      <c r="A974" t="s">
        <v>28</v>
      </c>
      <c r="B974">
        <f ca="1">IF(OR(changes[[#This Row],[Type]]="Checklist",changes[[#This Row],[Type]]="checklist-flat"),1+IF(changes[[#This Row],[Type of change]] = "Edit",COUNTIFS($I$4:changes[[#This Row],[Name]],changes[[#This Row],[Name]], $E$4:changes[[#This Row],[Type of change]], "Edit")),B973)</f>
        <v>1</v>
      </c>
      <c r="C974" s="16">
        <v>44636</v>
      </c>
      <c r="D974" s="1" t="s">
        <v>2450</v>
      </c>
      <c r="E974" t="s">
        <v>19</v>
      </c>
      <c r="F974" s="10" t="s">
        <v>52</v>
      </c>
      <c r="G974" s="10" t="s">
        <v>2697</v>
      </c>
      <c r="H974" t="s">
        <v>437</v>
      </c>
      <c r="I974" t="s">
        <v>2702</v>
      </c>
      <c r="K974" s="2"/>
      <c r="M974" t="s">
        <v>2643</v>
      </c>
    </row>
    <row r="975" spans="1:13">
      <c r="A975" t="s">
        <v>28</v>
      </c>
      <c r="B975">
        <f ca="1">IF(OR(changes[[#This Row],[Type]]="Checklist",changes[[#This Row],[Type]]="checklist-flat"),1+IF(changes[[#This Row],[Type of change]] = "Edit",COUNTIFS($I$4:changes[[#This Row],[Name]],changes[[#This Row],[Name]], $E$4:changes[[#This Row],[Type of change]], "Edit")),B974)</f>
        <v>1</v>
      </c>
      <c r="C975" s="16">
        <v>44636</v>
      </c>
      <c r="D975" s="1" t="s">
        <v>2450</v>
      </c>
      <c r="E975" t="s">
        <v>19</v>
      </c>
      <c r="F975" s="10" t="s">
        <v>52</v>
      </c>
      <c r="G975" s="10" t="s">
        <v>2697</v>
      </c>
      <c r="H975" t="s">
        <v>437</v>
      </c>
      <c r="I975" t="s">
        <v>2703</v>
      </c>
      <c r="K975" s="2"/>
      <c r="M975" t="s">
        <v>2643</v>
      </c>
    </row>
    <row r="976" spans="1:13">
      <c r="A976" t="s">
        <v>28</v>
      </c>
      <c r="B976">
        <f ca="1">IF(OR(changes[[#This Row],[Type]]="Checklist",changes[[#This Row],[Type]]="checklist-flat"),1+IF(changes[[#This Row],[Type of change]] = "Edit",COUNTIFS($I$4:changes[[#This Row],[Name]],changes[[#This Row],[Name]], $E$4:changes[[#This Row],[Type of change]], "Edit")),B975)</f>
        <v>1</v>
      </c>
      <c r="C976" s="16">
        <v>44636</v>
      </c>
      <c r="D976" s="1" t="s">
        <v>2450</v>
      </c>
      <c r="E976" t="s">
        <v>19</v>
      </c>
      <c r="F976" s="10" t="s">
        <v>52</v>
      </c>
      <c r="G976" s="10" t="s">
        <v>2697</v>
      </c>
      <c r="H976" t="s">
        <v>437</v>
      </c>
      <c r="I976" t="s">
        <v>2704</v>
      </c>
      <c r="K976" s="2"/>
      <c r="M976" t="s">
        <v>2643</v>
      </c>
    </row>
    <row r="977" spans="1:13">
      <c r="A977" t="s">
        <v>28</v>
      </c>
      <c r="B977">
        <f ca="1">IF(OR(changes[[#This Row],[Type]]="Checklist",changes[[#This Row],[Type]]="checklist-flat"),1+IF(changes[[#This Row],[Type of change]] = "Edit",COUNTIFS($I$4:changes[[#This Row],[Name]],changes[[#This Row],[Name]], $E$4:changes[[#This Row],[Type of change]], "Edit")),B976)</f>
        <v>1</v>
      </c>
      <c r="C977" s="16">
        <v>44636</v>
      </c>
      <c r="D977" s="1" t="s">
        <v>2450</v>
      </c>
      <c r="E977" t="s">
        <v>19</v>
      </c>
      <c r="F977" s="10" t="s">
        <v>52</v>
      </c>
      <c r="G977" s="10" t="s">
        <v>2697</v>
      </c>
      <c r="H977" t="s">
        <v>437</v>
      </c>
      <c r="I977" t="s">
        <v>2705</v>
      </c>
      <c r="K977" s="2"/>
      <c r="M977" t="s">
        <v>2643</v>
      </c>
    </row>
    <row r="978" spans="1:13">
      <c r="A978" t="s">
        <v>28</v>
      </c>
      <c r="B978">
        <f ca="1">IF(OR(changes[[#This Row],[Type]]="Checklist",changes[[#This Row],[Type]]="checklist-flat"),1+IF(changes[[#This Row],[Type of change]] = "Edit",COUNTIFS($I$4:changes[[#This Row],[Name]],changes[[#This Row],[Name]], $E$4:changes[[#This Row],[Type of change]], "Edit")),B977)</f>
        <v>1</v>
      </c>
      <c r="C978" s="16">
        <v>44636</v>
      </c>
      <c r="D978" s="1" t="s">
        <v>2450</v>
      </c>
      <c r="E978" t="s">
        <v>19</v>
      </c>
      <c r="F978" s="10" t="s">
        <v>52</v>
      </c>
      <c r="G978" s="10" t="s">
        <v>2697</v>
      </c>
      <c r="H978" t="s">
        <v>437</v>
      </c>
      <c r="I978" t="s">
        <v>2706</v>
      </c>
      <c r="K978" s="2"/>
      <c r="M978" t="s">
        <v>2643</v>
      </c>
    </row>
    <row r="979" spans="1:13">
      <c r="A979" t="s">
        <v>28</v>
      </c>
      <c r="B979">
        <f ca="1">IF(OR(changes[[#This Row],[Type]]="Checklist",changes[[#This Row],[Type]]="checklist-flat"),1+IF(changes[[#This Row],[Type of change]] = "Edit",COUNTIFS($I$4:changes[[#This Row],[Name]],changes[[#This Row],[Name]], $E$4:changes[[#This Row],[Type of change]], "Edit")),B978)</f>
        <v>1</v>
      </c>
      <c r="C979" s="16">
        <v>44636</v>
      </c>
      <c r="D979" s="1" t="s">
        <v>2450</v>
      </c>
      <c r="E979" t="s">
        <v>19</v>
      </c>
      <c r="F979" s="10" t="s">
        <v>52</v>
      </c>
      <c r="G979" s="10" t="s">
        <v>2697</v>
      </c>
      <c r="H979" t="s">
        <v>437</v>
      </c>
      <c r="I979" t="s">
        <v>2707</v>
      </c>
      <c r="K979" s="2"/>
      <c r="M979" t="s">
        <v>2643</v>
      </c>
    </row>
    <row r="980" spans="1:13">
      <c r="A980" t="s">
        <v>28</v>
      </c>
      <c r="B980">
        <f ca="1">IF(OR(changes[[#This Row],[Type]]="Checklist",changes[[#This Row],[Type]]="checklist-flat"),1+IF(changes[[#This Row],[Type of change]] = "Edit",COUNTIFS($I$4:changes[[#This Row],[Name]],changes[[#This Row],[Name]], $E$4:changes[[#This Row],[Type of change]], "Edit")),B979)</f>
        <v>1</v>
      </c>
      <c r="C980" s="16">
        <v>44636</v>
      </c>
      <c r="D980" s="1" t="s">
        <v>2450</v>
      </c>
      <c r="E980" t="s">
        <v>19</v>
      </c>
      <c r="F980" s="10" t="s">
        <v>52</v>
      </c>
      <c r="G980" s="10" t="s">
        <v>2697</v>
      </c>
      <c r="H980" t="s">
        <v>437</v>
      </c>
      <c r="I980" t="s">
        <v>2708</v>
      </c>
      <c r="K980" s="2"/>
      <c r="M980" t="s">
        <v>2643</v>
      </c>
    </row>
    <row r="981" spans="1:13">
      <c r="A981" t="s">
        <v>28</v>
      </c>
      <c r="B981">
        <f ca="1">IF(OR(changes[[#This Row],[Type]]="Checklist",changes[[#This Row],[Type]]="checklist-flat"),1+IF(changes[[#This Row],[Type of change]] = "Edit",COUNTIFS($I$4:changes[[#This Row],[Name]],changes[[#This Row],[Name]], $E$4:changes[[#This Row],[Type of change]], "Edit")),B980)</f>
        <v>1</v>
      </c>
      <c r="C981" s="16">
        <v>44636</v>
      </c>
      <c r="D981" s="1" t="s">
        <v>2450</v>
      </c>
      <c r="E981" t="s">
        <v>19</v>
      </c>
      <c r="F981" s="10" t="s">
        <v>52</v>
      </c>
      <c r="G981" s="10" t="s">
        <v>2697</v>
      </c>
      <c r="H981" t="s">
        <v>437</v>
      </c>
      <c r="I981" t="s">
        <v>2709</v>
      </c>
      <c r="K981" s="2"/>
      <c r="M981" t="s">
        <v>2643</v>
      </c>
    </row>
    <row r="982" spans="1:13">
      <c r="A982" t="s">
        <v>28</v>
      </c>
      <c r="B982">
        <f ca="1">IF(OR(changes[[#This Row],[Type]]="Checklist",changes[[#This Row],[Type]]="checklist-flat"),1+IF(changes[[#This Row],[Type of change]] = "Edit",COUNTIFS($I$4:changes[[#This Row],[Name]],changes[[#This Row],[Name]], $E$4:changes[[#This Row],[Type of change]], "Edit")),B981)</f>
        <v>1</v>
      </c>
      <c r="C982" s="16">
        <v>44636</v>
      </c>
      <c r="D982" s="1" t="s">
        <v>2450</v>
      </c>
      <c r="E982" t="s">
        <v>19</v>
      </c>
      <c r="F982" s="10" t="s">
        <v>52</v>
      </c>
      <c r="G982" s="10" t="s">
        <v>2697</v>
      </c>
      <c r="H982" t="s">
        <v>437</v>
      </c>
      <c r="I982" t="s">
        <v>2710</v>
      </c>
      <c r="K982" s="2"/>
      <c r="M982" t="s">
        <v>2643</v>
      </c>
    </row>
    <row r="983" spans="1:13">
      <c r="A983" t="s">
        <v>28</v>
      </c>
      <c r="B983">
        <f ca="1">IF(OR(changes[[#This Row],[Type]]="Checklist",changes[[#This Row],[Type]]="checklist-flat"),1+IF(changes[[#This Row],[Type of change]] = "Edit",COUNTIFS($I$4:changes[[#This Row],[Name]],changes[[#This Row],[Name]], $E$4:changes[[#This Row],[Type of change]], "Edit")),B982)</f>
        <v>1</v>
      </c>
      <c r="C983" s="16">
        <v>44636</v>
      </c>
      <c r="D983" s="1" t="s">
        <v>2450</v>
      </c>
      <c r="E983" t="s">
        <v>19</v>
      </c>
      <c r="F983" s="10" t="s">
        <v>52</v>
      </c>
      <c r="G983" s="10" t="s">
        <v>2697</v>
      </c>
      <c r="H983" t="s">
        <v>437</v>
      </c>
      <c r="I983" t="s">
        <v>2711</v>
      </c>
      <c r="K983" s="2"/>
      <c r="M983" t="s">
        <v>2643</v>
      </c>
    </row>
    <row r="984" spans="1:13">
      <c r="A984" t="s">
        <v>28</v>
      </c>
      <c r="B984">
        <f ca="1">IF(OR(changes[[#This Row],[Type]]="Checklist",changes[[#This Row],[Type]]="checklist-flat"),1+IF(changes[[#This Row],[Type of change]] = "Edit",COUNTIFS($I$4:changes[[#This Row],[Name]],changes[[#This Row],[Name]], $E$4:changes[[#This Row],[Type of change]], "Edit")),B983)</f>
        <v>1</v>
      </c>
      <c r="C984" s="16">
        <v>44636</v>
      </c>
      <c r="D984" s="1" t="s">
        <v>2450</v>
      </c>
      <c r="E984" t="s">
        <v>19</v>
      </c>
      <c r="F984" s="10" t="s">
        <v>52</v>
      </c>
      <c r="G984" s="10" t="s">
        <v>2697</v>
      </c>
      <c r="H984" t="s">
        <v>437</v>
      </c>
      <c r="I984" t="s">
        <v>2712</v>
      </c>
      <c r="K984" s="2"/>
      <c r="M984" t="s">
        <v>2643</v>
      </c>
    </row>
    <row r="985" spans="1:13">
      <c r="A985" t="s">
        <v>28</v>
      </c>
      <c r="B985">
        <f ca="1">IF(OR(changes[[#This Row],[Type]]="Checklist",changes[[#This Row],[Type]]="checklist-flat"),1+IF(changes[[#This Row],[Type of change]] = "Edit",COUNTIFS($I$4:changes[[#This Row],[Name]],changes[[#This Row],[Name]], $E$4:changes[[#This Row],[Type of change]], "Edit")),B984)</f>
        <v>1</v>
      </c>
      <c r="C985" s="16">
        <v>44636</v>
      </c>
      <c r="D985" s="1" t="s">
        <v>2450</v>
      </c>
      <c r="E985" t="s">
        <v>19</v>
      </c>
      <c r="F985" s="10" t="s">
        <v>52</v>
      </c>
      <c r="G985" s="10" t="s">
        <v>2697</v>
      </c>
      <c r="H985" t="s">
        <v>437</v>
      </c>
      <c r="I985" t="s">
        <v>2713</v>
      </c>
      <c r="K985" s="2"/>
      <c r="M985" t="s">
        <v>2643</v>
      </c>
    </row>
    <row r="986" spans="1:13">
      <c r="A986" t="s">
        <v>28</v>
      </c>
      <c r="B986">
        <f ca="1">IF(OR(changes[[#This Row],[Type]]="Checklist",changes[[#This Row],[Type]]="checklist-flat"),1+IF(changes[[#This Row],[Type of change]] = "Edit",COUNTIFS($I$4:changes[[#This Row],[Name]],changes[[#This Row],[Name]], $E$4:changes[[#This Row],[Type of change]], "Edit")),B985)</f>
        <v>1</v>
      </c>
      <c r="C986" s="16">
        <v>44636</v>
      </c>
      <c r="D986" s="1" t="s">
        <v>2450</v>
      </c>
      <c r="E986" t="s">
        <v>19</v>
      </c>
      <c r="F986" s="10" t="s">
        <v>52</v>
      </c>
      <c r="G986" s="10" t="s">
        <v>2697</v>
      </c>
      <c r="H986" t="s">
        <v>437</v>
      </c>
      <c r="I986" t="s">
        <v>2714</v>
      </c>
      <c r="K986" s="2"/>
      <c r="M986" t="s">
        <v>2643</v>
      </c>
    </row>
    <row r="987" spans="1:13">
      <c r="A987" t="s">
        <v>28</v>
      </c>
      <c r="B987">
        <f ca="1">IF(OR(changes[[#This Row],[Type]]="Checklist",changes[[#This Row],[Type]]="checklist-flat"),1+IF(changes[[#This Row],[Type of change]] = "Edit",COUNTIFS($I$4:changes[[#This Row],[Name]],changes[[#This Row],[Name]], $E$4:changes[[#This Row],[Type of change]], "Edit")),B986)</f>
        <v>1</v>
      </c>
      <c r="C987" s="16">
        <v>44636</v>
      </c>
      <c r="D987" s="1" t="s">
        <v>2450</v>
      </c>
      <c r="E987" t="s">
        <v>19</v>
      </c>
      <c r="F987" s="10" t="s">
        <v>52</v>
      </c>
      <c r="G987" s="10" t="s">
        <v>2697</v>
      </c>
      <c r="H987" t="s">
        <v>437</v>
      </c>
      <c r="I987" t="s">
        <v>2715</v>
      </c>
      <c r="K987" s="2"/>
      <c r="M987" t="s">
        <v>2643</v>
      </c>
    </row>
    <row r="988" spans="1:13">
      <c r="A988" t="s">
        <v>28</v>
      </c>
      <c r="B988">
        <f ca="1">IF(OR(changes[[#This Row],[Type]]="Checklist",changes[[#This Row],[Type]]="checklist-flat"),1+IF(changes[[#This Row],[Type of change]] = "Edit",COUNTIFS($I$4:changes[[#This Row],[Name]],changes[[#This Row],[Name]], $E$4:changes[[#This Row],[Type of change]], "Edit")),B987)</f>
        <v>1</v>
      </c>
      <c r="C988" s="16">
        <v>44636</v>
      </c>
      <c r="D988" s="1" t="s">
        <v>2450</v>
      </c>
      <c r="E988" t="s">
        <v>19</v>
      </c>
      <c r="F988" s="10" t="s">
        <v>52</v>
      </c>
      <c r="G988" s="10" t="s">
        <v>2697</v>
      </c>
      <c r="H988" t="s">
        <v>437</v>
      </c>
      <c r="I988" t="s">
        <v>2716</v>
      </c>
      <c r="K988" s="2"/>
      <c r="M988" t="s">
        <v>2643</v>
      </c>
    </row>
    <row r="989" spans="1:13">
      <c r="A989" t="s">
        <v>28</v>
      </c>
      <c r="B989">
        <f ca="1">IF(OR(changes[[#This Row],[Type]]="Checklist",changes[[#This Row],[Type]]="checklist-flat"),1+IF(changes[[#This Row],[Type of change]] = "Edit",COUNTIFS($I$4:changes[[#This Row],[Name]],changes[[#This Row],[Name]], $E$4:changes[[#This Row],[Type of change]], "Edit")),B988)</f>
        <v>1</v>
      </c>
      <c r="C989" s="16">
        <v>44636</v>
      </c>
      <c r="D989" s="1" t="s">
        <v>2450</v>
      </c>
      <c r="E989" t="s">
        <v>19</v>
      </c>
      <c r="F989" s="10" t="s">
        <v>52</v>
      </c>
      <c r="G989" s="10" t="s">
        <v>2697</v>
      </c>
      <c r="H989" t="s">
        <v>437</v>
      </c>
      <c r="I989" t="s">
        <v>2717</v>
      </c>
      <c r="K989" s="2"/>
      <c r="M989" t="s">
        <v>2643</v>
      </c>
    </row>
    <row r="990" spans="1:13">
      <c r="A990" t="s">
        <v>28</v>
      </c>
      <c r="B990">
        <f ca="1">IF(OR(changes[[#This Row],[Type]]="Checklist",changes[[#This Row],[Type]]="checklist-flat"),1+IF(changes[[#This Row],[Type of change]] = "Edit",COUNTIFS($I$4:changes[[#This Row],[Name]],changes[[#This Row],[Name]], $E$4:changes[[#This Row],[Type of change]], "Edit")),B989)</f>
        <v>1</v>
      </c>
      <c r="C990" s="16">
        <v>44636</v>
      </c>
      <c r="D990" s="1" t="s">
        <v>2450</v>
      </c>
      <c r="E990" t="s">
        <v>19</v>
      </c>
      <c r="F990" s="10" t="s">
        <v>52</v>
      </c>
      <c r="G990" s="10" t="s">
        <v>2697</v>
      </c>
      <c r="H990" t="s">
        <v>437</v>
      </c>
      <c r="I990" t="s">
        <v>2718</v>
      </c>
      <c r="K990" s="2"/>
      <c r="M990" t="s">
        <v>2643</v>
      </c>
    </row>
    <row r="991" spans="1:13">
      <c r="A991" t="s">
        <v>28</v>
      </c>
      <c r="B991">
        <f ca="1">IF(OR(changes[[#This Row],[Type]]="Checklist",changes[[#This Row],[Type]]="checklist-flat"),1+IF(changes[[#This Row],[Type of change]] = "Edit",COUNTIFS($I$4:changes[[#This Row],[Name]],changes[[#This Row],[Name]], $E$4:changes[[#This Row],[Type of change]], "Edit")),B990)</f>
        <v>1</v>
      </c>
      <c r="C991" s="16">
        <v>44636</v>
      </c>
      <c r="D991" s="1" t="s">
        <v>2450</v>
      </c>
      <c r="E991" t="s">
        <v>19</v>
      </c>
      <c r="F991" s="10" t="s">
        <v>52</v>
      </c>
      <c r="G991" s="10" t="s">
        <v>2697</v>
      </c>
      <c r="H991" t="s">
        <v>437</v>
      </c>
      <c r="I991" t="s">
        <v>2719</v>
      </c>
      <c r="K991" s="2"/>
      <c r="M991" t="s">
        <v>2643</v>
      </c>
    </row>
    <row r="992" spans="1:13">
      <c r="A992" t="s">
        <v>28</v>
      </c>
      <c r="B992">
        <f ca="1">IF(OR(changes[[#This Row],[Type]]="Checklist",changes[[#This Row],[Type]]="checklist-flat"),1+IF(changes[[#This Row],[Type of change]] = "Edit",COUNTIFS($I$4:changes[[#This Row],[Name]],changes[[#This Row],[Name]], $E$4:changes[[#This Row],[Type of change]], "Edit")),B991)</f>
        <v>1</v>
      </c>
      <c r="C992" s="16">
        <v>44636</v>
      </c>
      <c r="D992" s="1" t="s">
        <v>2450</v>
      </c>
      <c r="E992" t="s">
        <v>19</v>
      </c>
      <c r="F992" s="10" t="s">
        <v>52</v>
      </c>
      <c r="G992" s="10" t="s">
        <v>2697</v>
      </c>
      <c r="H992" t="s">
        <v>437</v>
      </c>
      <c r="I992" t="s">
        <v>2499</v>
      </c>
      <c r="K992" s="2"/>
      <c r="M992" t="s">
        <v>2643</v>
      </c>
    </row>
    <row r="993" spans="1:13">
      <c r="A993" t="s">
        <v>28</v>
      </c>
      <c r="B993">
        <f ca="1">IF(OR(changes[[#This Row],[Type]]="Checklist",changes[[#This Row],[Type]]="checklist-flat"),1+IF(changes[[#This Row],[Type of change]] = "Edit",COUNTIFS($I$4:changes[[#This Row],[Name]],changes[[#This Row],[Name]], $E$4:changes[[#This Row],[Type of change]], "Edit")),B992)</f>
        <v>1</v>
      </c>
      <c r="C993" s="16">
        <v>44636</v>
      </c>
      <c r="D993" s="1" t="s">
        <v>2450</v>
      </c>
      <c r="E993" t="s">
        <v>19</v>
      </c>
      <c r="F993" s="10" t="s">
        <v>52</v>
      </c>
      <c r="G993" s="10" t="s">
        <v>2697</v>
      </c>
      <c r="H993" t="s">
        <v>951</v>
      </c>
      <c r="I993" t="s">
        <v>377</v>
      </c>
      <c r="K993" s="2"/>
      <c r="M993" t="s">
        <v>2643</v>
      </c>
    </row>
    <row r="994" spans="1:13">
      <c r="A994" t="s">
        <v>28</v>
      </c>
      <c r="B994">
        <f ca="1">IF(OR(changes[[#This Row],[Type]]="Checklist",changes[[#This Row],[Type]]="checklist-flat"),1+IF(changes[[#This Row],[Type of change]] = "Edit",COUNTIFS($I$4:changes[[#This Row],[Name]],changes[[#This Row],[Name]], $E$4:changes[[#This Row],[Type of change]], "Edit")),B993)</f>
        <v>1</v>
      </c>
      <c r="C994" s="16">
        <v>44636</v>
      </c>
      <c r="D994" s="1" t="s">
        <v>2450</v>
      </c>
      <c r="E994" t="s">
        <v>19</v>
      </c>
      <c r="F994" s="10" t="s">
        <v>52</v>
      </c>
      <c r="G994" s="10" t="s">
        <v>2697</v>
      </c>
      <c r="H994" t="s">
        <v>951</v>
      </c>
      <c r="I994" t="s">
        <v>2501</v>
      </c>
      <c r="K994" s="2"/>
      <c r="M994" t="s">
        <v>2643</v>
      </c>
    </row>
    <row r="995" spans="1:13">
      <c r="A995" t="s">
        <v>28</v>
      </c>
      <c r="B995">
        <f ca="1">IF(OR(changes[[#This Row],[Type]]="Checklist",changes[[#This Row],[Type]]="checklist-flat"),1+IF(changes[[#This Row],[Type of change]] = "Edit",COUNTIFS($I$4:changes[[#This Row],[Name]],changes[[#This Row],[Name]], $E$4:changes[[#This Row],[Type of change]], "Edit")),B994)</f>
        <v>1</v>
      </c>
      <c r="C995" s="16">
        <v>44636</v>
      </c>
      <c r="D995" s="1" t="s">
        <v>2450</v>
      </c>
      <c r="E995" t="s">
        <v>19</v>
      </c>
      <c r="F995" s="10" t="s">
        <v>52</v>
      </c>
      <c r="G995" s="10" t="s">
        <v>2697</v>
      </c>
      <c r="H995" t="s">
        <v>951</v>
      </c>
      <c r="I995" t="s">
        <v>2678</v>
      </c>
      <c r="K995" s="2"/>
      <c r="M995" t="s">
        <v>2643</v>
      </c>
    </row>
    <row r="996" spans="1:13">
      <c r="A996" t="s">
        <v>28</v>
      </c>
      <c r="B996">
        <f ca="1">IF(OR(changes[[#This Row],[Type]]="Checklist",changes[[#This Row],[Type]]="checklist-flat"),1+IF(changes[[#This Row],[Type of change]] = "Edit",COUNTIFS($I$4:changes[[#This Row],[Name]],changes[[#This Row],[Name]], $E$4:changes[[#This Row],[Type of change]], "Edit")),B995)</f>
        <v>1</v>
      </c>
      <c r="C996" s="16">
        <v>44636</v>
      </c>
      <c r="D996" s="1" t="s">
        <v>2450</v>
      </c>
      <c r="E996" t="s">
        <v>19</v>
      </c>
      <c r="F996" s="10" t="s">
        <v>52</v>
      </c>
      <c r="G996" s="10" t="s">
        <v>2697</v>
      </c>
      <c r="H996" t="s">
        <v>951</v>
      </c>
      <c r="I996" t="s">
        <v>2679</v>
      </c>
      <c r="K996" s="2"/>
      <c r="M996" t="s">
        <v>2643</v>
      </c>
    </row>
    <row r="997" spans="1:13">
      <c r="A997" t="s">
        <v>28</v>
      </c>
      <c r="B997">
        <f ca="1">IF(OR(changes[[#This Row],[Type]]="Checklist",changes[[#This Row],[Type]]="checklist-flat"),1+IF(changes[[#This Row],[Type of change]] = "Edit",COUNTIFS($I$4:changes[[#This Row],[Name]],changes[[#This Row],[Name]], $E$4:changes[[#This Row],[Type of change]], "Edit")),B996)</f>
        <v>1</v>
      </c>
      <c r="C997" s="16">
        <v>44636</v>
      </c>
      <c r="D997" s="1" t="s">
        <v>2450</v>
      </c>
      <c r="E997" t="s">
        <v>19</v>
      </c>
      <c r="F997" s="10" t="s">
        <v>52</v>
      </c>
      <c r="G997" s="10" t="s">
        <v>2697</v>
      </c>
      <c r="H997" t="s">
        <v>437</v>
      </c>
      <c r="I997" t="s">
        <v>2692</v>
      </c>
      <c r="K997" s="2"/>
      <c r="M997" t="s">
        <v>2643</v>
      </c>
    </row>
    <row r="998" spans="1:13">
      <c r="A998" t="s">
        <v>28</v>
      </c>
      <c r="B998">
        <f ca="1">IF(OR(changes[[#This Row],[Type]]="Checklist",changes[[#This Row],[Type]]="checklist-flat"),1+IF(changes[[#This Row],[Type of change]] = "Edit",COUNTIFS($I$4:changes[[#This Row],[Name]],changes[[#This Row],[Name]], $E$4:changes[[#This Row],[Type of change]], "Edit")),B997)</f>
        <v>1</v>
      </c>
      <c r="C998" s="16">
        <v>44636</v>
      </c>
      <c r="D998" s="1" t="s">
        <v>2450</v>
      </c>
      <c r="E998" t="s">
        <v>19</v>
      </c>
      <c r="F998" s="10" t="s">
        <v>52</v>
      </c>
      <c r="G998" s="10" t="s">
        <v>2697</v>
      </c>
      <c r="H998" t="s">
        <v>64</v>
      </c>
      <c r="I998" t="s">
        <v>2669</v>
      </c>
      <c r="K998" s="2"/>
      <c r="M998" t="s">
        <v>2643</v>
      </c>
    </row>
    <row r="999" spans="1:13">
      <c r="A999" t="s">
        <v>28</v>
      </c>
      <c r="B999">
        <f ca="1">IF(OR(changes[[#This Row],[Type]]="Checklist",changes[[#This Row],[Type]]="checklist-flat"),1+IF(changes[[#This Row],[Type of change]] = "Edit",COUNTIFS($I$4:changes[[#This Row],[Name]],changes[[#This Row],[Name]], $E$4:changes[[#This Row],[Type of change]], "Edit")),B998)</f>
        <v>1</v>
      </c>
      <c r="C999" s="16">
        <v>44636</v>
      </c>
      <c r="D999" s="1" t="s">
        <v>2450</v>
      </c>
      <c r="E999" t="s">
        <v>19</v>
      </c>
      <c r="F999" s="10" t="s">
        <v>52</v>
      </c>
      <c r="G999" s="10" t="s">
        <v>2720</v>
      </c>
      <c r="H999" t="s">
        <v>478</v>
      </c>
      <c r="I999" t="s">
        <v>2720</v>
      </c>
      <c r="K999" s="2"/>
      <c r="M999" t="s">
        <v>2643</v>
      </c>
    </row>
    <row r="1000" spans="1:13">
      <c r="A1000" t="s">
        <v>28</v>
      </c>
      <c r="B1000">
        <f ca="1">IF(OR(changes[[#This Row],[Type]]="Checklist",changes[[#This Row],[Type]]="checklist-flat"),1+IF(changes[[#This Row],[Type of change]] = "Edit",COUNTIFS($I$4:changes[[#This Row],[Name]],changes[[#This Row],[Name]], $E$4:changes[[#This Row],[Type of change]], "Edit")),B999)</f>
        <v>1</v>
      </c>
      <c r="C1000" s="16">
        <v>44636</v>
      </c>
      <c r="D1000" s="1" t="s">
        <v>2450</v>
      </c>
      <c r="E1000" t="s">
        <v>19</v>
      </c>
      <c r="F1000" s="10" t="s">
        <v>52</v>
      </c>
      <c r="G1000" s="10" t="s">
        <v>2720</v>
      </c>
      <c r="H1000" t="s">
        <v>55</v>
      </c>
      <c r="I1000" t="s">
        <v>2721</v>
      </c>
      <c r="K1000" s="2"/>
      <c r="M1000" t="s">
        <v>2643</v>
      </c>
    </row>
    <row r="1001" spans="1:13">
      <c r="A1001" t="s">
        <v>28</v>
      </c>
      <c r="B1001">
        <f ca="1">IF(OR(changes[[#This Row],[Type]]="Checklist",changes[[#This Row],[Type]]="checklist-flat"),1+IF(changes[[#This Row],[Type of change]] = "Edit",COUNTIFS($I$4:changes[[#This Row],[Name]],changes[[#This Row],[Name]], $E$4:changes[[#This Row],[Type of change]], "Edit")),B1000)</f>
        <v>1</v>
      </c>
      <c r="C1001" s="16">
        <v>44636</v>
      </c>
      <c r="D1001" s="1" t="s">
        <v>2450</v>
      </c>
      <c r="E1001" t="s">
        <v>19</v>
      </c>
      <c r="F1001" s="10" t="s">
        <v>52</v>
      </c>
      <c r="G1001" s="10" t="s">
        <v>2720</v>
      </c>
      <c r="H1001" t="s">
        <v>437</v>
      </c>
      <c r="I1001" t="s">
        <v>2722</v>
      </c>
      <c r="K1001" s="2"/>
      <c r="M1001" t="s">
        <v>2643</v>
      </c>
    </row>
    <row r="1002" spans="1:13">
      <c r="A1002" t="s">
        <v>28</v>
      </c>
      <c r="B1002">
        <f ca="1">IF(OR(changes[[#This Row],[Type]]="Checklist",changes[[#This Row],[Type]]="checklist-flat"),1+IF(changes[[#This Row],[Type of change]] = "Edit",COUNTIFS($I$4:changes[[#This Row],[Name]],changes[[#This Row],[Name]], $E$4:changes[[#This Row],[Type of change]], "Edit")),B1001)</f>
        <v>1</v>
      </c>
      <c r="C1002" s="16">
        <v>44636</v>
      </c>
      <c r="D1002" s="1" t="s">
        <v>2450</v>
      </c>
      <c r="E1002" t="s">
        <v>19</v>
      </c>
      <c r="F1002" s="10" t="s">
        <v>52</v>
      </c>
      <c r="G1002" s="10" t="s">
        <v>2720</v>
      </c>
      <c r="H1002" t="s">
        <v>437</v>
      </c>
      <c r="I1002" t="s">
        <v>2723</v>
      </c>
      <c r="K1002" s="2"/>
      <c r="M1002" t="s">
        <v>2643</v>
      </c>
    </row>
    <row r="1003" spans="1:13">
      <c r="A1003" t="s">
        <v>28</v>
      </c>
      <c r="B1003">
        <f ca="1">IF(OR(changes[[#This Row],[Type]]="Checklist",changes[[#This Row],[Type]]="checklist-flat"),1+IF(changes[[#This Row],[Type of change]] = "Edit",COUNTIFS($I$4:changes[[#This Row],[Name]],changes[[#This Row],[Name]], $E$4:changes[[#This Row],[Type of change]], "Edit")),B1002)</f>
        <v>1</v>
      </c>
      <c r="C1003" s="16">
        <v>44636</v>
      </c>
      <c r="D1003" s="1" t="s">
        <v>2450</v>
      </c>
      <c r="E1003" t="s">
        <v>19</v>
      </c>
      <c r="F1003" s="10" t="s">
        <v>52</v>
      </c>
      <c r="G1003" s="10" t="s">
        <v>2720</v>
      </c>
      <c r="H1003" t="s">
        <v>437</v>
      </c>
      <c r="I1003" t="s">
        <v>2724</v>
      </c>
      <c r="K1003" s="2"/>
      <c r="M1003" t="s">
        <v>2643</v>
      </c>
    </row>
    <row r="1004" spans="1:13">
      <c r="A1004" t="s">
        <v>28</v>
      </c>
      <c r="B1004">
        <f ca="1">IF(OR(changes[[#This Row],[Type]]="Checklist",changes[[#This Row],[Type]]="checklist-flat"),1+IF(changes[[#This Row],[Type of change]] = "Edit",COUNTIFS($I$4:changes[[#This Row],[Name]],changes[[#This Row],[Name]], $E$4:changes[[#This Row],[Type of change]], "Edit")),B1003)</f>
        <v>1</v>
      </c>
      <c r="C1004" s="16">
        <v>44636</v>
      </c>
      <c r="D1004" s="1" t="s">
        <v>2450</v>
      </c>
      <c r="E1004" t="s">
        <v>19</v>
      </c>
      <c r="F1004" s="10" t="s">
        <v>52</v>
      </c>
      <c r="G1004" s="10" t="s">
        <v>2720</v>
      </c>
      <c r="H1004" t="s">
        <v>437</v>
      </c>
      <c r="I1004" t="s">
        <v>2725</v>
      </c>
      <c r="K1004" s="2"/>
      <c r="M1004" t="s">
        <v>2643</v>
      </c>
    </row>
    <row r="1005" spans="1:13">
      <c r="A1005" t="s">
        <v>28</v>
      </c>
      <c r="B1005">
        <f ca="1">IF(OR(changes[[#This Row],[Type]]="Checklist",changes[[#This Row],[Type]]="checklist-flat"),1+IF(changes[[#This Row],[Type of change]] = "Edit",COUNTIFS($I$4:changes[[#This Row],[Name]],changes[[#This Row],[Name]], $E$4:changes[[#This Row],[Type of change]], "Edit")),B1004)</f>
        <v>1</v>
      </c>
      <c r="C1005" s="16">
        <v>44636</v>
      </c>
      <c r="D1005" s="1" t="s">
        <v>2450</v>
      </c>
      <c r="E1005" t="s">
        <v>19</v>
      </c>
      <c r="F1005" s="10" t="s">
        <v>52</v>
      </c>
      <c r="G1005" s="10" t="s">
        <v>2720</v>
      </c>
      <c r="H1005" t="s">
        <v>437</v>
      </c>
      <c r="I1005" t="s">
        <v>2701</v>
      </c>
      <c r="K1005" s="2"/>
      <c r="M1005" t="s">
        <v>2643</v>
      </c>
    </row>
    <row r="1006" spans="1:13">
      <c r="A1006" t="s">
        <v>28</v>
      </c>
      <c r="B1006">
        <f ca="1">IF(OR(changes[[#This Row],[Type]]="Checklist",changes[[#This Row],[Type]]="checklist-flat"),1+IF(changes[[#This Row],[Type of change]] = "Edit",COUNTIFS($I$4:changes[[#This Row],[Name]],changes[[#This Row],[Name]], $E$4:changes[[#This Row],[Type of change]], "Edit")),B1005)</f>
        <v>1</v>
      </c>
      <c r="C1006" s="16">
        <v>44636</v>
      </c>
      <c r="D1006" s="1" t="s">
        <v>2450</v>
      </c>
      <c r="E1006" t="s">
        <v>19</v>
      </c>
      <c r="F1006" s="10" t="s">
        <v>52</v>
      </c>
      <c r="G1006" s="10" t="s">
        <v>2720</v>
      </c>
      <c r="H1006" t="s">
        <v>437</v>
      </c>
      <c r="I1006" t="s">
        <v>2706</v>
      </c>
      <c r="K1006" s="2"/>
      <c r="M1006" t="s">
        <v>2643</v>
      </c>
    </row>
    <row r="1007" spans="1:13">
      <c r="A1007" t="s">
        <v>28</v>
      </c>
      <c r="B1007">
        <f ca="1">IF(OR(changes[[#This Row],[Type]]="Checklist",changes[[#This Row],[Type]]="checklist-flat"),1+IF(changes[[#This Row],[Type of change]] = "Edit",COUNTIFS($I$4:changes[[#This Row],[Name]],changes[[#This Row],[Name]], $E$4:changes[[#This Row],[Type of change]], "Edit")),B1006)</f>
        <v>1</v>
      </c>
      <c r="C1007" s="16">
        <v>44636</v>
      </c>
      <c r="D1007" s="1" t="s">
        <v>2450</v>
      </c>
      <c r="E1007" t="s">
        <v>19</v>
      </c>
      <c r="F1007" s="10" t="s">
        <v>52</v>
      </c>
      <c r="G1007" s="10" t="s">
        <v>2720</v>
      </c>
      <c r="H1007" t="s">
        <v>437</v>
      </c>
      <c r="I1007" t="s">
        <v>2707</v>
      </c>
      <c r="K1007" s="2"/>
      <c r="M1007" t="s">
        <v>2643</v>
      </c>
    </row>
    <row r="1008" spans="1:13">
      <c r="A1008" t="s">
        <v>28</v>
      </c>
      <c r="B1008">
        <f ca="1">IF(OR(changes[[#This Row],[Type]]="Checklist",changes[[#This Row],[Type]]="checklist-flat"),1+IF(changes[[#This Row],[Type of change]] = "Edit",COUNTIFS($I$4:changes[[#This Row],[Name]],changes[[#This Row],[Name]], $E$4:changes[[#This Row],[Type of change]], "Edit")),B1007)</f>
        <v>1</v>
      </c>
      <c r="C1008" s="16">
        <v>44636</v>
      </c>
      <c r="D1008" s="1" t="s">
        <v>2450</v>
      </c>
      <c r="E1008" t="s">
        <v>19</v>
      </c>
      <c r="F1008" s="10" t="s">
        <v>52</v>
      </c>
      <c r="G1008" s="10" t="s">
        <v>2720</v>
      </c>
      <c r="H1008" t="s">
        <v>437</v>
      </c>
      <c r="I1008" t="s">
        <v>2708</v>
      </c>
      <c r="K1008" s="2"/>
      <c r="M1008" t="s">
        <v>2643</v>
      </c>
    </row>
    <row r="1009" spans="1:13">
      <c r="A1009" t="s">
        <v>28</v>
      </c>
      <c r="B1009">
        <f ca="1">IF(OR(changes[[#This Row],[Type]]="Checklist",changes[[#This Row],[Type]]="checklist-flat"),1+IF(changes[[#This Row],[Type of change]] = "Edit",COUNTIFS($I$4:changes[[#This Row],[Name]],changes[[#This Row],[Name]], $E$4:changes[[#This Row],[Type of change]], "Edit")),B1008)</f>
        <v>1</v>
      </c>
      <c r="C1009" s="16">
        <v>44636</v>
      </c>
      <c r="D1009" s="1" t="s">
        <v>2450</v>
      </c>
      <c r="E1009" t="s">
        <v>19</v>
      </c>
      <c r="F1009" s="10" t="s">
        <v>52</v>
      </c>
      <c r="G1009" s="10" t="s">
        <v>2720</v>
      </c>
      <c r="H1009" t="s">
        <v>437</v>
      </c>
      <c r="I1009" t="s">
        <v>2709</v>
      </c>
      <c r="K1009" s="2"/>
      <c r="M1009" t="s">
        <v>2643</v>
      </c>
    </row>
    <row r="1010" spans="1:13">
      <c r="A1010" t="s">
        <v>28</v>
      </c>
      <c r="B1010">
        <f ca="1">IF(OR(changes[[#This Row],[Type]]="Checklist",changes[[#This Row],[Type]]="checklist-flat"),1+IF(changes[[#This Row],[Type of change]] = "Edit",COUNTIFS($I$4:changes[[#This Row],[Name]],changes[[#This Row],[Name]], $E$4:changes[[#This Row],[Type of change]], "Edit")),B1009)</f>
        <v>1</v>
      </c>
      <c r="C1010" s="16">
        <v>44636</v>
      </c>
      <c r="D1010" s="1" t="s">
        <v>2450</v>
      </c>
      <c r="E1010" t="s">
        <v>19</v>
      </c>
      <c r="F1010" s="10" t="s">
        <v>52</v>
      </c>
      <c r="G1010" s="10" t="s">
        <v>2720</v>
      </c>
      <c r="H1010" t="s">
        <v>437</v>
      </c>
      <c r="I1010" t="s">
        <v>2710</v>
      </c>
      <c r="K1010" s="2"/>
      <c r="M1010" t="s">
        <v>2643</v>
      </c>
    </row>
    <row r="1011" spans="1:13">
      <c r="A1011" t="s">
        <v>28</v>
      </c>
      <c r="B1011">
        <f ca="1">IF(OR(changes[[#This Row],[Type]]="Checklist",changes[[#This Row],[Type]]="checklist-flat"),1+IF(changes[[#This Row],[Type of change]] = "Edit",COUNTIFS($I$4:changes[[#This Row],[Name]],changes[[#This Row],[Name]], $E$4:changes[[#This Row],[Type of change]], "Edit")),B1010)</f>
        <v>1</v>
      </c>
      <c r="C1011" s="16">
        <v>44636</v>
      </c>
      <c r="D1011" s="1" t="s">
        <v>2450</v>
      </c>
      <c r="E1011" t="s">
        <v>19</v>
      </c>
      <c r="F1011" s="10" t="s">
        <v>52</v>
      </c>
      <c r="G1011" s="10" t="s">
        <v>2720</v>
      </c>
      <c r="H1011" t="s">
        <v>437</v>
      </c>
      <c r="I1011" t="s">
        <v>2711</v>
      </c>
      <c r="K1011" s="2"/>
      <c r="M1011" t="s">
        <v>2643</v>
      </c>
    </row>
    <row r="1012" spans="1:13">
      <c r="A1012" t="s">
        <v>28</v>
      </c>
      <c r="B1012">
        <f ca="1">IF(OR(changes[[#This Row],[Type]]="Checklist",changes[[#This Row],[Type]]="checklist-flat"),1+IF(changes[[#This Row],[Type of change]] = "Edit",COUNTIFS($I$4:changes[[#This Row],[Name]],changes[[#This Row],[Name]], $E$4:changes[[#This Row],[Type of change]], "Edit")),B1011)</f>
        <v>1</v>
      </c>
      <c r="C1012" s="16">
        <v>44636</v>
      </c>
      <c r="D1012" s="1" t="s">
        <v>2450</v>
      </c>
      <c r="E1012" t="s">
        <v>19</v>
      </c>
      <c r="F1012" s="10" t="s">
        <v>52</v>
      </c>
      <c r="G1012" s="10" t="s">
        <v>2720</v>
      </c>
      <c r="H1012" t="s">
        <v>437</v>
      </c>
      <c r="I1012" t="s">
        <v>2712</v>
      </c>
      <c r="K1012" s="2"/>
      <c r="M1012" t="s">
        <v>2643</v>
      </c>
    </row>
    <row r="1013" spans="1:13">
      <c r="A1013" t="s">
        <v>28</v>
      </c>
      <c r="B1013">
        <f ca="1">IF(OR(changes[[#This Row],[Type]]="Checklist",changes[[#This Row],[Type]]="checklist-flat"),1+IF(changes[[#This Row],[Type of change]] = "Edit",COUNTIFS($I$4:changes[[#This Row],[Name]],changes[[#This Row],[Name]], $E$4:changes[[#This Row],[Type of change]], "Edit")),B1012)</f>
        <v>1</v>
      </c>
      <c r="C1013" s="16">
        <v>44636</v>
      </c>
      <c r="D1013" s="1" t="s">
        <v>2450</v>
      </c>
      <c r="E1013" t="s">
        <v>19</v>
      </c>
      <c r="F1013" s="10" t="s">
        <v>52</v>
      </c>
      <c r="G1013" s="10" t="s">
        <v>2720</v>
      </c>
      <c r="H1013" t="s">
        <v>437</v>
      </c>
      <c r="I1013" t="s">
        <v>2726</v>
      </c>
      <c r="K1013" s="2"/>
      <c r="M1013" t="s">
        <v>2643</v>
      </c>
    </row>
    <row r="1014" spans="1:13">
      <c r="A1014" t="s">
        <v>28</v>
      </c>
      <c r="B1014">
        <f ca="1">IF(OR(changes[[#This Row],[Type]]="Checklist",changes[[#This Row],[Type]]="checklist-flat"),1+IF(changes[[#This Row],[Type of change]] = "Edit",COUNTIFS($I$4:changes[[#This Row],[Name]],changes[[#This Row],[Name]], $E$4:changes[[#This Row],[Type of change]], "Edit")),B1013)</f>
        <v>1</v>
      </c>
      <c r="C1014" s="16">
        <v>44636</v>
      </c>
      <c r="D1014" s="1" t="s">
        <v>2450</v>
      </c>
      <c r="E1014" t="s">
        <v>19</v>
      </c>
      <c r="F1014" s="10" t="s">
        <v>52</v>
      </c>
      <c r="G1014" s="10" t="s">
        <v>2720</v>
      </c>
      <c r="H1014" t="s">
        <v>437</v>
      </c>
      <c r="I1014" t="s">
        <v>2717</v>
      </c>
      <c r="K1014" s="2"/>
      <c r="M1014" t="s">
        <v>2643</v>
      </c>
    </row>
    <row r="1015" spans="1:13">
      <c r="A1015" t="s">
        <v>28</v>
      </c>
      <c r="B1015">
        <f ca="1">IF(OR(changes[[#This Row],[Type]]="Checklist",changes[[#This Row],[Type]]="checklist-flat"),1+IF(changes[[#This Row],[Type of change]] = "Edit",COUNTIFS($I$4:changes[[#This Row],[Name]],changes[[#This Row],[Name]], $E$4:changes[[#This Row],[Type of change]], "Edit")),B1014)</f>
        <v>1</v>
      </c>
      <c r="C1015" s="16">
        <v>44636</v>
      </c>
      <c r="D1015" s="1" t="s">
        <v>2450</v>
      </c>
      <c r="E1015" t="s">
        <v>19</v>
      </c>
      <c r="F1015" s="10" t="s">
        <v>52</v>
      </c>
      <c r="G1015" s="10" t="s">
        <v>2720</v>
      </c>
      <c r="H1015" t="s">
        <v>437</v>
      </c>
      <c r="I1015" t="s">
        <v>2718</v>
      </c>
      <c r="K1015" s="2"/>
      <c r="M1015" t="s">
        <v>2643</v>
      </c>
    </row>
    <row r="1016" spans="1:13">
      <c r="A1016" t="s">
        <v>28</v>
      </c>
      <c r="B1016">
        <f ca="1">IF(OR(changes[[#This Row],[Type]]="Checklist",changes[[#This Row],[Type]]="checklist-flat"),1+IF(changes[[#This Row],[Type of change]] = "Edit",COUNTIFS($I$4:changes[[#This Row],[Name]],changes[[#This Row],[Name]], $E$4:changes[[#This Row],[Type of change]], "Edit")),B1015)</f>
        <v>1</v>
      </c>
      <c r="C1016" s="16">
        <v>44636</v>
      </c>
      <c r="D1016" s="1" t="s">
        <v>2450</v>
      </c>
      <c r="E1016" t="s">
        <v>19</v>
      </c>
      <c r="F1016" s="10" t="s">
        <v>52</v>
      </c>
      <c r="G1016" s="10" t="s">
        <v>2720</v>
      </c>
      <c r="H1016" t="s">
        <v>437</v>
      </c>
      <c r="I1016" t="s">
        <v>2719</v>
      </c>
      <c r="K1016" s="2"/>
      <c r="M1016" t="s">
        <v>2643</v>
      </c>
    </row>
    <row r="1017" spans="1:13">
      <c r="A1017" t="s">
        <v>28</v>
      </c>
      <c r="B1017">
        <f ca="1">IF(OR(changes[[#This Row],[Type]]="Checklist",changes[[#This Row],[Type]]="checklist-flat"),1+IF(changes[[#This Row],[Type of change]] = "Edit",COUNTIFS($I$4:changes[[#This Row],[Name]],changes[[#This Row],[Name]], $E$4:changes[[#This Row],[Type of change]], "Edit")),B1016)</f>
        <v>1</v>
      </c>
      <c r="C1017" s="16">
        <v>44636</v>
      </c>
      <c r="D1017" s="1" t="s">
        <v>2450</v>
      </c>
      <c r="E1017" t="s">
        <v>19</v>
      </c>
      <c r="F1017" s="10" t="s">
        <v>52</v>
      </c>
      <c r="G1017" s="10" t="s">
        <v>2720</v>
      </c>
      <c r="H1017" t="s">
        <v>437</v>
      </c>
      <c r="I1017" t="s">
        <v>2499</v>
      </c>
      <c r="K1017" s="2"/>
      <c r="M1017" t="s">
        <v>2643</v>
      </c>
    </row>
    <row r="1018" spans="1:13">
      <c r="A1018" t="s">
        <v>28</v>
      </c>
      <c r="B1018">
        <f ca="1">IF(OR(changes[[#This Row],[Type]]="Checklist",changes[[#This Row],[Type]]="checklist-flat"),1+IF(changes[[#This Row],[Type of change]] = "Edit",COUNTIFS($I$4:changes[[#This Row],[Name]],changes[[#This Row],[Name]], $E$4:changes[[#This Row],[Type of change]], "Edit")),B1017)</f>
        <v>1</v>
      </c>
      <c r="C1018" s="16">
        <v>44636</v>
      </c>
      <c r="D1018" s="1" t="s">
        <v>2450</v>
      </c>
      <c r="E1018" t="s">
        <v>19</v>
      </c>
      <c r="F1018" s="10" t="s">
        <v>52</v>
      </c>
      <c r="G1018" s="10" t="s">
        <v>2720</v>
      </c>
      <c r="H1018" t="s">
        <v>951</v>
      </c>
      <c r="I1018" t="s">
        <v>377</v>
      </c>
      <c r="K1018" s="2"/>
      <c r="M1018" t="s">
        <v>2643</v>
      </c>
    </row>
    <row r="1019" spans="1:13">
      <c r="A1019" t="s">
        <v>28</v>
      </c>
      <c r="B1019">
        <f ca="1">IF(OR(changes[[#This Row],[Type]]="Checklist",changes[[#This Row],[Type]]="checklist-flat"),1+IF(changes[[#This Row],[Type of change]] = "Edit",COUNTIFS($I$4:changes[[#This Row],[Name]],changes[[#This Row],[Name]], $E$4:changes[[#This Row],[Type of change]], "Edit")),B1018)</f>
        <v>1</v>
      </c>
      <c r="C1019" s="16">
        <v>44636</v>
      </c>
      <c r="D1019" s="1" t="s">
        <v>2450</v>
      </c>
      <c r="E1019" t="s">
        <v>19</v>
      </c>
      <c r="F1019" s="10" t="s">
        <v>52</v>
      </c>
      <c r="G1019" s="10" t="s">
        <v>2720</v>
      </c>
      <c r="H1019" t="s">
        <v>951</v>
      </c>
      <c r="I1019" t="s">
        <v>2501</v>
      </c>
      <c r="K1019" s="2"/>
      <c r="M1019" t="s">
        <v>2643</v>
      </c>
    </row>
    <row r="1020" spans="1:13">
      <c r="A1020" t="s">
        <v>28</v>
      </c>
      <c r="B1020">
        <f ca="1">IF(OR(changes[[#This Row],[Type]]="Checklist",changes[[#This Row],[Type]]="checklist-flat"),1+IF(changes[[#This Row],[Type of change]] = "Edit",COUNTIFS($I$4:changes[[#This Row],[Name]],changes[[#This Row],[Name]], $E$4:changes[[#This Row],[Type of change]], "Edit")),B1019)</f>
        <v>1</v>
      </c>
      <c r="C1020" s="16">
        <v>44636</v>
      </c>
      <c r="D1020" s="1" t="s">
        <v>2450</v>
      </c>
      <c r="E1020" t="s">
        <v>19</v>
      </c>
      <c r="F1020" s="10" t="s">
        <v>52</v>
      </c>
      <c r="G1020" s="10" t="s">
        <v>2720</v>
      </c>
      <c r="H1020" t="s">
        <v>951</v>
      </c>
      <c r="I1020" t="s">
        <v>2678</v>
      </c>
      <c r="K1020" s="2"/>
      <c r="M1020" t="s">
        <v>2643</v>
      </c>
    </row>
    <row r="1021" spans="1:13">
      <c r="A1021" t="s">
        <v>28</v>
      </c>
      <c r="B1021">
        <f ca="1">IF(OR(changes[[#This Row],[Type]]="Checklist",changes[[#This Row],[Type]]="checklist-flat"),1+IF(changes[[#This Row],[Type of change]] = "Edit",COUNTIFS($I$4:changes[[#This Row],[Name]],changes[[#This Row],[Name]], $E$4:changes[[#This Row],[Type of change]], "Edit")),B1020)</f>
        <v>1</v>
      </c>
      <c r="C1021" s="16">
        <v>44636</v>
      </c>
      <c r="D1021" s="1" t="s">
        <v>2450</v>
      </c>
      <c r="E1021" t="s">
        <v>19</v>
      </c>
      <c r="F1021" s="10" t="s">
        <v>52</v>
      </c>
      <c r="G1021" s="10" t="s">
        <v>2720</v>
      </c>
      <c r="H1021" t="s">
        <v>951</v>
      </c>
      <c r="I1021" t="s">
        <v>2679</v>
      </c>
      <c r="K1021" s="2"/>
      <c r="M1021" t="s">
        <v>2643</v>
      </c>
    </row>
    <row r="1022" spans="1:13">
      <c r="A1022" t="s">
        <v>28</v>
      </c>
      <c r="B1022">
        <f ca="1">IF(OR(changes[[#This Row],[Type]]="Checklist",changes[[#This Row],[Type]]="checklist-flat"),1+IF(changes[[#This Row],[Type of change]] = "Edit",COUNTIFS($I$4:changes[[#This Row],[Name]],changes[[#This Row],[Name]], $E$4:changes[[#This Row],[Type of change]], "Edit")),B1021)</f>
        <v>1</v>
      </c>
      <c r="C1022" s="16">
        <v>44636</v>
      </c>
      <c r="D1022" s="1" t="s">
        <v>2450</v>
      </c>
      <c r="E1022" t="s">
        <v>19</v>
      </c>
      <c r="F1022" s="10" t="s">
        <v>52</v>
      </c>
      <c r="G1022" s="10" t="s">
        <v>2720</v>
      </c>
      <c r="H1022" t="s">
        <v>437</v>
      </c>
      <c r="I1022" t="s">
        <v>2692</v>
      </c>
      <c r="K1022" s="2"/>
      <c r="M1022" t="s">
        <v>2643</v>
      </c>
    </row>
    <row r="1023" spans="1:13">
      <c r="A1023" t="s">
        <v>28</v>
      </c>
      <c r="B1023">
        <f ca="1">IF(OR(changes[[#This Row],[Type]]="Checklist",changes[[#This Row],[Type]]="checklist-flat"),1+IF(changes[[#This Row],[Type of change]] = "Edit",COUNTIFS($I$4:changes[[#This Row],[Name]],changes[[#This Row],[Name]], $E$4:changes[[#This Row],[Type of change]], "Edit")),B1022)</f>
        <v>1</v>
      </c>
      <c r="C1023" s="16">
        <v>44636</v>
      </c>
      <c r="D1023" s="1" t="s">
        <v>2450</v>
      </c>
      <c r="E1023" t="s">
        <v>19</v>
      </c>
      <c r="F1023" s="10" t="s">
        <v>52</v>
      </c>
      <c r="G1023" s="10" t="s">
        <v>2720</v>
      </c>
      <c r="H1023" t="s">
        <v>64</v>
      </c>
      <c r="I1023" t="s">
        <v>2669</v>
      </c>
      <c r="K1023" s="2"/>
      <c r="M1023" t="s">
        <v>2643</v>
      </c>
    </row>
    <row r="1024" spans="1:13">
      <c r="A1024" t="s">
        <v>28</v>
      </c>
      <c r="B1024">
        <f ca="1">IF(OR(changes[[#This Row],[Type]]="Checklist",changes[[#This Row],[Type]]="checklist-flat"),1+IF(changes[[#This Row],[Type of change]] = "Edit",COUNTIFS($I$4:changes[[#This Row],[Name]],changes[[#This Row],[Name]], $E$4:changes[[#This Row],[Type of change]], "Edit")),B1023)</f>
        <v>1</v>
      </c>
      <c r="C1024" s="16">
        <v>44636</v>
      </c>
      <c r="D1024" s="1" t="s">
        <v>2450</v>
      </c>
      <c r="E1024" t="s">
        <v>19</v>
      </c>
      <c r="F1024" s="10" t="s">
        <v>52</v>
      </c>
      <c r="G1024" s="10" t="s">
        <v>2727</v>
      </c>
      <c r="H1024" t="s">
        <v>478</v>
      </c>
      <c r="I1024" t="s">
        <v>2727</v>
      </c>
      <c r="K1024" s="2"/>
      <c r="M1024" t="s">
        <v>2643</v>
      </c>
    </row>
    <row r="1025" spans="1:13">
      <c r="A1025" t="s">
        <v>28</v>
      </c>
      <c r="B1025">
        <f ca="1">IF(OR(changes[[#This Row],[Type]]="Checklist",changes[[#This Row],[Type]]="checklist-flat"),1+IF(changes[[#This Row],[Type of change]] = "Edit",COUNTIFS($I$4:changes[[#This Row],[Name]],changes[[#This Row],[Name]], $E$4:changes[[#This Row],[Type of change]], "Edit")),B1024)</f>
        <v>1</v>
      </c>
      <c r="C1025" s="16">
        <v>44636</v>
      </c>
      <c r="D1025" s="1" t="s">
        <v>2450</v>
      </c>
      <c r="E1025" t="s">
        <v>19</v>
      </c>
      <c r="F1025" s="10" t="s">
        <v>52</v>
      </c>
      <c r="G1025" s="10" t="s">
        <v>2727</v>
      </c>
      <c r="H1025" t="s">
        <v>55</v>
      </c>
      <c r="I1025" t="s">
        <v>2698</v>
      </c>
      <c r="K1025" s="2"/>
      <c r="M1025" t="s">
        <v>2643</v>
      </c>
    </row>
    <row r="1026" spans="1:13">
      <c r="A1026" t="s">
        <v>28</v>
      </c>
      <c r="B1026">
        <f ca="1">IF(OR(changes[[#This Row],[Type]]="Checklist",changes[[#This Row],[Type]]="checklist-flat"),1+IF(changes[[#This Row],[Type of change]] = "Edit",COUNTIFS($I$4:changes[[#This Row],[Name]],changes[[#This Row],[Name]], $E$4:changes[[#This Row],[Type of change]], "Edit")),B1025)</f>
        <v>1</v>
      </c>
      <c r="C1026" s="16">
        <v>44636</v>
      </c>
      <c r="D1026" s="1" t="s">
        <v>2450</v>
      </c>
      <c r="E1026" t="s">
        <v>19</v>
      </c>
      <c r="F1026" s="10" t="s">
        <v>52</v>
      </c>
      <c r="G1026" s="10" t="s">
        <v>2727</v>
      </c>
      <c r="H1026" t="s">
        <v>437</v>
      </c>
      <c r="I1026" t="s">
        <v>2699</v>
      </c>
      <c r="K1026" s="2"/>
      <c r="M1026" t="s">
        <v>2643</v>
      </c>
    </row>
    <row r="1027" spans="1:13">
      <c r="A1027" t="s">
        <v>28</v>
      </c>
      <c r="B1027">
        <f ca="1">IF(OR(changes[[#This Row],[Type]]="Checklist",changes[[#This Row],[Type]]="checklist-flat"),1+IF(changes[[#This Row],[Type of change]] = "Edit",COUNTIFS($I$4:changes[[#This Row],[Name]],changes[[#This Row],[Name]], $E$4:changes[[#This Row],[Type of change]], "Edit")),B1026)</f>
        <v>1</v>
      </c>
      <c r="C1027" s="16">
        <v>44636</v>
      </c>
      <c r="D1027" s="1" t="s">
        <v>2450</v>
      </c>
      <c r="E1027" t="s">
        <v>19</v>
      </c>
      <c r="F1027" s="10" t="s">
        <v>52</v>
      </c>
      <c r="G1027" s="10" t="s">
        <v>2727</v>
      </c>
      <c r="H1027" t="s">
        <v>437</v>
      </c>
      <c r="I1027" t="s">
        <v>2700</v>
      </c>
      <c r="K1027" s="2"/>
      <c r="M1027" t="s">
        <v>2643</v>
      </c>
    </row>
    <row r="1028" spans="1:13">
      <c r="A1028" t="s">
        <v>28</v>
      </c>
      <c r="B1028">
        <f ca="1">IF(OR(changes[[#This Row],[Type]]="Checklist",changes[[#This Row],[Type]]="checklist-flat"),1+IF(changes[[#This Row],[Type of change]] = "Edit",COUNTIFS($I$4:changes[[#This Row],[Name]],changes[[#This Row],[Name]], $E$4:changes[[#This Row],[Type of change]], "Edit")),B1027)</f>
        <v>1</v>
      </c>
      <c r="C1028" s="16">
        <v>44636</v>
      </c>
      <c r="D1028" s="1" t="s">
        <v>2450</v>
      </c>
      <c r="E1028" t="s">
        <v>19</v>
      </c>
      <c r="F1028" s="10" t="s">
        <v>52</v>
      </c>
      <c r="G1028" s="10" t="s">
        <v>2727</v>
      </c>
      <c r="H1028" t="s">
        <v>437</v>
      </c>
      <c r="I1028" t="s">
        <v>2701</v>
      </c>
      <c r="K1028" s="2"/>
      <c r="M1028" t="s">
        <v>2643</v>
      </c>
    </row>
    <row r="1029" spans="1:13">
      <c r="A1029" t="s">
        <v>28</v>
      </c>
      <c r="B1029">
        <f ca="1">IF(OR(changes[[#This Row],[Type]]="Checklist",changes[[#This Row],[Type]]="checklist-flat"),1+IF(changes[[#This Row],[Type of change]] = "Edit",COUNTIFS($I$4:changes[[#This Row],[Name]],changes[[#This Row],[Name]], $E$4:changes[[#This Row],[Type of change]], "Edit")),B1028)</f>
        <v>1</v>
      </c>
      <c r="C1029" s="16">
        <v>44636</v>
      </c>
      <c r="D1029" s="1" t="s">
        <v>2450</v>
      </c>
      <c r="E1029" t="s">
        <v>19</v>
      </c>
      <c r="F1029" s="10" t="s">
        <v>52</v>
      </c>
      <c r="G1029" s="10" t="s">
        <v>2727</v>
      </c>
      <c r="H1029" t="s">
        <v>437</v>
      </c>
      <c r="I1029" t="s">
        <v>2702</v>
      </c>
      <c r="K1029" s="2"/>
      <c r="M1029" t="s">
        <v>2643</v>
      </c>
    </row>
    <row r="1030" spans="1:13">
      <c r="A1030" t="s">
        <v>28</v>
      </c>
      <c r="B1030">
        <f ca="1">IF(OR(changes[[#This Row],[Type]]="Checklist",changes[[#This Row],[Type]]="checklist-flat"),1+IF(changes[[#This Row],[Type of change]] = "Edit",COUNTIFS($I$4:changes[[#This Row],[Name]],changes[[#This Row],[Name]], $E$4:changes[[#This Row],[Type of change]], "Edit")),B1029)</f>
        <v>1</v>
      </c>
      <c r="C1030" s="16">
        <v>44636</v>
      </c>
      <c r="D1030" s="1" t="s">
        <v>2450</v>
      </c>
      <c r="E1030" t="s">
        <v>19</v>
      </c>
      <c r="F1030" s="10" t="s">
        <v>52</v>
      </c>
      <c r="G1030" s="10" t="s">
        <v>2727</v>
      </c>
      <c r="H1030" t="s">
        <v>437</v>
      </c>
      <c r="I1030" t="s">
        <v>2703</v>
      </c>
      <c r="K1030" s="2"/>
      <c r="M1030" t="s">
        <v>2643</v>
      </c>
    </row>
    <row r="1031" spans="1:13">
      <c r="A1031" t="s">
        <v>28</v>
      </c>
      <c r="B1031">
        <f ca="1">IF(OR(changes[[#This Row],[Type]]="Checklist",changes[[#This Row],[Type]]="checklist-flat"),1+IF(changes[[#This Row],[Type of change]] = "Edit",COUNTIFS($I$4:changes[[#This Row],[Name]],changes[[#This Row],[Name]], $E$4:changes[[#This Row],[Type of change]], "Edit")),B1030)</f>
        <v>1</v>
      </c>
      <c r="C1031" s="16">
        <v>44636</v>
      </c>
      <c r="D1031" s="1" t="s">
        <v>2450</v>
      </c>
      <c r="E1031" t="s">
        <v>19</v>
      </c>
      <c r="F1031" s="10" t="s">
        <v>52</v>
      </c>
      <c r="G1031" s="10" t="s">
        <v>2727</v>
      </c>
      <c r="H1031" t="s">
        <v>437</v>
      </c>
      <c r="I1031" t="s">
        <v>2704</v>
      </c>
      <c r="K1031" s="2"/>
      <c r="M1031" t="s">
        <v>2643</v>
      </c>
    </row>
    <row r="1032" spans="1:13">
      <c r="A1032" t="s">
        <v>28</v>
      </c>
      <c r="B1032">
        <f ca="1">IF(OR(changes[[#This Row],[Type]]="Checklist",changes[[#This Row],[Type]]="checklist-flat"),1+IF(changes[[#This Row],[Type of change]] = "Edit",COUNTIFS($I$4:changes[[#This Row],[Name]],changes[[#This Row],[Name]], $E$4:changes[[#This Row],[Type of change]], "Edit")),B1031)</f>
        <v>1</v>
      </c>
      <c r="C1032" s="16">
        <v>44636</v>
      </c>
      <c r="D1032" s="1" t="s">
        <v>2450</v>
      </c>
      <c r="E1032" t="s">
        <v>19</v>
      </c>
      <c r="F1032" s="10" t="s">
        <v>52</v>
      </c>
      <c r="G1032" s="10" t="s">
        <v>2727</v>
      </c>
      <c r="H1032" t="s">
        <v>437</v>
      </c>
      <c r="I1032" t="s">
        <v>2705</v>
      </c>
      <c r="K1032" s="2"/>
      <c r="M1032" t="s">
        <v>2643</v>
      </c>
    </row>
    <row r="1033" spans="1:13">
      <c r="A1033" t="s">
        <v>28</v>
      </c>
      <c r="B1033">
        <f ca="1">IF(OR(changes[[#This Row],[Type]]="Checklist",changes[[#This Row],[Type]]="checklist-flat"),1+IF(changes[[#This Row],[Type of change]] = "Edit",COUNTIFS($I$4:changes[[#This Row],[Name]],changes[[#This Row],[Name]], $E$4:changes[[#This Row],[Type of change]], "Edit")),B1032)</f>
        <v>1</v>
      </c>
      <c r="C1033" s="16">
        <v>44636</v>
      </c>
      <c r="D1033" s="1" t="s">
        <v>2450</v>
      </c>
      <c r="E1033" t="s">
        <v>19</v>
      </c>
      <c r="F1033" s="10" t="s">
        <v>52</v>
      </c>
      <c r="G1033" s="10" t="s">
        <v>2727</v>
      </c>
      <c r="H1033" t="s">
        <v>437</v>
      </c>
      <c r="I1033" t="s">
        <v>2706</v>
      </c>
      <c r="K1033" s="2"/>
      <c r="M1033" t="s">
        <v>2643</v>
      </c>
    </row>
    <row r="1034" spans="1:13">
      <c r="A1034" t="s">
        <v>28</v>
      </c>
      <c r="B1034">
        <f ca="1">IF(OR(changes[[#This Row],[Type]]="Checklist",changes[[#This Row],[Type]]="checklist-flat"),1+IF(changes[[#This Row],[Type of change]] = "Edit",COUNTIFS($I$4:changes[[#This Row],[Name]],changes[[#This Row],[Name]], $E$4:changes[[#This Row],[Type of change]], "Edit")),B1033)</f>
        <v>1</v>
      </c>
      <c r="C1034" s="16">
        <v>44636</v>
      </c>
      <c r="D1034" s="1" t="s">
        <v>2450</v>
      </c>
      <c r="E1034" t="s">
        <v>19</v>
      </c>
      <c r="F1034" s="10" t="s">
        <v>52</v>
      </c>
      <c r="G1034" s="10" t="s">
        <v>2727</v>
      </c>
      <c r="H1034" t="s">
        <v>437</v>
      </c>
      <c r="I1034" t="s">
        <v>2707</v>
      </c>
      <c r="K1034" s="2"/>
      <c r="M1034" t="s">
        <v>2643</v>
      </c>
    </row>
    <row r="1035" spans="1:13">
      <c r="A1035" t="s">
        <v>28</v>
      </c>
      <c r="B1035">
        <f ca="1">IF(OR(changes[[#This Row],[Type]]="Checklist",changes[[#This Row],[Type]]="checklist-flat"),1+IF(changes[[#This Row],[Type of change]] = "Edit",COUNTIFS($I$4:changes[[#This Row],[Name]],changes[[#This Row],[Name]], $E$4:changes[[#This Row],[Type of change]], "Edit")),B1034)</f>
        <v>1</v>
      </c>
      <c r="C1035" s="16">
        <v>44636</v>
      </c>
      <c r="D1035" s="1" t="s">
        <v>2450</v>
      </c>
      <c r="E1035" t="s">
        <v>19</v>
      </c>
      <c r="F1035" s="10" t="s">
        <v>52</v>
      </c>
      <c r="G1035" s="10" t="s">
        <v>2727</v>
      </c>
      <c r="H1035" t="s">
        <v>437</v>
      </c>
      <c r="I1035" t="s">
        <v>2708</v>
      </c>
      <c r="K1035" s="2"/>
      <c r="M1035" t="s">
        <v>2643</v>
      </c>
    </row>
    <row r="1036" spans="1:13">
      <c r="A1036" t="s">
        <v>28</v>
      </c>
      <c r="B1036">
        <f ca="1">IF(OR(changes[[#This Row],[Type]]="Checklist",changes[[#This Row],[Type]]="checklist-flat"),1+IF(changes[[#This Row],[Type of change]] = "Edit",COUNTIFS($I$4:changes[[#This Row],[Name]],changes[[#This Row],[Name]], $E$4:changes[[#This Row],[Type of change]], "Edit")),B1035)</f>
        <v>1</v>
      </c>
      <c r="C1036" s="16">
        <v>44636</v>
      </c>
      <c r="D1036" s="1" t="s">
        <v>2450</v>
      </c>
      <c r="E1036" t="s">
        <v>19</v>
      </c>
      <c r="F1036" s="10" t="s">
        <v>52</v>
      </c>
      <c r="G1036" s="10" t="s">
        <v>2727</v>
      </c>
      <c r="H1036" t="s">
        <v>437</v>
      </c>
      <c r="I1036" t="s">
        <v>2709</v>
      </c>
      <c r="K1036" s="2"/>
      <c r="M1036" t="s">
        <v>2643</v>
      </c>
    </row>
    <row r="1037" spans="1:13">
      <c r="A1037" t="s">
        <v>28</v>
      </c>
      <c r="B1037">
        <f ca="1">IF(OR(changes[[#This Row],[Type]]="Checklist",changes[[#This Row],[Type]]="checklist-flat"),1+IF(changes[[#This Row],[Type of change]] = "Edit",COUNTIFS($I$4:changes[[#This Row],[Name]],changes[[#This Row],[Name]], $E$4:changes[[#This Row],[Type of change]], "Edit")),B1036)</f>
        <v>1</v>
      </c>
      <c r="C1037" s="16">
        <v>44636</v>
      </c>
      <c r="D1037" s="1" t="s">
        <v>2450</v>
      </c>
      <c r="E1037" t="s">
        <v>19</v>
      </c>
      <c r="F1037" s="10" t="s">
        <v>52</v>
      </c>
      <c r="G1037" s="10" t="s">
        <v>2727</v>
      </c>
      <c r="H1037" t="s">
        <v>437</v>
      </c>
      <c r="I1037" t="s">
        <v>2710</v>
      </c>
      <c r="K1037" s="2"/>
      <c r="M1037" t="s">
        <v>2643</v>
      </c>
    </row>
    <row r="1038" spans="1:13">
      <c r="A1038" t="s">
        <v>28</v>
      </c>
      <c r="B1038">
        <f ca="1">IF(OR(changes[[#This Row],[Type]]="Checklist",changes[[#This Row],[Type]]="checklist-flat"),1+IF(changes[[#This Row],[Type of change]] = "Edit",COUNTIFS($I$4:changes[[#This Row],[Name]],changes[[#This Row],[Name]], $E$4:changes[[#This Row],[Type of change]], "Edit")),B1037)</f>
        <v>1</v>
      </c>
      <c r="C1038" s="16">
        <v>44636</v>
      </c>
      <c r="D1038" s="1" t="s">
        <v>2450</v>
      </c>
      <c r="E1038" t="s">
        <v>19</v>
      </c>
      <c r="F1038" s="10" t="s">
        <v>52</v>
      </c>
      <c r="G1038" s="10" t="s">
        <v>2727</v>
      </c>
      <c r="H1038" t="s">
        <v>437</v>
      </c>
      <c r="I1038" t="s">
        <v>2711</v>
      </c>
      <c r="K1038" s="2"/>
      <c r="M1038" t="s">
        <v>2643</v>
      </c>
    </row>
    <row r="1039" spans="1:13">
      <c r="A1039" t="s">
        <v>28</v>
      </c>
      <c r="B1039">
        <f ca="1">IF(OR(changes[[#This Row],[Type]]="Checklist",changes[[#This Row],[Type]]="checklist-flat"),1+IF(changes[[#This Row],[Type of change]] = "Edit",COUNTIFS($I$4:changes[[#This Row],[Name]],changes[[#This Row],[Name]], $E$4:changes[[#This Row],[Type of change]], "Edit")),B1038)</f>
        <v>1</v>
      </c>
      <c r="C1039" s="16">
        <v>44636</v>
      </c>
      <c r="D1039" s="1" t="s">
        <v>2450</v>
      </c>
      <c r="E1039" t="s">
        <v>19</v>
      </c>
      <c r="F1039" s="10" t="s">
        <v>52</v>
      </c>
      <c r="G1039" s="10" t="s">
        <v>2727</v>
      </c>
      <c r="H1039" t="s">
        <v>437</v>
      </c>
      <c r="I1039" t="s">
        <v>2712</v>
      </c>
      <c r="K1039" s="2"/>
      <c r="M1039" t="s">
        <v>2643</v>
      </c>
    </row>
    <row r="1040" spans="1:13">
      <c r="A1040" t="s">
        <v>28</v>
      </c>
      <c r="B1040">
        <f ca="1">IF(OR(changes[[#This Row],[Type]]="Checklist",changes[[#This Row],[Type]]="checklist-flat"),1+IF(changes[[#This Row],[Type of change]] = "Edit",COUNTIFS($I$4:changes[[#This Row],[Name]],changes[[#This Row],[Name]], $E$4:changes[[#This Row],[Type of change]], "Edit")),B1039)</f>
        <v>1</v>
      </c>
      <c r="C1040" s="16">
        <v>44636</v>
      </c>
      <c r="D1040" s="1" t="s">
        <v>2450</v>
      </c>
      <c r="E1040" t="s">
        <v>19</v>
      </c>
      <c r="F1040" s="10" t="s">
        <v>52</v>
      </c>
      <c r="G1040" s="10" t="s">
        <v>2727</v>
      </c>
      <c r="H1040" t="s">
        <v>437</v>
      </c>
      <c r="I1040" t="s">
        <v>2713</v>
      </c>
      <c r="K1040" s="2"/>
      <c r="M1040" t="s">
        <v>2643</v>
      </c>
    </row>
    <row r="1041" spans="1:13">
      <c r="A1041" t="s">
        <v>28</v>
      </c>
      <c r="B1041">
        <f ca="1">IF(OR(changes[[#This Row],[Type]]="Checklist",changes[[#This Row],[Type]]="checklist-flat"),1+IF(changes[[#This Row],[Type of change]] = "Edit",COUNTIFS($I$4:changes[[#This Row],[Name]],changes[[#This Row],[Name]], $E$4:changes[[#This Row],[Type of change]], "Edit")),B1040)</f>
        <v>1</v>
      </c>
      <c r="C1041" s="16">
        <v>44636</v>
      </c>
      <c r="D1041" s="1" t="s">
        <v>2450</v>
      </c>
      <c r="E1041" t="s">
        <v>19</v>
      </c>
      <c r="F1041" s="10" t="s">
        <v>52</v>
      </c>
      <c r="G1041" s="10" t="s">
        <v>2727</v>
      </c>
      <c r="H1041" t="s">
        <v>437</v>
      </c>
      <c r="I1041" t="s">
        <v>2714</v>
      </c>
      <c r="K1041" s="2"/>
      <c r="M1041" t="s">
        <v>2643</v>
      </c>
    </row>
    <row r="1042" spans="1:13">
      <c r="A1042" t="s">
        <v>28</v>
      </c>
      <c r="B1042">
        <f ca="1">IF(OR(changes[[#This Row],[Type]]="Checklist",changes[[#This Row],[Type]]="checklist-flat"),1+IF(changes[[#This Row],[Type of change]] = "Edit",COUNTIFS($I$4:changes[[#This Row],[Name]],changes[[#This Row],[Name]], $E$4:changes[[#This Row],[Type of change]], "Edit")),B1041)</f>
        <v>1</v>
      </c>
      <c r="C1042" s="16">
        <v>44636</v>
      </c>
      <c r="D1042" s="1" t="s">
        <v>2450</v>
      </c>
      <c r="E1042" t="s">
        <v>19</v>
      </c>
      <c r="F1042" s="10" t="s">
        <v>52</v>
      </c>
      <c r="G1042" s="10" t="s">
        <v>2727</v>
      </c>
      <c r="H1042" t="s">
        <v>437</v>
      </c>
      <c r="I1042" t="s">
        <v>2715</v>
      </c>
      <c r="K1042" s="2"/>
      <c r="M1042" t="s">
        <v>2643</v>
      </c>
    </row>
    <row r="1043" spans="1:13">
      <c r="A1043" t="s">
        <v>28</v>
      </c>
      <c r="B1043">
        <f ca="1">IF(OR(changes[[#This Row],[Type]]="Checklist",changes[[#This Row],[Type]]="checklist-flat"),1+IF(changes[[#This Row],[Type of change]] = "Edit",COUNTIFS($I$4:changes[[#This Row],[Name]],changes[[#This Row],[Name]], $E$4:changes[[#This Row],[Type of change]], "Edit")),B1042)</f>
        <v>1</v>
      </c>
      <c r="C1043" s="16">
        <v>44636</v>
      </c>
      <c r="D1043" s="1" t="s">
        <v>2450</v>
      </c>
      <c r="E1043" t="s">
        <v>19</v>
      </c>
      <c r="F1043" s="10" t="s">
        <v>52</v>
      </c>
      <c r="G1043" s="10" t="s">
        <v>2727</v>
      </c>
      <c r="H1043" t="s">
        <v>437</v>
      </c>
      <c r="I1043" t="s">
        <v>2716</v>
      </c>
      <c r="K1043" s="2"/>
      <c r="M1043" t="s">
        <v>2643</v>
      </c>
    </row>
    <row r="1044" spans="1:13">
      <c r="A1044" t="s">
        <v>28</v>
      </c>
      <c r="B1044">
        <f ca="1">IF(OR(changes[[#This Row],[Type]]="Checklist",changes[[#This Row],[Type]]="checklist-flat"),1+IF(changes[[#This Row],[Type of change]] = "Edit",COUNTIFS($I$4:changes[[#This Row],[Name]],changes[[#This Row],[Name]], $E$4:changes[[#This Row],[Type of change]], "Edit")),B1043)</f>
        <v>1</v>
      </c>
      <c r="C1044" s="16">
        <v>44636</v>
      </c>
      <c r="D1044" s="1" t="s">
        <v>2450</v>
      </c>
      <c r="E1044" t="s">
        <v>19</v>
      </c>
      <c r="F1044" s="10" t="s">
        <v>52</v>
      </c>
      <c r="G1044" s="10" t="s">
        <v>2727</v>
      </c>
      <c r="H1044" t="s">
        <v>437</v>
      </c>
      <c r="I1044" t="s">
        <v>2717</v>
      </c>
      <c r="K1044" s="2"/>
      <c r="M1044" t="s">
        <v>2643</v>
      </c>
    </row>
    <row r="1045" spans="1:13">
      <c r="A1045" t="s">
        <v>28</v>
      </c>
      <c r="B1045">
        <f ca="1">IF(OR(changes[[#This Row],[Type]]="Checklist",changes[[#This Row],[Type]]="checklist-flat"),1+IF(changes[[#This Row],[Type of change]] = "Edit",COUNTIFS($I$4:changes[[#This Row],[Name]],changes[[#This Row],[Name]], $E$4:changes[[#This Row],[Type of change]], "Edit")),B1044)</f>
        <v>1</v>
      </c>
      <c r="C1045" s="16">
        <v>44636</v>
      </c>
      <c r="D1045" s="1" t="s">
        <v>2450</v>
      </c>
      <c r="E1045" t="s">
        <v>19</v>
      </c>
      <c r="F1045" s="10" t="s">
        <v>52</v>
      </c>
      <c r="G1045" s="10" t="s">
        <v>2727</v>
      </c>
      <c r="H1045" t="s">
        <v>437</v>
      </c>
      <c r="I1045" t="s">
        <v>2718</v>
      </c>
      <c r="K1045" s="2"/>
      <c r="M1045" t="s">
        <v>2643</v>
      </c>
    </row>
    <row r="1046" spans="1:13">
      <c r="A1046" t="s">
        <v>28</v>
      </c>
      <c r="B1046">
        <f ca="1">IF(OR(changes[[#This Row],[Type]]="Checklist",changes[[#This Row],[Type]]="checklist-flat"),1+IF(changes[[#This Row],[Type of change]] = "Edit",COUNTIFS($I$4:changes[[#This Row],[Name]],changes[[#This Row],[Name]], $E$4:changes[[#This Row],[Type of change]], "Edit")),B1045)</f>
        <v>1</v>
      </c>
      <c r="C1046" s="16">
        <v>44636</v>
      </c>
      <c r="D1046" s="1" t="s">
        <v>2450</v>
      </c>
      <c r="E1046" t="s">
        <v>19</v>
      </c>
      <c r="F1046" s="10" t="s">
        <v>52</v>
      </c>
      <c r="G1046" s="10" t="s">
        <v>2727</v>
      </c>
      <c r="H1046" t="s">
        <v>437</v>
      </c>
      <c r="I1046" t="s">
        <v>2719</v>
      </c>
      <c r="K1046" s="2"/>
      <c r="M1046" t="s">
        <v>2643</v>
      </c>
    </row>
    <row r="1047" spans="1:13">
      <c r="A1047" t="s">
        <v>28</v>
      </c>
      <c r="B1047">
        <f ca="1">IF(OR(changes[[#This Row],[Type]]="Checklist",changes[[#This Row],[Type]]="checklist-flat"),1+IF(changes[[#This Row],[Type of change]] = "Edit",COUNTIFS($I$4:changes[[#This Row],[Name]],changes[[#This Row],[Name]], $E$4:changes[[#This Row],[Type of change]], "Edit")),B1046)</f>
        <v>1</v>
      </c>
      <c r="C1047" s="16">
        <v>44636</v>
      </c>
      <c r="D1047" s="1" t="s">
        <v>2450</v>
      </c>
      <c r="E1047" t="s">
        <v>19</v>
      </c>
      <c r="F1047" s="10" t="s">
        <v>52</v>
      </c>
      <c r="G1047" s="10" t="s">
        <v>2727</v>
      </c>
      <c r="H1047" t="s">
        <v>437</v>
      </c>
      <c r="I1047" t="s">
        <v>2499</v>
      </c>
      <c r="K1047" s="2"/>
      <c r="M1047" t="s">
        <v>2643</v>
      </c>
    </row>
    <row r="1048" spans="1:13">
      <c r="A1048" t="s">
        <v>28</v>
      </c>
      <c r="B1048">
        <f ca="1">IF(OR(changes[[#This Row],[Type]]="Checklist",changes[[#This Row],[Type]]="checklist-flat"),1+IF(changes[[#This Row],[Type of change]] = "Edit",COUNTIFS($I$4:changes[[#This Row],[Name]],changes[[#This Row],[Name]], $E$4:changes[[#This Row],[Type of change]], "Edit")),B1047)</f>
        <v>1</v>
      </c>
      <c r="C1048" s="16">
        <v>44636</v>
      </c>
      <c r="D1048" s="1" t="s">
        <v>2450</v>
      </c>
      <c r="E1048" t="s">
        <v>19</v>
      </c>
      <c r="F1048" s="10" t="s">
        <v>52</v>
      </c>
      <c r="G1048" s="10" t="s">
        <v>2727</v>
      </c>
      <c r="H1048" t="s">
        <v>951</v>
      </c>
      <c r="I1048" t="s">
        <v>377</v>
      </c>
      <c r="K1048" s="2"/>
      <c r="M1048" t="s">
        <v>2643</v>
      </c>
    </row>
    <row r="1049" spans="1:13">
      <c r="A1049" t="s">
        <v>28</v>
      </c>
      <c r="B1049">
        <f ca="1">IF(OR(changes[[#This Row],[Type]]="Checklist",changes[[#This Row],[Type]]="checklist-flat"),1+IF(changes[[#This Row],[Type of change]] = "Edit",COUNTIFS($I$4:changes[[#This Row],[Name]],changes[[#This Row],[Name]], $E$4:changes[[#This Row],[Type of change]], "Edit")),B1048)</f>
        <v>1</v>
      </c>
      <c r="C1049" s="16">
        <v>44636</v>
      </c>
      <c r="D1049" s="1" t="s">
        <v>2450</v>
      </c>
      <c r="E1049" t="s">
        <v>19</v>
      </c>
      <c r="F1049" s="10" t="s">
        <v>52</v>
      </c>
      <c r="G1049" s="10" t="s">
        <v>2727</v>
      </c>
      <c r="H1049" t="s">
        <v>951</v>
      </c>
      <c r="I1049" t="s">
        <v>2501</v>
      </c>
      <c r="K1049" s="2"/>
      <c r="M1049" t="s">
        <v>2643</v>
      </c>
    </row>
    <row r="1050" spans="1:13">
      <c r="A1050" t="s">
        <v>28</v>
      </c>
      <c r="B1050">
        <f ca="1">IF(OR(changes[[#This Row],[Type]]="Checklist",changes[[#This Row],[Type]]="checklist-flat"),1+IF(changes[[#This Row],[Type of change]] = "Edit",COUNTIFS($I$4:changes[[#This Row],[Name]],changes[[#This Row],[Name]], $E$4:changes[[#This Row],[Type of change]], "Edit")),B1049)</f>
        <v>1</v>
      </c>
      <c r="C1050" s="16">
        <v>44636</v>
      </c>
      <c r="D1050" s="1" t="s">
        <v>2450</v>
      </c>
      <c r="E1050" t="s">
        <v>19</v>
      </c>
      <c r="F1050" s="10" t="s">
        <v>52</v>
      </c>
      <c r="G1050" s="10" t="s">
        <v>2727</v>
      </c>
      <c r="H1050" t="s">
        <v>951</v>
      </c>
      <c r="I1050" t="s">
        <v>2678</v>
      </c>
      <c r="K1050" s="2"/>
      <c r="M1050" t="s">
        <v>2643</v>
      </c>
    </row>
    <row r="1051" spans="1:13">
      <c r="A1051" t="s">
        <v>28</v>
      </c>
      <c r="B1051">
        <f ca="1">IF(OR(changes[[#This Row],[Type]]="Checklist",changes[[#This Row],[Type]]="checklist-flat"),1+IF(changes[[#This Row],[Type of change]] = "Edit",COUNTIFS($I$4:changes[[#This Row],[Name]],changes[[#This Row],[Name]], $E$4:changes[[#This Row],[Type of change]], "Edit")),B1050)</f>
        <v>1</v>
      </c>
      <c r="C1051" s="16">
        <v>44636</v>
      </c>
      <c r="D1051" s="1" t="s">
        <v>2450</v>
      </c>
      <c r="E1051" t="s">
        <v>19</v>
      </c>
      <c r="F1051" s="10" t="s">
        <v>52</v>
      </c>
      <c r="G1051" s="10" t="s">
        <v>2727</v>
      </c>
      <c r="H1051" t="s">
        <v>951</v>
      </c>
      <c r="I1051" t="s">
        <v>2679</v>
      </c>
      <c r="K1051" s="2"/>
      <c r="M1051" t="s">
        <v>2643</v>
      </c>
    </row>
    <row r="1052" spans="1:13">
      <c r="A1052" t="s">
        <v>28</v>
      </c>
      <c r="B1052">
        <f ca="1">IF(OR(changes[[#This Row],[Type]]="Checklist",changes[[#This Row],[Type]]="checklist-flat"),1+IF(changes[[#This Row],[Type of change]] = "Edit",COUNTIFS($I$4:changes[[#This Row],[Name]],changes[[#This Row],[Name]], $E$4:changes[[#This Row],[Type of change]], "Edit")),B1051)</f>
        <v>1</v>
      </c>
      <c r="C1052" s="16">
        <v>44636</v>
      </c>
      <c r="D1052" s="1" t="s">
        <v>2450</v>
      </c>
      <c r="E1052" t="s">
        <v>19</v>
      </c>
      <c r="F1052" s="10" t="s">
        <v>52</v>
      </c>
      <c r="G1052" s="10" t="s">
        <v>2727</v>
      </c>
      <c r="H1052" t="s">
        <v>437</v>
      </c>
      <c r="I1052" t="s">
        <v>2692</v>
      </c>
      <c r="K1052" s="2"/>
      <c r="M1052" t="s">
        <v>2643</v>
      </c>
    </row>
    <row r="1053" spans="1:13">
      <c r="A1053" t="s">
        <v>28</v>
      </c>
      <c r="B1053">
        <f ca="1">IF(OR(changes[[#This Row],[Type]]="Checklist",changes[[#This Row],[Type]]="checklist-flat"),1+IF(changes[[#This Row],[Type of change]] = "Edit",COUNTIFS($I$4:changes[[#This Row],[Name]],changes[[#This Row],[Name]], $E$4:changes[[#This Row],[Type of change]], "Edit")),B1052)</f>
        <v>1</v>
      </c>
      <c r="C1053" s="16">
        <v>44636</v>
      </c>
      <c r="D1053" s="1" t="s">
        <v>2450</v>
      </c>
      <c r="E1053" t="s">
        <v>19</v>
      </c>
      <c r="F1053" s="10" t="s">
        <v>52</v>
      </c>
      <c r="G1053" s="10" t="s">
        <v>2727</v>
      </c>
      <c r="H1053" t="s">
        <v>64</v>
      </c>
      <c r="I1053" t="s">
        <v>2669</v>
      </c>
      <c r="K1053" s="2"/>
      <c r="M1053" t="s">
        <v>2643</v>
      </c>
    </row>
    <row r="1054" spans="1:13">
      <c r="A1054" t="s">
        <v>28</v>
      </c>
      <c r="B1054">
        <f ca="1">IF(OR(changes[[#This Row],[Type]]="Checklist",changes[[#This Row],[Type]]="checklist-flat"),1+IF(changes[[#This Row],[Type of change]] = "Edit",COUNTIFS($I$4:changes[[#This Row],[Name]],changes[[#This Row],[Name]], $E$4:changes[[#This Row],[Type of change]], "Edit")),B1053)</f>
        <v>1</v>
      </c>
      <c r="C1054" s="16">
        <v>44636</v>
      </c>
      <c r="D1054" s="1" t="s">
        <v>2450</v>
      </c>
      <c r="E1054" t="s">
        <v>19</v>
      </c>
      <c r="F1054" s="10" t="s">
        <v>52</v>
      </c>
      <c r="G1054" s="10" t="s">
        <v>2728</v>
      </c>
      <c r="H1054" t="s">
        <v>478</v>
      </c>
      <c r="I1054" t="s">
        <v>2728</v>
      </c>
      <c r="K1054" s="2"/>
      <c r="M1054" t="s">
        <v>2643</v>
      </c>
    </row>
    <row r="1055" spans="1:13">
      <c r="A1055" t="s">
        <v>28</v>
      </c>
      <c r="B1055">
        <f ca="1">IF(OR(changes[[#This Row],[Type]]="Checklist",changes[[#This Row],[Type]]="checklist-flat"),1+IF(changes[[#This Row],[Type of change]] = "Edit",COUNTIFS($I$4:changes[[#This Row],[Name]],changes[[#This Row],[Name]], $E$4:changes[[#This Row],[Type of change]], "Edit")),B1054)</f>
        <v>1</v>
      </c>
      <c r="C1055" s="16">
        <v>44636</v>
      </c>
      <c r="D1055" s="1" t="s">
        <v>2450</v>
      </c>
      <c r="E1055" t="s">
        <v>19</v>
      </c>
      <c r="F1055" s="10" t="s">
        <v>52</v>
      </c>
      <c r="G1055" s="10" t="s">
        <v>2728</v>
      </c>
      <c r="H1055" t="s">
        <v>55</v>
      </c>
      <c r="I1055" t="s">
        <v>2729</v>
      </c>
      <c r="K1055" s="2"/>
      <c r="M1055" t="s">
        <v>2643</v>
      </c>
    </row>
    <row r="1056" spans="1:13">
      <c r="A1056" t="s">
        <v>28</v>
      </c>
      <c r="B1056">
        <f ca="1">IF(OR(changes[[#This Row],[Type]]="Checklist",changes[[#This Row],[Type]]="checklist-flat"),1+IF(changes[[#This Row],[Type of change]] = "Edit",COUNTIFS($I$4:changes[[#This Row],[Name]],changes[[#This Row],[Name]], $E$4:changes[[#This Row],[Type of change]], "Edit")),B1055)</f>
        <v>1</v>
      </c>
      <c r="C1056" s="16">
        <v>44636</v>
      </c>
      <c r="D1056" s="1" t="s">
        <v>2450</v>
      </c>
      <c r="E1056" t="s">
        <v>19</v>
      </c>
      <c r="F1056" s="10" t="s">
        <v>52</v>
      </c>
      <c r="G1056" s="10" t="s">
        <v>2728</v>
      </c>
      <c r="H1056" t="s">
        <v>64</v>
      </c>
      <c r="I1056" t="s">
        <v>2669</v>
      </c>
      <c r="K1056" s="2"/>
      <c r="M1056" t="s">
        <v>2643</v>
      </c>
    </row>
    <row r="1057" spans="1:13">
      <c r="A1057" t="s">
        <v>28</v>
      </c>
      <c r="B1057">
        <f ca="1">IF(OR(changes[[#This Row],[Type]]="Checklist",changes[[#This Row],[Type]]="checklist-flat"),1+IF(changes[[#This Row],[Type of change]] = "Edit",COUNTIFS($I$4:changes[[#This Row],[Name]],changes[[#This Row],[Name]], $E$4:changes[[#This Row],[Type of change]], "Edit")),B1056)</f>
        <v>1</v>
      </c>
      <c r="C1057" s="16">
        <v>44636</v>
      </c>
      <c r="D1057" s="1" t="s">
        <v>2450</v>
      </c>
      <c r="E1057" t="s">
        <v>19</v>
      </c>
      <c r="F1057" s="10" t="s">
        <v>52</v>
      </c>
      <c r="G1057" s="10" t="s">
        <v>2730</v>
      </c>
      <c r="H1057" t="s">
        <v>47</v>
      </c>
      <c r="I1057" t="s">
        <v>2730</v>
      </c>
      <c r="K1057" s="2"/>
      <c r="M1057" t="s">
        <v>2643</v>
      </c>
    </row>
    <row r="1058" spans="1:13">
      <c r="A1058" t="s">
        <v>28</v>
      </c>
      <c r="B1058">
        <f ca="1">IF(OR(changes[[#This Row],[Type]]="Checklist",changes[[#This Row],[Type]]="checklist-flat"),1+IF(changes[[#This Row],[Type of change]] = "Edit",COUNTIFS($I$4:changes[[#This Row],[Name]],changes[[#This Row],[Name]], $E$4:changes[[#This Row],[Type of change]], "Edit")),B1057)</f>
        <v>1</v>
      </c>
      <c r="C1058" s="16">
        <v>44636</v>
      </c>
      <c r="D1058" s="1" t="s">
        <v>2450</v>
      </c>
      <c r="E1058" t="s">
        <v>19</v>
      </c>
      <c r="F1058" s="10" t="s">
        <v>52</v>
      </c>
      <c r="G1058" s="10" t="s">
        <v>2730</v>
      </c>
      <c r="H1058" t="s">
        <v>269</v>
      </c>
      <c r="I1058" t="s">
        <v>2731</v>
      </c>
      <c r="K1058" s="2"/>
      <c r="M1058" t="s">
        <v>2643</v>
      </c>
    </row>
    <row r="1059" spans="1:13">
      <c r="A1059" t="s">
        <v>28</v>
      </c>
      <c r="B1059">
        <f ca="1">IF(OR(changes[[#This Row],[Type]]="Checklist",changes[[#This Row],[Type]]="checklist-flat"),1+IF(changes[[#This Row],[Type of change]] = "Edit",COUNTIFS($I$4:changes[[#This Row],[Name]],changes[[#This Row],[Name]], $E$4:changes[[#This Row],[Type of change]], "Edit")),B1058)</f>
        <v>1</v>
      </c>
      <c r="C1059" s="16">
        <v>44636</v>
      </c>
      <c r="D1059" s="1" t="s">
        <v>2450</v>
      </c>
      <c r="E1059" t="s">
        <v>19</v>
      </c>
      <c r="F1059" s="10" t="s">
        <v>52</v>
      </c>
      <c r="G1059" s="10" t="s">
        <v>2730</v>
      </c>
      <c r="H1059" t="s">
        <v>2490</v>
      </c>
      <c r="I1059" t="s">
        <v>2732</v>
      </c>
      <c r="K1059" s="2"/>
      <c r="M1059" t="s">
        <v>2643</v>
      </c>
    </row>
    <row r="1060" spans="1:13">
      <c r="A1060" t="s">
        <v>28</v>
      </c>
      <c r="B1060">
        <f ca="1">IF(OR(changes[[#This Row],[Type]]="Checklist",changes[[#This Row],[Type]]="checklist-flat"),1+IF(changes[[#This Row],[Type of change]] = "Edit",COUNTIFS($I$4:changes[[#This Row],[Name]],changes[[#This Row],[Name]], $E$4:changes[[#This Row],[Type of change]], "Edit")),B1059)</f>
        <v>1</v>
      </c>
      <c r="C1060" s="16">
        <v>44636</v>
      </c>
      <c r="D1060" s="1" t="s">
        <v>2450</v>
      </c>
      <c r="E1060" t="s">
        <v>19</v>
      </c>
      <c r="F1060" s="10" t="s">
        <v>52</v>
      </c>
      <c r="G1060" s="10" t="s">
        <v>2730</v>
      </c>
      <c r="H1060" t="s">
        <v>2490</v>
      </c>
      <c r="I1060" t="s">
        <v>2733</v>
      </c>
      <c r="K1060" s="2"/>
      <c r="M1060" t="s">
        <v>2643</v>
      </c>
    </row>
    <row r="1061" spans="1:13">
      <c r="A1061" t="s">
        <v>28</v>
      </c>
      <c r="B1061">
        <f ca="1">IF(OR(changes[[#This Row],[Type]]="Checklist",changes[[#This Row],[Type]]="checklist-flat"),1+IF(changes[[#This Row],[Type of change]] = "Edit",COUNTIFS($I$4:changes[[#This Row],[Name]],changes[[#This Row],[Name]], $E$4:changes[[#This Row],[Type of change]], "Edit")),B1060)</f>
        <v>1</v>
      </c>
      <c r="C1061" s="16">
        <v>44636</v>
      </c>
      <c r="D1061" s="1" t="s">
        <v>2450</v>
      </c>
      <c r="E1061" t="s">
        <v>19</v>
      </c>
      <c r="F1061" s="10" t="s">
        <v>52</v>
      </c>
      <c r="G1061" s="10" t="s">
        <v>2730</v>
      </c>
      <c r="H1061" t="s">
        <v>2500</v>
      </c>
      <c r="I1061" t="s">
        <v>2734</v>
      </c>
      <c r="K1061" s="2"/>
      <c r="M1061" t="s">
        <v>2643</v>
      </c>
    </row>
    <row r="1062" spans="1:13">
      <c r="A1062" t="s">
        <v>28</v>
      </c>
      <c r="B1062">
        <f ca="1">IF(OR(changes[[#This Row],[Type]]="Checklist",changes[[#This Row],[Type]]="checklist-flat"),1+IF(changes[[#This Row],[Type of change]] = "Edit",COUNTIFS($I$4:changes[[#This Row],[Name]],changes[[#This Row],[Name]], $E$4:changes[[#This Row],[Type of change]], "Edit")),B1061)</f>
        <v>1</v>
      </c>
      <c r="C1062" s="16">
        <v>44636</v>
      </c>
      <c r="D1062" s="1" t="s">
        <v>2450</v>
      </c>
      <c r="E1062" t="s">
        <v>19</v>
      </c>
      <c r="F1062" s="10" t="s">
        <v>52</v>
      </c>
      <c r="G1062" s="10" t="s">
        <v>2730</v>
      </c>
      <c r="H1062" t="s">
        <v>2490</v>
      </c>
      <c r="I1062" t="s">
        <v>2735</v>
      </c>
      <c r="K1062" s="2"/>
      <c r="M1062" t="s">
        <v>2643</v>
      </c>
    </row>
    <row r="1063" spans="1:13">
      <c r="A1063" t="s">
        <v>28</v>
      </c>
      <c r="B1063">
        <f ca="1">IF(OR(changes[[#This Row],[Type]]="Checklist",changes[[#This Row],[Type]]="checklist-flat"),1+IF(changes[[#This Row],[Type of change]] = "Edit",COUNTIFS($I$4:changes[[#This Row],[Name]],changes[[#This Row],[Name]], $E$4:changes[[#This Row],[Type of change]], "Edit")),B1062)</f>
        <v>1</v>
      </c>
      <c r="C1063" s="16">
        <v>44636</v>
      </c>
      <c r="D1063" s="1" t="s">
        <v>2450</v>
      </c>
      <c r="E1063" t="s">
        <v>19</v>
      </c>
      <c r="F1063" s="10" t="s">
        <v>52</v>
      </c>
      <c r="G1063" s="10" t="s">
        <v>2730</v>
      </c>
      <c r="H1063" t="s">
        <v>2490</v>
      </c>
      <c r="I1063" t="s">
        <v>2736</v>
      </c>
      <c r="K1063" s="2"/>
      <c r="M1063" t="s">
        <v>2643</v>
      </c>
    </row>
    <row r="1064" spans="1:13">
      <c r="A1064" t="s">
        <v>28</v>
      </c>
      <c r="B1064">
        <f ca="1">IF(OR(changes[[#This Row],[Type]]="Checklist",changes[[#This Row],[Type]]="checklist-flat"),1+IF(changes[[#This Row],[Type of change]] = "Edit",COUNTIFS($I$4:changes[[#This Row],[Name]],changes[[#This Row],[Name]], $E$4:changes[[#This Row],[Type of change]], "Edit")),B1063)</f>
        <v>1</v>
      </c>
      <c r="C1064" s="16">
        <v>44636</v>
      </c>
      <c r="D1064" s="1" t="s">
        <v>2450</v>
      </c>
      <c r="E1064" t="s">
        <v>19</v>
      </c>
      <c r="F1064" s="10" t="s">
        <v>52</v>
      </c>
      <c r="G1064" s="10" t="s">
        <v>2730</v>
      </c>
      <c r="H1064" t="s">
        <v>2490</v>
      </c>
      <c r="I1064" t="s">
        <v>2737</v>
      </c>
      <c r="K1064" s="2"/>
      <c r="M1064" t="s">
        <v>2643</v>
      </c>
    </row>
    <row r="1065" spans="1:13">
      <c r="A1065" t="s">
        <v>28</v>
      </c>
      <c r="B1065">
        <f ca="1">IF(OR(changes[[#This Row],[Type]]="Checklist",changes[[#This Row],[Type]]="checklist-flat"),1+IF(changes[[#This Row],[Type of change]] = "Edit",COUNTIFS($I$4:changes[[#This Row],[Name]],changes[[#This Row],[Name]], $E$4:changes[[#This Row],[Type of change]], "Edit")),B1064)</f>
        <v>1</v>
      </c>
      <c r="C1065" s="16">
        <v>44636</v>
      </c>
      <c r="D1065" s="1" t="s">
        <v>2450</v>
      </c>
      <c r="E1065" t="s">
        <v>19</v>
      </c>
      <c r="F1065" s="10" t="s">
        <v>52</v>
      </c>
      <c r="G1065" s="10" t="s">
        <v>2730</v>
      </c>
      <c r="H1065" t="s">
        <v>2490</v>
      </c>
      <c r="I1065" t="s">
        <v>2738</v>
      </c>
      <c r="K1065" s="2"/>
      <c r="M1065" t="s">
        <v>2643</v>
      </c>
    </row>
    <row r="1066" spans="1:13">
      <c r="A1066" t="s">
        <v>28</v>
      </c>
      <c r="B1066">
        <f ca="1">IF(OR(changes[[#This Row],[Type]]="Checklist",changes[[#This Row],[Type]]="checklist-flat"),1+IF(changes[[#This Row],[Type of change]] = "Edit",COUNTIFS($I$4:changes[[#This Row],[Name]],changes[[#This Row],[Name]], $E$4:changes[[#This Row],[Type of change]], "Edit")),B1065)</f>
        <v>1</v>
      </c>
      <c r="C1066" s="16">
        <v>44636</v>
      </c>
      <c r="D1066" s="1" t="s">
        <v>2450</v>
      </c>
      <c r="E1066" t="s">
        <v>19</v>
      </c>
      <c r="F1066" s="10" t="s">
        <v>52</v>
      </c>
      <c r="G1066" s="10" t="s">
        <v>2730</v>
      </c>
      <c r="H1066" t="s">
        <v>2490</v>
      </c>
      <c r="I1066" t="s">
        <v>2739</v>
      </c>
      <c r="K1066" s="2"/>
      <c r="M1066" t="s">
        <v>2643</v>
      </c>
    </row>
    <row r="1067" spans="1:13">
      <c r="A1067" t="s">
        <v>28</v>
      </c>
      <c r="B1067">
        <f ca="1">IF(OR(changes[[#This Row],[Type]]="Checklist",changes[[#This Row],[Type]]="checklist-flat"),1+IF(changes[[#This Row],[Type of change]] = "Edit",COUNTIFS($I$4:changes[[#This Row],[Name]],changes[[#This Row],[Name]], $E$4:changes[[#This Row],[Type of change]], "Edit")),B1066)</f>
        <v>1</v>
      </c>
      <c r="C1067" s="16">
        <v>44636</v>
      </c>
      <c r="D1067" s="1" t="s">
        <v>2450</v>
      </c>
      <c r="E1067" t="s">
        <v>19</v>
      </c>
      <c r="F1067" s="10" t="s">
        <v>52</v>
      </c>
      <c r="G1067" s="10" t="s">
        <v>2730</v>
      </c>
      <c r="H1067" t="s">
        <v>2490</v>
      </c>
      <c r="I1067" t="s">
        <v>2740</v>
      </c>
      <c r="K1067" s="2"/>
      <c r="M1067" t="s">
        <v>2643</v>
      </c>
    </row>
    <row r="1068" spans="1:13">
      <c r="A1068" t="s">
        <v>28</v>
      </c>
      <c r="B1068">
        <f ca="1">IF(OR(changes[[#This Row],[Type]]="Checklist",changes[[#This Row],[Type]]="checklist-flat"),1+IF(changes[[#This Row],[Type of change]] = "Edit",COUNTIFS($I$4:changes[[#This Row],[Name]],changes[[#This Row],[Name]], $E$4:changes[[#This Row],[Type of change]], "Edit")),B1067)</f>
        <v>1</v>
      </c>
      <c r="C1068" s="16">
        <v>44636</v>
      </c>
      <c r="D1068" s="1" t="s">
        <v>2450</v>
      </c>
      <c r="E1068" t="s">
        <v>19</v>
      </c>
      <c r="F1068" s="10" t="s">
        <v>52</v>
      </c>
      <c r="G1068" s="10" t="s">
        <v>2730</v>
      </c>
      <c r="H1068" t="s">
        <v>2490</v>
      </c>
      <c r="I1068" t="s">
        <v>2741</v>
      </c>
      <c r="K1068" s="2"/>
      <c r="M1068" t="s">
        <v>2643</v>
      </c>
    </row>
    <row r="1069" spans="1:13">
      <c r="A1069" t="s">
        <v>28</v>
      </c>
      <c r="B1069">
        <f ca="1">IF(OR(changes[[#This Row],[Type]]="Checklist",changes[[#This Row],[Type]]="checklist-flat"),1+IF(changes[[#This Row],[Type of change]] = "Edit",COUNTIFS($I$4:changes[[#This Row],[Name]],changes[[#This Row],[Name]], $E$4:changes[[#This Row],[Type of change]], "Edit")),B1068)</f>
        <v>1</v>
      </c>
      <c r="C1069" s="16">
        <v>44636</v>
      </c>
      <c r="D1069" s="1" t="s">
        <v>2450</v>
      </c>
      <c r="E1069" t="s">
        <v>19</v>
      </c>
      <c r="F1069" s="10" t="s">
        <v>52</v>
      </c>
      <c r="G1069" s="10" t="s">
        <v>2730</v>
      </c>
      <c r="H1069" t="s">
        <v>2490</v>
      </c>
      <c r="I1069" t="s">
        <v>2742</v>
      </c>
      <c r="K1069" s="2"/>
      <c r="M1069" t="s">
        <v>2643</v>
      </c>
    </row>
    <row r="1070" spans="1:13">
      <c r="A1070" t="s">
        <v>28</v>
      </c>
      <c r="B1070">
        <f ca="1">IF(OR(changes[[#This Row],[Type]]="Checklist",changes[[#This Row],[Type]]="checklist-flat"),1+IF(changes[[#This Row],[Type of change]] = "Edit",COUNTIFS($I$4:changes[[#This Row],[Name]],changes[[#This Row],[Name]], $E$4:changes[[#This Row],[Type of change]], "Edit")),B1069)</f>
        <v>1</v>
      </c>
      <c r="C1070" s="16">
        <v>44636</v>
      </c>
      <c r="D1070" s="1" t="s">
        <v>2450</v>
      </c>
      <c r="E1070" t="s">
        <v>19</v>
      </c>
      <c r="F1070" s="10" t="s">
        <v>52</v>
      </c>
      <c r="G1070" s="10" t="s">
        <v>2730</v>
      </c>
      <c r="H1070" t="s">
        <v>2490</v>
      </c>
      <c r="I1070" t="s">
        <v>2743</v>
      </c>
      <c r="K1070" s="2"/>
      <c r="M1070" t="s">
        <v>2643</v>
      </c>
    </row>
    <row r="1071" spans="1:13">
      <c r="A1071" t="s">
        <v>28</v>
      </c>
      <c r="B1071">
        <f ca="1">IF(OR(changes[[#This Row],[Type]]="Checklist",changes[[#This Row],[Type]]="checklist-flat"),1+IF(changes[[#This Row],[Type of change]] = "Edit",COUNTIFS($I$4:changes[[#This Row],[Name]],changes[[#This Row],[Name]], $E$4:changes[[#This Row],[Type of change]], "Edit")),B1070)</f>
        <v>1</v>
      </c>
      <c r="C1071" s="16">
        <v>44636</v>
      </c>
      <c r="D1071" s="1" t="s">
        <v>2450</v>
      </c>
      <c r="E1071" t="s">
        <v>19</v>
      </c>
      <c r="F1071" s="10" t="s">
        <v>52</v>
      </c>
      <c r="G1071" s="10" t="s">
        <v>2730</v>
      </c>
      <c r="H1071" t="s">
        <v>2490</v>
      </c>
      <c r="I1071" t="s">
        <v>2744</v>
      </c>
      <c r="K1071" s="2"/>
      <c r="M1071" t="s">
        <v>2643</v>
      </c>
    </row>
    <row r="1072" spans="1:13">
      <c r="A1072" t="s">
        <v>28</v>
      </c>
      <c r="B1072">
        <f ca="1">IF(OR(changes[[#This Row],[Type]]="Checklist",changes[[#This Row],[Type]]="checklist-flat"),1+IF(changes[[#This Row],[Type of change]] = "Edit",COUNTIFS($I$4:changes[[#This Row],[Name]],changes[[#This Row],[Name]], $E$4:changes[[#This Row],[Type of change]], "Edit")),B1071)</f>
        <v>1</v>
      </c>
      <c r="C1072" s="16">
        <v>44636</v>
      </c>
      <c r="D1072" s="1" t="s">
        <v>2450</v>
      </c>
      <c r="E1072" t="s">
        <v>19</v>
      </c>
      <c r="F1072" s="10" t="s">
        <v>52</v>
      </c>
      <c r="G1072" s="10" t="s">
        <v>2730</v>
      </c>
      <c r="H1072" t="s">
        <v>2490</v>
      </c>
      <c r="I1072" t="s">
        <v>2745</v>
      </c>
      <c r="K1072" s="2"/>
      <c r="M1072" t="s">
        <v>2643</v>
      </c>
    </row>
    <row r="1073" spans="1:13">
      <c r="A1073" t="s">
        <v>28</v>
      </c>
      <c r="B1073">
        <f ca="1">IF(OR(changes[[#This Row],[Type]]="Checklist",changes[[#This Row],[Type]]="checklist-flat"),1+IF(changes[[#This Row],[Type of change]] = "Edit",COUNTIFS($I$4:changes[[#This Row],[Name]],changes[[#This Row],[Name]], $E$4:changes[[#This Row],[Type of change]], "Edit")),B1072)</f>
        <v>1</v>
      </c>
      <c r="C1073" s="16">
        <v>44636</v>
      </c>
      <c r="D1073" s="1" t="s">
        <v>2450</v>
      </c>
      <c r="E1073" t="s">
        <v>19</v>
      </c>
      <c r="F1073" s="10" t="s">
        <v>52</v>
      </c>
      <c r="G1073" s="10" t="s">
        <v>2730</v>
      </c>
      <c r="H1073" t="s">
        <v>2490</v>
      </c>
      <c r="I1073" t="s">
        <v>2746</v>
      </c>
      <c r="K1073" s="2"/>
      <c r="M1073" t="s">
        <v>2643</v>
      </c>
    </row>
    <row r="1074" spans="1:13">
      <c r="A1074" t="s">
        <v>28</v>
      </c>
      <c r="B1074">
        <f ca="1">IF(OR(changes[[#This Row],[Type]]="Checklist",changes[[#This Row],[Type]]="checklist-flat"),1+IF(changes[[#This Row],[Type of change]] = "Edit",COUNTIFS($I$4:changes[[#This Row],[Name]],changes[[#This Row],[Name]], $E$4:changes[[#This Row],[Type of change]], "Edit")),B1073)</f>
        <v>1</v>
      </c>
      <c r="C1074" s="16">
        <v>44636</v>
      </c>
      <c r="D1074" s="1" t="s">
        <v>2450</v>
      </c>
      <c r="E1074" t="s">
        <v>19</v>
      </c>
      <c r="F1074" s="10" t="s">
        <v>52</v>
      </c>
      <c r="G1074" s="10" t="s">
        <v>2730</v>
      </c>
      <c r="H1074" t="s">
        <v>2490</v>
      </c>
      <c r="I1074" t="s">
        <v>2747</v>
      </c>
      <c r="K1074" s="2"/>
      <c r="M1074" t="s">
        <v>2643</v>
      </c>
    </row>
    <row r="1075" spans="1:13">
      <c r="A1075" t="s">
        <v>28</v>
      </c>
      <c r="B1075">
        <f ca="1">IF(OR(changes[[#This Row],[Type]]="Checklist",changes[[#This Row],[Type]]="checklist-flat"),1+IF(changes[[#This Row],[Type of change]] = "Edit",COUNTIFS($I$4:changes[[#This Row],[Name]],changes[[#This Row],[Name]], $E$4:changes[[#This Row],[Type of change]], "Edit")),B1074)</f>
        <v>1</v>
      </c>
      <c r="C1075" s="16">
        <v>44636</v>
      </c>
      <c r="D1075" s="1" t="s">
        <v>2450</v>
      </c>
      <c r="E1075" t="s">
        <v>19</v>
      </c>
      <c r="F1075" s="10" t="s">
        <v>52</v>
      </c>
      <c r="G1075" s="10" t="s">
        <v>2730</v>
      </c>
      <c r="H1075" t="s">
        <v>2490</v>
      </c>
      <c r="I1075" t="s">
        <v>2499</v>
      </c>
      <c r="K1075" s="2"/>
      <c r="M1075" t="s">
        <v>2643</v>
      </c>
    </row>
    <row r="1076" spans="1:13">
      <c r="A1076" t="s">
        <v>28</v>
      </c>
      <c r="B1076">
        <f ca="1">IF(OR(changes[[#This Row],[Type]]="Checklist",changes[[#This Row],[Type]]="checklist-flat"),1+IF(changes[[#This Row],[Type of change]] = "Edit",COUNTIFS($I$4:changes[[#This Row],[Name]],changes[[#This Row],[Name]], $E$4:changes[[#This Row],[Type of change]], "Edit")),B1075)</f>
        <v>1</v>
      </c>
      <c r="C1076" s="16">
        <v>44636</v>
      </c>
      <c r="D1076" s="1" t="s">
        <v>2450</v>
      </c>
      <c r="E1076" t="s">
        <v>19</v>
      </c>
      <c r="F1076" s="10" t="s">
        <v>52</v>
      </c>
      <c r="G1076" s="10" t="s">
        <v>2730</v>
      </c>
      <c r="H1076" t="s">
        <v>2500</v>
      </c>
      <c r="I1076" t="s">
        <v>2748</v>
      </c>
      <c r="K1076" s="2"/>
      <c r="M1076" t="s">
        <v>2643</v>
      </c>
    </row>
    <row r="1077" spans="1:13">
      <c r="A1077" t="s">
        <v>28</v>
      </c>
      <c r="B1077">
        <f ca="1">IF(OR(changes[[#This Row],[Type]]="Checklist",changes[[#This Row],[Type]]="checklist-flat"),1+IF(changes[[#This Row],[Type of change]] = "Edit",COUNTIFS($I$4:changes[[#This Row],[Name]],changes[[#This Row],[Name]], $E$4:changes[[#This Row],[Type of change]], "Edit")),B1076)</f>
        <v>1</v>
      </c>
      <c r="C1077" s="16">
        <v>44636</v>
      </c>
      <c r="D1077" s="1" t="s">
        <v>2450</v>
      </c>
      <c r="E1077" t="s">
        <v>19</v>
      </c>
      <c r="F1077" s="10" t="s">
        <v>52</v>
      </c>
      <c r="G1077" s="10" t="s">
        <v>2730</v>
      </c>
      <c r="H1077" t="s">
        <v>2500</v>
      </c>
      <c r="I1077" t="s">
        <v>2749</v>
      </c>
      <c r="K1077" s="2"/>
      <c r="M1077" t="s">
        <v>2643</v>
      </c>
    </row>
    <row r="1078" spans="1:13">
      <c r="A1078" t="s">
        <v>28</v>
      </c>
      <c r="B1078">
        <f ca="1">IF(OR(changes[[#This Row],[Type]]="Checklist",changes[[#This Row],[Type]]="checklist-flat"),1+IF(changes[[#This Row],[Type of change]] = "Edit",COUNTIFS($I$4:changes[[#This Row],[Name]],changes[[#This Row],[Name]], $E$4:changes[[#This Row],[Type of change]], "Edit")),B1077)</f>
        <v>1</v>
      </c>
      <c r="C1078" s="16">
        <v>44636</v>
      </c>
      <c r="D1078" s="1" t="s">
        <v>2450</v>
      </c>
      <c r="E1078" t="s">
        <v>19</v>
      </c>
      <c r="F1078" s="10" t="s">
        <v>52</v>
      </c>
      <c r="G1078" s="10" t="s">
        <v>2730</v>
      </c>
      <c r="H1078" t="s">
        <v>2500</v>
      </c>
      <c r="I1078" t="s">
        <v>2678</v>
      </c>
      <c r="K1078" s="2"/>
      <c r="M1078" t="s">
        <v>2643</v>
      </c>
    </row>
    <row r="1079" spans="1:13">
      <c r="A1079" t="s">
        <v>28</v>
      </c>
      <c r="B1079">
        <f ca="1">IF(OR(changes[[#This Row],[Type]]="Checklist",changes[[#This Row],[Type]]="checklist-flat"),1+IF(changes[[#This Row],[Type of change]] = "Edit",COUNTIFS($I$4:changes[[#This Row],[Name]],changes[[#This Row],[Name]], $E$4:changes[[#This Row],[Type of change]], "Edit")),B1078)</f>
        <v>1</v>
      </c>
      <c r="C1079" s="16">
        <v>44636</v>
      </c>
      <c r="D1079" s="1" t="s">
        <v>2450</v>
      </c>
      <c r="E1079" t="s">
        <v>19</v>
      </c>
      <c r="F1079" s="10" t="s">
        <v>52</v>
      </c>
      <c r="G1079" s="10" t="s">
        <v>2730</v>
      </c>
      <c r="H1079" t="s">
        <v>2500</v>
      </c>
      <c r="I1079" t="s">
        <v>2750</v>
      </c>
      <c r="K1079" s="2"/>
      <c r="M1079" t="s">
        <v>2643</v>
      </c>
    </row>
    <row r="1080" spans="1:13">
      <c r="A1080" t="s">
        <v>28</v>
      </c>
      <c r="B1080">
        <f ca="1">IF(OR(changes[[#This Row],[Type]]="Checklist",changes[[#This Row],[Type]]="checklist-flat"),1+IF(changes[[#This Row],[Type of change]] = "Edit",COUNTIFS($I$4:changes[[#This Row],[Name]],changes[[#This Row],[Name]], $E$4:changes[[#This Row],[Type of change]], "Edit")),B1079)</f>
        <v>1</v>
      </c>
      <c r="C1080" s="16">
        <v>44636</v>
      </c>
      <c r="D1080" s="1" t="s">
        <v>2450</v>
      </c>
      <c r="E1080" t="s">
        <v>19</v>
      </c>
      <c r="F1080" s="10" t="s">
        <v>52</v>
      </c>
      <c r="G1080" s="10" t="s">
        <v>2730</v>
      </c>
      <c r="H1080" t="s">
        <v>2490</v>
      </c>
      <c r="I1080" t="s">
        <v>2751</v>
      </c>
      <c r="K1080" s="2"/>
      <c r="M1080" t="s">
        <v>2643</v>
      </c>
    </row>
    <row r="1081" spans="1:13">
      <c r="A1081" t="s">
        <v>28</v>
      </c>
      <c r="B1081">
        <f ca="1">IF(OR(changes[[#This Row],[Type]]="Checklist",changes[[#This Row],[Type]]="checklist-flat"),1+IF(changes[[#This Row],[Type of change]] = "Edit",COUNTIFS($I$4:changes[[#This Row],[Name]],changes[[#This Row],[Name]], $E$4:changes[[#This Row],[Type of change]], "Edit")),B1080)</f>
        <v>1</v>
      </c>
      <c r="C1081" s="16">
        <v>44636</v>
      </c>
      <c r="D1081" s="1" t="s">
        <v>2450</v>
      </c>
      <c r="E1081" t="s">
        <v>19</v>
      </c>
      <c r="F1081" s="10" t="s">
        <v>52</v>
      </c>
      <c r="G1081" s="10" t="s">
        <v>2730</v>
      </c>
      <c r="H1081" t="s">
        <v>64</v>
      </c>
      <c r="I1081" t="s">
        <v>1273</v>
      </c>
      <c r="K1081" s="2"/>
      <c r="M1081" t="s">
        <v>2643</v>
      </c>
    </row>
    <row r="1082" spans="1:13">
      <c r="A1082" t="s">
        <v>28</v>
      </c>
      <c r="B1082">
        <f ca="1">IF(OR(changes[[#This Row],[Type]]="Checklist",changes[[#This Row],[Type]]="checklist-flat"),1+IF(changes[[#This Row],[Type of change]] = "Edit",COUNTIFS($I$4:changes[[#This Row],[Name]],changes[[#This Row],[Name]], $E$4:changes[[#This Row],[Type of change]], "Edit")),B1081)</f>
        <v>1</v>
      </c>
      <c r="C1082" s="16">
        <v>44636</v>
      </c>
      <c r="D1082" s="1" t="s">
        <v>2450</v>
      </c>
      <c r="E1082" t="s">
        <v>19</v>
      </c>
      <c r="F1082" s="10" t="s">
        <v>52</v>
      </c>
      <c r="G1082" s="10" t="s">
        <v>2752</v>
      </c>
      <c r="H1082" t="s">
        <v>47</v>
      </c>
      <c r="I1082" t="s">
        <v>2752</v>
      </c>
      <c r="K1082" s="2"/>
      <c r="M1082" t="s">
        <v>2643</v>
      </c>
    </row>
    <row r="1083" spans="1:13">
      <c r="A1083" t="s">
        <v>28</v>
      </c>
      <c r="B1083">
        <f ca="1">IF(OR(changes[[#This Row],[Type]]="Checklist",changes[[#This Row],[Type]]="checklist-flat"),1+IF(changes[[#This Row],[Type of change]] = "Edit",COUNTIFS($I$4:changes[[#This Row],[Name]],changes[[#This Row],[Name]], $E$4:changes[[#This Row],[Type of change]], "Edit")),B1082)</f>
        <v>1</v>
      </c>
      <c r="C1083" s="16">
        <v>44636</v>
      </c>
      <c r="D1083" s="1" t="s">
        <v>2450</v>
      </c>
      <c r="E1083" t="s">
        <v>19</v>
      </c>
      <c r="F1083" s="10" t="s">
        <v>52</v>
      </c>
      <c r="G1083" s="10" t="s">
        <v>2752</v>
      </c>
      <c r="H1083" t="s">
        <v>269</v>
      </c>
      <c r="I1083" t="s">
        <v>2753</v>
      </c>
      <c r="K1083" s="2"/>
      <c r="M1083" t="s">
        <v>2643</v>
      </c>
    </row>
    <row r="1084" spans="1:13">
      <c r="A1084" t="s">
        <v>28</v>
      </c>
      <c r="B1084">
        <f ca="1">IF(OR(changes[[#This Row],[Type]]="Checklist",changes[[#This Row],[Type]]="checklist-flat"),1+IF(changes[[#This Row],[Type of change]] = "Edit",COUNTIFS($I$4:changes[[#This Row],[Name]],changes[[#This Row],[Name]], $E$4:changes[[#This Row],[Type of change]], "Edit")),B1083)</f>
        <v>1</v>
      </c>
      <c r="C1084" s="16">
        <v>44636</v>
      </c>
      <c r="D1084" s="1" t="s">
        <v>2450</v>
      </c>
      <c r="E1084" t="s">
        <v>19</v>
      </c>
      <c r="F1084" s="10" t="s">
        <v>52</v>
      </c>
      <c r="G1084" s="10" t="s">
        <v>2752</v>
      </c>
      <c r="H1084" t="s">
        <v>2490</v>
      </c>
      <c r="I1084" t="s">
        <v>2754</v>
      </c>
      <c r="K1084" s="2"/>
      <c r="M1084" t="s">
        <v>2643</v>
      </c>
    </row>
    <row r="1085" spans="1:13">
      <c r="A1085" t="s">
        <v>28</v>
      </c>
      <c r="B1085">
        <f ca="1">IF(OR(changes[[#This Row],[Type]]="Checklist",changes[[#This Row],[Type]]="checklist-flat"),1+IF(changes[[#This Row],[Type of change]] = "Edit",COUNTIFS($I$4:changes[[#This Row],[Name]],changes[[#This Row],[Name]], $E$4:changes[[#This Row],[Type of change]], "Edit")),B1084)</f>
        <v>1</v>
      </c>
      <c r="C1085" s="16">
        <v>44636</v>
      </c>
      <c r="D1085" s="1" t="s">
        <v>2450</v>
      </c>
      <c r="E1085" t="s">
        <v>19</v>
      </c>
      <c r="F1085" s="10" t="s">
        <v>52</v>
      </c>
      <c r="G1085" s="10" t="s">
        <v>2752</v>
      </c>
      <c r="H1085" t="s">
        <v>2490</v>
      </c>
      <c r="I1085" t="s">
        <v>2755</v>
      </c>
      <c r="K1085" s="2"/>
      <c r="M1085" t="s">
        <v>2643</v>
      </c>
    </row>
    <row r="1086" spans="1:13">
      <c r="A1086" t="s">
        <v>28</v>
      </c>
      <c r="B1086">
        <f ca="1">IF(OR(changes[[#This Row],[Type]]="Checklist",changes[[#This Row],[Type]]="checklist-flat"),1+IF(changes[[#This Row],[Type of change]] = "Edit",COUNTIFS($I$4:changes[[#This Row],[Name]],changes[[#This Row],[Name]], $E$4:changes[[#This Row],[Type of change]], "Edit")),B1085)</f>
        <v>1</v>
      </c>
      <c r="C1086" s="16">
        <v>44636</v>
      </c>
      <c r="D1086" s="1" t="s">
        <v>2450</v>
      </c>
      <c r="E1086" t="s">
        <v>19</v>
      </c>
      <c r="F1086" s="10" t="s">
        <v>52</v>
      </c>
      <c r="G1086" s="10" t="s">
        <v>2752</v>
      </c>
      <c r="H1086" t="s">
        <v>2490</v>
      </c>
      <c r="I1086" t="s">
        <v>2756</v>
      </c>
      <c r="K1086" s="2"/>
      <c r="M1086" t="s">
        <v>2643</v>
      </c>
    </row>
    <row r="1087" spans="1:13">
      <c r="A1087" t="s">
        <v>28</v>
      </c>
      <c r="B1087">
        <f ca="1">IF(OR(changes[[#This Row],[Type]]="Checklist",changes[[#This Row],[Type]]="checklist-flat"),1+IF(changes[[#This Row],[Type of change]] = "Edit",COUNTIFS($I$4:changes[[#This Row],[Name]],changes[[#This Row],[Name]], $E$4:changes[[#This Row],[Type of change]], "Edit")),B1086)</f>
        <v>1</v>
      </c>
      <c r="C1087" s="16">
        <v>44636</v>
      </c>
      <c r="D1087" s="1" t="s">
        <v>2450</v>
      </c>
      <c r="E1087" t="s">
        <v>19</v>
      </c>
      <c r="F1087" s="10" t="s">
        <v>52</v>
      </c>
      <c r="G1087" s="10" t="s">
        <v>2752</v>
      </c>
      <c r="H1087" t="s">
        <v>2490</v>
      </c>
      <c r="I1087" t="s">
        <v>2757</v>
      </c>
      <c r="K1087" s="2"/>
      <c r="M1087" t="s">
        <v>2643</v>
      </c>
    </row>
    <row r="1088" spans="1:13">
      <c r="A1088" t="s">
        <v>28</v>
      </c>
      <c r="B1088">
        <f ca="1">IF(OR(changes[[#This Row],[Type]]="Checklist",changes[[#This Row],[Type]]="checklist-flat"),1+IF(changes[[#This Row],[Type of change]] = "Edit",COUNTIFS($I$4:changes[[#This Row],[Name]],changes[[#This Row],[Name]], $E$4:changes[[#This Row],[Type of change]], "Edit")),B1087)</f>
        <v>1</v>
      </c>
      <c r="C1088" s="16">
        <v>44636</v>
      </c>
      <c r="D1088" s="1" t="s">
        <v>2450</v>
      </c>
      <c r="E1088" t="s">
        <v>19</v>
      </c>
      <c r="F1088" s="10" t="s">
        <v>52</v>
      </c>
      <c r="G1088" s="10" t="s">
        <v>2752</v>
      </c>
      <c r="H1088" t="s">
        <v>2490</v>
      </c>
      <c r="I1088" t="s">
        <v>2499</v>
      </c>
      <c r="K1088" s="2"/>
      <c r="M1088" t="s">
        <v>2643</v>
      </c>
    </row>
    <row r="1089" spans="1:13">
      <c r="A1089" t="s">
        <v>28</v>
      </c>
      <c r="B1089">
        <f ca="1">IF(OR(changes[[#This Row],[Type]]="Checklist",changes[[#This Row],[Type]]="checklist-flat"),1+IF(changes[[#This Row],[Type of change]] = "Edit",COUNTIFS($I$4:changes[[#This Row],[Name]],changes[[#This Row],[Name]], $E$4:changes[[#This Row],[Type of change]], "Edit")),B1088)</f>
        <v>1</v>
      </c>
      <c r="C1089" s="16">
        <v>44636</v>
      </c>
      <c r="D1089" s="1" t="s">
        <v>2450</v>
      </c>
      <c r="E1089" t="s">
        <v>19</v>
      </c>
      <c r="F1089" s="10" t="s">
        <v>52</v>
      </c>
      <c r="G1089" s="10" t="s">
        <v>2752</v>
      </c>
      <c r="H1089" t="s">
        <v>2500</v>
      </c>
      <c r="I1089" t="s">
        <v>2748</v>
      </c>
      <c r="K1089" s="2"/>
      <c r="M1089" t="s">
        <v>2643</v>
      </c>
    </row>
    <row r="1090" spans="1:13">
      <c r="A1090" t="s">
        <v>28</v>
      </c>
      <c r="B1090">
        <f ca="1">IF(OR(changes[[#This Row],[Type]]="Checklist",changes[[#This Row],[Type]]="checklist-flat"),1+IF(changes[[#This Row],[Type of change]] = "Edit",COUNTIFS($I$4:changes[[#This Row],[Name]],changes[[#This Row],[Name]], $E$4:changes[[#This Row],[Type of change]], "Edit")),B1089)</f>
        <v>1</v>
      </c>
      <c r="C1090" s="16">
        <v>44636</v>
      </c>
      <c r="D1090" s="1" t="s">
        <v>2450</v>
      </c>
      <c r="E1090" t="s">
        <v>19</v>
      </c>
      <c r="F1090" s="10" t="s">
        <v>52</v>
      </c>
      <c r="G1090" s="10" t="s">
        <v>2752</v>
      </c>
      <c r="H1090" t="s">
        <v>2500</v>
      </c>
      <c r="I1090" t="s">
        <v>2749</v>
      </c>
      <c r="K1090" s="2"/>
      <c r="M1090" t="s">
        <v>2643</v>
      </c>
    </row>
    <row r="1091" spans="1:13">
      <c r="A1091" t="s">
        <v>28</v>
      </c>
      <c r="B1091">
        <f ca="1">IF(OR(changes[[#This Row],[Type]]="Checklist",changes[[#This Row],[Type]]="checklist-flat"),1+IF(changes[[#This Row],[Type of change]] = "Edit",COUNTIFS($I$4:changes[[#This Row],[Name]],changes[[#This Row],[Name]], $E$4:changes[[#This Row],[Type of change]], "Edit")),B1090)</f>
        <v>1</v>
      </c>
      <c r="C1091" s="16">
        <v>44636</v>
      </c>
      <c r="D1091" s="1" t="s">
        <v>2450</v>
      </c>
      <c r="E1091" t="s">
        <v>19</v>
      </c>
      <c r="F1091" s="10" t="s">
        <v>52</v>
      </c>
      <c r="G1091" s="10" t="s">
        <v>2752</v>
      </c>
      <c r="H1091" t="s">
        <v>2500</v>
      </c>
      <c r="I1091" t="s">
        <v>2678</v>
      </c>
      <c r="K1091" s="2"/>
      <c r="M1091" t="s">
        <v>2643</v>
      </c>
    </row>
    <row r="1092" spans="1:13">
      <c r="A1092" t="s">
        <v>28</v>
      </c>
      <c r="B1092">
        <f ca="1">IF(OR(changes[[#This Row],[Type]]="Checklist",changes[[#This Row],[Type]]="checklist-flat"),1+IF(changes[[#This Row],[Type of change]] = "Edit",COUNTIFS($I$4:changes[[#This Row],[Name]],changes[[#This Row],[Name]], $E$4:changes[[#This Row],[Type of change]], "Edit")),B1091)</f>
        <v>1</v>
      </c>
      <c r="C1092" s="16">
        <v>44636</v>
      </c>
      <c r="D1092" s="1" t="s">
        <v>2450</v>
      </c>
      <c r="E1092" t="s">
        <v>19</v>
      </c>
      <c r="F1092" s="10" t="s">
        <v>52</v>
      </c>
      <c r="G1092" s="10" t="s">
        <v>2752</v>
      </c>
      <c r="H1092" t="s">
        <v>2500</v>
      </c>
      <c r="I1092" t="s">
        <v>2750</v>
      </c>
      <c r="K1092" s="2"/>
      <c r="M1092" t="s">
        <v>2643</v>
      </c>
    </row>
    <row r="1093" spans="1:13">
      <c r="A1093" t="s">
        <v>28</v>
      </c>
      <c r="B1093">
        <f ca="1">IF(OR(changes[[#This Row],[Type]]="Checklist",changes[[#This Row],[Type]]="checklist-flat"),1+IF(changes[[#This Row],[Type of change]] = "Edit",COUNTIFS($I$4:changes[[#This Row],[Name]],changes[[#This Row],[Name]], $E$4:changes[[#This Row],[Type of change]], "Edit")),B1092)</f>
        <v>1</v>
      </c>
      <c r="C1093" s="16">
        <v>44636</v>
      </c>
      <c r="D1093" s="1" t="s">
        <v>2450</v>
      </c>
      <c r="E1093" t="s">
        <v>19</v>
      </c>
      <c r="F1093" s="10" t="s">
        <v>52</v>
      </c>
      <c r="G1093" s="10" t="s">
        <v>2752</v>
      </c>
      <c r="H1093" t="s">
        <v>2490</v>
      </c>
      <c r="I1093" t="s">
        <v>2692</v>
      </c>
      <c r="K1093" s="2"/>
      <c r="M1093" t="s">
        <v>2643</v>
      </c>
    </row>
    <row r="1094" spans="1:13">
      <c r="A1094" t="s">
        <v>28</v>
      </c>
      <c r="B1094">
        <f ca="1">IF(OR(changes[[#This Row],[Type]]="Checklist",changes[[#This Row],[Type]]="checklist-flat"),1+IF(changes[[#This Row],[Type of change]] = "Edit",COUNTIFS($I$4:changes[[#This Row],[Name]],changes[[#This Row],[Name]], $E$4:changes[[#This Row],[Type of change]], "Edit")),B1093)</f>
        <v>1</v>
      </c>
      <c r="C1094" s="16">
        <v>44636</v>
      </c>
      <c r="D1094" s="1" t="s">
        <v>2450</v>
      </c>
      <c r="E1094" t="s">
        <v>19</v>
      </c>
      <c r="F1094" s="10" t="s">
        <v>52</v>
      </c>
      <c r="G1094" s="10" t="s">
        <v>2752</v>
      </c>
      <c r="H1094" t="s">
        <v>2490</v>
      </c>
      <c r="I1094" t="s">
        <v>2751</v>
      </c>
      <c r="K1094" s="2"/>
      <c r="M1094" t="s">
        <v>2643</v>
      </c>
    </row>
    <row r="1095" spans="1:13">
      <c r="A1095" t="s">
        <v>28</v>
      </c>
      <c r="B1095">
        <f ca="1">IF(OR(changes[[#This Row],[Type]]="Checklist",changes[[#This Row],[Type]]="checklist-flat"),1+IF(changes[[#This Row],[Type of change]] = "Edit",COUNTIFS($I$4:changes[[#This Row],[Name]],changes[[#This Row],[Name]], $E$4:changes[[#This Row],[Type of change]], "Edit")),B1094)</f>
        <v>1</v>
      </c>
      <c r="C1095" s="16">
        <v>44636</v>
      </c>
      <c r="D1095" s="1" t="s">
        <v>2450</v>
      </c>
      <c r="E1095" t="s">
        <v>19</v>
      </c>
      <c r="F1095" s="10" t="s">
        <v>52</v>
      </c>
      <c r="G1095" s="10" t="s">
        <v>2752</v>
      </c>
      <c r="H1095" t="s">
        <v>64</v>
      </c>
      <c r="I1095" t="s">
        <v>1273</v>
      </c>
      <c r="K1095" s="2"/>
      <c r="M1095" t="s">
        <v>2643</v>
      </c>
    </row>
    <row r="1096" spans="1:13">
      <c r="A1096" t="s">
        <v>28</v>
      </c>
      <c r="B1096">
        <f ca="1">IF(OR(changes[[#This Row],[Type]]="Checklist",changes[[#This Row],[Type]]="checklist-flat"),1+IF(changes[[#This Row],[Type of change]] = "Edit",COUNTIFS($I$4:changes[[#This Row],[Name]],changes[[#This Row],[Name]], $E$4:changes[[#This Row],[Type of change]], "Edit")),B1095)</f>
        <v>1</v>
      </c>
      <c r="C1096" s="16">
        <v>44636</v>
      </c>
      <c r="D1096" s="1" t="s">
        <v>2450</v>
      </c>
      <c r="E1096" t="s">
        <v>19</v>
      </c>
      <c r="F1096" s="10" t="s">
        <v>52</v>
      </c>
      <c r="G1096" s="10" t="s">
        <v>2758</v>
      </c>
      <c r="H1096" t="s">
        <v>47</v>
      </c>
      <c r="I1096" t="s">
        <v>2758</v>
      </c>
      <c r="K1096" s="2"/>
      <c r="M1096" t="s">
        <v>2643</v>
      </c>
    </row>
    <row r="1097" spans="1:13">
      <c r="A1097" t="s">
        <v>28</v>
      </c>
      <c r="B1097">
        <f ca="1">IF(OR(changes[[#This Row],[Type]]="Checklist",changes[[#This Row],[Type]]="checklist-flat"),1+IF(changes[[#This Row],[Type of change]] = "Edit",COUNTIFS($I$4:changes[[#This Row],[Name]],changes[[#This Row],[Name]], $E$4:changes[[#This Row],[Type of change]], "Edit")),B1096)</f>
        <v>1</v>
      </c>
      <c r="C1097" s="16">
        <v>44636</v>
      </c>
      <c r="D1097" s="1" t="s">
        <v>2450</v>
      </c>
      <c r="E1097" t="s">
        <v>19</v>
      </c>
      <c r="F1097" s="10" t="s">
        <v>52</v>
      </c>
      <c r="G1097" s="10" t="s">
        <v>2758</v>
      </c>
      <c r="H1097" t="s">
        <v>269</v>
      </c>
      <c r="I1097" t="s">
        <v>2731</v>
      </c>
      <c r="K1097" s="2"/>
      <c r="M1097" t="s">
        <v>2643</v>
      </c>
    </row>
    <row r="1098" spans="1:13">
      <c r="A1098" t="s">
        <v>28</v>
      </c>
      <c r="B1098">
        <f ca="1">IF(OR(changes[[#This Row],[Type]]="Checklist",changes[[#This Row],[Type]]="checklist-flat"),1+IF(changes[[#This Row],[Type of change]] = "Edit",COUNTIFS($I$4:changes[[#This Row],[Name]],changes[[#This Row],[Name]], $E$4:changes[[#This Row],[Type of change]], "Edit")),B1097)</f>
        <v>1</v>
      </c>
      <c r="C1098" s="16">
        <v>44636</v>
      </c>
      <c r="D1098" s="1" t="s">
        <v>2450</v>
      </c>
      <c r="E1098" t="s">
        <v>19</v>
      </c>
      <c r="F1098" s="10" t="s">
        <v>52</v>
      </c>
      <c r="G1098" s="10" t="s">
        <v>2758</v>
      </c>
      <c r="H1098" t="s">
        <v>2490</v>
      </c>
      <c r="I1098" t="s">
        <v>2759</v>
      </c>
      <c r="K1098" s="2"/>
      <c r="M1098" t="s">
        <v>2643</v>
      </c>
    </row>
    <row r="1099" spans="1:13">
      <c r="A1099" t="s">
        <v>28</v>
      </c>
      <c r="B1099">
        <f ca="1">IF(OR(changes[[#This Row],[Type]]="Checklist",changes[[#This Row],[Type]]="checklist-flat"),1+IF(changes[[#This Row],[Type of change]] = "Edit",COUNTIFS($I$4:changes[[#This Row],[Name]],changes[[#This Row],[Name]], $E$4:changes[[#This Row],[Type of change]], "Edit")),B1098)</f>
        <v>1</v>
      </c>
      <c r="C1099" s="16">
        <v>44636</v>
      </c>
      <c r="D1099" s="1" t="s">
        <v>2450</v>
      </c>
      <c r="E1099" t="s">
        <v>19</v>
      </c>
      <c r="F1099" s="10" t="s">
        <v>52</v>
      </c>
      <c r="G1099" s="10" t="s">
        <v>2758</v>
      </c>
      <c r="H1099" t="s">
        <v>2490</v>
      </c>
      <c r="I1099" t="s">
        <v>2760</v>
      </c>
      <c r="K1099" s="2"/>
      <c r="M1099" t="s">
        <v>2643</v>
      </c>
    </row>
    <row r="1100" spans="1:13">
      <c r="A1100" t="s">
        <v>28</v>
      </c>
      <c r="B1100">
        <f ca="1">IF(OR(changes[[#This Row],[Type]]="Checklist",changes[[#This Row],[Type]]="checklist-flat"),1+IF(changes[[#This Row],[Type of change]] = "Edit",COUNTIFS($I$4:changes[[#This Row],[Name]],changes[[#This Row],[Name]], $E$4:changes[[#This Row],[Type of change]], "Edit")),B1099)</f>
        <v>1</v>
      </c>
      <c r="C1100" s="16">
        <v>44636</v>
      </c>
      <c r="D1100" s="1" t="s">
        <v>2450</v>
      </c>
      <c r="E1100" t="s">
        <v>19</v>
      </c>
      <c r="F1100" s="10" t="s">
        <v>52</v>
      </c>
      <c r="G1100" s="10" t="s">
        <v>2758</v>
      </c>
      <c r="H1100" t="s">
        <v>437</v>
      </c>
      <c r="I1100" t="s">
        <v>2761</v>
      </c>
      <c r="K1100" s="2"/>
      <c r="M1100" t="s">
        <v>2643</v>
      </c>
    </row>
    <row r="1101" spans="1:13">
      <c r="A1101" t="s">
        <v>28</v>
      </c>
      <c r="B1101">
        <f ca="1">IF(OR(changes[[#This Row],[Type]]="Checklist",changes[[#This Row],[Type]]="checklist-flat"),1+IF(changes[[#This Row],[Type of change]] = "Edit",COUNTIFS($I$4:changes[[#This Row],[Name]],changes[[#This Row],[Name]], $E$4:changes[[#This Row],[Type of change]], "Edit")),B1100)</f>
        <v>1</v>
      </c>
      <c r="C1101" s="16">
        <v>44636</v>
      </c>
      <c r="D1101" s="1" t="s">
        <v>2450</v>
      </c>
      <c r="E1101" t="s">
        <v>19</v>
      </c>
      <c r="F1101" s="10" t="s">
        <v>52</v>
      </c>
      <c r="G1101" s="10" t="s">
        <v>2758</v>
      </c>
      <c r="H1101" t="s">
        <v>437</v>
      </c>
      <c r="I1101" t="s">
        <v>2762</v>
      </c>
      <c r="K1101" s="2"/>
      <c r="M1101" t="s">
        <v>2643</v>
      </c>
    </row>
    <row r="1102" spans="1:13">
      <c r="A1102" t="s">
        <v>28</v>
      </c>
      <c r="B1102">
        <f ca="1">IF(OR(changes[[#This Row],[Type]]="Checklist",changes[[#This Row],[Type]]="checklist-flat"),1+IF(changes[[#This Row],[Type of change]] = "Edit",COUNTIFS($I$4:changes[[#This Row],[Name]],changes[[#This Row],[Name]], $E$4:changes[[#This Row],[Type of change]], "Edit")),B1101)</f>
        <v>1</v>
      </c>
      <c r="C1102" s="16">
        <v>44636</v>
      </c>
      <c r="D1102" s="1" t="s">
        <v>2450</v>
      </c>
      <c r="E1102" t="s">
        <v>19</v>
      </c>
      <c r="F1102" s="10" t="s">
        <v>52</v>
      </c>
      <c r="G1102" s="10" t="s">
        <v>2758</v>
      </c>
      <c r="H1102" t="s">
        <v>437</v>
      </c>
      <c r="I1102" t="s">
        <v>2763</v>
      </c>
      <c r="K1102" s="2"/>
      <c r="M1102" t="s">
        <v>2643</v>
      </c>
    </row>
    <row r="1103" spans="1:13">
      <c r="A1103" t="s">
        <v>28</v>
      </c>
      <c r="B1103">
        <f ca="1">IF(OR(changes[[#This Row],[Type]]="Checklist",changes[[#This Row],[Type]]="checklist-flat"),1+IF(changes[[#This Row],[Type of change]] = "Edit",COUNTIFS($I$4:changes[[#This Row],[Name]],changes[[#This Row],[Name]], $E$4:changes[[#This Row],[Type of change]], "Edit")),B1102)</f>
        <v>1</v>
      </c>
      <c r="C1103" s="16">
        <v>44636</v>
      </c>
      <c r="D1103" s="1" t="s">
        <v>2450</v>
      </c>
      <c r="E1103" t="s">
        <v>19</v>
      </c>
      <c r="F1103" s="10" t="s">
        <v>52</v>
      </c>
      <c r="G1103" s="10" t="s">
        <v>2758</v>
      </c>
      <c r="H1103" t="s">
        <v>437</v>
      </c>
      <c r="I1103" t="s">
        <v>2764</v>
      </c>
      <c r="K1103" s="2"/>
      <c r="M1103" t="s">
        <v>2643</v>
      </c>
    </row>
    <row r="1104" spans="1:13">
      <c r="A1104" t="s">
        <v>28</v>
      </c>
      <c r="B1104">
        <f ca="1">IF(OR(changes[[#This Row],[Type]]="Checklist",changes[[#This Row],[Type]]="checklist-flat"),1+IF(changes[[#This Row],[Type of change]] = "Edit",COUNTIFS($I$4:changes[[#This Row],[Name]],changes[[#This Row],[Name]], $E$4:changes[[#This Row],[Type of change]], "Edit")),B1103)</f>
        <v>1</v>
      </c>
      <c r="C1104" s="16">
        <v>44636</v>
      </c>
      <c r="D1104" s="1" t="s">
        <v>2450</v>
      </c>
      <c r="E1104" t="s">
        <v>19</v>
      </c>
      <c r="F1104" s="10" t="s">
        <v>52</v>
      </c>
      <c r="G1104" s="10" t="s">
        <v>2758</v>
      </c>
      <c r="H1104" t="s">
        <v>2490</v>
      </c>
      <c r="I1104" t="s">
        <v>2765</v>
      </c>
      <c r="K1104" s="2"/>
      <c r="M1104" t="s">
        <v>2643</v>
      </c>
    </row>
    <row r="1105" spans="1:13">
      <c r="A1105" t="s">
        <v>28</v>
      </c>
      <c r="B1105">
        <f ca="1">IF(OR(changes[[#This Row],[Type]]="Checklist",changes[[#This Row],[Type]]="checklist-flat"),1+IF(changes[[#This Row],[Type of change]] = "Edit",COUNTIFS($I$4:changes[[#This Row],[Name]],changes[[#This Row],[Name]], $E$4:changes[[#This Row],[Type of change]], "Edit")),B1104)</f>
        <v>1</v>
      </c>
      <c r="C1105" s="16">
        <v>44636</v>
      </c>
      <c r="D1105" s="1" t="s">
        <v>2450</v>
      </c>
      <c r="E1105" t="s">
        <v>19</v>
      </c>
      <c r="F1105" s="10" t="s">
        <v>52</v>
      </c>
      <c r="G1105" s="10" t="s">
        <v>2758</v>
      </c>
      <c r="H1105" t="s">
        <v>2490</v>
      </c>
      <c r="I1105" t="s">
        <v>2766</v>
      </c>
      <c r="K1105" s="2"/>
      <c r="M1105" t="s">
        <v>2643</v>
      </c>
    </row>
    <row r="1106" spans="1:13">
      <c r="A1106" t="s">
        <v>28</v>
      </c>
      <c r="B1106">
        <f ca="1">IF(OR(changes[[#This Row],[Type]]="Checklist",changes[[#This Row],[Type]]="checklist-flat"),1+IF(changes[[#This Row],[Type of change]] = "Edit",COUNTIFS($I$4:changes[[#This Row],[Name]],changes[[#This Row],[Name]], $E$4:changes[[#This Row],[Type of change]], "Edit")),B1105)</f>
        <v>1</v>
      </c>
      <c r="C1106" s="16">
        <v>44636</v>
      </c>
      <c r="D1106" s="1" t="s">
        <v>2450</v>
      </c>
      <c r="E1106" t="s">
        <v>19</v>
      </c>
      <c r="F1106" s="10" t="s">
        <v>52</v>
      </c>
      <c r="G1106" s="10" t="s">
        <v>2758</v>
      </c>
      <c r="H1106" t="s">
        <v>2490</v>
      </c>
      <c r="I1106" t="s">
        <v>2767</v>
      </c>
      <c r="K1106" s="2"/>
      <c r="M1106" t="s">
        <v>2643</v>
      </c>
    </row>
    <row r="1107" spans="1:13">
      <c r="A1107" t="s">
        <v>28</v>
      </c>
      <c r="B1107">
        <f ca="1">IF(OR(changes[[#This Row],[Type]]="Checklist",changes[[#This Row],[Type]]="checklist-flat"),1+IF(changes[[#This Row],[Type of change]] = "Edit",COUNTIFS($I$4:changes[[#This Row],[Name]],changes[[#This Row],[Name]], $E$4:changes[[#This Row],[Type of change]], "Edit")),B1106)</f>
        <v>1</v>
      </c>
      <c r="C1107" s="16">
        <v>44636</v>
      </c>
      <c r="D1107" s="1" t="s">
        <v>2450</v>
      </c>
      <c r="E1107" t="s">
        <v>19</v>
      </c>
      <c r="F1107" s="10" t="s">
        <v>52</v>
      </c>
      <c r="G1107" s="10" t="s">
        <v>2758</v>
      </c>
      <c r="H1107" t="s">
        <v>2490</v>
      </c>
      <c r="I1107" t="s">
        <v>2768</v>
      </c>
      <c r="K1107" s="2"/>
      <c r="M1107" t="s">
        <v>2643</v>
      </c>
    </row>
    <row r="1108" spans="1:13">
      <c r="A1108" t="s">
        <v>28</v>
      </c>
      <c r="B1108">
        <f ca="1">IF(OR(changes[[#This Row],[Type]]="Checklist",changes[[#This Row],[Type]]="checklist-flat"),1+IF(changes[[#This Row],[Type of change]] = "Edit",COUNTIFS($I$4:changes[[#This Row],[Name]],changes[[#This Row],[Name]], $E$4:changes[[#This Row],[Type of change]], "Edit")),B1107)</f>
        <v>1</v>
      </c>
      <c r="C1108" s="16">
        <v>44636</v>
      </c>
      <c r="D1108" s="1" t="s">
        <v>2450</v>
      </c>
      <c r="E1108" t="s">
        <v>19</v>
      </c>
      <c r="F1108" s="10" t="s">
        <v>52</v>
      </c>
      <c r="G1108" s="10" t="s">
        <v>2758</v>
      </c>
      <c r="H1108" t="s">
        <v>2490</v>
      </c>
      <c r="I1108" t="s">
        <v>2740</v>
      </c>
      <c r="K1108" s="2"/>
      <c r="M1108" t="s">
        <v>2643</v>
      </c>
    </row>
    <row r="1109" spans="1:13">
      <c r="A1109" t="s">
        <v>28</v>
      </c>
      <c r="B1109">
        <f ca="1">IF(OR(changes[[#This Row],[Type]]="Checklist",changes[[#This Row],[Type]]="checklist-flat"),1+IF(changes[[#This Row],[Type of change]] = "Edit",COUNTIFS($I$4:changes[[#This Row],[Name]],changes[[#This Row],[Name]], $E$4:changes[[#This Row],[Type of change]], "Edit")),B1108)</f>
        <v>1</v>
      </c>
      <c r="C1109" s="16">
        <v>44636</v>
      </c>
      <c r="D1109" s="1" t="s">
        <v>2450</v>
      </c>
      <c r="E1109" t="s">
        <v>19</v>
      </c>
      <c r="F1109" s="10" t="s">
        <v>52</v>
      </c>
      <c r="G1109" s="10" t="s">
        <v>2758</v>
      </c>
      <c r="H1109" t="s">
        <v>2490</v>
      </c>
      <c r="I1109" t="s">
        <v>2499</v>
      </c>
      <c r="K1109" s="2"/>
      <c r="M1109" t="s">
        <v>2643</v>
      </c>
    </row>
    <row r="1110" spans="1:13">
      <c r="A1110" t="s">
        <v>28</v>
      </c>
      <c r="B1110">
        <f ca="1">IF(OR(changes[[#This Row],[Type]]="Checklist",changes[[#This Row],[Type]]="checklist-flat"),1+IF(changes[[#This Row],[Type of change]] = "Edit",COUNTIFS($I$4:changes[[#This Row],[Name]],changes[[#This Row],[Name]], $E$4:changes[[#This Row],[Type of change]], "Edit")),B1109)</f>
        <v>1</v>
      </c>
      <c r="C1110" s="16">
        <v>44636</v>
      </c>
      <c r="D1110" s="1" t="s">
        <v>2450</v>
      </c>
      <c r="E1110" t="s">
        <v>19</v>
      </c>
      <c r="F1110" s="10" t="s">
        <v>52</v>
      </c>
      <c r="G1110" s="10" t="s">
        <v>2758</v>
      </c>
      <c r="H1110" t="s">
        <v>2500</v>
      </c>
      <c r="I1110" t="s">
        <v>2748</v>
      </c>
      <c r="K1110" s="2"/>
      <c r="M1110" t="s">
        <v>2643</v>
      </c>
    </row>
    <row r="1111" spans="1:13">
      <c r="A1111" t="s">
        <v>28</v>
      </c>
      <c r="B1111">
        <f ca="1">IF(OR(changes[[#This Row],[Type]]="Checklist",changes[[#This Row],[Type]]="checklist-flat"),1+IF(changes[[#This Row],[Type of change]] = "Edit",COUNTIFS($I$4:changes[[#This Row],[Name]],changes[[#This Row],[Name]], $E$4:changes[[#This Row],[Type of change]], "Edit")),B1110)</f>
        <v>1</v>
      </c>
      <c r="C1111" s="16">
        <v>44636</v>
      </c>
      <c r="D1111" s="1" t="s">
        <v>2450</v>
      </c>
      <c r="E1111" t="s">
        <v>19</v>
      </c>
      <c r="F1111" s="10" t="s">
        <v>52</v>
      </c>
      <c r="G1111" s="10" t="s">
        <v>2758</v>
      </c>
      <c r="H1111" t="s">
        <v>2500</v>
      </c>
      <c r="I1111" t="s">
        <v>2749</v>
      </c>
      <c r="K1111" s="2"/>
      <c r="M1111" t="s">
        <v>2643</v>
      </c>
    </row>
    <row r="1112" spans="1:13">
      <c r="A1112" t="s">
        <v>28</v>
      </c>
      <c r="B1112">
        <f ca="1">IF(OR(changes[[#This Row],[Type]]="Checklist",changes[[#This Row],[Type]]="checklist-flat"),1+IF(changes[[#This Row],[Type of change]] = "Edit",COUNTIFS($I$4:changes[[#This Row],[Name]],changes[[#This Row],[Name]], $E$4:changes[[#This Row],[Type of change]], "Edit")),B1111)</f>
        <v>1</v>
      </c>
      <c r="C1112" s="16">
        <v>44636</v>
      </c>
      <c r="D1112" s="1" t="s">
        <v>2450</v>
      </c>
      <c r="E1112" t="s">
        <v>19</v>
      </c>
      <c r="F1112" s="10" t="s">
        <v>52</v>
      </c>
      <c r="G1112" s="10" t="s">
        <v>2758</v>
      </c>
      <c r="H1112" t="s">
        <v>2500</v>
      </c>
      <c r="I1112" t="s">
        <v>2678</v>
      </c>
      <c r="K1112" s="2"/>
      <c r="M1112" t="s">
        <v>2643</v>
      </c>
    </row>
    <row r="1113" spans="1:13">
      <c r="A1113" t="s">
        <v>28</v>
      </c>
      <c r="B1113">
        <f ca="1">IF(OR(changes[[#This Row],[Type]]="Checklist",changes[[#This Row],[Type]]="checklist-flat"),1+IF(changes[[#This Row],[Type of change]] = "Edit",COUNTIFS($I$4:changes[[#This Row],[Name]],changes[[#This Row],[Name]], $E$4:changes[[#This Row],[Type of change]], "Edit")),B1112)</f>
        <v>1</v>
      </c>
      <c r="C1113" s="16">
        <v>44636</v>
      </c>
      <c r="D1113" s="1" t="s">
        <v>2450</v>
      </c>
      <c r="E1113" t="s">
        <v>19</v>
      </c>
      <c r="F1113" s="10" t="s">
        <v>52</v>
      </c>
      <c r="G1113" s="10" t="s">
        <v>2758</v>
      </c>
      <c r="H1113" t="s">
        <v>2500</v>
      </c>
      <c r="I1113" t="s">
        <v>2750</v>
      </c>
      <c r="K1113" s="2"/>
      <c r="M1113" t="s">
        <v>2643</v>
      </c>
    </row>
    <row r="1114" spans="1:13">
      <c r="A1114" t="s">
        <v>28</v>
      </c>
      <c r="B1114">
        <f ca="1">IF(OR(changes[[#This Row],[Type]]="Checklist",changes[[#This Row],[Type]]="checklist-flat"),1+IF(changes[[#This Row],[Type of change]] = "Edit",COUNTIFS($I$4:changes[[#This Row],[Name]],changes[[#This Row],[Name]], $E$4:changes[[#This Row],[Type of change]], "Edit")),B1113)</f>
        <v>1</v>
      </c>
      <c r="C1114" s="16">
        <v>44636</v>
      </c>
      <c r="D1114" s="1" t="s">
        <v>2450</v>
      </c>
      <c r="E1114" t="s">
        <v>19</v>
      </c>
      <c r="F1114" s="10" t="s">
        <v>52</v>
      </c>
      <c r="G1114" s="10" t="s">
        <v>2758</v>
      </c>
      <c r="H1114" t="s">
        <v>2490</v>
      </c>
      <c r="I1114" t="s">
        <v>2751</v>
      </c>
      <c r="K1114" s="2"/>
      <c r="M1114" t="s">
        <v>2643</v>
      </c>
    </row>
    <row r="1115" spans="1:13">
      <c r="A1115" t="s">
        <v>28</v>
      </c>
      <c r="B1115">
        <f ca="1">IF(OR(changes[[#This Row],[Type]]="Checklist",changes[[#This Row],[Type]]="checklist-flat"),1+IF(changes[[#This Row],[Type of change]] = "Edit",COUNTIFS($I$4:changes[[#This Row],[Name]],changes[[#This Row],[Name]], $E$4:changes[[#This Row],[Type of change]], "Edit")),B1114)</f>
        <v>1</v>
      </c>
      <c r="C1115" s="16">
        <v>44636</v>
      </c>
      <c r="D1115" s="1" t="s">
        <v>2450</v>
      </c>
      <c r="E1115" t="s">
        <v>19</v>
      </c>
      <c r="F1115" s="10" t="s">
        <v>52</v>
      </c>
      <c r="G1115" s="10" t="s">
        <v>2758</v>
      </c>
      <c r="H1115" t="s">
        <v>64</v>
      </c>
      <c r="I1115" t="s">
        <v>1273</v>
      </c>
      <c r="K1115" s="2"/>
      <c r="M1115" t="s">
        <v>2643</v>
      </c>
    </row>
    <row r="1116" spans="1:13">
      <c r="A1116" t="s">
        <v>28</v>
      </c>
      <c r="B1116">
        <f ca="1">IF(OR(changes[[#This Row],[Type]]="Checklist",changes[[#This Row],[Type]]="checklist-flat"),1+IF(changes[[#This Row],[Type of change]] = "Edit",COUNTIFS($I$4:changes[[#This Row],[Name]],changes[[#This Row],[Name]], $E$4:changes[[#This Row],[Type of change]], "Edit")),B1115)</f>
        <v>1</v>
      </c>
      <c r="C1116" s="16">
        <v>44636</v>
      </c>
      <c r="D1116" s="1" t="s">
        <v>2450</v>
      </c>
      <c r="E1116" t="s">
        <v>19</v>
      </c>
      <c r="F1116" s="10" t="s">
        <v>52</v>
      </c>
      <c r="G1116" s="10" t="s">
        <v>2769</v>
      </c>
      <c r="H1116" t="s">
        <v>478</v>
      </c>
      <c r="I1116" t="s">
        <v>2769</v>
      </c>
      <c r="K1116" s="2"/>
      <c r="M1116" t="s">
        <v>2643</v>
      </c>
    </row>
    <row r="1117" spans="1:13">
      <c r="A1117" t="s">
        <v>28</v>
      </c>
      <c r="B1117">
        <f ca="1">IF(OR(changes[[#This Row],[Type]]="Checklist",changes[[#This Row],[Type]]="checklist-flat"),1+IF(changes[[#This Row],[Type of change]] = "Edit",COUNTIFS($I$4:changes[[#This Row],[Name]],changes[[#This Row],[Name]], $E$4:changes[[#This Row],[Type of change]], "Edit")),B1116)</f>
        <v>1</v>
      </c>
      <c r="C1117" s="16">
        <v>44636</v>
      </c>
      <c r="D1117" s="1" t="s">
        <v>2450</v>
      </c>
      <c r="E1117" t="s">
        <v>19</v>
      </c>
      <c r="F1117" s="10" t="s">
        <v>52</v>
      </c>
      <c r="G1117" s="10" t="s">
        <v>2769</v>
      </c>
      <c r="H1117" t="s">
        <v>55</v>
      </c>
      <c r="I1117" t="s">
        <v>2770</v>
      </c>
      <c r="K1117" s="2"/>
      <c r="M1117" t="s">
        <v>2643</v>
      </c>
    </row>
    <row r="1118" spans="1:13">
      <c r="A1118" t="s">
        <v>28</v>
      </c>
      <c r="B1118">
        <f ca="1">IF(OR(changes[[#This Row],[Type]]="Checklist",changes[[#This Row],[Type]]="checklist-flat"),1+IF(changes[[#This Row],[Type of change]] = "Edit",COUNTIFS($I$4:changes[[#This Row],[Name]],changes[[#This Row],[Name]], $E$4:changes[[#This Row],[Type of change]], "Edit")),B1117)</f>
        <v>1</v>
      </c>
      <c r="C1118" s="16">
        <v>44636</v>
      </c>
      <c r="D1118" s="1" t="s">
        <v>2450</v>
      </c>
      <c r="E1118" t="s">
        <v>19</v>
      </c>
      <c r="F1118" s="10" t="s">
        <v>52</v>
      </c>
      <c r="G1118" s="10" t="s">
        <v>2769</v>
      </c>
      <c r="H1118" t="s">
        <v>437</v>
      </c>
      <c r="I1118" t="s">
        <v>2707</v>
      </c>
      <c r="K1118" s="2"/>
      <c r="M1118" t="s">
        <v>2643</v>
      </c>
    </row>
    <row r="1119" spans="1:13">
      <c r="A1119" t="s">
        <v>28</v>
      </c>
      <c r="B1119">
        <f ca="1">IF(OR(changes[[#This Row],[Type]]="Checklist",changes[[#This Row],[Type]]="checklist-flat"),1+IF(changes[[#This Row],[Type of change]] = "Edit",COUNTIFS($I$4:changes[[#This Row],[Name]],changes[[#This Row],[Name]], $E$4:changes[[#This Row],[Type of change]], "Edit")),B1118)</f>
        <v>1</v>
      </c>
      <c r="C1119" s="16">
        <v>44636</v>
      </c>
      <c r="D1119" s="1" t="s">
        <v>2450</v>
      </c>
      <c r="E1119" t="s">
        <v>19</v>
      </c>
      <c r="F1119" s="10" t="s">
        <v>52</v>
      </c>
      <c r="G1119" s="10" t="s">
        <v>2769</v>
      </c>
      <c r="H1119" t="s">
        <v>437</v>
      </c>
      <c r="I1119" t="s">
        <v>2708</v>
      </c>
      <c r="K1119" s="2"/>
      <c r="M1119" t="s">
        <v>2643</v>
      </c>
    </row>
    <row r="1120" spans="1:13">
      <c r="A1120" t="s">
        <v>28</v>
      </c>
      <c r="B1120">
        <f ca="1">IF(OR(changes[[#This Row],[Type]]="Checklist",changes[[#This Row],[Type]]="checklist-flat"),1+IF(changes[[#This Row],[Type of change]] = "Edit",COUNTIFS($I$4:changes[[#This Row],[Name]],changes[[#This Row],[Name]], $E$4:changes[[#This Row],[Type of change]], "Edit")),B1119)</f>
        <v>1</v>
      </c>
      <c r="C1120" s="16">
        <v>44636</v>
      </c>
      <c r="D1120" s="1" t="s">
        <v>2450</v>
      </c>
      <c r="E1120" t="s">
        <v>19</v>
      </c>
      <c r="F1120" s="10" t="s">
        <v>52</v>
      </c>
      <c r="G1120" s="10" t="s">
        <v>2769</v>
      </c>
      <c r="H1120" t="s">
        <v>437</v>
      </c>
      <c r="I1120" t="s">
        <v>2709</v>
      </c>
      <c r="K1120" s="2"/>
      <c r="M1120" t="s">
        <v>2643</v>
      </c>
    </row>
    <row r="1121" spans="1:13">
      <c r="A1121" t="s">
        <v>28</v>
      </c>
      <c r="B1121">
        <f ca="1">IF(OR(changes[[#This Row],[Type]]="Checklist",changes[[#This Row],[Type]]="checklist-flat"),1+IF(changes[[#This Row],[Type of change]] = "Edit",COUNTIFS($I$4:changes[[#This Row],[Name]],changes[[#This Row],[Name]], $E$4:changes[[#This Row],[Type of change]], "Edit")),B1120)</f>
        <v>1</v>
      </c>
      <c r="C1121" s="16">
        <v>44636</v>
      </c>
      <c r="D1121" s="1" t="s">
        <v>2450</v>
      </c>
      <c r="E1121" t="s">
        <v>19</v>
      </c>
      <c r="F1121" s="10" t="s">
        <v>52</v>
      </c>
      <c r="G1121" s="10" t="s">
        <v>2769</v>
      </c>
      <c r="H1121" t="s">
        <v>437</v>
      </c>
      <c r="I1121" t="s">
        <v>2771</v>
      </c>
      <c r="K1121" s="2"/>
      <c r="M1121" t="s">
        <v>2643</v>
      </c>
    </row>
    <row r="1122" spans="1:13">
      <c r="A1122" t="s">
        <v>28</v>
      </c>
      <c r="B1122">
        <f ca="1">IF(OR(changes[[#This Row],[Type]]="Checklist",changes[[#This Row],[Type]]="checklist-flat"),1+IF(changes[[#This Row],[Type of change]] = "Edit",COUNTIFS($I$4:changes[[#This Row],[Name]],changes[[#This Row],[Name]], $E$4:changes[[#This Row],[Type of change]], "Edit")),B1121)</f>
        <v>1</v>
      </c>
      <c r="C1122" s="16">
        <v>44636</v>
      </c>
      <c r="D1122" s="1" t="s">
        <v>2450</v>
      </c>
      <c r="E1122" t="s">
        <v>19</v>
      </c>
      <c r="F1122" s="10" t="s">
        <v>52</v>
      </c>
      <c r="G1122" s="10" t="s">
        <v>2769</v>
      </c>
      <c r="H1122" t="s">
        <v>437</v>
      </c>
      <c r="I1122" t="s">
        <v>2712</v>
      </c>
      <c r="K1122" s="2"/>
      <c r="M1122" t="s">
        <v>2643</v>
      </c>
    </row>
    <row r="1123" spans="1:13">
      <c r="A1123" t="s">
        <v>28</v>
      </c>
      <c r="B1123">
        <f ca="1">IF(OR(changes[[#This Row],[Type]]="Checklist",changes[[#This Row],[Type]]="checklist-flat"),1+IF(changes[[#This Row],[Type of change]] = "Edit",COUNTIFS($I$4:changes[[#This Row],[Name]],changes[[#This Row],[Name]], $E$4:changes[[#This Row],[Type of change]], "Edit")),B1122)</f>
        <v>1</v>
      </c>
      <c r="C1123" s="16">
        <v>44636</v>
      </c>
      <c r="D1123" s="1" t="s">
        <v>2450</v>
      </c>
      <c r="E1123" t="s">
        <v>19</v>
      </c>
      <c r="F1123" s="10" t="s">
        <v>52</v>
      </c>
      <c r="G1123" s="10" t="s">
        <v>2769</v>
      </c>
      <c r="H1123" t="s">
        <v>437</v>
      </c>
      <c r="I1123" t="s">
        <v>2772</v>
      </c>
      <c r="K1123" s="2"/>
      <c r="M1123" t="s">
        <v>2643</v>
      </c>
    </row>
    <row r="1124" spans="1:13">
      <c r="A1124" t="s">
        <v>28</v>
      </c>
      <c r="B1124">
        <f ca="1">IF(OR(changes[[#This Row],[Type]]="Checklist",changes[[#This Row],[Type]]="checklist-flat"),1+IF(changes[[#This Row],[Type of change]] = "Edit",COUNTIFS($I$4:changes[[#This Row],[Name]],changes[[#This Row],[Name]], $E$4:changes[[#This Row],[Type of change]], "Edit")),B1123)</f>
        <v>1</v>
      </c>
      <c r="C1124" s="16">
        <v>44636</v>
      </c>
      <c r="D1124" s="1" t="s">
        <v>2450</v>
      </c>
      <c r="E1124" t="s">
        <v>19</v>
      </c>
      <c r="F1124" s="10" t="s">
        <v>52</v>
      </c>
      <c r="G1124" s="10" t="s">
        <v>2769</v>
      </c>
      <c r="H1124" t="s">
        <v>437</v>
      </c>
      <c r="I1124" t="s">
        <v>2718</v>
      </c>
      <c r="K1124" s="2"/>
      <c r="M1124" t="s">
        <v>2643</v>
      </c>
    </row>
    <row r="1125" spans="1:13">
      <c r="A1125" t="s">
        <v>28</v>
      </c>
      <c r="B1125">
        <f ca="1">IF(OR(changes[[#This Row],[Type]]="Checklist",changes[[#This Row],[Type]]="checklist-flat"),1+IF(changes[[#This Row],[Type of change]] = "Edit",COUNTIFS($I$4:changes[[#This Row],[Name]],changes[[#This Row],[Name]], $E$4:changes[[#This Row],[Type of change]], "Edit")),B1124)</f>
        <v>1</v>
      </c>
      <c r="C1125" s="16">
        <v>44636</v>
      </c>
      <c r="D1125" s="1" t="s">
        <v>2450</v>
      </c>
      <c r="E1125" t="s">
        <v>19</v>
      </c>
      <c r="F1125" s="10" t="s">
        <v>52</v>
      </c>
      <c r="G1125" s="10" t="s">
        <v>2769</v>
      </c>
      <c r="H1125" t="s">
        <v>437</v>
      </c>
      <c r="I1125" t="s">
        <v>2499</v>
      </c>
      <c r="K1125" s="2"/>
      <c r="M1125" t="s">
        <v>2643</v>
      </c>
    </row>
    <row r="1126" spans="1:13">
      <c r="A1126" t="s">
        <v>28</v>
      </c>
      <c r="B1126">
        <f ca="1">IF(OR(changes[[#This Row],[Type]]="Checklist",changes[[#This Row],[Type]]="checklist-flat"),1+IF(changes[[#This Row],[Type of change]] = "Edit",COUNTIFS($I$4:changes[[#This Row],[Name]],changes[[#This Row],[Name]], $E$4:changes[[#This Row],[Type of change]], "Edit")),B1125)</f>
        <v>1</v>
      </c>
      <c r="C1126" s="16">
        <v>44636</v>
      </c>
      <c r="D1126" s="1" t="s">
        <v>2450</v>
      </c>
      <c r="E1126" t="s">
        <v>19</v>
      </c>
      <c r="F1126" s="10" t="s">
        <v>52</v>
      </c>
      <c r="G1126" s="10" t="s">
        <v>2769</v>
      </c>
      <c r="H1126" t="s">
        <v>951</v>
      </c>
      <c r="I1126" t="s">
        <v>377</v>
      </c>
      <c r="K1126" s="2"/>
      <c r="M1126" t="s">
        <v>2643</v>
      </c>
    </row>
    <row r="1127" spans="1:13">
      <c r="A1127" t="s">
        <v>28</v>
      </c>
      <c r="B1127">
        <f ca="1">IF(OR(changes[[#This Row],[Type]]="Checklist",changes[[#This Row],[Type]]="checklist-flat"),1+IF(changes[[#This Row],[Type of change]] = "Edit",COUNTIFS($I$4:changes[[#This Row],[Name]],changes[[#This Row],[Name]], $E$4:changes[[#This Row],[Type of change]], "Edit")),B1126)</f>
        <v>1</v>
      </c>
      <c r="C1127" s="16">
        <v>44636</v>
      </c>
      <c r="D1127" s="1" t="s">
        <v>2450</v>
      </c>
      <c r="E1127" t="s">
        <v>19</v>
      </c>
      <c r="F1127" s="10" t="s">
        <v>52</v>
      </c>
      <c r="G1127" s="10" t="s">
        <v>2769</v>
      </c>
      <c r="H1127" t="s">
        <v>951</v>
      </c>
      <c r="I1127" t="s">
        <v>2501</v>
      </c>
      <c r="K1127" s="2"/>
      <c r="M1127" t="s">
        <v>2643</v>
      </c>
    </row>
    <row r="1128" spans="1:13">
      <c r="A1128" t="s">
        <v>28</v>
      </c>
      <c r="B1128">
        <f ca="1">IF(OR(changes[[#This Row],[Type]]="Checklist",changes[[#This Row],[Type]]="checklist-flat"),1+IF(changes[[#This Row],[Type of change]] = "Edit",COUNTIFS($I$4:changes[[#This Row],[Name]],changes[[#This Row],[Name]], $E$4:changes[[#This Row],[Type of change]], "Edit")),B1127)</f>
        <v>1</v>
      </c>
      <c r="C1128" s="16">
        <v>44636</v>
      </c>
      <c r="D1128" s="1" t="s">
        <v>2450</v>
      </c>
      <c r="E1128" t="s">
        <v>19</v>
      </c>
      <c r="F1128" s="10" t="s">
        <v>52</v>
      </c>
      <c r="G1128" s="10" t="s">
        <v>2769</v>
      </c>
      <c r="H1128" t="s">
        <v>951</v>
      </c>
      <c r="I1128" t="s">
        <v>2678</v>
      </c>
      <c r="K1128" s="2"/>
      <c r="M1128" t="s">
        <v>2643</v>
      </c>
    </row>
    <row r="1129" spans="1:13">
      <c r="A1129" t="s">
        <v>28</v>
      </c>
      <c r="B1129">
        <f ca="1">IF(OR(changes[[#This Row],[Type]]="Checklist",changes[[#This Row],[Type]]="checklist-flat"),1+IF(changes[[#This Row],[Type of change]] = "Edit",COUNTIFS($I$4:changes[[#This Row],[Name]],changes[[#This Row],[Name]], $E$4:changes[[#This Row],[Type of change]], "Edit")),B1128)</f>
        <v>1</v>
      </c>
      <c r="C1129" s="16">
        <v>44636</v>
      </c>
      <c r="D1129" s="1" t="s">
        <v>2450</v>
      </c>
      <c r="E1129" t="s">
        <v>19</v>
      </c>
      <c r="F1129" s="10" t="s">
        <v>52</v>
      </c>
      <c r="G1129" s="10" t="s">
        <v>2769</v>
      </c>
      <c r="H1129" t="s">
        <v>951</v>
      </c>
      <c r="I1129" t="s">
        <v>2679</v>
      </c>
      <c r="K1129" s="2"/>
      <c r="M1129" t="s">
        <v>2643</v>
      </c>
    </row>
    <row r="1130" spans="1:13">
      <c r="A1130" t="s">
        <v>28</v>
      </c>
      <c r="B1130">
        <f ca="1">IF(OR(changes[[#This Row],[Type]]="Checklist",changes[[#This Row],[Type]]="checklist-flat"),1+IF(changes[[#This Row],[Type of change]] = "Edit",COUNTIFS($I$4:changes[[#This Row],[Name]],changes[[#This Row],[Name]], $E$4:changes[[#This Row],[Type of change]], "Edit")),B1129)</f>
        <v>1</v>
      </c>
      <c r="C1130" s="16">
        <v>44636</v>
      </c>
      <c r="D1130" s="1" t="s">
        <v>2450</v>
      </c>
      <c r="E1130" t="s">
        <v>19</v>
      </c>
      <c r="F1130" s="10" t="s">
        <v>52</v>
      </c>
      <c r="G1130" s="10" t="s">
        <v>2769</v>
      </c>
      <c r="H1130" t="s">
        <v>64</v>
      </c>
      <c r="I1130" t="s">
        <v>2669</v>
      </c>
      <c r="K1130" s="2"/>
      <c r="M1130" t="s">
        <v>2643</v>
      </c>
    </row>
    <row r="1131" spans="1:13">
      <c r="A1131" t="s">
        <v>28</v>
      </c>
      <c r="B1131">
        <f ca="1">IF(OR(changes[[#This Row],[Type]]="Checklist",changes[[#This Row],[Type]]="checklist-flat"),1+IF(changes[[#This Row],[Type of change]] = "Edit",COUNTIFS($I$4:changes[[#This Row],[Name]],changes[[#This Row],[Name]], $E$4:changes[[#This Row],[Type of change]], "Edit")),B1130)</f>
        <v>1</v>
      </c>
      <c r="C1131" s="16">
        <v>44636</v>
      </c>
      <c r="D1131" s="1" t="s">
        <v>2450</v>
      </c>
      <c r="E1131" t="s">
        <v>19</v>
      </c>
      <c r="F1131" s="10" t="s">
        <v>52</v>
      </c>
      <c r="G1131" s="10" t="s">
        <v>2773</v>
      </c>
      <c r="H1131" t="s">
        <v>47</v>
      </c>
      <c r="I1131" t="s">
        <v>2773</v>
      </c>
      <c r="K1131" s="2"/>
      <c r="M1131" t="s">
        <v>2643</v>
      </c>
    </row>
    <row r="1132" spans="1:13">
      <c r="A1132" t="s">
        <v>28</v>
      </c>
      <c r="B1132">
        <f ca="1">IF(OR(changes[[#This Row],[Type]]="Checklist",changes[[#This Row],[Type]]="checklist-flat"),1+IF(changes[[#This Row],[Type of change]] = "Edit",COUNTIFS($I$4:changes[[#This Row],[Name]],changes[[#This Row],[Name]], $E$4:changes[[#This Row],[Type of change]], "Edit")),B1131)</f>
        <v>1</v>
      </c>
      <c r="C1132" s="16">
        <v>44636</v>
      </c>
      <c r="D1132" s="1" t="s">
        <v>2450</v>
      </c>
      <c r="E1132" t="s">
        <v>19</v>
      </c>
      <c r="F1132" s="10" t="s">
        <v>52</v>
      </c>
      <c r="G1132" s="10" t="s">
        <v>2773</v>
      </c>
      <c r="H1132" t="s">
        <v>269</v>
      </c>
      <c r="I1132" t="s">
        <v>2774</v>
      </c>
      <c r="K1132" s="2"/>
      <c r="M1132" t="s">
        <v>2643</v>
      </c>
    </row>
    <row r="1133" spans="1:13">
      <c r="A1133" t="s">
        <v>28</v>
      </c>
      <c r="B1133">
        <f ca="1">IF(OR(changes[[#This Row],[Type]]="Checklist",changes[[#This Row],[Type]]="checklist-flat"),1+IF(changes[[#This Row],[Type of change]] = "Edit",COUNTIFS($I$4:changes[[#This Row],[Name]],changes[[#This Row],[Name]], $E$4:changes[[#This Row],[Type of change]], "Edit")),B1132)</f>
        <v>1</v>
      </c>
      <c r="C1133" s="16">
        <v>44636</v>
      </c>
      <c r="D1133" s="1" t="s">
        <v>2450</v>
      </c>
      <c r="E1133" t="s">
        <v>19</v>
      </c>
      <c r="F1133" s="10" t="s">
        <v>52</v>
      </c>
      <c r="G1133" s="10" t="s">
        <v>2773</v>
      </c>
      <c r="H1133" t="s">
        <v>2490</v>
      </c>
      <c r="I1133" t="s">
        <v>2775</v>
      </c>
      <c r="K1133" s="2"/>
      <c r="M1133" t="s">
        <v>2643</v>
      </c>
    </row>
    <row r="1134" spans="1:13">
      <c r="A1134" t="s">
        <v>28</v>
      </c>
      <c r="B1134">
        <f ca="1">IF(OR(changes[[#This Row],[Type]]="Checklist",changes[[#This Row],[Type]]="checklist-flat"),1+IF(changes[[#This Row],[Type of change]] = "Edit",COUNTIFS($I$4:changes[[#This Row],[Name]],changes[[#This Row],[Name]], $E$4:changes[[#This Row],[Type of change]], "Edit")),B1133)</f>
        <v>1</v>
      </c>
      <c r="C1134" s="16">
        <v>44636</v>
      </c>
      <c r="D1134" s="1" t="s">
        <v>2450</v>
      </c>
      <c r="E1134" t="s">
        <v>19</v>
      </c>
      <c r="F1134" s="10" t="s">
        <v>52</v>
      </c>
      <c r="G1134" s="10" t="s">
        <v>2773</v>
      </c>
      <c r="H1134" t="s">
        <v>2490</v>
      </c>
      <c r="I1134" t="s">
        <v>2776</v>
      </c>
      <c r="K1134" s="2"/>
      <c r="M1134" t="s">
        <v>2643</v>
      </c>
    </row>
    <row r="1135" spans="1:13">
      <c r="A1135" t="s">
        <v>28</v>
      </c>
      <c r="B1135">
        <f ca="1">IF(OR(changes[[#This Row],[Type]]="Checklist",changes[[#This Row],[Type]]="checklist-flat"),1+IF(changes[[#This Row],[Type of change]] = "Edit",COUNTIFS($I$4:changes[[#This Row],[Name]],changes[[#This Row],[Name]], $E$4:changes[[#This Row],[Type of change]], "Edit")),B1134)</f>
        <v>1</v>
      </c>
      <c r="C1135" s="16">
        <v>44636</v>
      </c>
      <c r="D1135" s="1" t="s">
        <v>2450</v>
      </c>
      <c r="E1135" t="s">
        <v>19</v>
      </c>
      <c r="F1135" s="10" t="s">
        <v>52</v>
      </c>
      <c r="G1135" s="10" t="s">
        <v>2773</v>
      </c>
      <c r="H1135" t="s">
        <v>2490</v>
      </c>
      <c r="I1135" t="s">
        <v>2777</v>
      </c>
      <c r="K1135" s="2"/>
      <c r="M1135" t="s">
        <v>2643</v>
      </c>
    </row>
    <row r="1136" spans="1:13">
      <c r="A1136" t="s">
        <v>28</v>
      </c>
      <c r="B1136">
        <f ca="1">IF(OR(changes[[#This Row],[Type]]="Checklist",changes[[#This Row],[Type]]="checklist-flat"),1+IF(changes[[#This Row],[Type of change]] = "Edit",COUNTIFS($I$4:changes[[#This Row],[Name]],changes[[#This Row],[Name]], $E$4:changes[[#This Row],[Type of change]], "Edit")),B1135)</f>
        <v>1</v>
      </c>
      <c r="C1136" s="16">
        <v>44636</v>
      </c>
      <c r="D1136" s="1" t="s">
        <v>2450</v>
      </c>
      <c r="E1136" t="s">
        <v>19</v>
      </c>
      <c r="F1136" s="10" t="s">
        <v>52</v>
      </c>
      <c r="G1136" s="10" t="s">
        <v>2773</v>
      </c>
      <c r="H1136" t="s">
        <v>2490</v>
      </c>
      <c r="I1136" t="s">
        <v>2778</v>
      </c>
      <c r="K1136" s="2"/>
      <c r="M1136" t="s">
        <v>2643</v>
      </c>
    </row>
    <row r="1137" spans="1:13">
      <c r="A1137" t="s">
        <v>28</v>
      </c>
      <c r="B1137">
        <f ca="1">IF(OR(changes[[#This Row],[Type]]="Checklist",changes[[#This Row],[Type]]="checklist-flat"),1+IF(changes[[#This Row],[Type of change]] = "Edit",COUNTIFS($I$4:changes[[#This Row],[Name]],changes[[#This Row],[Name]], $E$4:changes[[#This Row],[Type of change]], "Edit")),B1136)</f>
        <v>1</v>
      </c>
      <c r="C1137" s="16">
        <v>44636</v>
      </c>
      <c r="D1137" s="1" t="s">
        <v>2450</v>
      </c>
      <c r="E1137" t="s">
        <v>19</v>
      </c>
      <c r="F1137" s="10" t="s">
        <v>52</v>
      </c>
      <c r="G1137" s="10" t="s">
        <v>2773</v>
      </c>
      <c r="H1137" t="s">
        <v>2490</v>
      </c>
      <c r="I1137" t="s">
        <v>2779</v>
      </c>
      <c r="K1137" s="2"/>
      <c r="M1137" t="s">
        <v>2643</v>
      </c>
    </row>
    <row r="1138" spans="1:13">
      <c r="A1138" t="s">
        <v>28</v>
      </c>
      <c r="B1138">
        <f ca="1">IF(OR(changes[[#This Row],[Type]]="Checklist",changes[[#This Row],[Type]]="checklist-flat"),1+IF(changes[[#This Row],[Type of change]] = "Edit",COUNTIFS($I$4:changes[[#This Row],[Name]],changes[[#This Row],[Name]], $E$4:changes[[#This Row],[Type of change]], "Edit")),B1137)</f>
        <v>1</v>
      </c>
      <c r="C1138" s="16">
        <v>44636</v>
      </c>
      <c r="D1138" s="1" t="s">
        <v>2450</v>
      </c>
      <c r="E1138" t="s">
        <v>19</v>
      </c>
      <c r="F1138" s="10" t="s">
        <v>52</v>
      </c>
      <c r="G1138" s="10" t="s">
        <v>2773</v>
      </c>
      <c r="H1138" t="s">
        <v>2490</v>
      </c>
      <c r="I1138" t="s">
        <v>2741</v>
      </c>
      <c r="K1138" s="2"/>
      <c r="M1138" t="s">
        <v>2643</v>
      </c>
    </row>
    <row r="1139" spans="1:13">
      <c r="A1139" t="s">
        <v>28</v>
      </c>
      <c r="B1139">
        <f ca="1">IF(OR(changes[[#This Row],[Type]]="Checklist",changes[[#This Row],[Type]]="checklist-flat"),1+IF(changes[[#This Row],[Type of change]] = "Edit",COUNTIFS($I$4:changes[[#This Row],[Name]],changes[[#This Row],[Name]], $E$4:changes[[#This Row],[Type of change]], "Edit")),B1138)</f>
        <v>1</v>
      </c>
      <c r="C1139" s="16">
        <v>44636</v>
      </c>
      <c r="D1139" s="1" t="s">
        <v>2450</v>
      </c>
      <c r="E1139" t="s">
        <v>19</v>
      </c>
      <c r="F1139" s="10" t="s">
        <v>52</v>
      </c>
      <c r="G1139" s="10" t="s">
        <v>2773</v>
      </c>
      <c r="H1139" t="s">
        <v>2490</v>
      </c>
      <c r="I1139" t="s">
        <v>2742</v>
      </c>
      <c r="K1139" s="2"/>
      <c r="M1139" t="s">
        <v>2643</v>
      </c>
    </row>
    <row r="1140" spans="1:13">
      <c r="A1140" t="s">
        <v>28</v>
      </c>
      <c r="B1140">
        <f ca="1">IF(OR(changes[[#This Row],[Type]]="Checklist",changes[[#This Row],[Type]]="checklist-flat"),1+IF(changes[[#This Row],[Type of change]] = "Edit",COUNTIFS($I$4:changes[[#This Row],[Name]],changes[[#This Row],[Name]], $E$4:changes[[#This Row],[Type of change]], "Edit")),B1139)</f>
        <v>1</v>
      </c>
      <c r="C1140" s="16">
        <v>44636</v>
      </c>
      <c r="D1140" s="1" t="s">
        <v>2450</v>
      </c>
      <c r="E1140" t="s">
        <v>19</v>
      </c>
      <c r="F1140" s="10" t="s">
        <v>52</v>
      </c>
      <c r="G1140" s="10" t="s">
        <v>2773</v>
      </c>
      <c r="H1140" t="s">
        <v>2490</v>
      </c>
      <c r="I1140" t="s">
        <v>2780</v>
      </c>
      <c r="K1140" s="2"/>
      <c r="M1140" t="s">
        <v>2643</v>
      </c>
    </row>
    <row r="1141" spans="1:13">
      <c r="A1141" t="s">
        <v>28</v>
      </c>
      <c r="B1141">
        <f ca="1">IF(OR(changes[[#This Row],[Type]]="Checklist",changes[[#This Row],[Type]]="checklist-flat"),1+IF(changes[[#This Row],[Type of change]] = "Edit",COUNTIFS($I$4:changes[[#This Row],[Name]],changes[[#This Row],[Name]], $E$4:changes[[#This Row],[Type of change]], "Edit")),B1140)</f>
        <v>1</v>
      </c>
      <c r="C1141" s="16">
        <v>44636</v>
      </c>
      <c r="D1141" s="1" t="s">
        <v>2450</v>
      </c>
      <c r="E1141" t="s">
        <v>19</v>
      </c>
      <c r="F1141" s="10" t="s">
        <v>52</v>
      </c>
      <c r="G1141" s="10" t="s">
        <v>2773</v>
      </c>
      <c r="H1141" t="s">
        <v>2490</v>
      </c>
      <c r="I1141" t="s">
        <v>2781</v>
      </c>
      <c r="K1141" s="2"/>
      <c r="M1141" t="s">
        <v>2643</v>
      </c>
    </row>
    <row r="1142" spans="1:13">
      <c r="A1142" t="s">
        <v>28</v>
      </c>
      <c r="B1142">
        <f ca="1">IF(OR(changes[[#This Row],[Type]]="Checklist",changes[[#This Row],[Type]]="checklist-flat"),1+IF(changes[[#This Row],[Type of change]] = "Edit",COUNTIFS($I$4:changes[[#This Row],[Name]],changes[[#This Row],[Name]], $E$4:changes[[#This Row],[Type of change]], "Edit")),B1141)</f>
        <v>1</v>
      </c>
      <c r="C1142" s="16">
        <v>44636</v>
      </c>
      <c r="D1142" s="1" t="s">
        <v>2450</v>
      </c>
      <c r="E1142" t="s">
        <v>19</v>
      </c>
      <c r="F1142" s="10" t="s">
        <v>52</v>
      </c>
      <c r="G1142" s="10" t="s">
        <v>2773</v>
      </c>
      <c r="H1142" t="s">
        <v>2490</v>
      </c>
      <c r="I1142" t="s">
        <v>2782</v>
      </c>
      <c r="K1142" s="2"/>
      <c r="M1142" t="s">
        <v>2643</v>
      </c>
    </row>
    <row r="1143" spans="1:13">
      <c r="A1143" t="s">
        <v>28</v>
      </c>
      <c r="B1143">
        <f ca="1">IF(OR(changes[[#This Row],[Type]]="Checklist",changes[[#This Row],[Type]]="checklist-flat"),1+IF(changes[[#This Row],[Type of change]] = "Edit",COUNTIFS($I$4:changes[[#This Row],[Name]],changes[[#This Row],[Name]], $E$4:changes[[#This Row],[Type of change]], "Edit")),B1142)</f>
        <v>1</v>
      </c>
      <c r="C1143" s="16">
        <v>44636</v>
      </c>
      <c r="D1143" s="1" t="s">
        <v>2450</v>
      </c>
      <c r="E1143" t="s">
        <v>19</v>
      </c>
      <c r="F1143" s="10" t="s">
        <v>52</v>
      </c>
      <c r="G1143" s="10" t="s">
        <v>2773</v>
      </c>
      <c r="H1143" t="s">
        <v>2490</v>
      </c>
      <c r="I1143" t="s">
        <v>2499</v>
      </c>
      <c r="K1143" s="2"/>
      <c r="M1143" t="s">
        <v>2643</v>
      </c>
    </row>
    <row r="1144" spans="1:13">
      <c r="A1144" t="s">
        <v>28</v>
      </c>
      <c r="B1144">
        <f ca="1">IF(OR(changes[[#This Row],[Type]]="Checklist",changes[[#This Row],[Type]]="checklist-flat"),1+IF(changes[[#This Row],[Type of change]] = "Edit",COUNTIFS($I$4:changes[[#This Row],[Name]],changes[[#This Row],[Name]], $E$4:changes[[#This Row],[Type of change]], "Edit")),B1143)</f>
        <v>1</v>
      </c>
      <c r="C1144" s="16">
        <v>44636</v>
      </c>
      <c r="D1144" s="1" t="s">
        <v>2450</v>
      </c>
      <c r="E1144" t="s">
        <v>19</v>
      </c>
      <c r="F1144" s="10" t="s">
        <v>52</v>
      </c>
      <c r="G1144" s="10" t="s">
        <v>2773</v>
      </c>
      <c r="H1144" t="s">
        <v>2500</v>
      </c>
      <c r="I1144" t="s">
        <v>2748</v>
      </c>
      <c r="K1144" s="2"/>
      <c r="M1144" t="s">
        <v>2643</v>
      </c>
    </row>
    <row r="1145" spans="1:13">
      <c r="A1145" t="s">
        <v>28</v>
      </c>
      <c r="B1145">
        <f ca="1">IF(OR(changes[[#This Row],[Type]]="Checklist",changes[[#This Row],[Type]]="checklist-flat"),1+IF(changes[[#This Row],[Type of change]] = "Edit",COUNTIFS($I$4:changes[[#This Row],[Name]],changes[[#This Row],[Name]], $E$4:changes[[#This Row],[Type of change]], "Edit")),B1144)</f>
        <v>1</v>
      </c>
      <c r="C1145" s="16">
        <v>44636</v>
      </c>
      <c r="D1145" s="1" t="s">
        <v>2450</v>
      </c>
      <c r="E1145" t="s">
        <v>19</v>
      </c>
      <c r="F1145" s="10" t="s">
        <v>52</v>
      </c>
      <c r="G1145" s="10" t="s">
        <v>2773</v>
      </c>
      <c r="H1145" t="s">
        <v>2500</v>
      </c>
      <c r="I1145" t="s">
        <v>2749</v>
      </c>
      <c r="K1145" s="2"/>
      <c r="M1145" t="s">
        <v>2643</v>
      </c>
    </row>
    <row r="1146" spans="1:13">
      <c r="A1146" t="s">
        <v>28</v>
      </c>
      <c r="B1146">
        <f ca="1">IF(OR(changes[[#This Row],[Type]]="Checklist",changes[[#This Row],[Type]]="checklist-flat"),1+IF(changes[[#This Row],[Type of change]] = "Edit",COUNTIFS($I$4:changes[[#This Row],[Name]],changes[[#This Row],[Name]], $E$4:changes[[#This Row],[Type of change]], "Edit")),B1145)</f>
        <v>1</v>
      </c>
      <c r="C1146" s="16">
        <v>44636</v>
      </c>
      <c r="D1146" s="1" t="s">
        <v>2450</v>
      </c>
      <c r="E1146" t="s">
        <v>19</v>
      </c>
      <c r="F1146" s="10" t="s">
        <v>52</v>
      </c>
      <c r="G1146" s="10" t="s">
        <v>2773</v>
      </c>
      <c r="H1146" t="s">
        <v>2500</v>
      </c>
      <c r="I1146" t="s">
        <v>2678</v>
      </c>
      <c r="K1146" s="2"/>
      <c r="M1146" t="s">
        <v>2643</v>
      </c>
    </row>
    <row r="1147" spans="1:13">
      <c r="A1147" t="s">
        <v>28</v>
      </c>
      <c r="B1147">
        <f ca="1">IF(OR(changes[[#This Row],[Type]]="Checklist",changes[[#This Row],[Type]]="checklist-flat"),1+IF(changes[[#This Row],[Type of change]] = "Edit",COUNTIFS($I$4:changes[[#This Row],[Name]],changes[[#This Row],[Name]], $E$4:changes[[#This Row],[Type of change]], "Edit")),B1146)</f>
        <v>1</v>
      </c>
      <c r="C1147" s="16">
        <v>44636</v>
      </c>
      <c r="D1147" s="1" t="s">
        <v>2450</v>
      </c>
      <c r="E1147" t="s">
        <v>19</v>
      </c>
      <c r="F1147" s="10" t="s">
        <v>52</v>
      </c>
      <c r="G1147" s="10" t="s">
        <v>2773</v>
      </c>
      <c r="H1147" t="s">
        <v>2500</v>
      </c>
      <c r="I1147" t="s">
        <v>2750</v>
      </c>
      <c r="K1147" s="2"/>
      <c r="M1147" t="s">
        <v>2643</v>
      </c>
    </row>
    <row r="1148" spans="1:13">
      <c r="A1148" t="s">
        <v>28</v>
      </c>
      <c r="B1148">
        <f ca="1">IF(OR(changes[[#This Row],[Type]]="Checklist",changes[[#This Row],[Type]]="checklist-flat"),1+IF(changes[[#This Row],[Type of change]] = "Edit",COUNTIFS($I$4:changes[[#This Row],[Name]],changes[[#This Row],[Name]], $E$4:changes[[#This Row],[Type of change]], "Edit")),B1147)</f>
        <v>1</v>
      </c>
      <c r="C1148" s="16">
        <v>44636</v>
      </c>
      <c r="D1148" s="1" t="s">
        <v>2450</v>
      </c>
      <c r="E1148" t="s">
        <v>19</v>
      </c>
      <c r="F1148" s="10" t="s">
        <v>52</v>
      </c>
      <c r="G1148" s="10" t="s">
        <v>2773</v>
      </c>
      <c r="H1148" t="s">
        <v>2490</v>
      </c>
      <c r="I1148" t="s">
        <v>2751</v>
      </c>
      <c r="K1148" s="2"/>
      <c r="M1148" t="s">
        <v>2643</v>
      </c>
    </row>
    <row r="1149" spans="1:13">
      <c r="A1149" t="s">
        <v>28</v>
      </c>
      <c r="B1149">
        <f ca="1">IF(OR(changes[[#This Row],[Type]]="Checklist",changes[[#This Row],[Type]]="checklist-flat"),1+IF(changes[[#This Row],[Type of change]] = "Edit",COUNTIFS($I$4:changes[[#This Row],[Name]],changes[[#This Row],[Name]], $E$4:changes[[#This Row],[Type of change]], "Edit")),B1148)</f>
        <v>1</v>
      </c>
      <c r="C1149" s="16">
        <v>44636</v>
      </c>
      <c r="D1149" s="1" t="s">
        <v>2450</v>
      </c>
      <c r="E1149" t="s">
        <v>19</v>
      </c>
      <c r="F1149" s="10" t="s">
        <v>52</v>
      </c>
      <c r="G1149" s="10" t="s">
        <v>2773</v>
      </c>
      <c r="H1149" t="s">
        <v>64</v>
      </c>
      <c r="I1149" t="s">
        <v>1273</v>
      </c>
      <c r="K1149" s="2"/>
      <c r="M1149" t="s">
        <v>2643</v>
      </c>
    </row>
    <row r="1150" spans="1:13">
      <c r="A1150" t="s">
        <v>28</v>
      </c>
      <c r="B1150">
        <f ca="1">IF(OR(changes[[#This Row],[Type]]="Checklist",changes[[#This Row],[Type]]="checklist-flat"),1+IF(changes[[#This Row],[Type of change]] = "Edit",COUNTIFS($I$4:changes[[#This Row],[Name]],changes[[#This Row],[Name]], $E$4:changes[[#This Row],[Type of change]], "Edit")),B1149)</f>
        <v>1</v>
      </c>
      <c r="C1150" s="16">
        <v>44636</v>
      </c>
      <c r="D1150" s="1" t="s">
        <v>2450</v>
      </c>
      <c r="E1150" t="s">
        <v>19</v>
      </c>
      <c r="F1150" s="10" t="s">
        <v>52</v>
      </c>
      <c r="G1150" s="10" t="s">
        <v>2783</v>
      </c>
      <c r="H1150" t="s">
        <v>47</v>
      </c>
      <c r="I1150" t="s">
        <v>2783</v>
      </c>
      <c r="K1150" s="2"/>
      <c r="M1150" t="s">
        <v>2643</v>
      </c>
    </row>
    <row r="1151" spans="1:13">
      <c r="A1151" t="s">
        <v>28</v>
      </c>
      <c r="B1151">
        <f ca="1">IF(OR(changes[[#This Row],[Type]]="Checklist",changes[[#This Row],[Type]]="checklist-flat"),1+IF(changes[[#This Row],[Type of change]] = "Edit",COUNTIFS($I$4:changes[[#This Row],[Name]],changes[[#This Row],[Name]], $E$4:changes[[#This Row],[Type of change]], "Edit")),B1150)</f>
        <v>1</v>
      </c>
      <c r="C1151" s="16">
        <v>44636</v>
      </c>
      <c r="D1151" s="1" t="s">
        <v>2450</v>
      </c>
      <c r="E1151" t="s">
        <v>19</v>
      </c>
      <c r="F1151" s="10" t="s">
        <v>52</v>
      </c>
      <c r="G1151" s="10" t="s">
        <v>2783</v>
      </c>
      <c r="H1151" t="s">
        <v>55</v>
      </c>
      <c r="I1151" t="s">
        <v>2784</v>
      </c>
      <c r="K1151" s="2"/>
      <c r="M1151" t="s">
        <v>2643</v>
      </c>
    </row>
    <row r="1152" spans="1:13">
      <c r="A1152" t="s">
        <v>28</v>
      </c>
      <c r="B1152">
        <f ca="1">IF(OR(changes[[#This Row],[Type]]="Checklist",changes[[#This Row],[Type]]="checklist-flat"),1+IF(changes[[#This Row],[Type of change]] = "Edit",COUNTIFS($I$4:changes[[#This Row],[Name]],changes[[#This Row],[Name]], $E$4:changes[[#This Row],[Type of change]], "Edit")),B1151)</f>
        <v>1</v>
      </c>
      <c r="C1152" s="16">
        <v>44636</v>
      </c>
      <c r="D1152" s="1" t="s">
        <v>2450</v>
      </c>
      <c r="E1152" t="s">
        <v>19</v>
      </c>
      <c r="F1152" s="10" t="s">
        <v>52</v>
      </c>
      <c r="G1152" s="10" t="s">
        <v>2783</v>
      </c>
      <c r="H1152" t="s">
        <v>437</v>
      </c>
      <c r="I1152" t="s">
        <v>2785</v>
      </c>
      <c r="K1152" s="2"/>
      <c r="M1152" t="s">
        <v>2643</v>
      </c>
    </row>
    <row r="1153" spans="1:13">
      <c r="A1153" t="s">
        <v>28</v>
      </c>
      <c r="B1153">
        <f ca="1">IF(OR(changes[[#This Row],[Type]]="Checklist",changes[[#This Row],[Type]]="checklist-flat"),1+IF(changes[[#This Row],[Type of change]] = "Edit",COUNTIFS($I$4:changes[[#This Row],[Name]],changes[[#This Row],[Name]], $E$4:changes[[#This Row],[Type of change]], "Edit")),B1152)</f>
        <v>1</v>
      </c>
      <c r="C1153" s="16">
        <v>44636</v>
      </c>
      <c r="D1153" s="1" t="s">
        <v>2450</v>
      </c>
      <c r="E1153" t="s">
        <v>19</v>
      </c>
      <c r="F1153" s="10" t="s">
        <v>52</v>
      </c>
      <c r="G1153" s="10" t="s">
        <v>2783</v>
      </c>
      <c r="H1153" t="s">
        <v>437</v>
      </c>
      <c r="I1153" t="s">
        <v>2786</v>
      </c>
      <c r="K1153" s="2"/>
      <c r="M1153" t="s">
        <v>2643</v>
      </c>
    </row>
    <row r="1154" spans="1:13">
      <c r="A1154" t="s">
        <v>28</v>
      </c>
      <c r="B1154">
        <f ca="1">IF(OR(changes[[#This Row],[Type]]="Checklist",changes[[#This Row],[Type]]="checklist-flat"),1+IF(changes[[#This Row],[Type of change]] = "Edit",COUNTIFS($I$4:changes[[#This Row],[Name]],changes[[#This Row],[Name]], $E$4:changes[[#This Row],[Type of change]], "Edit")),B1153)</f>
        <v>1</v>
      </c>
      <c r="C1154" s="16">
        <v>44636</v>
      </c>
      <c r="D1154" s="1" t="s">
        <v>2450</v>
      </c>
      <c r="E1154" t="s">
        <v>19</v>
      </c>
      <c r="F1154" s="10" t="s">
        <v>52</v>
      </c>
      <c r="G1154" s="10" t="s">
        <v>2783</v>
      </c>
      <c r="H1154" t="s">
        <v>64</v>
      </c>
      <c r="I1154" t="s">
        <v>1273</v>
      </c>
      <c r="K1154" s="2"/>
      <c r="M1154" t="s">
        <v>2643</v>
      </c>
    </row>
    <row r="1155" spans="1:13">
      <c r="A1155" t="s">
        <v>28</v>
      </c>
      <c r="B1155">
        <f ca="1">IF(OR(changes[[#This Row],[Type]]="Checklist",changes[[#This Row],[Type]]="checklist-flat"),1+IF(changes[[#This Row],[Type of change]] = "Edit",COUNTIFS($I$4:changes[[#This Row],[Name]],changes[[#This Row],[Name]], $E$4:changes[[#This Row],[Type of change]], "Edit")),B1154)</f>
        <v>1</v>
      </c>
      <c r="C1155" s="16">
        <v>44636</v>
      </c>
      <c r="D1155" s="1" t="s">
        <v>2450</v>
      </c>
      <c r="E1155" t="s">
        <v>19</v>
      </c>
      <c r="F1155" s="10" t="s">
        <v>52</v>
      </c>
      <c r="G1155" s="10" t="s">
        <v>2787</v>
      </c>
      <c r="H1155" t="s">
        <v>47</v>
      </c>
      <c r="I1155" t="s">
        <v>2787</v>
      </c>
      <c r="K1155" s="2"/>
      <c r="M1155" t="s">
        <v>2643</v>
      </c>
    </row>
    <row r="1156" spans="1:13">
      <c r="A1156" t="s">
        <v>28</v>
      </c>
      <c r="B1156">
        <f ca="1">IF(OR(changes[[#This Row],[Type]]="Checklist",changes[[#This Row],[Type]]="checklist-flat"),1+IF(changes[[#This Row],[Type of change]] = "Edit",COUNTIFS($I$4:changes[[#This Row],[Name]],changes[[#This Row],[Name]], $E$4:changes[[#This Row],[Type of change]], "Edit")),B1155)</f>
        <v>1</v>
      </c>
      <c r="C1156" s="16">
        <v>44636</v>
      </c>
      <c r="D1156" s="1" t="s">
        <v>2450</v>
      </c>
      <c r="E1156" t="s">
        <v>19</v>
      </c>
      <c r="F1156" s="10" t="s">
        <v>52</v>
      </c>
      <c r="G1156" s="10" t="s">
        <v>2787</v>
      </c>
      <c r="H1156" t="s">
        <v>55</v>
      </c>
      <c r="I1156" t="s">
        <v>2788</v>
      </c>
      <c r="K1156" s="2"/>
      <c r="M1156" t="s">
        <v>2643</v>
      </c>
    </row>
    <row r="1157" spans="1:13">
      <c r="A1157" t="s">
        <v>28</v>
      </c>
      <c r="B1157">
        <f ca="1">IF(OR(changes[[#This Row],[Type]]="Checklist",changes[[#This Row],[Type]]="checklist-flat"),1+IF(changes[[#This Row],[Type of change]] = "Edit",COUNTIFS($I$4:changes[[#This Row],[Name]],changes[[#This Row],[Name]], $E$4:changes[[#This Row],[Type of change]], "Edit")),B1156)</f>
        <v>1</v>
      </c>
      <c r="C1157" s="16">
        <v>44636</v>
      </c>
      <c r="D1157" s="1" t="s">
        <v>2450</v>
      </c>
      <c r="E1157" t="s">
        <v>19</v>
      </c>
      <c r="F1157" s="10" t="s">
        <v>52</v>
      </c>
      <c r="G1157" s="10" t="s">
        <v>2787</v>
      </c>
      <c r="H1157" t="s">
        <v>437</v>
      </c>
      <c r="I1157" t="s">
        <v>2789</v>
      </c>
      <c r="K1157" s="2"/>
      <c r="M1157" t="s">
        <v>2643</v>
      </c>
    </row>
    <row r="1158" spans="1:13">
      <c r="A1158" t="s">
        <v>28</v>
      </c>
      <c r="B1158">
        <f ca="1">IF(OR(changes[[#This Row],[Type]]="Checklist",changes[[#This Row],[Type]]="checklist-flat"),1+IF(changes[[#This Row],[Type of change]] = "Edit",COUNTIFS($I$4:changes[[#This Row],[Name]],changes[[#This Row],[Name]], $E$4:changes[[#This Row],[Type of change]], "Edit")),B1157)</f>
        <v>1</v>
      </c>
      <c r="C1158" s="16">
        <v>44636</v>
      </c>
      <c r="D1158" s="1" t="s">
        <v>2450</v>
      </c>
      <c r="E1158" t="s">
        <v>19</v>
      </c>
      <c r="F1158" s="10" t="s">
        <v>52</v>
      </c>
      <c r="G1158" s="10" t="s">
        <v>2787</v>
      </c>
      <c r="H1158" t="s">
        <v>437</v>
      </c>
      <c r="I1158" t="s">
        <v>2790</v>
      </c>
      <c r="K1158" s="2"/>
      <c r="M1158" t="s">
        <v>2643</v>
      </c>
    </row>
    <row r="1159" spans="1:13">
      <c r="A1159" t="s">
        <v>28</v>
      </c>
      <c r="B1159">
        <f ca="1">IF(OR(changes[[#This Row],[Type]]="Checklist",changes[[#This Row],[Type]]="checklist-flat"),1+IF(changes[[#This Row],[Type of change]] = "Edit",COUNTIFS($I$4:changes[[#This Row],[Name]],changes[[#This Row],[Name]], $E$4:changes[[#This Row],[Type of change]], "Edit")),B1158)</f>
        <v>1</v>
      </c>
      <c r="C1159" s="16">
        <v>44636</v>
      </c>
      <c r="D1159" s="1" t="s">
        <v>2450</v>
      </c>
      <c r="E1159" t="s">
        <v>19</v>
      </c>
      <c r="F1159" s="10" t="s">
        <v>52</v>
      </c>
      <c r="G1159" s="10" t="s">
        <v>2787</v>
      </c>
      <c r="H1159" t="s">
        <v>437</v>
      </c>
      <c r="I1159" t="s">
        <v>2791</v>
      </c>
      <c r="K1159" s="2"/>
      <c r="M1159" t="s">
        <v>2643</v>
      </c>
    </row>
    <row r="1160" spans="1:13">
      <c r="A1160" t="s">
        <v>28</v>
      </c>
      <c r="B1160">
        <f ca="1">IF(OR(changes[[#This Row],[Type]]="Checklist",changes[[#This Row],[Type]]="checklist-flat"),1+IF(changes[[#This Row],[Type of change]] = "Edit",COUNTIFS($I$4:changes[[#This Row],[Name]],changes[[#This Row],[Name]], $E$4:changes[[#This Row],[Type of change]], "Edit")),B1159)</f>
        <v>1</v>
      </c>
      <c r="C1160" s="16">
        <v>44636</v>
      </c>
      <c r="D1160" s="1" t="s">
        <v>2450</v>
      </c>
      <c r="E1160" t="s">
        <v>19</v>
      </c>
      <c r="F1160" s="10" t="s">
        <v>52</v>
      </c>
      <c r="G1160" s="10" t="s">
        <v>2787</v>
      </c>
      <c r="H1160" t="s">
        <v>437</v>
      </c>
      <c r="I1160" t="s">
        <v>2792</v>
      </c>
      <c r="K1160" s="2"/>
      <c r="M1160" t="s">
        <v>2643</v>
      </c>
    </row>
    <row r="1161" spans="1:13">
      <c r="A1161" t="s">
        <v>28</v>
      </c>
      <c r="B1161">
        <f ca="1">IF(OR(changes[[#This Row],[Type]]="Checklist",changes[[#This Row],[Type]]="checklist-flat"),1+IF(changes[[#This Row],[Type of change]] = "Edit",COUNTIFS($I$4:changes[[#This Row],[Name]],changes[[#This Row],[Name]], $E$4:changes[[#This Row],[Type of change]], "Edit")),B1160)</f>
        <v>1</v>
      </c>
      <c r="C1161" s="16">
        <v>44636</v>
      </c>
      <c r="D1161" s="1" t="s">
        <v>2450</v>
      </c>
      <c r="E1161" t="s">
        <v>19</v>
      </c>
      <c r="F1161" s="10" t="s">
        <v>52</v>
      </c>
      <c r="G1161" s="10" t="s">
        <v>2787</v>
      </c>
      <c r="H1161" t="s">
        <v>951</v>
      </c>
      <c r="I1161" t="s">
        <v>2793</v>
      </c>
      <c r="K1161" s="2"/>
      <c r="M1161" t="s">
        <v>2643</v>
      </c>
    </row>
    <row r="1162" spans="1:13">
      <c r="A1162" t="s">
        <v>28</v>
      </c>
      <c r="B1162">
        <f ca="1">IF(OR(changes[[#This Row],[Type]]="Checklist",changes[[#This Row],[Type]]="checklist-flat"),1+IF(changes[[#This Row],[Type of change]] = "Edit",COUNTIFS($I$4:changes[[#This Row],[Name]],changes[[#This Row],[Name]], $E$4:changes[[#This Row],[Type of change]], "Edit")),B1161)</f>
        <v>1</v>
      </c>
      <c r="C1162" s="16">
        <v>44636</v>
      </c>
      <c r="D1162" s="1" t="s">
        <v>2450</v>
      </c>
      <c r="E1162" t="s">
        <v>19</v>
      </c>
      <c r="F1162" s="10" t="s">
        <v>52</v>
      </c>
      <c r="G1162" s="10" t="s">
        <v>2787</v>
      </c>
      <c r="H1162" t="s">
        <v>951</v>
      </c>
      <c r="I1162" t="s">
        <v>2794</v>
      </c>
      <c r="K1162" s="2"/>
      <c r="M1162" t="s">
        <v>2643</v>
      </c>
    </row>
    <row r="1163" spans="1:13">
      <c r="A1163" t="s">
        <v>28</v>
      </c>
      <c r="B1163">
        <f ca="1">IF(OR(changes[[#This Row],[Type]]="Checklist",changes[[#This Row],[Type]]="checklist-flat"),1+IF(changes[[#This Row],[Type of change]] = "Edit",COUNTIFS($I$4:changes[[#This Row],[Name]],changes[[#This Row],[Name]], $E$4:changes[[#This Row],[Type of change]], "Edit")),B1162)</f>
        <v>1</v>
      </c>
      <c r="C1163" s="16">
        <v>44636</v>
      </c>
      <c r="D1163" s="1" t="s">
        <v>2450</v>
      </c>
      <c r="E1163" t="s">
        <v>19</v>
      </c>
      <c r="F1163" s="10" t="s">
        <v>52</v>
      </c>
      <c r="G1163" s="10" t="s">
        <v>2787</v>
      </c>
      <c r="H1163" t="s">
        <v>437</v>
      </c>
      <c r="I1163" t="s">
        <v>2795</v>
      </c>
      <c r="K1163" s="2"/>
      <c r="M1163" t="s">
        <v>2643</v>
      </c>
    </row>
    <row r="1164" spans="1:13">
      <c r="A1164" t="s">
        <v>28</v>
      </c>
      <c r="B1164">
        <f ca="1">IF(OR(changes[[#This Row],[Type]]="Checklist",changes[[#This Row],[Type]]="checklist-flat"),1+IF(changes[[#This Row],[Type of change]] = "Edit",COUNTIFS($I$4:changes[[#This Row],[Name]],changes[[#This Row],[Name]], $E$4:changes[[#This Row],[Type of change]], "Edit")),B1163)</f>
        <v>1</v>
      </c>
      <c r="C1164" s="16">
        <v>44636</v>
      </c>
      <c r="D1164" s="1" t="s">
        <v>2450</v>
      </c>
      <c r="E1164" t="s">
        <v>19</v>
      </c>
      <c r="F1164" s="10" t="s">
        <v>52</v>
      </c>
      <c r="G1164" s="10" t="s">
        <v>2787</v>
      </c>
      <c r="H1164" t="s">
        <v>437</v>
      </c>
      <c r="I1164" t="s">
        <v>2796</v>
      </c>
      <c r="K1164" s="2"/>
      <c r="M1164" t="s">
        <v>2643</v>
      </c>
    </row>
    <row r="1165" spans="1:13">
      <c r="A1165" t="s">
        <v>28</v>
      </c>
      <c r="B1165">
        <f ca="1">IF(OR(changes[[#This Row],[Type]]="Checklist",changes[[#This Row],[Type]]="checklist-flat"),1+IF(changes[[#This Row],[Type of change]] = "Edit",COUNTIFS($I$4:changes[[#This Row],[Name]],changes[[#This Row],[Name]], $E$4:changes[[#This Row],[Type of change]], "Edit")),B1164)</f>
        <v>1</v>
      </c>
      <c r="C1165" s="16">
        <v>44636</v>
      </c>
      <c r="D1165" s="1" t="s">
        <v>2450</v>
      </c>
      <c r="E1165" t="s">
        <v>19</v>
      </c>
      <c r="F1165" s="10" t="s">
        <v>52</v>
      </c>
      <c r="G1165" s="10" t="s">
        <v>2787</v>
      </c>
      <c r="H1165" t="s">
        <v>437</v>
      </c>
      <c r="I1165" t="s">
        <v>2797</v>
      </c>
      <c r="K1165" s="2"/>
      <c r="M1165" t="s">
        <v>2643</v>
      </c>
    </row>
    <row r="1166" spans="1:13">
      <c r="A1166" t="s">
        <v>28</v>
      </c>
      <c r="B1166">
        <f ca="1">IF(OR(changes[[#This Row],[Type]]="Checklist",changes[[#This Row],[Type]]="checklist-flat"),1+IF(changes[[#This Row],[Type of change]] = "Edit",COUNTIFS($I$4:changes[[#This Row],[Name]],changes[[#This Row],[Name]], $E$4:changes[[#This Row],[Type of change]], "Edit")),B1165)</f>
        <v>1</v>
      </c>
      <c r="C1166" s="16">
        <v>44636</v>
      </c>
      <c r="D1166" s="1" t="s">
        <v>2450</v>
      </c>
      <c r="E1166" t="s">
        <v>19</v>
      </c>
      <c r="F1166" s="10" t="s">
        <v>52</v>
      </c>
      <c r="G1166" s="10" t="s">
        <v>2787</v>
      </c>
      <c r="H1166" t="s">
        <v>437</v>
      </c>
      <c r="I1166" t="s">
        <v>2798</v>
      </c>
      <c r="K1166" s="2"/>
      <c r="M1166" t="s">
        <v>2643</v>
      </c>
    </row>
    <row r="1167" spans="1:13">
      <c r="A1167" t="s">
        <v>28</v>
      </c>
      <c r="B1167">
        <f ca="1">IF(OR(changes[[#This Row],[Type]]="Checklist",changes[[#This Row],[Type]]="checklist-flat"),1+IF(changes[[#This Row],[Type of change]] = "Edit",COUNTIFS($I$4:changes[[#This Row],[Name]],changes[[#This Row],[Name]], $E$4:changes[[#This Row],[Type of change]], "Edit")),B1166)</f>
        <v>1</v>
      </c>
      <c r="C1167" s="16">
        <v>44636</v>
      </c>
      <c r="D1167" s="1" t="s">
        <v>2450</v>
      </c>
      <c r="E1167" t="s">
        <v>19</v>
      </c>
      <c r="F1167" s="10" t="s">
        <v>52</v>
      </c>
      <c r="G1167" s="10" t="s">
        <v>2787</v>
      </c>
      <c r="H1167" t="s">
        <v>64</v>
      </c>
      <c r="I1167" t="s">
        <v>1273</v>
      </c>
      <c r="K1167" s="2"/>
      <c r="M1167" t="s">
        <v>2643</v>
      </c>
    </row>
    <row r="1168" spans="1:13">
      <c r="A1168" t="s">
        <v>28</v>
      </c>
      <c r="B1168">
        <f ca="1">IF(OR(changes[[#This Row],[Type]]="Checklist",changes[[#This Row],[Type]]="checklist-flat"),1+IF(changes[[#This Row],[Type of change]] = "Edit",COUNTIFS($I$4:changes[[#This Row],[Name]],changes[[#This Row],[Name]], $E$4:changes[[#This Row],[Type of change]], "Edit")),B1167)</f>
        <v>1</v>
      </c>
      <c r="C1168" s="16">
        <v>44636</v>
      </c>
      <c r="D1168" s="1" t="s">
        <v>2450</v>
      </c>
      <c r="E1168" t="s">
        <v>19</v>
      </c>
      <c r="F1168" s="10" t="s">
        <v>52</v>
      </c>
      <c r="G1168" s="10" t="s">
        <v>2799</v>
      </c>
      <c r="H1168" t="s">
        <v>47</v>
      </c>
      <c r="I1168" t="s">
        <v>2799</v>
      </c>
      <c r="K1168" s="2"/>
      <c r="M1168" t="s">
        <v>2643</v>
      </c>
    </row>
    <row r="1169" spans="1:13">
      <c r="A1169" t="s">
        <v>28</v>
      </c>
      <c r="B1169">
        <f ca="1">IF(OR(changes[[#This Row],[Type]]="Checklist",changes[[#This Row],[Type]]="checklist-flat"),1+IF(changes[[#This Row],[Type of change]] = "Edit",COUNTIFS($I$4:changes[[#This Row],[Name]],changes[[#This Row],[Name]], $E$4:changes[[#This Row],[Type of change]], "Edit")),B1168)</f>
        <v>1</v>
      </c>
      <c r="C1169" s="16">
        <v>44636</v>
      </c>
      <c r="D1169" s="1" t="s">
        <v>2450</v>
      </c>
      <c r="E1169" t="s">
        <v>19</v>
      </c>
      <c r="F1169" s="10" t="s">
        <v>52</v>
      </c>
      <c r="G1169" s="10" t="s">
        <v>2799</v>
      </c>
      <c r="H1169" t="s">
        <v>55</v>
      </c>
      <c r="I1169" t="s">
        <v>2800</v>
      </c>
      <c r="K1169" s="2"/>
      <c r="M1169" t="s">
        <v>2643</v>
      </c>
    </row>
    <row r="1170" spans="1:13">
      <c r="A1170" t="s">
        <v>28</v>
      </c>
      <c r="B1170">
        <f ca="1">IF(OR(changes[[#This Row],[Type]]="Checklist",changes[[#This Row],[Type]]="checklist-flat"),1+IF(changes[[#This Row],[Type of change]] = "Edit",COUNTIFS($I$4:changes[[#This Row],[Name]],changes[[#This Row],[Name]], $E$4:changes[[#This Row],[Type of change]], "Edit")),B1169)</f>
        <v>1</v>
      </c>
      <c r="C1170" s="16">
        <v>44636</v>
      </c>
      <c r="D1170" s="1" t="s">
        <v>2450</v>
      </c>
      <c r="E1170" t="s">
        <v>19</v>
      </c>
      <c r="F1170" s="10" t="s">
        <v>52</v>
      </c>
      <c r="G1170" s="10" t="s">
        <v>2799</v>
      </c>
      <c r="H1170" t="s">
        <v>437</v>
      </c>
      <c r="I1170" t="s">
        <v>2754</v>
      </c>
      <c r="K1170" s="2"/>
      <c r="M1170" t="s">
        <v>2643</v>
      </c>
    </row>
    <row r="1171" spans="1:13">
      <c r="A1171" t="s">
        <v>28</v>
      </c>
      <c r="B1171">
        <f ca="1">IF(OR(changes[[#This Row],[Type]]="Checklist",changes[[#This Row],[Type]]="checklist-flat"),1+IF(changes[[#This Row],[Type of change]] = "Edit",COUNTIFS($I$4:changes[[#This Row],[Name]],changes[[#This Row],[Name]], $E$4:changes[[#This Row],[Type of change]], "Edit")),B1170)</f>
        <v>1</v>
      </c>
      <c r="C1171" s="16">
        <v>44636</v>
      </c>
      <c r="D1171" s="1" t="s">
        <v>2450</v>
      </c>
      <c r="E1171" t="s">
        <v>19</v>
      </c>
      <c r="F1171" s="10" t="s">
        <v>52</v>
      </c>
      <c r="G1171" s="10" t="s">
        <v>2799</v>
      </c>
      <c r="H1171" t="s">
        <v>437</v>
      </c>
      <c r="I1171" t="s">
        <v>2755</v>
      </c>
      <c r="K1171" s="2"/>
      <c r="M1171" t="s">
        <v>2643</v>
      </c>
    </row>
    <row r="1172" spans="1:13">
      <c r="A1172" t="s">
        <v>28</v>
      </c>
      <c r="B1172">
        <f ca="1">IF(OR(changes[[#This Row],[Type]]="Checklist",changes[[#This Row],[Type]]="checklist-flat"),1+IF(changes[[#This Row],[Type of change]] = "Edit",COUNTIFS($I$4:changes[[#This Row],[Name]],changes[[#This Row],[Name]], $E$4:changes[[#This Row],[Type of change]], "Edit")),B1171)</f>
        <v>1</v>
      </c>
      <c r="C1172" s="16">
        <v>44636</v>
      </c>
      <c r="D1172" s="1" t="s">
        <v>2450</v>
      </c>
      <c r="E1172" t="s">
        <v>19</v>
      </c>
      <c r="F1172" s="10" t="s">
        <v>52</v>
      </c>
      <c r="G1172" s="10" t="s">
        <v>2799</v>
      </c>
      <c r="H1172" t="s">
        <v>437</v>
      </c>
      <c r="I1172" t="s">
        <v>2801</v>
      </c>
      <c r="K1172" s="2"/>
      <c r="M1172" t="s">
        <v>2643</v>
      </c>
    </row>
    <row r="1173" spans="1:13">
      <c r="A1173" t="s">
        <v>28</v>
      </c>
      <c r="B1173">
        <f ca="1">IF(OR(changes[[#This Row],[Type]]="Checklist",changes[[#This Row],[Type]]="checklist-flat"),1+IF(changes[[#This Row],[Type of change]] = "Edit",COUNTIFS($I$4:changes[[#This Row],[Name]],changes[[#This Row],[Name]], $E$4:changes[[#This Row],[Type of change]], "Edit")),B1172)</f>
        <v>1</v>
      </c>
      <c r="C1173" s="16">
        <v>44636</v>
      </c>
      <c r="D1173" s="1" t="s">
        <v>2450</v>
      </c>
      <c r="E1173" t="s">
        <v>19</v>
      </c>
      <c r="F1173" s="10" t="s">
        <v>52</v>
      </c>
      <c r="G1173" s="10" t="s">
        <v>2799</v>
      </c>
      <c r="H1173" t="s">
        <v>437</v>
      </c>
      <c r="I1173" t="s">
        <v>2499</v>
      </c>
      <c r="K1173" s="2"/>
      <c r="M1173" t="s">
        <v>2643</v>
      </c>
    </row>
    <row r="1174" spans="1:13">
      <c r="A1174" t="s">
        <v>28</v>
      </c>
      <c r="B1174">
        <f ca="1">IF(OR(changes[[#This Row],[Type]]="Checklist",changes[[#This Row],[Type]]="checklist-flat"),1+IF(changes[[#This Row],[Type of change]] = "Edit",COUNTIFS($I$4:changes[[#This Row],[Name]],changes[[#This Row],[Name]], $E$4:changes[[#This Row],[Type of change]], "Edit")),B1173)</f>
        <v>1</v>
      </c>
      <c r="C1174" s="16">
        <v>44636</v>
      </c>
      <c r="D1174" s="1" t="s">
        <v>2450</v>
      </c>
      <c r="E1174" t="s">
        <v>19</v>
      </c>
      <c r="F1174" s="10" t="s">
        <v>52</v>
      </c>
      <c r="G1174" s="10" t="s">
        <v>2799</v>
      </c>
      <c r="H1174" t="s">
        <v>951</v>
      </c>
      <c r="I1174" t="s">
        <v>2748</v>
      </c>
      <c r="K1174" s="2"/>
      <c r="M1174" t="s">
        <v>2643</v>
      </c>
    </row>
    <row r="1175" spans="1:13">
      <c r="A1175" t="s">
        <v>28</v>
      </c>
      <c r="B1175">
        <f ca="1">IF(OR(changes[[#This Row],[Type]]="Checklist",changes[[#This Row],[Type]]="checklist-flat"),1+IF(changes[[#This Row],[Type of change]] = "Edit",COUNTIFS($I$4:changes[[#This Row],[Name]],changes[[#This Row],[Name]], $E$4:changes[[#This Row],[Type of change]], "Edit")),B1174)</f>
        <v>1</v>
      </c>
      <c r="C1175" s="16">
        <v>44636</v>
      </c>
      <c r="D1175" s="1" t="s">
        <v>2450</v>
      </c>
      <c r="E1175" t="s">
        <v>19</v>
      </c>
      <c r="F1175" s="10" t="s">
        <v>52</v>
      </c>
      <c r="G1175" s="10" t="s">
        <v>2799</v>
      </c>
      <c r="H1175" t="s">
        <v>951</v>
      </c>
      <c r="I1175" t="s">
        <v>2749</v>
      </c>
      <c r="K1175" s="2"/>
      <c r="M1175" t="s">
        <v>2643</v>
      </c>
    </row>
    <row r="1176" spans="1:13">
      <c r="A1176" t="s">
        <v>28</v>
      </c>
      <c r="B1176">
        <f ca="1">IF(OR(changes[[#This Row],[Type]]="Checklist",changes[[#This Row],[Type]]="checklist-flat"),1+IF(changes[[#This Row],[Type of change]] = "Edit",COUNTIFS($I$4:changes[[#This Row],[Name]],changes[[#This Row],[Name]], $E$4:changes[[#This Row],[Type of change]], "Edit")),B1175)</f>
        <v>1</v>
      </c>
      <c r="C1176" s="16">
        <v>44636</v>
      </c>
      <c r="D1176" s="1" t="s">
        <v>2450</v>
      </c>
      <c r="E1176" t="s">
        <v>19</v>
      </c>
      <c r="F1176" s="10" t="s">
        <v>52</v>
      </c>
      <c r="G1176" s="10" t="s">
        <v>2799</v>
      </c>
      <c r="H1176" t="s">
        <v>951</v>
      </c>
      <c r="I1176" t="s">
        <v>2678</v>
      </c>
      <c r="K1176" s="2"/>
      <c r="M1176" t="s">
        <v>2643</v>
      </c>
    </row>
    <row r="1177" spans="1:13">
      <c r="A1177" t="s">
        <v>28</v>
      </c>
      <c r="B1177">
        <f ca="1">IF(OR(changes[[#This Row],[Type]]="Checklist",changes[[#This Row],[Type]]="checklist-flat"),1+IF(changes[[#This Row],[Type of change]] = "Edit",COUNTIFS($I$4:changes[[#This Row],[Name]],changes[[#This Row],[Name]], $E$4:changes[[#This Row],[Type of change]], "Edit")),B1176)</f>
        <v>1</v>
      </c>
      <c r="C1177" s="16">
        <v>44636</v>
      </c>
      <c r="D1177" s="1" t="s">
        <v>2450</v>
      </c>
      <c r="E1177" t="s">
        <v>19</v>
      </c>
      <c r="F1177" s="10" t="s">
        <v>52</v>
      </c>
      <c r="G1177" s="10" t="s">
        <v>2799</v>
      </c>
      <c r="H1177" t="s">
        <v>951</v>
      </c>
      <c r="I1177" t="s">
        <v>2750</v>
      </c>
      <c r="K1177" s="2"/>
      <c r="M1177" t="s">
        <v>2643</v>
      </c>
    </row>
    <row r="1178" spans="1:13">
      <c r="A1178" t="s">
        <v>28</v>
      </c>
      <c r="B1178">
        <f ca="1">IF(OR(changes[[#This Row],[Type]]="Checklist",changes[[#This Row],[Type]]="checklist-flat"),1+IF(changes[[#This Row],[Type of change]] = "Edit",COUNTIFS($I$4:changes[[#This Row],[Name]],changes[[#This Row],[Name]], $E$4:changes[[#This Row],[Type of change]], "Edit")),B1177)</f>
        <v>1</v>
      </c>
      <c r="C1178" s="16">
        <v>44636</v>
      </c>
      <c r="D1178" s="1" t="s">
        <v>2450</v>
      </c>
      <c r="E1178" t="s">
        <v>19</v>
      </c>
      <c r="F1178" s="10" t="s">
        <v>52</v>
      </c>
      <c r="G1178" s="10" t="s">
        <v>2799</v>
      </c>
      <c r="H1178" t="s">
        <v>437</v>
      </c>
      <c r="I1178" t="s">
        <v>2751</v>
      </c>
      <c r="K1178" s="2"/>
      <c r="M1178" t="s">
        <v>2643</v>
      </c>
    </row>
    <row r="1179" spans="1:13">
      <c r="A1179" t="s">
        <v>28</v>
      </c>
      <c r="B1179">
        <f ca="1">IF(OR(changes[[#This Row],[Type]]="Checklist",changes[[#This Row],[Type]]="checklist-flat"),1+IF(changes[[#This Row],[Type of change]] = "Edit",COUNTIFS($I$4:changes[[#This Row],[Name]],changes[[#This Row],[Name]], $E$4:changes[[#This Row],[Type of change]], "Edit")),B1178)</f>
        <v>1</v>
      </c>
      <c r="C1179" s="16">
        <v>44636</v>
      </c>
      <c r="D1179" s="1" t="s">
        <v>2450</v>
      </c>
      <c r="E1179" t="s">
        <v>19</v>
      </c>
      <c r="F1179" s="10" t="s">
        <v>52</v>
      </c>
      <c r="G1179" s="10" t="s">
        <v>2799</v>
      </c>
      <c r="H1179" t="s">
        <v>64</v>
      </c>
      <c r="I1179" t="s">
        <v>1273</v>
      </c>
      <c r="K1179" s="2"/>
      <c r="M1179" t="s">
        <v>2643</v>
      </c>
    </row>
    <row r="1180" spans="1:13">
      <c r="A1180" t="s">
        <v>28</v>
      </c>
      <c r="B1180">
        <f ca="1">IF(OR(changes[[#This Row],[Type]]="Checklist",changes[[#This Row],[Type]]="checklist-flat"),1+IF(changes[[#This Row],[Type of change]] = "Edit",COUNTIFS($I$4:changes[[#This Row],[Name]],changes[[#This Row],[Name]], $E$4:changes[[#This Row],[Type of change]], "Edit")),B1179)</f>
        <v>1</v>
      </c>
      <c r="C1180" s="16">
        <v>44636</v>
      </c>
      <c r="D1180" s="1" t="s">
        <v>2450</v>
      </c>
      <c r="E1180" t="s">
        <v>19</v>
      </c>
      <c r="F1180" s="10" t="s">
        <v>52</v>
      </c>
      <c r="G1180" s="10" t="s">
        <v>2488</v>
      </c>
      <c r="H1180" t="s">
        <v>47</v>
      </c>
      <c r="I1180" t="s">
        <v>2488</v>
      </c>
      <c r="K1180" s="2"/>
      <c r="M1180" t="s">
        <v>2643</v>
      </c>
    </row>
    <row r="1181" spans="1:13">
      <c r="A1181" t="s">
        <v>28</v>
      </c>
      <c r="B1181">
        <f ca="1">IF(OR(changes[[#This Row],[Type]]="Checklist",changes[[#This Row],[Type]]="checklist-flat"),1+IF(changes[[#This Row],[Type of change]] = "Edit",COUNTIFS($I$4:changes[[#This Row],[Name]],changes[[#This Row],[Name]], $E$4:changes[[#This Row],[Type of change]], "Edit")),B1180)</f>
        <v>1</v>
      </c>
      <c r="C1181" s="16">
        <v>44636</v>
      </c>
      <c r="D1181" s="1" t="s">
        <v>2450</v>
      </c>
      <c r="E1181" t="s">
        <v>19</v>
      </c>
      <c r="F1181" s="10" t="s">
        <v>52</v>
      </c>
      <c r="G1181" s="10" t="s">
        <v>2488</v>
      </c>
      <c r="H1181" t="s">
        <v>55</v>
      </c>
      <c r="I1181" t="s">
        <v>2489</v>
      </c>
      <c r="K1181" s="2"/>
      <c r="M1181" t="s">
        <v>2643</v>
      </c>
    </row>
    <row r="1182" spans="1:13">
      <c r="A1182" t="s">
        <v>28</v>
      </c>
      <c r="B1182">
        <f ca="1">IF(OR(changes[[#This Row],[Type]]="Checklist",changes[[#This Row],[Type]]="checklist-flat"),1+IF(changes[[#This Row],[Type of change]] = "Edit",COUNTIFS($I$4:changes[[#This Row],[Name]],changes[[#This Row],[Name]], $E$4:changes[[#This Row],[Type of change]], "Edit")),B1181)</f>
        <v>1</v>
      </c>
      <c r="C1182" s="16">
        <v>44636</v>
      </c>
      <c r="D1182" s="1" t="s">
        <v>2450</v>
      </c>
      <c r="E1182" t="s">
        <v>19</v>
      </c>
      <c r="F1182" s="10" t="s">
        <v>52</v>
      </c>
      <c r="G1182" s="10" t="s">
        <v>2488</v>
      </c>
      <c r="H1182" t="s">
        <v>2490</v>
      </c>
      <c r="I1182" t="s">
        <v>2491</v>
      </c>
      <c r="K1182" s="2"/>
      <c r="M1182" t="s">
        <v>2643</v>
      </c>
    </row>
    <row r="1183" spans="1:13">
      <c r="A1183" t="s">
        <v>28</v>
      </c>
      <c r="B1183">
        <f ca="1">IF(OR(changes[[#This Row],[Type]]="Checklist",changes[[#This Row],[Type]]="checklist-flat"),1+IF(changes[[#This Row],[Type of change]] = "Edit",COUNTIFS($I$4:changes[[#This Row],[Name]],changes[[#This Row],[Name]], $E$4:changes[[#This Row],[Type of change]], "Edit")),B1182)</f>
        <v>1</v>
      </c>
      <c r="C1183" s="16">
        <v>44636</v>
      </c>
      <c r="D1183" s="1" t="s">
        <v>2450</v>
      </c>
      <c r="E1183" t="s">
        <v>19</v>
      </c>
      <c r="F1183" s="10" t="s">
        <v>52</v>
      </c>
      <c r="G1183" s="10" t="s">
        <v>2488</v>
      </c>
      <c r="H1183" t="s">
        <v>2490</v>
      </c>
      <c r="I1183" t="s">
        <v>2492</v>
      </c>
      <c r="K1183" s="2"/>
      <c r="M1183" t="s">
        <v>2643</v>
      </c>
    </row>
    <row r="1184" spans="1:13">
      <c r="A1184" t="s">
        <v>28</v>
      </c>
      <c r="B1184">
        <f ca="1">IF(OR(changes[[#This Row],[Type]]="Checklist",changes[[#This Row],[Type]]="checklist-flat"),1+IF(changes[[#This Row],[Type of change]] = "Edit",COUNTIFS($I$4:changes[[#This Row],[Name]],changes[[#This Row],[Name]], $E$4:changes[[#This Row],[Type of change]], "Edit")),B1183)</f>
        <v>1</v>
      </c>
      <c r="C1184" s="16">
        <v>44636</v>
      </c>
      <c r="D1184" s="1" t="s">
        <v>2450</v>
      </c>
      <c r="E1184" t="s">
        <v>19</v>
      </c>
      <c r="F1184" s="10" t="s">
        <v>52</v>
      </c>
      <c r="G1184" s="10" t="s">
        <v>2488</v>
      </c>
      <c r="H1184" t="s">
        <v>2490</v>
      </c>
      <c r="I1184" t="s">
        <v>2493</v>
      </c>
      <c r="K1184" s="2"/>
      <c r="M1184" t="s">
        <v>2643</v>
      </c>
    </row>
    <row r="1185" spans="1:13">
      <c r="A1185" t="s">
        <v>28</v>
      </c>
      <c r="B1185">
        <f ca="1">IF(OR(changes[[#This Row],[Type]]="Checklist",changes[[#This Row],[Type]]="checklist-flat"),1+IF(changes[[#This Row],[Type of change]] = "Edit",COUNTIFS($I$4:changes[[#This Row],[Name]],changes[[#This Row],[Name]], $E$4:changes[[#This Row],[Type of change]], "Edit")),B1184)</f>
        <v>1</v>
      </c>
      <c r="C1185" s="16">
        <v>44636</v>
      </c>
      <c r="D1185" s="1" t="s">
        <v>2450</v>
      </c>
      <c r="E1185" t="s">
        <v>19</v>
      </c>
      <c r="F1185" s="10" t="s">
        <v>52</v>
      </c>
      <c r="G1185" s="10" t="s">
        <v>2488</v>
      </c>
      <c r="H1185" t="s">
        <v>2490</v>
      </c>
      <c r="I1185" t="s">
        <v>2494</v>
      </c>
      <c r="K1185" s="2"/>
      <c r="M1185" t="s">
        <v>2643</v>
      </c>
    </row>
    <row r="1186" spans="1:13">
      <c r="A1186" t="s">
        <v>28</v>
      </c>
      <c r="B1186">
        <f ca="1">IF(OR(changes[[#This Row],[Type]]="Checklist",changes[[#This Row],[Type]]="checklist-flat"),1+IF(changes[[#This Row],[Type of change]] = "Edit",COUNTIFS($I$4:changes[[#This Row],[Name]],changes[[#This Row],[Name]], $E$4:changes[[#This Row],[Type of change]], "Edit")),B1185)</f>
        <v>1</v>
      </c>
      <c r="C1186" s="16">
        <v>44636</v>
      </c>
      <c r="D1186" s="1" t="s">
        <v>2450</v>
      </c>
      <c r="E1186" t="s">
        <v>19</v>
      </c>
      <c r="F1186" s="10" t="s">
        <v>52</v>
      </c>
      <c r="G1186" s="10" t="s">
        <v>2488</v>
      </c>
      <c r="H1186" t="s">
        <v>2490</v>
      </c>
      <c r="I1186" t="s">
        <v>2495</v>
      </c>
      <c r="K1186" s="2"/>
      <c r="M1186" t="s">
        <v>2643</v>
      </c>
    </row>
    <row r="1187" spans="1:13">
      <c r="A1187" t="s">
        <v>28</v>
      </c>
      <c r="B1187">
        <f ca="1">IF(OR(changes[[#This Row],[Type]]="Checklist",changes[[#This Row],[Type]]="checklist-flat"),1+IF(changes[[#This Row],[Type of change]] = "Edit",COUNTIFS($I$4:changes[[#This Row],[Name]],changes[[#This Row],[Name]], $E$4:changes[[#This Row],[Type of change]], "Edit")),B1186)</f>
        <v>1</v>
      </c>
      <c r="C1187" s="16">
        <v>44636</v>
      </c>
      <c r="D1187" s="1" t="s">
        <v>2450</v>
      </c>
      <c r="E1187" t="s">
        <v>19</v>
      </c>
      <c r="F1187" s="10" t="s">
        <v>52</v>
      </c>
      <c r="G1187" s="10" t="s">
        <v>2488</v>
      </c>
      <c r="H1187" t="s">
        <v>2490</v>
      </c>
      <c r="I1187" t="s">
        <v>2496</v>
      </c>
      <c r="K1187" s="2"/>
      <c r="M1187" t="s">
        <v>2643</v>
      </c>
    </row>
    <row r="1188" spans="1:13">
      <c r="A1188" t="s">
        <v>28</v>
      </c>
      <c r="B1188">
        <f ca="1">IF(OR(changes[[#This Row],[Type]]="Checklist",changes[[#This Row],[Type]]="checklist-flat"),1+IF(changes[[#This Row],[Type of change]] = "Edit",COUNTIFS($I$4:changes[[#This Row],[Name]],changes[[#This Row],[Name]], $E$4:changes[[#This Row],[Type of change]], "Edit")),B1187)</f>
        <v>1</v>
      </c>
      <c r="C1188" s="16">
        <v>44636</v>
      </c>
      <c r="D1188" s="1" t="s">
        <v>2450</v>
      </c>
      <c r="E1188" t="s">
        <v>19</v>
      </c>
      <c r="F1188" s="10" t="s">
        <v>52</v>
      </c>
      <c r="G1188" s="10" t="s">
        <v>2488</v>
      </c>
      <c r="H1188" t="s">
        <v>2490</v>
      </c>
      <c r="I1188" t="s">
        <v>2497</v>
      </c>
      <c r="K1188" s="2"/>
      <c r="M1188" t="s">
        <v>2643</v>
      </c>
    </row>
    <row r="1189" spans="1:13">
      <c r="A1189" t="s">
        <v>28</v>
      </c>
      <c r="B1189">
        <f ca="1">IF(OR(changes[[#This Row],[Type]]="Checklist",changes[[#This Row],[Type]]="checklist-flat"),1+IF(changes[[#This Row],[Type of change]] = "Edit",COUNTIFS($I$4:changes[[#This Row],[Name]],changes[[#This Row],[Name]], $E$4:changes[[#This Row],[Type of change]], "Edit")),B1188)</f>
        <v>1</v>
      </c>
      <c r="C1189" s="16">
        <v>44636</v>
      </c>
      <c r="D1189" s="1" t="s">
        <v>2450</v>
      </c>
      <c r="E1189" t="s">
        <v>19</v>
      </c>
      <c r="F1189" s="10" t="s">
        <v>52</v>
      </c>
      <c r="G1189" s="10" t="s">
        <v>2488</v>
      </c>
      <c r="H1189" t="s">
        <v>2490</v>
      </c>
      <c r="I1189" t="s">
        <v>2498</v>
      </c>
      <c r="K1189" s="2"/>
      <c r="M1189" t="s">
        <v>2643</v>
      </c>
    </row>
    <row r="1190" spans="1:13">
      <c r="A1190" t="s">
        <v>28</v>
      </c>
      <c r="B1190">
        <f ca="1">IF(OR(changes[[#This Row],[Type]]="Checklist",changes[[#This Row],[Type]]="checklist-flat"),1+IF(changes[[#This Row],[Type of change]] = "Edit",COUNTIFS($I$4:changes[[#This Row],[Name]],changes[[#This Row],[Name]], $E$4:changes[[#This Row],[Type of change]], "Edit")),B1189)</f>
        <v>1</v>
      </c>
      <c r="C1190" s="16">
        <v>44636</v>
      </c>
      <c r="D1190" s="1" t="s">
        <v>2450</v>
      </c>
      <c r="E1190" t="s">
        <v>19</v>
      </c>
      <c r="F1190" s="10" t="s">
        <v>52</v>
      </c>
      <c r="G1190" s="10" t="s">
        <v>2488</v>
      </c>
      <c r="H1190" t="s">
        <v>2490</v>
      </c>
      <c r="I1190" t="s">
        <v>2499</v>
      </c>
      <c r="K1190" s="2"/>
      <c r="M1190" t="s">
        <v>2643</v>
      </c>
    </row>
    <row r="1191" spans="1:13">
      <c r="A1191" t="s">
        <v>28</v>
      </c>
      <c r="B1191">
        <f ca="1">IF(OR(changes[[#This Row],[Type]]="Checklist",changes[[#This Row],[Type]]="checklist-flat"),1+IF(changes[[#This Row],[Type of change]] = "Edit",COUNTIFS($I$4:changes[[#This Row],[Name]],changes[[#This Row],[Name]], $E$4:changes[[#This Row],[Type of change]], "Edit")),B1190)</f>
        <v>1</v>
      </c>
      <c r="C1191" s="16">
        <v>44636</v>
      </c>
      <c r="D1191" s="1" t="s">
        <v>2450</v>
      </c>
      <c r="E1191" t="s">
        <v>19</v>
      </c>
      <c r="F1191" s="10" t="s">
        <v>52</v>
      </c>
      <c r="G1191" s="10" t="s">
        <v>2488</v>
      </c>
      <c r="H1191" t="s">
        <v>2500</v>
      </c>
      <c r="I1191" t="s">
        <v>377</v>
      </c>
      <c r="K1191" s="2"/>
      <c r="M1191" t="s">
        <v>2643</v>
      </c>
    </row>
    <row r="1192" spans="1:13">
      <c r="A1192" t="s">
        <v>28</v>
      </c>
      <c r="B1192">
        <f ca="1">IF(OR(changes[[#This Row],[Type]]="Checklist",changes[[#This Row],[Type]]="checklist-flat"),1+IF(changes[[#This Row],[Type of change]] = "Edit",COUNTIFS($I$4:changes[[#This Row],[Name]],changes[[#This Row],[Name]], $E$4:changes[[#This Row],[Type of change]], "Edit")),B1191)</f>
        <v>1</v>
      </c>
      <c r="C1192" s="16">
        <v>44636</v>
      </c>
      <c r="D1192" s="1" t="s">
        <v>2450</v>
      </c>
      <c r="E1192" t="s">
        <v>19</v>
      </c>
      <c r="F1192" s="10" t="s">
        <v>52</v>
      </c>
      <c r="G1192" s="10" t="s">
        <v>2488</v>
      </c>
      <c r="H1192" t="s">
        <v>2500</v>
      </c>
      <c r="I1192" t="s">
        <v>2501</v>
      </c>
      <c r="K1192" s="2"/>
      <c r="M1192" t="s">
        <v>2643</v>
      </c>
    </row>
    <row r="1193" spans="1:13">
      <c r="A1193" t="s">
        <v>28</v>
      </c>
      <c r="B1193">
        <f ca="1">IF(OR(changes[[#This Row],[Type]]="Checklist",changes[[#This Row],[Type]]="checklist-flat"),1+IF(changes[[#This Row],[Type of change]] = "Edit",COUNTIFS($I$4:changes[[#This Row],[Name]],changes[[#This Row],[Name]], $E$4:changes[[#This Row],[Type of change]], "Edit")),B1192)</f>
        <v>1</v>
      </c>
      <c r="C1193" s="16">
        <v>44636</v>
      </c>
      <c r="D1193" s="1" t="s">
        <v>2450</v>
      </c>
      <c r="E1193" t="s">
        <v>19</v>
      </c>
      <c r="F1193" s="10" t="s">
        <v>52</v>
      </c>
      <c r="G1193" s="10" t="s">
        <v>2488</v>
      </c>
      <c r="H1193" t="s">
        <v>2500</v>
      </c>
      <c r="I1193" t="s">
        <v>2502</v>
      </c>
      <c r="K1193" s="2"/>
      <c r="M1193" t="s">
        <v>2643</v>
      </c>
    </row>
    <row r="1194" spans="1:13">
      <c r="A1194" t="s">
        <v>28</v>
      </c>
      <c r="B1194">
        <f ca="1">IF(OR(changes[[#This Row],[Type]]="Checklist",changes[[#This Row],[Type]]="checklist-flat"),1+IF(changes[[#This Row],[Type of change]] = "Edit",COUNTIFS($I$4:changes[[#This Row],[Name]],changes[[#This Row],[Name]], $E$4:changes[[#This Row],[Type of change]], "Edit")),B1193)</f>
        <v>1</v>
      </c>
      <c r="C1194" s="16">
        <v>44636</v>
      </c>
      <c r="D1194" s="1" t="s">
        <v>2450</v>
      </c>
      <c r="E1194" t="s">
        <v>19</v>
      </c>
      <c r="F1194" s="10" t="s">
        <v>52</v>
      </c>
      <c r="G1194" s="10" t="s">
        <v>2488</v>
      </c>
      <c r="H1194" t="s">
        <v>2500</v>
      </c>
      <c r="I1194" t="s">
        <v>2503</v>
      </c>
      <c r="K1194" s="2"/>
      <c r="M1194" t="s">
        <v>2643</v>
      </c>
    </row>
    <row r="1195" spans="1:13">
      <c r="A1195" t="s">
        <v>28</v>
      </c>
      <c r="B1195">
        <f ca="1">IF(OR(changes[[#This Row],[Type]]="Checklist",changes[[#This Row],[Type]]="checklist-flat"),1+IF(changes[[#This Row],[Type of change]] = "Edit",COUNTIFS($I$4:changes[[#This Row],[Name]],changes[[#This Row],[Name]], $E$4:changes[[#This Row],[Type of change]], "Edit")),B1194)</f>
        <v>1</v>
      </c>
      <c r="C1195" s="16">
        <v>44636</v>
      </c>
      <c r="D1195" s="1" t="s">
        <v>2450</v>
      </c>
      <c r="E1195" t="s">
        <v>19</v>
      </c>
      <c r="F1195" s="10" t="s">
        <v>52</v>
      </c>
      <c r="G1195" s="10" t="s">
        <v>2488</v>
      </c>
      <c r="H1195" t="s">
        <v>64</v>
      </c>
      <c r="I1195" t="s">
        <v>1273</v>
      </c>
      <c r="K1195" s="2"/>
      <c r="M1195" t="s">
        <v>2643</v>
      </c>
    </row>
    <row r="1196" spans="1:13">
      <c r="A1196" t="s">
        <v>28</v>
      </c>
      <c r="B1196">
        <f ca="1">IF(OR(changes[[#This Row],[Type]]="Checklist",changes[[#This Row],[Type]]="checklist-flat"),1+IF(changes[[#This Row],[Type of change]] = "Edit",COUNTIFS($I$4:changes[[#This Row],[Name]],changes[[#This Row],[Name]], $E$4:changes[[#This Row],[Type of change]], "Edit")),B1195)</f>
        <v>1</v>
      </c>
      <c r="C1196" s="16">
        <v>44636</v>
      </c>
      <c r="D1196" s="1" t="s">
        <v>2450</v>
      </c>
      <c r="E1196" t="s">
        <v>19</v>
      </c>
      <c r="F1196" s="10" t="s">
        <v>9</v>
      </c>
      <c r="G1196" s="10" t="s">
        <v>1236</v>
      </c>
      <c r="H1196" t="s">
        <v>55</v>
      </c>
      <c r="I1196" t="s">
        <v>1241</v>
      </c>
      <c r="K1196" s="2"/>
      <c r="M1196" t="s">
        <v>2643</v>
      </c>
    </row>
    <row r="1197" spans="1:13">
      <c r="A1197" t="s">
        <v>28</v>
      </c>
      <c r="B1197">
        <f ca="1">IF(OR(changes[[#This Row],[Type]]="Checklist",changes[[#This Row],[Type]]="checklist-flat"),1+IF(changes[[#This Row],[Type of change]] = "Edit",COUNTIFS($I$4:changes[[#This Row],[Name]],changes[[#This Row],[Name]], $E$4:changes[[#This Row],[Type of change]], "Edit")),B1196)</f>
        <v>1</v>
      </c>
      <c r="C1197" s="16">
        <v>44641</v>
      </c>
      <c r="D1197" s="1" t="s">
        <v>2458</v>
      </c>
      <c r="E1197" t="s">
        <v>27</v>
      </c>
      <c r="F1197" s="10" t="s">
        <v>9</v>
      </c>
      <c r="G1197" t="s">
        <v>1322</v>
      </c>
      <c r="H1197" t="s">
        <v>47</v>
      </c>
      <c r="I1197" t="s">
        <v>1322</v>
      </c>
      <c r="K1197" s="2"/>
      <c r="M1197" t="s">
        <v>2802</v>
      </c>
    </row>
    <row r="1198" spans="1:13">
      <c r="A1198" t="s">
        <v>28</v>
      </c>
      <c r="B1198">
        <f ca="1">IF(OR(changes[[#This Row],[Type]]="Checklist",changes[[#This Row],[Type]]="checklist-flat"),1+IF(changes[[#This Row],[Type of change]] = "Edit",COUNTIFS($I$4:changes[[#This Row],[Name]],changes[[#This Row],[Name]], $E$4:changes[[#This Row],[Type of change]], "Edit")),B1197)</f>
        <v>1</v>
      </c>
      <c r="C1198" s="16">
        <v>44641</v>
      </c>
      <c r="D1198" s="1" t="s">
        <v>2458</v>
      </c>
      <c r="E1198" t="s">
        <v>27</v>
      </c>
      <c r="F1198" s="10" t="s">
        <v>9</v>
      </c>
      <c r="G1198" t="s">
        <v>1322</v>
      </c>
      <c r="H1198" t="s">
        <v>55</v>
      </c>
      <c r="I1198" t="s">
        <v>1293</v>
      </c>
      <c r="K1198" s="2"/>
      <c r="M1198" t="s">
        <v>2802</v>
      </c>
    </row>
    <row r="1199" spans="1:13">
      <c r="A1199" t="s">
        <v>28</v>
      </c>
      <c r="B1199">
        <f ca="1">IF(OR(changes[[#This Row],[Type]]="Checklist",changes[[#This Row],[Type]]="checklist-flat"),1+IF(changes[[#This Row],[Type of change]] = "Edit",COUNTIFS($I$4:changes[[#This Row],[Name]],changes[[#This Row],[Name]], $E$4:changes[[#This Row],[Type of change]], "Edit")),B1198)</f>
        <v>1</v>
      </c>
      <c r="C1199" s="16">
        <v>44641</v>
      </c>
      <c r="D1199" s="1" t="s">
        <v>2458</v>
      </c>
      <c r="E1199" t="s">
        <v>27</v>
      </c>
      <c r="F1199" s="10" t="s">
        <v>9</v>
      </c>
      <c r="G1199" t="s">
        <v>1322</v>
      </c>
      <c r="H1199" t="s">
        <v>55</v>
      </c>
      <c r="I1199" t="s">
        <v>1294</v>
      </c>
      <c r="K1199" s="2"/>
      <c r="M1199" t="s">
        <v>2802</v>
      </c>
    </row>
    <row r="1200" spans="1:13">
      <c r="A1200" t="s">
        <v>28</v>
      </c>
      <c r="B1200">
        <f ca="1">IF(OR(changes[[#This Row],[Type]]="Checklist",changes[[#This Row],[Type]]="checklist-flat"),1+IF(changes[[#This Row],[Type of change]] = "Edit",COUNTIFS($I$4:changes[[#This Row],[Name]],changes[[#This Row],[Name]], $E$4:changes[[#This Row],[Type of change]], "Edit")),B1199)</f>
        <v>1</v>
      </c>
      <c r="C1200" s="16">
        <v>44641</v>
      </c>
      <c r="D1200" s="1" t="s">
        <v>2458</v>
      </c>
      <c r="E1200" t="s">
        <v>27</v>
      </c>
      <c r="F1200" s="10" t="s">
        <v>9</v>
      </c>
      <c r="G1200" t="s">
        <v>1322</v>
      </c>
      <c r="H1200" t="s">
        <v>55</v>
      </c>
      <c r="I1200" t="s">
        <v>1295</v>
      </c>
      <c r="K1200" s="2"/>
      <c r="M1200" t="s">
        <v>2802</v>
      </c>
    </row>
    <row r="1201" spans="1:13">
      <c r="A1201" t="s">
        <v>28</v>
      </c>
      <c r="B1201">
        <f ca="1">IF(OR(changes[[#This Row],[Type]]="Checklist",changes[[#This Row],[Type]]="checklist-flat"),1+IF(changes[[#This Row],[Type of change]] = "Edit",COUNTIFS($I$4:changes[[#This Row],[Name]],changes[[#This Row],[Name]], $E$4:changes[[#This Row],[Type of change]], "Edit")),B1200)</f>
        <v>1</v>
      </c>
      <c r="C1201" s="16">
        <v>44641</v>
      </c>
      <c r="D1201" s="1" t="s">
        <v>2458</v>
      </c>
      <c r="E1201" t="s">
        <v>27</v>
      </c>
      <c r="F1201" s="10" t="s">
        <v>9</v>
      </c>
      <c r="G1201" t="s">
        <v>1322</v>
      </c>
      <c r="H1201" t="s">
        <v>55</v>
      </c>
      <c r="I1201" t="s">
        <v>1296</v>
      </c>
      <c r="K1201" s="2"/>
      <c r="M1201" t="s">
        <v>2802</v>
      </c>
    </row>
    <row r="1202" spans="1:13">
      <c r="A1202" t="s">
        <v>28</v>
      </c>
      <c r="B1202">
        <f ca="1">IF(OR(changes[[#This Row],[Type]]="Checklist",changes[[#This Row],[Type]]="checklist-flat"),1+IF(changes[[#This Row],[Type of change]] = "Edit",COUNTIFS($I$4:changes[[#This Row],[Name]],changes[[#This Row],[Name]], $E$4:changes[[#This Row],[Type of change]], "Edit")),B1201)</f>
        <v>1</v>
      </c>
      <c r="C1202" s="16">
        <v>44641</v>
      </c>
      <c r="D1202" s="1" t="s">
        <v>2458</v>
      </c>
      <c r="E1202" t="s">
        <v>27</v>
      </c>
      <c r="F1202" s="10" t="s">
        <v>9</v>
      </c>
      <c r="G1202" t="s">
        <v>1323</v>
      </c>
      <c r="H1202" t="s">
        <v>47</v>
      </c>
      <c r="I1202" t="s">
        <v>1323</v>
      </c>
      <c r="K1202" s="2"/>
      <c r="M1202" t="s">
        <v>2802</v>
      </c>
    </row>
    <row r="1203" spans="1:13">
      <c r="A1203" t="s">
        <v>28</v>
      </c>
      <c r="B1203">
        <f ca="1">IF(OR(changes[[#This Row],[Type]]="Checklist",changes[[#This Row],[Type]]="checklist-flat"),1+IF(changes[[#This Row],[Type of change]] = "Edit",COUNTIFS($I$4:changes[[#This Row],[Name]],changes[[#This Row],[Name]], $E$4:changes[[#This Row],[Type of change]], "Edit")),B1202)</f>
        <v>1</v>
      </c>
      <c r="C1203" s="16">
        <v>44641</v>
      </c>
      <c r="D1203" s="1" t="s">
        <v>2458</v>
      </c>
      <c r="E1203" t="s">
        <v>27</v>
      </c>
      <c r="F1203" s="10" t="s">
        <v>9</v>
      </c>
      <c r="G1203" t="s">
        <v>1323</v>
      </c>
      <c r="H1203" t="s">
        <v>55</v>
      </c>
      <c r="I1203" t="s">
        <v>1324</v>
      </c>
      <c r="K1203" s="2"/>
      <c r="M1203" t="s">
        <v>2802</v>
      </c>
    </row>
    <row r="1204" spans="1:13">
      <c r="A1204" t="s">
        <v>28</v>
      </c>
      <c r="B1204">
        <f ca="1">IF(OR(changes[[#This Row],[Type]]="Checklist",changes[[#This Row],[Type]]="checklist-flat"),1+IF(changes[[#This Row],[Type of change]] = "Edit",COUNTIFS($I$4:changes[[#This Row],[Name]],changes[[#This Row],[Name]], $E$4:changes[[#This Row],[Type of change]], "Edit")),B1203)</f>
        <v>1</v>
      </c>
      <c r="C1204" s="16">
        <v>44641</v>
      </c>
      <c r="D1204" s="1" t="s">
        <v>2458</v>
      </c>
      <c r="E1204" t="s">
        <v>27</v>
      </c>
      <c r="F1204" s="10" t="s">
        <v>9</v>
      </c>
      <c r="G1204" t="s">
        <v>1323</v>
      </c>
      <c r="H1204" t="s">
        <v>55</v>
      </c>
      <c r="I1204" t="s">
        <v>1325</v>
      </c>
      <c r="K1204" s="2"/>
      <c r="M1204" t="s">
        <v>2802</v>
      </c>
    </row>
    <row r="1205" spans="1:13">
      <c r="A1205" t="s">
        <v>28</v>
      </c>
      <c r="B1205">
        <f ca="1">IF(OR(changes[[#This Row],[Type]]="Checklist",changes[[#This Row],[Type]]="checklist-flat"),1+IF(changes[[#This Row],[Type of change]] = "Edit",COUNTIFS($I$4:changes[[#This Row],[Name]],changes[[#This Row],[Name]], $E$4:changes[[#This Row],[Type of change]], "Edit")),B1204)</f>
        <v>1</v>
      </c>
      <c r="C1205" s="16">
        <v>44641</v>
      </c>
      <c r="D1205" s="1" t="s">
        <v>2458</v>
      </c>
      <c r="E1205" t="s">
        <v>27</v>
      </c>
      <c r="F1205" s="10" t="s">
        <v>9</v>
      </c>
      <c r="G1205" t="s">
        <v>1323</v>
      </c>
      <c r="H1205" t="s">
        <v>55</v>
      </c>
      <c r="I1205" t="s">
        <v>1326</v>
      </c>
      <c r="K1205" s="2"/>
      <c r="M1205" t="s">
        <v>2802</v>
      </c>
    </row>
    <row r="1206" spans="1:13">
      <c r="A1206" t="s">
        <v>28</v>
      </c>
      <c r="B1206">
        <f ca="1">IF(OR(changes[[#This Row],[Type]]="Checklist",changes[[#This Row],[Type]]="checklist-flat"),1+IF(changes[[#This Row],[Type of change]] = "Edit",COUNTIFS($I$4:changes[[#This Row],[Name]],changes[[#This Row],[Name]], $E$4:changes[[#This Row],[Type of change]], "Edit")),B1205)</f>
        <v>1</v>
      </c>
      <c r="C1206" s="16">
        <v>44641</v>
      </c>
      <c r="D1206" s="1" t="s">
        <v>2458</v>
      </c>
      <c r="E1206" t="s">
        <v>27</v>
      </c>
      <c r="F1206" s="10" t="s">
        <v>9</v>
      </c>
      <c r="G1206" t="s">
        <v>1323</v>
      </c>
      <c r="H1206" t="s">
        <v>55</v>
      </c>
      <c r="I1206" t="s">
        <v>1327</v>
      </c>
      <c r="K1206" s="2"/>
      <c r="M1206" t="s">
        <v>2802</v>
      </c>
    </row>
    <row r="1207" spans="1:13">
      <c r="A1207" t="s">
        <v>28</v>
      </c>
      <c r="B1207">
        <f ca="1">IF(OR(changes[[#This Row],[Type]]="Checklist",changes[[#This Row],[Type]]="checklist-flat"),1+IF(changes[[#This Row],[Type of change]] = "Edit",COUNTIFS($I$4:changes[[#This Row],[Name]],changes[[#This Row],[Name]], $E$4:changes[[#This Row],[Type of change]], "Edit")),B1206)</f>
        <v>1</v>
      </c>
      <c r="C1207" s="16">
        <v>44641</v>
      </c>
      <c r="D1207" s="1" t="s">
        <v>2458</v>
      </c>
      <c r="E1207" t="s">
        <v>27</v>
      </c>
      <c r="F1207" s="10" t="s">
        <v>9</v>
      </c>
      <c r="G1207" t="s">
        <v>1323</v>
      </c>
      <c r="H1207" t="s">
        <v>55</v>
      </c>
      <c r="I1207" t="s">
        <v>1328</v>
      </c>
      <c r="K1207" s="2"/>
      <c r="M1207" t="s">
        <v>2802</v>
      </c>
    </row>
    <row r="1208" spans="1:13">
      <c r="A1208" t="s">
        <v>28</v>
      </c>
      <c r="B1208">
        <f ca="1">IF(OR(changes[[#This Row],[Type]]="Checklist",changes[[#This Row],[Type]]="checklist-flat"),1+IF(changes[[#This Row],[Type of change]] = "Edit",COUNTIFS($I$4:changes[[#This Row],[Name]],changes[[#This Row],[Name]], $E$4:changes[[#This Row],[Type of change]], "Edit")),B1207)</f>
        <v>1</v>
      </c>
      <c r="C1208" s="16">
        <v>44641</v>
      </c>
      <c r="D1208" s="1" t="s">
        <v>2458</v>
      </c>
      <c r="E1208" t="s">
        <v>27</v>
      </c>
      <c r="F1208" s="10" t="s">
        <v>9</v>
      </c>
      <c r="G1208" t="s">
        <v>1323</v>
      </c>
      <c r="H1208" t="s">
        <v>55</v>
      </c>
      <c r="I1208" t="s">
        <v>1329</v>
      </c>
      <c r="K1208" s="2"/>
      <c r="M1208" t="s">
        <v>2802</v>
      </c>
    </row>
    <row r="1209" spans="1:13">
      <c r="A1209" t="s">
        <v>28</v>
      </c>
      <c r="B1209">
        <f ca="1">IF(OR(changes[[#This Row],[Type]]="Checklist",changes[[#This Row],[Type]]="checklist-flat"),1+IF(changes[[#This Row],[Type of change]] = "Edit",COUNTIFS($I$4:changes[[#This Row],[Name]],changes[[#This Row],[Name]], $E$4:changes[[#This Row],[Type of change]], "Edit")),B1208)</f>
        <v>1</v>
      </c>
      <c r="C1209" s="16">
        <v>44641</v>
      </c>
      <c r="D1209" s="1" t="s">
        <v>2458</v>
      </c>
      <c r="E1209" t="s">
        <v>27</v>
      </c>
      <c r="F1209" s="10" t="s">
        <v>9</v>
      </c>
      <c r="G1209" t="s">
        <v>1323</v>
      </c>
      <c r="H1209" t="s">
        <v>55</v>
      </c>
      <c r="I1209" t="s">
        <v>1330</v>
      </c>
      <c r="K1209" s="2"/>
      <c r="M1209" t="s">
        <v>2802</v>
      </c>
    </row>
    <row r="1210" spans="1:13">
      <c r="A1210" t="s">
        <v>28</v>
      </c>
      <c r="B1210">
        <f ca="1">IF(OR(changes[[#This Row],[Type]]="Checklist",changes[[#This Row],[Type]]="checklist-flat"),1+IF(changes[[#This Row],[Type of change]] = "Edit",COUNTIFS($I$4:changes[[#This Row],[Name]],changes[[#This Row],[Name]], $E$4:changes[[#This Row],[Type of change]], "Edit")),B1209)</f>
        <v>1</v>
      </c>
      <c r="C1210" s="16">
        <v>44641</v>
      </c>
      <c r="D1210" s="1" t="s">
        <v>2458</v>
      </c>
      <c r="E1210" t="s">
        <v>27</v>
      </c>
      <c r="F1210" s="10" t="s">
        <v>9</v>
      </c>
      <c r="G1210" t="s">
        <v>1323</v>
      </c>
      <c r="H1210" t="s">
        <v>55</v>
      </c>
      <c r="I1210" t="s">
        <v>1280</v>
      </c>
      <c r="K1210" s="2"/>
      <c r="M1210" t="s">
        <v>2802</v>
      </c>
    </row>
    <row r="1211" spans="1:13">
      <c r="A1211" t="s">
        <v>28</v>
      </c>
      <c r="B1211">
        <f ca="1">IF(OR(changes[[#This Row],[Type]]="Checklist",changes[[#This Row],[Type]]="checklist-flat"),1+IF(changes[[#This Row],[Type of change]] = "Edit",COUNTIFS($I$4:changes[[#This Row],[Name]],changes[[#This Row],[Name]], $E$4:changes[[#This Row],[Type of change]], "Edit")),B1210)</f>
        <v>1</v>
      </c>
      <c r="C1211" s="16">
        <v>44641</v>
      </c>
      <c r="D1211" s="1" t="s">
        <v>2458</v>
      </c>
      <c r="E1211" t="s">
        <v>27</v>
      </c>
      <c r="F1211" s="10" t="s">
        <v>9</v>
      </c>
      <c r="G1211" t="s">
        <v>1274</v>
      </c>
      <c r="H1211" t="s">
        <v>47</v>
      </c>
      <c r="I1211" t="s">
        <v>1274</v>
      </c>
      <c r="K1211" s="2"/>
      <c r="M1211" t="s">
        <v>2802</v>
      </c>
    </row>
    <row r="1212" spans="1:13">
      <c r="A1212" t="s">
        <v>28</v>
      </c>
      <c r="B1212">
        <f ca="1">IF(OR(changes[[#This Row],[Type]]="Checklist",changes[[#This Row],[Type]]="checklist-flat"),1+IF(changes[[#This Row],[Type of change]] = "Edit",COUNTIFS($I$4:changes[[#This Row],[Name]],changes[[#This Row],[Name]], $E$4:changes[[#This Row],[Type of change]], "Edit")),B1211)</f>
        <v>1</v>
      </c>
      <c r="C1212" s="16">
        <v>44641</v>
      </c>
      <c r="D1212" s="1" t="s">
        <v>2458</v>
      </c>
      <c r="E1212" t="s">
        <v>27</v>
      </c>
      <c r="F1212" s="10" t="s">
        <v>9</v>
      </c>
      <c r="G1212" t="s">
        <v>1274</v>
      </c>
      <c r="H1212" t="s">
        <v>55</v>
      </c>
      <c r="I1212" t="s">
        <v>1275</v>
      </c>
      <c r="K1212" s="2"/>
      <c r="M1212" t="s">
        <v>2802</v>
      </c>
    </row>
    <row r="1213" spans="1:13">
      <c r="A1213" t="s">
        <v>28</v>
      </c>
      <c r="B1213">
        <f ca="1">IF(OR(changes[[#This Row],[Type]]="Checklist",changes[[#This Row],[Type]]="checklist-flat"),1+IF(changes[[#This Row],[Type of change]] = "Edit",COUNTIFS($I$4:changes[[#This Row],[Name]],changes[[#This Row],[Name]], $E$4:changes[[#This Row],[Type of change]], "Edit")),B1212)</f>
        <v>1</v>
      </c>
      <c r="C1213" s="16">
        <v>44641</v>
      </c>
      <c r="D1213" s="1" t="s">
        <v>2458</v>
      </c>
      <c r="E1213" t="s">
        <v>27</v>
      </c>
      <c r="F1213" s="10" t="s">
        <v>9</v>
      </c>
      <c r="G1213" t="s">
        <v>1274</v>
      </c>
      <c r="H1213" t="s">
        <v>55</v>
      </c>
      <c r="I1213" t="s">
        <v>1276</v>
      </c>
      <c r="K1213" s="2"/>
      <c r="M1213" t="s">
        <v>2802</v>
      </c>
    </row>
    <row r="1214" spans="1:13">
      <c r="A1214" t="s">
        <v>28</v>
      </c>
      <c r="B1214">
        <f ca="1">IF(OR(changes[[#This Row],[Type]]="Checklist",changes[[#This Row],[Type]]="checklist-flat"),1+IF(changes[[#This Row],[Type of change]] = "Edit",COUNTIFS($I$4:changes[[#This Row],[Name]],changes[[#This Row],[Name]], $E$4:changes[[#This Row],[Type of change]], "Edit")),B1213)</f>
        <v>1</v>
      </c>
      <c r="C1214" s="16">
        <v>44641</v>
      </c>
      <c r="D1214" s="1" t="s">
        <v>2458</v>
      </c>
      <c r="E1214" t="s">
        <v>27</v>
      </c>
      <c r="F1214" s="10" t="s">
        <v>9</v>
      </c>
      <c r="G1214" t="s">
        <v>1274</v>
      </c>
      <c r="H1214" t="s">
        <v>55</v>
      </c>
      <c r="I1214" t="s">
        <v>1277</v>
      </c>
      <c r="K1214" s="2"/>
      <c r="M1214" t="s">
        <v>2802</v>
      </c>
    </row>
    <row r="1215" spans="1:13">
      <c r="A1215" t="s">
        <v>28</v>
      </c>
      <c r="B1215">
        <f ca="1">IF(OR(changes[[#This Row],[Type]]="Checklist",changes[[#This Row],[Type]]="checklist-flat"),1+IF(changes[[#This Row],[Type of change]] = "Edit",COUNTIFS($I$4:changes[[#This Row],[Name]],changes[[#This Row],[Name]], $E$4:changes[[#This Row],[Type of change]], "Edit")),B1214)</f>
        <v>1</v>
      </c>
      <c r="C1215" s="16">
        <v>44641</v>
      </c>
      <c r="D1215" s="1" t="s">
        <v>2458</v>
      </c>
      <c r="E1215" t="s">
        <v>27</v>
      </c>
      <c r="F1215" s="10" t="s">
        <v>9</v>
      </c>
      <c r="G1215" t="s">
        <v>1274</v>
      </c>
      <c r="H1215" t="s">
        <v>55</v>
      </c>
      <c r="I1215" t="s">
        <v>1278</v>
      </c>
      <c r="K1215" s="2"/>
      <c r="M1215" t="s">
        <v>2802</v>
      </c>
    </row>
    <row r="1216" spans="1:13">
      <c r="A1216" t="s">
        <v>28</v>
      </c>
      <c r="B1216">
        <f ca="1">IF(OR(changes[[#This Row],[Type]]="Checklist",changes[[#This Row],[Type]]="checklist-flat"),1+IF(changes[[#This Row],[Type of change]] = "Edit",COUNTIFS($I$4:changes[[#This Row],[Name]],changes[[#This Row],[Name]], $E$4:changes[[#This Row],[Type of change]], "Edit")),B1215)</f>
        <v>1</v>
      </c>
      <c r="C1216" s="16">
        <v>44641</v>
      </c>
      <c r="D1216" s="1" t="s">
        <v>2458</v>
      </c>
      <c r="E1216" t="s">
        <v>27</v>
      </c>
      <c r="F1216" s="10" t="s">
        <v>9</v>
      </c>
      <c r="G1216" t="s">
        <v>1274</v>
      </c>
      <c r="H1216" t="s">
        <v>55</v>
      </c>
      <c r="I1216" t="s">
        <v>1279</v>
      </c>
      <c r="K1216" s="2"/>
      <c r="M1216" t="s">
        <v>2802</v>
      </c>
    </row>
    <row r="1217" spans="1:13">
      <c r="A1217" t="s">
        <v>28</v>
      </c>
      <c r="B1217">
        <f ca="1">IF(OR(changes[[#This Row],[Type]]="Checklist",changes[[#This Row],[Type]]="checklist-flat"),1+IF(changes[[#This Row],[Type of change]] = "Edit",COUNTIFS($I$4:changes[[#This Row],[Name]],changes[[#This Row],[Name]], $E$4:changes[[#This Row],[Type of change]], "Edit")),B1216)</f>
        <v>1</v>
      </c>
      <c r="C1217" s="16">
        <v>44641</v>
      </c>
      <c r="D1217" s="1" t="s">
        <v>2458</v>
      </c>
      <c r="E1217" t="s">
        <v>27</v>
      </c>
      <c r="F1217" s="10" t="s">
        <v>9</v>
      </c>
      <c r="G1217" t="s">
        <v>1274</v>
      </c>
      <c r="H1217" t="s">
        <v>55</v>
      </c>
      <c r="I1217" t="s">
        <v>1280</v>
      </c>
      <c r="K1217" s="2"/>
      <c r="M1217" t="s">
        <v>2802</v>
      </c>
    </row>
    <row r="1218" spans="1:13">
      <c r="A1218" t="s">
        <v>28</v>
      </c>
      <c r="B1218">
        <f ca="1">IF(OR(changes[[#This Row],[Type]]="Checklist",changes[[#This Row],[Type]]="checklist-flat"),1+IF(changes[[#This Row],[Type of change]] = "Edit",COUNTIFS($I$4:changes[[#This Row],[Name]],changes[[#This Row],[Name]], $E$4:changes[[#This Row],[Type of change]], "Edit")),B1217)</f>
        <v>1</v>
      </c>
      <c r="C1218" s="16">
        <v>44641</v>
      </c>
      <c r="D1218" s="1" t="s">
        <v>2458</v>
      </c>
      <c r="E1218" t="s">
        <v>27</v>
      </c>
      <c r="F1218" s="10" t="s">
        <v>9</v>
      </c>
      <c r="G1218" t="s">
        <v>1281</v>
      </c>
      <c r="H1218" t="s">
        <v>47</v>
      </c>
      <c r="I1218" t="s">
        <v>1281</v>
      </c>
      <c r="K1218" s="2"/>
      <c r="M1218" t="s">
        <v>2802</v>
      </c>
    </row>
    <row r="1219" spans="1:13">
      <c r="A1219" t="s">
        <v>28</v>
      </c>
      <c r="B1219">
        <f ca="1">IF(OR(changes[[#This Row],[Type]]="Checklist",changes[[#This Row],[Type]]="checklist-flat"),1+IF(changes[[#This Row],[Type of change]] = "Edit",COUNTIFS($I$4:changes[[#This Row],[Name]],changes[[#This Row],[Name]], $E$4:changes[[#This Row],[Type of change]], "Edit")),B1218)</f>
        <v>1</v>
      </c>
      <c r="C1219" s="16">
        <v>44641</v>
      </c>
      <c r="D1219" s="1" t="s">
        <v>2458</v>
      </c>
      <c r="E1219" t="s">
        <v>27</v>
      </c>
      <c r="F1219" s="10" t="s">
        <v>9</v>
      </c>
      <c r="G1219" t="s">
        <v>1281</v>
      </c>
      <c r="H1219" t="s">
        <v>55</v>
      </c>
      <c r="I1219" t="s">
        <v>1282</v>
      </c>
      <c r="K1219" s="2"/>
      <c r="M1219" t="s">
        <v>2802</v>
      </c>
    </row>
    <row r="1220" spans="1:13">
      <c r="A1220" t="s">
        <v>28</v>
      </c>
      <c r="B1220">
        <f ca="1">IF(OR(changes[[#This Row],[Type]]="Checklist",changes[[#This Row],[Type]]="checklist-flat"),1+IF(changes[[#This Row],[Type of change]] = "Edit",COUNTIFS($I$4:changes[[#This Row],[Name]],changes[[#This Row],[Name]], $E$4:changes[[#This Row],[Type of change]], "Edit")),B1219)</f>
        <v>1</v>
      </c>
      <c r="C1220" s="16">
        <v>44641</v>
      </c>
      <c r="D1220" s="1" t="s">
        <v>2458</v>
      </c>
      <c r="E1220" t="s">
        <v>27</v>
      </c>
      <c r="F1220" s="10" t="s">
        <v>9</v>
      </c>
      <c r="G1220" t="s">
        <v>1281</v>
      </c>
      <c r="H1220" t="s">
        <v>55</v>
      </c>
      <c r="I1220" t="s">
        <v>1283</v>
      </c>
      <c r="K1220" s="2"/>
      <c r="M1220" t="s">
        <v>2802</v>
      </c>
    </row>
    <row r="1221" spans="1:13">
      <c r="A1221" t="s">
        <v>28</v>
      </c>
      <c r="B1221">
        <f ca="1">IF(OR(changes[[#This Row],[Type]]="Checklist",changes[[#This Row],[Type]]="checklist-flat"),1+IF(changes[[#This Row],[Type of change]] = "Edit",COUNTIFS($I$4:changes[[#This Row],[Name]],changes[[#This Row],[Name]], $E$4:changes[[#This Row],[Type of change]], "Edit")),B1220)</f>
        <v>1</v>
      </c>
      <c r="C1221" s="16">
        <v>44641</v>
      </c>
      <c r="D1221" s="1" t="s">
        <v>2458</v>
      </c>
      <c r="E1221" t="s">
        <v>27</v>
      </c>
      <c r="F1221" s="10" t="s">
        <v>9</v>
      </c>
      <c r="G1221" t="s">
        <v>1281</v>
      </c>
      <c r="H1221" t="s">
        <v>55</v>
      </c>
      <c r="I1221" t="s">
        <v>1284</v>
      </c>
      <c r="K1221" s="2"/>
      <c r="M1221" t="s">
        <v>2802</v>
      </c>
    </row>
    <row r="1222" spans="1:13">
      <c r="A1222" t="s">
        <v>28</v>
      </c>
      <c r="B1222">
        <f ca="1">IF(OR(changes[[#This Row],[Type]]="Checklist",changes[[#This Row],[Type]]="checklist-flat"),1+IF(changes[[#This Row],[Type of change]] = "Edit",COUNTIFS($I$4:changes[[#This Row],[Name]],changes[[#This Row],[Name]], $E$4:changes[[#This Row],[Type of change]], "Edit")),B1221)</f>
        <v>1</v>
      </c>
      <c r="C1222" s="16">
        <v>44641</v>
      </c>
      <c r="D1222" s="1" t="s">
        <v>2458</v>
      </c>
      <c r="E1222" t="s">
        <v>27</v>
      </c>
      <c r="F1222" s="10" t="s">
        <v>9</v>
      </c>
      <c r="G1222" t="s">
        <v>1281</v>
      </c>
      <c r="H1222" t="s">
        <v>55</v>
      </c>
      <c r="I1222" t="s">
        <v>1285</v>
      </c>
      <c r="K1222" s="2"/>
      <c r="M1222" t="s">
        <v>2802</v>
      </c>
    </row>
    <row r="1223" spans="1:13">
      <c r="A1223" t="s">
        <v>28</v>
      </c>
      <c r="B1223">
        <f ca="1">IF(OR(changes[[#This Row],[Type]]="Checklist",changes[[#This Row],[Type]]="checklist-flat"),1+IF(changes[[#This Row],[Type of change]] = "Edit",COUNTIFS($I$4:changes[[#This Row],[Name]],changes[[#This Row],[Name]], $E$4:changes[[#This Row],[Type of change]], "Edit")),B1222)</f>
        <v>1</v>
      </c>
      <c r="C1223" s="16">
        <v>44641</v>
      </c>
      <c r="D1223" s="1" t="s">
        <v>2458</v>
      </c>
      <c r="E1223" t="s">
        <v>27</v>
      </c>
      <c r="F1223" s="10" t="s">
        <v>9</v>
      </c>
      <c r="G1223" t="s">
        <v>1281</v>
      </c>
      <c r="H1223" t="s">
        <v>55</v>
      </c>
      <c r="I1223" t="s">
        <v>2803</v>
      </c>
      <c r="K1223" s="2"/>
      <c r="M1223" t="s">
        <v>2802</v>
      </c>
    </row>
    <row r="1224" spans="1:13">
      <c r="A1224" t="s">
        <v>28</v>
      </c>
      <c r="B1224">
        <f ca="1">IF(OR(changes[[#This Row],[Type]]="Checklist",changes[[#This Row],[Type]]="checklist-flat"),1+IF(changes[[#This Row],[Type of change]] = "Edit",COUNTIFS($I$4:changes[[#This Row],[Name]],changes[[#This Row],[Name]], $E$4:changes[[#This Row],[Type of change]], "Edit")),B1223)</f>
        <v>1</v>
      </c>
      <c r="C1224" s="16">
        <v>44641</v>
      </c>
      <c r="D1224" s="1" t="s">
        <v>2458</v>
      </c>
      <c r="E1224" t="s">
        <v>27</v>
      </c>
      <c r="F1224" s="10" t="s">
        <v>9</v>
      </c>
      <c r="G1224" t="s">
        <v>1281</v>
      </c>
      <c r="H1224" t="s">
        <v>55</v>
      </c>
      <c r="I1224" t="s">
        <v>1287</v>
      </c>
      <c r="K1224" s="2"/>
      <c r="M1224" t="s">
        <v>2802</v>
      </c>
    </row>
    <row r="1225" spans="1:13">
      <c r="A1225" t="s">
        <v>28</v>
      </c>
      <c r="B1225">
        <f ca="1">IF(OR(changes[[#This Row],[Type]]="Checklist",changes[[#This Row],[Type]]="checklist-flat"),1+IF(changes[[#This Row],[Type of change]] = "Edit",COUNTIFS($I$4:changes[[#This Row],[Name]],changes[[#This Row],[Name]], $E$4:changes[[#This Row],[Type of change]], "Edit")),B1224)</f>
        <v>1</v>
      </c>
      <c r="C1225" s="16">
        <v>44641</v>
      </c>
      <c r="D1225" s="1" t="s">
        <v>2458</v>
      </c>
      <c r="E1225" t="s">
        <v>27</v>
      </c>
      <c r="F1225" s="10" t="s">
        <v>9</v>
      </c>
      <c r="G1225" t="s">
        <v>1281</v>
      </c>
      <c r="H1225" t="s">
        <v>55</v>
      </c>
      <c r="I1225" t="s">
        <v>1288</v>
      </c>
      <c r="K1225" s="2"/>
      <c r="M1225" t="s">
        <v>2802</v>
      </c>
    </row>
    <row r="1226" spans="1:13">
      <c r="A1226" t="s">
        <v>28</v>
      </c>
      <c r="B1226">
        <f ca="1">IF(OR(changes[[#This Row],[Type]]="Checklist",changes[[#This Row],[Type]]="checklist-flat"),1+IF(changes[[#This Row],[Type of change]] = "Edit",COUNTIFS($I$4:changes[[#This Row],[Name]],changes[[#This Row],[Name]], $E$4:changes[[#This Row],[Type of change]], "Edit")),B1225)</f>
        <v>1</v>
      </c>
      <c r="C1226" s="16">
        <v>44641</v>
      </c>
      <c r="D1226" s="1" t="s">
        <v>2458</v>
      </c>
      <c r="E1226" t="s">
        <v>27</v>
      </c>
      <c r="F1226" s="10" t="s">
        <v>9</v>
      </c>
      <c r="G1226" t="s">
        <v>1281</v>
      </c>
      <c r="H1226" t="s">
        <v>55</v>
      </c>
      <c r="I1226" t="s">
        <v>1289</v>
      </c>
      <c r="K1226" s="2"/>
      <c r="M1226" t="s">
        <v>2802</v>
      </c>
    </row>
    <row r="1227" spans="1:13">
      <c r="A1227" t="s">
        <v>28</v>
      </c>
      <c r="B1227">
        <f ca="1">IF(OR(changes[[#This Row],[Type]]="Checklist",changes[[#This Row],[Type]]="checklist-flat"),1+IF(changes[[#This Row],[Type of change]] = "Edit",COUNTIFS($I$4:changes[[#This Row],[Name]],changes[[#This Row],[Name]], $E$4:changes[[#This Row],[Type of change]], "Edit")),B1226)</f>
        <v>1</v>
      </c>
      <c r="C1227" s="16">
        <v>44641</v>
      </c>
      <c r="D1227" s="1" t="s">
        <v>2458</v>
      </c>
      <c r="E1227" t="s">
        <v>27</v>
      </c>
      <c r="F1227" s="10" t="s">
        <v>9</v>
      </c>
      <c r="G1227" t="s">
        <v>1281</v>
      </c>
      <c r="H1227" t="s">
        <v>55</v>
      </c>
      <c r="I1227" t="s">
        <v>1290</v>
      </c>
      <c r="K1227" s="2"/>
      <c r="M1227" t="s">
        <v>2802</v>
      </c>
    </row>
    <row r="1228" spans="1:13">
      <c r="A1228" t="s">
        <v>28</v>
      </c>
      <c r="B1228">
        <f ca="1">IF(OR(changes[[#This Row],[Type]]="Checklist",changes[[#This Row],[Type]]="checklist-flat"),1+IF(changes[[#This Row],[Type of change]] = "Edit",COUNTIFS($I$4:changes[[#This Row],[Name]],changes[[#This Row],[Name]], $E$4:changes[[#This Row],[Type of change]], "Edit")),B1227)</f>
        <v>1</v>
      </c>
      <c r="C1228" s="16">
        <v>44641</v>
      </c>
      <c r="D1228" s="1" t="s">
        <v>2458</v>
      </c>
      <c r="E1228" t="s">
        <v>27</v>
      </c>
      <c r="F1228" s="10" t="s">
        <v>9</v>
      </c>
      <c r="G1228" t="s">
        <v>1281</v>
      </c>
      <c r="H1228" t="s">
        <v>55</v>
      </c>
      <c r="I1228" t="s">
        <v>1291</v>
      </c>
      <c r="K1228" s="2"/>
      <c r="M1228" t="s">
        <v>2802</v>
      </c>
    </row>
    <row r="1229" spans="1:13">
      <c r="A1229" t="s">
        <v>28</v>
      </c>
      <c r="B1229">
        <f ca="1">IF(OR(changes[[#This Row],[Type]]="Checklist",changes[[#This Row],[Type]]="checklist-flat"),1+IF(changes[[#This Row],[Type of change]] = "Edit",COUNTIFS($I$4:changes[[#This Row],[Name]],changes[[#This Row],[Name]], $E$4:changes[[#This Row],[Type of change]], "Edit")),B1228)</f>
        <v>1</v>
      </c>
      <c r="C1229" s="16">
        <v>44641</v>
      </c>
      <c r="D1229" s="1" t="s">
        <v>2458</v>
      </c>
      <c r="E1229" t="s">
        <v>27</v>
      </c>
      <c r="F1229" s="10" t="s">
        <v>9</v>
      </c>
      <c r="G1229" t="s">
        <v>1292</v>
      </c>
      <c r="H1229" t="s">
        <v>47</v>
      </c>
      <c r="I1229" t="s">
        <v>1292</v>
      </c>
      <c r="K1229" s="2"/>
      <c r="M1229" t="s">
        <v>2802</v>
      </c>
    </row>
    <row r="1230" spans="1:13">
      <c r="A1230" t="s">
        <v>28</v>
      </c>
      <c r="B1230">
        <f ca="1">IF(OR(changes[[#This Row],[Type]]="Checklist",changes[[#This Row],[Type]]="checklist-flat"),1+IF(changes[[#This Row],[Type of change]] = "Edit",COUNTIFS($I$4:changes[[#This Row],[Name]],changes[[#This Row],[Name]], $E$4:changes[[#This Row],[Type of change]], "Edit")),B1229)</f>
        <v>1</v>
      </c>
      <c r="C1230" s="16">
        <v>44641</v>
      </c>
      <c r="D1230" s="1" t="s">
        <v>2458</v>
      </c>
      <c r="E1230" t="s">
        <v>27</v>
      </c>
      <c r="F1230" s="10" t="s">
        <v>9</v>
      </c>
      <c r="G1230" t="s">
        <v>1292</v>
      </c>
      <c r="H1230" t="s">
        <v>55</v>
      </c>
      <c r="I1230" t="s">
        <v>1293</v>
      </c>
      <c r="K1230" s="2"/>
      <c r="M1230" t="s">
        <v>2802</v>
      </c>
    </row>
    <row r="1231" spans="1:13">
      <c r="A1231" t="s">
        <v>28</v>
      </c>
      <c r="B1231">
        <f ca="1">IF(OR(changes[[#This Row],[Type]]="Checklist",changes[[#This Row],[Type]]="checklist-flat"),1+IF(changes[[#This Row],[Type of change]] = "Edit",COUNTIFS($I$4:changes[[#This Row],[Name]],changes[[#This Row],[Name]], $E$4:changes[[#This Row],[Type of change]], "Edit")),B1230)</f>
        <v>1</v>
      </c>
      <c r="C1231" s="16">
        <v>44641</v>
      </c>
      <c r="D1231" s="1" t="s">
        <v>2458</v>
      </c>
      <c r="E1231" t="s">
        <v>27</v>
      </c>
      <c r="F1231" s="10" t="s">
        <v>9</v>
      </c>
      <c r="G1231" t="s">
        <v>1292</v>
      </c>
      <c r="H1231" t="s">
        <v>55</v>
      </c>
      <c r="I1231" t="s">
        <v>1294</v>
      </c>
      <c r="K1231" s="2"/>
      <c r="M1231" t="s">
        <v>2802</v>
      </c>
    </row>
    <row r="1232" spans="1:13">
      <c r="A1232" t="s">
        <v>28</v>
      </c>
      <c r="B1232">
        <f ca="1">IF(OR(changes[[#This Row],[Type]]="Checklist",changes[[#This Row],[Type]]="checklist-flat"),1+IF(changes[[#This Row],[Type of change]] = "Edit",COUNTIFS($I$4:changes[[#This Row],[Name]],changes[[#This Row],[Name]], $E$4:changes[[#This Row],[Type of change]], "Edit")),B1231)</f>
        <v>1</v>
      </c>
      <c r="C1232" s="16">
        <v>44641</v>
      </c>
      <c r="D1232" s="1" t="s">
        <v>2458</v>
      </c>
      <c r="E1232" t="s">
        <v>27</v>
      </c>
      <c r="F1232" s="10" t="s">
        <v>9</v>
      </c>
      <c r="G1232" t="s">
        <v>1292</v>
      </c>
      <c r="H1232" t="s">
        <v>55</v>
      </c>
      <c r="I1232" t="s">
        <v>1295</v>
      </c>
      <c r="K1232" s="2"/>
      <c r="M1232" t="s">
        <v>2802</v>
      </c>
    </row>
    <row r="1233" spans="1:13">
      <c r="A1233" t="s">
        <v>28</v>
      </c>
      <c r="B1233">
        <f ca="1">IF(OR(changes[[#This Row],[Type]]="Checklist",changes[[#This Row],[Type]]="checklist-flat"),1+IF(changes[[#This Row],[Type of change]] = "Edit",COUNTIFS($I$4:changes[[#This Row],[Name]],changes[[#This Row],[Name]], $E$4:changes[[#This Row],[Type of change]], "Edit")),B1232)</f>
        <v>1</v>
      </c>
      <c r="C1233" s="16">
        <v>44641</v>
      </c>
      <c r="D1233" s="1" t="s">
        <v>2458</v>
      </c>
      <c r="E1233" t="s">
        <v>27</v>
      </c>
      <c r="F1233" s="10" t="s">
        <v>9</v>
      </c>
      <c r="G1233" t="s">
        <v>1292</v>
      </c>
      <c r="H1233" t="s">
        <v>55</v>
      </c>
      <c r="I1233" t="s">
        <v>1296</v>
      </c>
      <c r="K1233" s="2"/>
      <c r="M1233" t="s">
        <v>2802</v>
      </c>
    </row>
    <row r="1234" spans="1:13">
      <c r="A1234" t="s">
        <v>28</v>
      </c>
      <c r="B1234">
        <f ca="1">IF(OR(changes[[#This Row],[Type]]="Checklist",changes[[#This Row],[Type]]="checklist-flat"),1+IF(changes[[#This Row],[Type of change]] = "Edit",COUNTIFS($I$4:changes[[#This Row],[Name]],changes[[#This Row],[Name]], $E$4:changes[[#This Row],[Type of change]], "Edit")),B1233)</f>
        <v>1</v>
      </c>
      <c r="C1234" s="16">
        <v>44641</v>
      </c>
      <c r="D1234" s="1" t="s">
        <v>2458</v>
      </c>
      <c r="E1234" t="s">
        <v>27</v>
      </c>
      <c r="F1234" s="10" t="s">
        <v>9</v>
      </c>
      <c r="G1234" t="s">
        <v>2804</v>
      </c>
      <c r="H1234" t="s">
        <v>47</v>
      </c>
      <c r="I1234" t="s">
        <v>2804</v>
      </c>
      <c r="K1234" s="2"/>
      <c r="M1234" t="s">
        <v>2802</v>
      </c>
    </row>
    <row r="1235" spans="1:13">
      <c r="A1235" t="s">
        <v>28</v>
      </c>
      <c r="B1235">
        <f ca="1">IF(OR(changes[[#This Row],[Type]]="Checklist",changes[[#This Row],[Type]]="checklist-flat"),1+IF(changes[[#This Row],[Type of change]] = "Edit",COUNTIFS($I$4:changes[[#This Row],[Name]],changes[[#This Row],[Name]], $E$4:changes[[#This Row],[Type of change]], "Edit")),B1234)</f>
        <v>1</v>
      </c>
      <c r="C1235" s="16">
        <v>44641</v>
      </c>
      <c r="D1235" s="1" t="s">
        <v>2458</v>
      </c>
      <c r="E1235" t="s">
        <v>27</v>
      </c>
      <c r="F1235" s="10" t="s">
        <v>9</v>
      </c>
      <c r="G1235" t="s">
        <v>2804</v>
      </c>
      <c r="H1235" t="s">
        <v>55</v>
      </c>
      <c r="I1235" t="s">
        <v>1298</v>
      </c>
      <c r="K1235" s="2"/>
      <c r="M1235" t="s">
        <v>2802</v>
      </c>
    </row>
    <row r="1236" spans="1:13">
      <c r="A1236" t="s">
        <v>28</v>
      </c>
      <c r="B1236">
        <f ca="1">IF(OR(changes[[#This Row],[Type]]="Checklist",changes[[#This Row],[Type]]="checklist-flat"),1+IF(changes[[#This Row],[Type of change]] = "Edit",COUNTIFS($I$4:changes[[#This Row],[Name]],changes[[#This Row],[Name]], $E$4:changes[[#This Row],[Type of change]], "Edit")),B1235)</f>
        <v>1</v>
      </c>
      <c r="C1236" s="16">
        <v>44641</v>
      </c>
      <c r="D1236" s="1" t="s">
        <v>2458</v>
      </c>
      <c r="E1236" t="s">
        <v>27</v>
      </c>
      <c r="F1236" s="10" t="s">
        <v>9</v>
      </c>
      <c r="G1236" t="s">
        <v>2804</v>
      </c>
      <c r="H1236" t="s">
        <v>55</v>
      </c>
      <c r="I1236" t="s">
        <v>1299</v>
      </c>
      <c r="K1236" s="2"/>
      <c r="M1236" t="s">
        <v>2802</v>
      </c>
    </row>
    <row r="1237" spans="1:13">
      <c r="A1237" t="s">
        <v>28</v>
      </c>
      <c r="B1237">
        <f ca="1">IF(OR(changes[[#This Row],[Type]]="Checklist",changes[[#This Row],[Type]]="checklist-flat"),1+IF(changes[[#This Row],[Type of change]] = "Edit",COUNTIFS($I$4:changes[[#This Row],[Name]],changes[[#This Row],[Name]], $E$4:changes[[#This Row],[Type of change]], "Edit")),B1236)</f>
        <v>1</v>
      </c>
      <c r="C1237" s="16">
        <v>44641</v>
      </c>
      <c r="D1237" s="1" t="s">
        <v>2458</v>
      </c>
      <c r="E1237" t="s">
        <v>27</v>
      </c>
      <c r="F1237" s="10" t="s">
        <v>9</v>
      </c>
      <c r="G1237" t="s">
        <v>2804</v>
      </c>
      <c r="H1237" t="s">
        <v>55</v>
      </c>
      <c r="I1237" t="s">
        <v>1300</v>
      </c>
      <c r="K1237" s="2"/>
      <c r="M1237" t="s">
        <v>2802</v>
      </c>
    </row>
    <row r="1238" spans="1:13">
      <c r="A1238" t="s">
        <v>28</v>
      </c>
      <c r="B1238">
        <f ca="1">IF(OR(changes[[#This Row],[Type]]="Checklist",changes[[#This Row],[Type]]="checklist-flat"),1+IF(changes[[#This Row],[Type of change]] = "Edit",COUNTIFS($I$4:changes[[#This Row],[Name]],changes[[#This Row],[Name]], $E$4:changes[[#This Row],[Type of change]], "Edit")),B1237)</f>
        <v>1</v>
      </c>
      <c r="C1238" s="16">
        <v>44641</v>
      </c>
      <c r="D1238" s="1" t="s">
        <v>2458</v>
      </c>
      <c r="E1238" t="s">
        <v>27</v>
      </c>
      <c r="F1238" s="10" t="s">
        <v>9</v>
      </c>
      <c r="G1238" t="s">
        <v>2804</v>
      </c>
      <c r="H1238" t="s">
        <v>55</v>
      </c>
      <c r="I1238" t="s">
        <v>1301</v>
      </c>
      <c r="K1238" s="2"/>
      <c r="M1238" t="s">
        <v>2802</v>
      </c>
    </row>
    <row r="1239" spans="1:13">
      <c r="A1239" t="s">
        <v>28</v>
      </c>
      <c r="B1239">
        <f ca="1">IF(OR(changes[[#This Row],[Type]]="Checklist",changes[[#This Row],[Type]]="checklist-flat"),1+IF(changes[[#This Row],[Type of change]] = "Edit",COUNTIFS($I$4:changes[[#This Row],[Name]],changes[[#This Row],[Name]], $E$4:changes[[#This Row],[Type of change]], "Edit")),B1238)</f>
        <v>1</v>
      </c>
      <c r="C1239" s="16">
        <v>44641</v>
      </c>
      <c r="D1239" s="1" t="s">
        <v>2458</v>
      </c>
      <c r="E1239" t="s">
        <v>27</v>
      </c>
      <c r="F1239" s="10" t="s">
        <v>9</v>
      </c>
      <c r="G1239" t="s">
        <v>2804</v>
      </c>
      <c r="H1239" t="s">
        <v>55</v>
      </c>
      <c r="I1239" t="s">
        <v>1302</v>
      </c>
      <c r="K1239" s="2"/>
      <c r="M1239" t="s">
        <v>2802</v>
      </c>
    </row>
    <row r="1240" spans="1:13">
      <c r="A1240" t="s">
        <v>28</v>
      </c>
      <c r="B1240">
        <f ca="1">IF(OR(changes[[#This Row],[Type]]="Checklist",changes[[#This Row],[Type]]="checklist-flat"),1+IF(changes[[#This Row],[Type of change]] = "Edit",COUNTIFS($I$4:changes[[#This Row],[Name]],changes[[#This Row],[Name]], $E$4:changes[[#This Row],[Type of change]], "Edit")),B1239)</f>
        <v>1</v>
      </c>
      <c r="C1240" s="16">
        <v>44641</v>
      </c>
      <c r="D1240" s="1" t="s">
        <v>2458</v>
      </c>
      <c r="E1240" t="s">
        <v>27</v>
      </c>
      <c r="F1240" s="10" t="s">
        <v>9</v>
      </c>
      <c r="G1240" t="s">
        <v>2804</v>
      </c>
      <c r="H1240" t="s">
        <v>55</v>
      </c>
      <c r="I1240" t="s">
        <v>2805</v>
      </c>
      <c r="K1240" s="2"/>
      <c r="M1240" t="s">
        <v>2802</v>
      </c>
    </row>
    <row r="1241" spans="1:13">
      <c r="A1241" t="s">
        <v>28</v>
      </c>
      <c r="B1241">
        <f ca="1">IF(OR(changes[[#This Row],[Type]]="Checklist",changes[[#This Row],[Type]]="checklist-flat"),1+IF(changes[[#This Row],[Type of change]] = "Edit",COUNTIFS($I$4:changes[[#This Row],[Name]],changes[[#This Row],[Name]], $E$4:changes[[#This Row],[Type of change]], "Edit")),B1240)</f>
        <v>1</v>
      </c>
      <c r="C1241" s="16">
        <v>44641</v>
      </c>
      <c r="D1241" s="1" t="s">
        <v>2458</v>
      </c>
      <c r="E1241" t="s">
        <v>27</v>
      </c>
      <c r="F1241" s="10" t="s">
        <v>9</v>
      </c>
      <c r="G1241" t="s">
        <v>2804</v>
      </c>
      <c r="H1241" t="s">
        <v>55</v>
      </c>
      <c r="I1241" t="s">
        <v>1296</v>
      </c>
      <c r="K1241" s="2"/>
      <c r="M1241" t="s">
        <v>2802</v>
      </c>
    </row>
    <row r="1242" spans="1:13">
      <c r="A1242" t="s">
        <v>28</v>
      </c>
      <c r="B1242">
        <f ca="1">IF(OR(changes[[#This Row],[Type]]="Checklist",changes[[#This Row],[Type]]="checklist-flat"),1+IF(changes[[#This Row],[Type of change]] = "Edit",COUNTIFS($I$4:changes[[#This Row],[Name]],changes[[#This Row],[Name]], $E$4:changes[[#This Row],[Type of change]], "Edit")),B1241)</f>
        <v>1</v>
      </c>
      <c r="C1242" s="16">
        <v>44641</v>
      </c>
      <c r="D1242" s="1" t="s">
        <v>2458</v>
      </c>
      <c r="E1242" t="s">
        <v>27</v>
      </c>
      <c r="F1242" s="10" t="s">
        <v>9</v>
      </c>
      <c r="G1242" t="s">
        <v>1304</v>
      </c>
      <c r="H1242" t="s">
        <v>47</v>
      </c>
      <c r="I1242" t="s">
        <v>1304</v>
      </c>
      <c r="K1242" s="2"/>
      <c r="M1242" t="s">
        <v>2802</v>
      </c>
    </row>
    <row r="1243" spans="1:13">
      <c r="A1243" t="s">
        <v>28</v>
      </c>
      <c r="B1243">
        <f ca="1">IF(OR(changes[[#This Row],[Type]]="Checklist",changes[[#This Row],[Type]]="checklist-flat"),1+IF(changes[[#This Row],[Type of change]] = "Edit",COUNTIFS($I$4:changes[[#This Row],[Name]],changes[[#This Row],[Name]], $E$4:changes[[#This Row],[Type of change]], "Edit")),B1242)</f>
        <v>1</v>
      </c>
      <c r="C1243" s="16">
        <v>44641</v>
      </c>
      <c r="D1243" s="1" t="s">
        <v>2458</v>
      </c>
      <c r="E1243" t="s">
        <v>27</v>
      </c>
      <c r="F1243" s="10" t="s">
        <v>9</v>
      </c>
      <c r="G1243" t="s">
        <v>1304</v>
      </c>
      <c r="H1243" t="s">
        <v>55</v>
      </c>
      <c r="I1243" t="s">
        <v>1305</v>
      </c>
      <c r="K1243" s="2"/>
      <c r="M1243" t="s">
        <v>2802</v>
      </c>
    </row>
    <row r="1244" spans="1:13">
      <c r="A1244" t="s">
        <v>28</v>
      </c>
      <c r="B1244">
        <f ca="1">IF(OR(changes[[#This Row],[Type]]="Checklist",changes[[#This Row],[Type]]="checklist-flat"),1+IF(changes[[#This Row],[Type of change]] = "Edit",COUNTIFS($I$4:changes[[#This Row],[Name]],changes[[#This Row],[Name]], $E$4:changes[[#This Row],[Type of change]], "Edit")),B1243)</f>
        <v>1</v>
      </c>
      <c r="C1244" s="16">
        <v>44641</v>
      </c>
      <c r="D1244" s="1" t="s">
        <v>2458</v>
      </c>
      <c r="E1244" t="s">
        <v>27</v>
      </c>
      <c r="F1244" s="10" t="s">
        <v>9</v>
      </c>
      <c r="G1244" t="s">
        <v>1304</v>
      </c>
      <c r="H1244" t="s">
        <v>55</v>
      </c>
      <c r="I1244" t="s">
        <v>1306</v>
      </c>
      <c r="K1244" s="2"/>
      <c r="M1244" t="s">
        <v>2802</v>
      </c>
    </row>
    <row r="1245" spans="1:13">
      <c r="A1245" t="s">
        <v>28</v>
      </c>
      <c r="B1245">
        <f ca="1">IF(OR(changes[[#This Row],[Type]]="Checklist",changes[[#This Row],[Type]]="checklist-flat"),1+IF(changes[[#This Row],[Type of change]] = "Edit",COUNTIFS($I$4:changes[[#This Row],[Name]],changes[[#This Row],[Name]], $E$4:changes[[#This Row],[Type of change]], "Edit")),B1244)</f>
        <v>1</v>
      </c>
      <c r="C1245" s="16">
        <v>44641</v>
      </c>
      <c r="D1245" s="1" t="s">
        <v>2458</v>
      </c>
      <c r="E1245" t="s">
        <v>27</v>
      </c>
      <c r="F1245" s="10" t="s">
        <v>9</v>
      </c>
      <c r="G1245" t="s">
        <v>1304</v>
      </c>
      <c r="H1245" t="s">
        <v>55</v>
      </c>
      <c r="I1245" t="s">
        <v>1307</v>
      </c>
      <c r="K1245" s="2"/>
      <c r="M1245" t="s">
        <v>2802</v>
      </c>
    </row>
    <row r="1246" spans="1:13">
      <c r="A1246" t="s">
        <v>28</v>
      </c>
      <c r="B1246">
        <f ca="1">IF(OR(changes[[#This Row],[Type]]="Checklist",changes[[#This Row],[Type]]="checklist-flat"),1+IF(changes[[#This Row],[Type of change]] = "Edit",COUNTIFS($I$4:changes[[#This Row],[Name]],changes[[#This Row],[Name]], $E$4:changes[[#This Row],[Type of change]], "Edit")),B1245)</f>
        <v>1</v>
      </c>
      <c r="C1246" s="16">
        <v>44641</v>
      </c>
      <c r="D1246" s="1" t="s">
        <v>2458</v>
      </c>
      <c r="E1246" t="s">
        <v>27</v>
      </c>
      <c r="F1246" s="10" t="s">
        <v>9</v>
      </c>
      <c r="G1246" t="s">
        <v>1304</v>
      </c>
      <c r="H1246" t="s">
        <v>55</v>
      </c>
      <c r="I1246" t="s">
        <v>1308</v>
      </c>
      <c r="K1246" s="2"/>
      <c r="M1246" t="s">
        <v>2802</v>
      </c>
    </row>
    <row r="1247" spans="1:13">
      <c r="A1247" t="s">
        <v>28</v>
      </c>
      <c r="B1247">
        <f ca="1">IF(OR(changes[[#This Row],[Type]]="Checklist",changes[[#This Row],[Type]]="checklist-flat"),1+IF(changes[[#This Row],[Type of change]] = "Edit",COUNTIFS($I$4:changes[[#This Row],[Name]],changes[[#This Row],[Name]], $E$4:changes[[#This Row],[Type of change]], "Edit")),B1246)</f>
        <v>1</v>
      </c>
      <c r="C1247" s="16">
        <v>44641</v>
      </c>
      <c r="D1247" s="1" t="s">
        <v>2458</v>
      </c>
      <c r="E1247" t="s">
        <v>27</v>
      </c>
      <c r="F1247" s="10" t="s">
        <v>9</v>
      </c>
      <c r="G1247" t="s">
        <v>1304</v>
      </c>
      <c r="H1247" t="s">
        <v>55</v>
      </c>
      <c r="I1247" t="s">
        <v>1309</v>
      </c>
      <c r="K1247" s="2"/>
      <c r="M1247" t="s">
        <v>2802</v>
      </c>
    </row>
    <row r="1248" spans="1:13">
      <c r="A1248" t="s">
        <v>28</v>
      </c>
      <c r="B1248">
        <f ca="1">IF(OR(changes[[#This Row],[Type]]="Checklist",changes[[#This Row],[Type]]="checklist-flat"),1+IF(changes[[#This Row],[Type of change]] = "Edit",COUNTIFS($I$4:changes[[#This Row],[Name]],changes[[#This Row],[Name]], $E$4:changes[[#This Row],[Type of change]], "Edit")),B1247)</f>
        <v>1</v>
      </c>
      <c r="C1248" s="16">
        <v>44641</v>
      </c>
      <c r="D1248" s="1" t="s">
        <v>2458</v>
      </c>
      <c r="E1248" t="s">
        <v>27</v>
      </c>
      <c r="F1248" s="10" t="s">
        <v>9</v>
      </c>
      <c r="G1248" t="s">
        <v>1304</v>
      </c>
      <c r="H1248" t="s">
        <v>55</v>
      </c>
      <c r="I1248" t="s">
        <v>1310</v>
      </c>
      <c r="K1248" s="2"/>
      <c r="M1248" t="s">
        <v>2802</v>
      </c>
    </row>
    <row r="1249" spans="1:13">
      <c r="A1249" t="s">
        <v>28</v>
      </c>
      <c r="B1249">
        <f ca="1">IF(OR(changes[[#This Row],[Type]]="Checklist",changes[[#This Row],[Type]]="checklist-flat"),1+IF(changes[[#This Row],[Type of change]] = "Edit",COUNTIFS($I$4:changes[[#This Row],[Name]],changes[[#This Row],[Name]], $E$4:changes[[#This Row],[Type of change]], "Edit")),B1248)</f>
        <v>1</v>
      </c>
      <c r="C1249" s="16">
        <v>44641</v>
      </c>
      <c r="D1249" s="1" t="s">
        <v>2458</v>
      </c>
      <c r="E1249" t="s">
        <v>27</v>
      </c>
      <c r="F1249" s="10" t="s">
        <v>9</v>
      </c>
      <c r="G1249" t="s">
        <v>1304</v>
      </c>
      <c r="H1249" t="s">
        <v>55</v>
      </c>
      <c r="I1249" t="s">
        <v>1311</v>
      </c>
      <c r="K1249" s="2"/>
      <c r="M1249" t="s">
        <v>2802</v>
      </c>
    </row>
    <row r="1250" spans="1:13">
      <c r="A1250" t="s">
        <v>28</v>
      </c>
      <c r="B1250">
        <f ca="1">IF(OR(changes[[#This Row],[Type]]="Checklist",changes[[#This Row],[Type]]="checklist-flat"),1+IF(changes[[#This Row],[Type of change]] = "Edit",COUNTIFS($I$4:changes[[#This Row],[Name]],changes[[#This Row],[Name]], $E$4:changes[[#This Row],[Type of change]], "Edit")),B1249)</f>
        <v>1</v>
      </c>
      <c r="C1250" s="16">
        <v>44641</v>
      </c>
      <c r="D1250" s="1" t="s">
        <v>2458</v>
      </c>
      <c r="E1250" t="s">
        <v>27</v>
      </c>
      <c r="F1250" s="10" t="s">
        <v>9</v>
      </c>
      <c r="G1250" t="s">
        <v>1304</v>
      </c>
      <c r="H1250" t="s">
        <v>55</v>
      </c>
      <c r="I1250" t="s">
        <v>1312</v>
      </c>
      <c r="K1250" s="2"/>
      <c r="M1250" t="s">
        <v>2802</v>
      </c>
    </row>
    <row r="1251" spans="1:13">
      <c r="A1251" t="s">
        <v>28</v>
      </c>
      <c r="B1251">
        <f ca="1">IF(OR(changes[[#This Row],[Type]]="Checklist",changes[[#This Row],[Type]]="checklist-flat"),1+IF(changes[[#This Row],[Type of change]] = "Edit",COUNTIFS($I$4:changes[[#This Row],[Name]],changes[[#This Row],[Name]], $E$4:changes[[#This Row],[Type of change]], "Edit")),B1250)</f>
        <v>1</v>
      </c>
      <c r="C1251" s="16">
        <v>44641</v>
      </c>
      <c r="D1251" s="1" t="s">
        <v>2458</v>
      </c>
      <c r="E1251" t="s">
        <v>27</v>
      </c>
      <c r="F1251" s="10" t="s">
        <v>9</v>
      </c>
      <c r="G1251" t="s">
        <v>1304</v>
      </c>
      <c r="H1251" t="s">
        <v>55</v>
      </c>
      <c r="I1251" t="s">
        <v>1313</v>
      </c>
      <c r="K1251" s="2"/>
      <c r="M1251" t="s">
        <v>2802</v>
      </c>
    </row>
    <row r="1252" spans="1:13">
      <c r="A1252" t="s">
        <v>28</v>
      </c>
      <c r="B1252">
        <f ca="1">IF(OR(changes[[#This Row],[Type]]="Checklist",changes[[#This Row],[Type]]="checklist-flat"),1+IF(changes[[#This Row],[Type of change]] = "Edit",COUNTIFS($I$4:changes[[#This Row],[Name]],changes[[#This Row],[Name]], $E$4:changes[[#This Row],[Type of change]], "Edit")),B1251)</f>
        <v>1</v>
      </c>
      <c r="C1252" s="16">
        <v>44641</v>
      </c>
      <c r="D1252" s="1" t="s">
        <v>2458</v>
      </c>
      <c r="E1252" t="s">
        <v>27</v>
      </c>
      <c r="F1252" s="10" t="s">
        <v>9</v>
      </c>
      <c r="G1252" t="s">
        <v>1304</v>
      </c>
      <c r="H1252" t="s">
        <v>55</v>
      </c>
      <c r="I1252" t="s">
        <v>1314</v>
      </c>
      <c r="K1252" s="2"/>
      <c r="M1252" t="s">
        <v>2802</v>
      </c>
    </row>
    <row r="1253" spans="1:13">
      <c r="A1253" t="s">
        <v>28</v>
      </c>
      <c r="B1253">
        <f ca="1">IF(OR(changes[[#This Row],[Type]]="Checklist",changes[[#This Row],[Type]]="checklist-flat"),1+IF(changes[[#This Row],[Type of change]] = "Edit",COUNTIFS($I$4:changes[[#This Row],[Name]],changes[[#This Row],[Name]], $E$4:changes[[#This Row],[Type of change]], "Edit")),B1252)</f>
        <v>1</v>
      </c>
      <c r="C1253" s="16">
        <v>44641</v>
      </c>
      <c r="D1253" s="1" t="s">
        <v>2458</v>
      </c>
      <c r="E1253" t="s">
        <v>27</v>
      </c>
      <c r="F1253" s="10" t="s">
        <v>9</v>
      </c>
      <c r="G1253" t="s">
        <v>1304</v>
      </c>
      <c r="H1253" t="s">
        <v>55</v>
      </c>
      <c r="I1253" t="s">
        <v>2565</v>
      </c>
      <c r="K1253" s="2"/>
      <c r="M1253" t="s">
        <v>2802</v>
      </c>
    </row>
    <row r="1254" spans="1:13">
      <c r="A1254" t="s">
        <v>28</v>
      </c>
      <c r="B1254">
        <f ca="1">IF(OR(changes[[#This Row],[Type]]="Checklist",changes[[#This Row],[Type]]="checklist-flat"),1+IF(changes[[#This Row],[Type of change]] = "Edit",COUNTIFS($I$4:changes[[#This Row],[Name]],changes[[#This Row],[Name]], $E$4:changes[[#This Row],[Type of change]], "Edit")),B1253)</f>
        <v>1</v>
      </c>
      <c r="C1254" s="16">
        <v>44641</v>
      </c>
      <c r="D1254" s="1" t="s">
        <v>2458</v>
      </c>
      <c r="E1254" t="s">
        <v>27</v>
      </c>
      <c r="F1254" s="10" t="s">
        <v>9</v>
      </c>
      <c r="G1254" t="s">
        <v>1304</v>
      </c>
      <c r="H1254" t="s">
        <v>55</v>
      </c>
      <c r="I1254" t="s">
        <v>1316</v>
      </c>
      <c r="K1254" s="2"/>
      <c r="M1254" t="s">
        <v>2802</v>
      </c>
    </row>
    <row r="1255" spans="1:13">
      <c r="A1255" t="s">
        <v>28</v>
      </c>
      <c r="B1255">
        <f ca="1">IF(OR(changes[[#This Row],[Type]]="Checklist",changes[[#This Row],[Type]]="checklist-flat"),1+IF(changes[[#This Row],[Type of change]] = "Edit",COUNTIFS($I$4:changes[[#This Row],[Name]],changes[[#This Row],[Name]], $E$4:changes[[#This Row],[Type of change]], "Edit")),B1254)</f>
        <v>1</v>
      </c>
      <c r="C1255" s="16">
        <v>44641</v>
      </c>
      <c r="D1255" s="1" t="s">
        <v>2458</v>
      </c>
      <c r="E1255" t="s">
        <v>27</v>
      </c>
      <c r="F1255" s="10" t="s">
        <v>9</v>
      </c>
      <c r="G1255" t="s">
        <v>1304</v>
      </c>
      <c r="H1255" t="s">
        <v>55</v>
      </c>
      <c r="I1255" t="s">
        <v>1317</v>
      </c>
      <c r="K1255" s="2"/>
      <c r="M1255" t="s">
        <v>2802</v>
      </c>
    </row>
    <row r="1256" spans="1:13">
      <c r="A1256" t="s">
        <v>28</v>
      </c>
      <c r="B1256">
        <f ca="1">IF(OR(changes[[#This Row],[Type]]="Checklist",changes[[#This Row],[Type]]="checklist-flat"),1+IF(changes[[#This Row],[Type of change]] = "Edit",COUNTIFS($I$4:changes[[#This Row],[Name]],changes[[#This Row],[Name]], $E$4:changes[[#This Row],[Type of change]], "Edit")),B1255)</f>
        <v>1</v>
      </c>
      <c r="C1256" s="16">
        <v>44641</v>
      </c>
      <c r="D1256" s="1" t="s">
        <v>2458</v>
      </c>
      <c r="E1256" t="s">
        <v>27</v>
      </c>
      <c r="F1256" s="10" t="s">
        <v>9</v>
      </c>
      <c r="G1256" t="s">
        <v>1304</v>
      </c>
      <c r="H1256" t="s">
        <v>55</v>
      </c>
      <c r="I1256" t="s">
        <v>1318</v>
      </c>
      <c r="K1256" s="2"/>
      <c r="M1256" t="s">
        <v>2802</v>
      </c>
    </row>
    <row r="1257" spans="1:13">
      <c r="A1257" t="s">
        <v>28</v>
      </c>
      <c r="B1257">
        <f ca="1">IF(OR(changes[[#This Row],[Type]]="Checklist",changes[[#This Row],[Type]]="checklist-flat"),1+IF(changes[[#This Row],[Type of change]] = "Edit",COUNTIFS($I$4:changes[[#This Row],[Name]],changes[[#This Row],[Name]], $E$4:changes[[#This Row],[Type of change]], "Edit")),B1256)</f>
        <v>1</v>
      </c>
      <c r="C1257" s="16">
        <v>44641</v>
      </c>
      <c r="D1257" s="1" t="s">
        <v>2458</v>
      </c>
      <c r="E1257" t="s">
        <v>27</v>
      </c>
      <c r="F1257" s="10" t="s">
        <v>9</v>
      </c>
      <c r="G1257" t="s">
        <v>1304</v>
      </c>
      <c r="H1257" t="s">
        <v>55</v>
      </c>
      <c r="I1257" t="s">
        <v>1319</v>
      </c>
      <c r="K1257" s="2"/>
      <c r="M1257" t="s">
        <v>2802</v>
      </c>
    </row>
    <row r="1258" spans="1:13">
      <c r="A1258" t="s">
        <v>28</v>
      </c>
      <c r="B1258">
        <f ca="1">IF(OR(changes[[#This Row],[Type]]="Checklist",changes[[#This Row],[Type]]="checklist-flat"),1+IF(changes[[#This Row],[Type of change]] = "Edit",COUNTIFS($I$4:changes[[#This Row],[Name]],changes[[#This Row],[Name]], $E$4:changes[[#This Row],[Type of change]], "Edit")),B1257)</f>
        <v>1</v>
      </c>
      <c r="C1258" s="16">
        <v>44641</v>
      </c>
      <c r="D1258" s="1" t="s">
        <v>2458</v>
      </c>
      <c r="E1258" t="s">
        <v>27</v>
      </c>
      <c r="F1258" s="10" t="s">
        <v>9</v>
      </c>
      <c r="G1258" t="s">
        <v>1304</v>
      </c>
      <c r="H1258" t="s">
        <v>55</v>
      </c>
      <c r="I1258" t="s">
        <v>1320</v>
      </c>
      <c r="K1258" s="2"/>
      <c r="M1258" t="s">
        <v>2802</v>
      </c>
    </row>
    <row r="1259" spans="1:13">
      <c r="A1259" t="s">
        <v>28</v>
      </c>
      <c r="B1259">
        <f ca="1">IF(OR(changes[[#This Row],[Type]]="Checklist",changes[[#This Row],[Type]]="checklist-flat"),1+IF(changes[[#This Row],[Type of change]] = "Edit",COUNTIFS($I$4:changes[[#This Row],[Name]],changes[[#This Row],[Name]], $E$4:changes[[#This Row],[Type of change]], "Edit")),B1258)</f>
        <v>1</v>
      </c>
      <c r="C1259" s="16">
        <v>44641</v>
      </c>
      <c r="D1259" s="1" t="s">
        <v>2458</v>
      </c>
      <c r="E1259" t="s">
        <v>27</v>
      </c>
      <c r="F1259" s="10" t="s">
        <v>9</v>
      </c>
      <c r="G1259" t="s">
        <v>1304</v>
      </c>
      <c r="H1259" t="s">
        <v>55</v>
      </c>
      <c r="I1259" t="s">
        <v>1321</v>
      </c>
      <c r="K1259" s="2"/>
      <c r="M1259" t="s">
        <v>2802</v>
      </c>
    </row>
    <row r="1260" spans="1:13">
      <c r="A1260" t="s">
        <v>28</v>
      </c>
      <c r="B1260">
        <f ca="1">IF(OR(changes[[#This Row],[Type]]="Checklist",changes[[#This Row],[Type]]="checklist-flat"),1+IF(changes[[#This Row],[Type of change]] = "Edit",COUNTIFS($I$4:changes[[#This Row],[Name]],changes[[#This Row],[Name]], $E$4:changes[[#This Row],[Type of change]], "Edit")),B1259)</f>
        <v>1</v>
      </c>
      <c r="C1260" s="16">
        <v>44642</v>
      </c>
      <c r="D1260" s="1" t="s">
        <v>2458</v>
      </c>
      <c r="E1260" t="s">
        <v>27</v>
      </c>
      <c r="F1260" s="10" t="s">
        <v>9</v>
      </c>
      <c r="G1260" t="s">
        <v>1164</v>
      </c>
      <c r="H1260" t="s">
        <v>47</v>
      </c>
      <c r="I1260" t="s">
        <v>1164</v>
      </c>
      <c r="K1260" s="2"/>
      <c r="M1260" t="s">
        <v>2802</v>
      </c>
    </row>
    <row r="1261" spans="1:13">
      <c r="A1261" t="s">
        <v>28</v>
      </c>
      <c r="B1261">
        <f ca="1">IF(OR(changes[[#This Row],[Type]]="Checklist",changes[[#This Row],[Type]]="checklist-flat"),1+IF(changes[[#This Row],[Type of change]] = "Edit",COUNTIFS($I$4:changes[[#This Row],[Name]],changes[[#This Row],[Name]], $E$4:changes[[#This Row],[Type of change]], "Edit")),B1260)</f>
        <v>1</v>
      </c>
      <c r="C1261" s="16">
        <v>44642</v>
      </c>
      <c r="D1261" s="1" t="s">
        <v>2458</v>
      </c>
      <c r="E1261" t="s">
        <v>27</v>
      </c>
      <c r="F1261" s="10" t="s">
        <v>9</v>
      </c>
      <c r="G1261" t="s">
        <v>1164</v>
      </c>
      <c r="H1261" t="s">
        <v>55</v>
      </c>
      <c r="I1261" t="s">
        <v>1165</v>
      </c>
      <c r="K1261" s="2"/>
      <c r="M1261" t="s">
        <v>2802</v>
      </c>
    </row>
    <row r="1262" spans="1:13">
      <c r="A1262" t="s">
        <v>28</v>
      </c>
      <c r="B1262">
        <f ca="1">IF(OR(changes[[#This Row],[Type]]="Checklist",changes[[#This Row],[Type]]="checklist-flat"),1+IF(changes[[#This Row],[Type of change]] = "Edit",COUNTIFS($I$4:changes[[#This Row],[Name]],changes[[#This Row],[Name]], $E$4:changes[[#This Row],[Type of change]], "Edit")),B1261)</f>
        <v>1</v>
      </c>
      <c r="C1262" s="16">
        <v>44642</v>
      </c>
      <c r="D1262" s="1" t="s">
        <v>2458</v>
      </c>
      <c r="E1262" t="s">
        <v>27</v>
      </c>
      <c r="F1262" s="10" t="s">
        <v>9</v>
      </c>
      <c r="G1262" t="s">
        <v>1164</v>
      </c>
      <c r="H1262" t="s">
        <v>55</v>
      </c>
      <c r="I1262" t="s">
        <v>1166</v>
      </c>
      <c r="K1262" s="2"/>
      <c r="M1262" t="s">
        <v>2802</v>
      </c>
    </row>
    <row r="1263" spans="1:13">
      <c r="A1263" t="s">
        <v>28</v>
      </c>
      <c r="B1263">
        <f ca="1">IF(OR(changes[[#This Row],[Type]]="Checklist",changes[[#This Row],[Type]]="checklist-flat"),1+IF(changes[[#This Row],[Type of change]] = "Edit",COUNTIFS($I$4:changes[[#This Row],[Name]],changes[[#This Row],[Name]], $E$4:changes[[#This Row],[Type of change]], "Edit")),B1262)</f>
        <v>1</v>
      </c>
      <c r="C1263" s="16">
        <v>44642</v>
      </c>
      <c r="D1263" s="1" t="s">
        <v>2458</v>
      </c>
      <c r="E1263" t="s">
        <v>27</v>
      </c>
      <c r="F1263" s="10" t="s">
        <v>9</v>
      </c>
      <c r="G1263" t="s">
        <v>1164</v>
      </c>
      <c r="H1263" t="s">
        <v>55</v>
      </c>
      <c r="I1263" t="s">
        <v>1167</v>
      </c>
      <c r="K1263" s="2"/>
      <c r="M1263" t="s">
        <v>2802</v>
      </c>
    </row>
    <row r="1264" spans="1:13">
      <c r="A1264" t="s">
        <v>28</v>
      </c>
      <c r="B1264">
        <f ca="1">IF(OR(changes[[#This Row],[Type]]="Checklist",changes[[#This Row],[Type]]="checklist-flat"),1+IF(changes[[#This Row],[Type of change]] = "Edit",COUNTIFS($I$4:changes[[#This Row],[Name]],changes[[#This Row],[Name]], $E$4:changes[[#This Row],[Type of change]], "Edit")),B1263)</f>
        <v>1</v>
      </c>
      <c r="C1264" s="16">
        <v>44642</v>
      </c>
      <c r="D1264" s="1" t="s">
        <v>2458</v>
      </c>
      <c r="E1264" t="s">
        <v>27</v>
      </c>
      <c r="F1264" s="10" t="s">
        <v>9</v>
      </c>
      <c r="G1264" t="s">
        <v>1164</v>
      </c>
      <c r="H1264" t="s">
        <v>55</v>
      </c>
      <c r="I1264" t="s">
        <v>1168</v>
      </c>
      <c r="K1264" s="2"/>
      <c r="M1264" t="s">
        <v>2802</v>
      </c>
    </row>
    <row r="1265" spans="1:13">
      <c r="A1265" t="s">
        <v>28</v>
      </c>
      <c r="B1265">
        <f ca="1">IF(OR(changes[[#This Row],[Type]]="Checklist",changes[[#This Row],[Type]]="checklist-flat"),1+IF(changes[[#This Row],[Type of change]] = "Edit",COUNTIFS($I$4:changes[[#This Row],[Name]],changes[[#This Row],[Name]], $E$4:changes[[#This Row],[Type of change]], "Edit")),B1264)</f>
        <v>1</v>
      </c>
      <c r="C1265" s="16">
        <v>44642</v>
      </c>
      <c r="D1265" s="1" t="s">
        <v>2458</v>
      </c>
      <c r="E1265" t="s">
        <v>27</v>
      </c>
      <c r="F1265" s="10" t="s">
        <v>9</v>
      </c>
      <c r="G1265" t="s">
        <v>1164</v>
      </c>
      <c r="H1265" t="s">
        <v>55</v>
      </c>
      <c r="I1265" t="s">
        <v>1169</v>
      </c>
      <c r="K1265" s="2"/>
      <c r="M1265" t="s">
        <v>2802</v>
      </c>
    </row>
    <row r="1266" spans="1:13">
      <c r="A1266" t="s">
        <v>28</v>
      </c>
      <c r="B1266">
        <f ca="1">IF(OR(changes[[#This Row],[Type]]="Checklist",changes[[#This Row],[Type]]="checklist-flat"),1+IF(changes[[#This Row],[Type of change]] = "Edit",COUNTIFS($I$4:changes[[#This Row],[Name]],changes[[#This Row],[Name]], $E$4:changes[[#This Row],[Type of change]], "Edit")),B1265)</f>
        <v>1</v>
      </c>
      <c r="C1266" s="16">
        <v>44642</v>
      </c>
      <c r="D1266" s="1" t="s">
        <v>2458</v>
      </c>
      <c r="E1266" t="s">
        <v>27</v>
      </c>
      <c r="F1266" s="10" t="s">
        <v>9</v>
      </c>
      <c r="G1266" t="s">
        <v>1164</v>
      </c>
      <c r="H1266" t="s">
        <v>55</v>
      </c>
      <c r="I1266" t="s">
        <v>1170</v>
      </c>
      <c r="K1266" s="2"/>
      <c r="M1266" t="s">
        <v>2802</v>
      </c>
    </row>
    <row r="1267" spans="1:13">
      <c r="A1267" t="s">
        <v>28</v>
      </c>
      <c r="B1267">
        <f ca="1">IF(OR(changes[[#This Row],[Type]]="Checklist",changes[[#This Row],[Type]]="checklist-flat"),1+IF(changes[[#This Row],[Type of change]] = "Edit",COUNTIFS($I$4:changes[[#This Row],[Name]],changes[[#This Row],[Name]], $E$4:changes[[#This Row],[Type of change]], "Edit")),B1266)</f>
        <v>1</v>
      </c>
      <c r="C1267" s="16">
        <v>44642</v>
      </c>
      <c r="D1267" s="1" t="s">
        <v>2458</v>
      </c>
      <c r="E1267" t="s">
        <v>27</v>
      </c>
      <c r="F1267" s="10" t="s">
        <v>9</v>
      </c>
      <c r="G1267" t="s">
        <v>1164</v>
      </c>
      <c r="H1267" t="s">
        <v>55</v>
      </c>
      <c r="I1267" t="s">
        <v>1171</v>
      </c>
      <c r="K1267" s="2"/>
      <c r="M1267" t="s">
        <v>2802</v>
      </c>
    </row>
    <row r="1268" spans="1:13">
      <c r="A1268" t="s">
        <v>28</v>
      </c>
      <c r="B1268">
        <f ca="1">IF(OR(changes[[#This Row],[Type]]="Checklist",changes[[#This Row],[Type]]="checklist-flat"),1+IF(changes[[#This Row],[Type of change]] = "Edit",COUNTIFS($I$4:changes[[#This Row],[Name]],changes[[#This Row],[Name]], $E$4:changes[[#This Row],[Type of change]], "Edit")),B1267)</f>
        <v>1</v>
      </c>
      <c r="C1268" s="16">
        <v>44642</v>
      </c>
      <c r="D1268" s="1" t="s">
        <v>2458</v>
      </c>
      <c r="E1268" t="s">
        <v>27</v>
      </c>
      <c r="F1268" s="10" t="s">
        <v>9</v>
      </c>
      <c r="G1268" t="s">
        <v>1164</v>
      </c>
      <c r="H1268" t="s">
        <v>55</v>
      </c>
      <c r="I1268" t="s">
        <v>1172</v>
      </c>
      <c r="K1268" s="2"/>
      <c r="M1268" t="s">
        <v>2802</v>
      </c>
    </row>
    <row r="1269" spans="1:13">
      <c r="A1269" t="s">
        <v>28</v>
      </c>
      <c r="B1269">
        <f ca="1">IF(OR(changes[[#This Row],[Type]]="Checklist",changes[[#This Row],[Type]]="checklist-flat"),1+IF(changes[[#This Row],[Type of change]] = "Edit",COUNTIFS($I$4:changes[[#This Row],[Name]],changes[[#This Row],[Name]], $E$4:changes[[#This Row],[Type of change]], "Edit")),B1268)</f>
        <v>1</v>
      </c>
      <c r="C1269" s="16">
        <v>44642</v>
      </c>
      <c r="D1269" s="1" t="s">
        <v>2458</v>
      </c>
      <c r="E1269" t="s">
        <v>27</v>
      </c>
      <c r="F1269" s="10" t="s">
        <v>9</v>
      </c>
      <c r="G1269" t="s">
        <v>1164</v>
      </c>
      <c r="H1269" t="s">
        <v>55</v>
      </c>
      <c r="I1269" t="s">
        <v>1173</v>
      </c>
      <c r="K1269" s="2"/>
      <c r="M1269" t="s">
        <v>2802</v>
      </c>
    </row>
    <row r="1270" spans="1:13">
      <c r="A1270" t="s">
        <v>28</v>
      </c>
      <c r="B1270">
        <f ca="1">IF(OR(changes[[#This Row],[Type]]="Checklist",changes[[#This Row],[Type]]="checklist-flat"),1+IF(changes[[#This Row],[Type of change]] = "Edit",COUNTIFS($I$4:changes[[#This Row],[Name]],changes[[#This Row],[Name]], $E$4:changes[[#This Row],[Type of change]], "Edit")),B1269)</f>
        <v>1</v>
      </c>
      <c r="C1270" s="16">
        <v>44642</v>
      </c>
      <c r="D1270" s="1" t="s">
        <v>2458</v>
      </c>
      <c r="E1270" t="s">
        <v>27</v>
      </c>
      <c r="F1270" s="10" t="s">
        <v>9</v>
      </c>
      <c r="G1270" t="s">
        <v>1164</v>
      </c>
      <c r="H1270" t="s">
        <v>55</v>
      </c>
      <c r="I1270" t="s">
        <v>1174</v>
      </c>
      <c r="K1270" s="2"/>
      <c r="M1270" t="s">
        <v>2802</v>
      </c>
    </row>
    <row r="1271" spans="1:13">
      <c r="A1271" t="s">
        <v>28</v>
      </c>
      <c r="B1271">
        <f ca="1">IF(OR(changes[[#This Row],[Type]]="Checklist",changes[[#This Row],[Type]]="checklist-flat"),1+IF(changes[[#This Row],[Type of change]] = "Edit",COUNTIFS($I$4:changes[[#This Row],[Name]],changes[[#This Row],[Name]], $E$4:changes[[#This Row],[Type of change]], "Edit")),B1270)</f>
        <v>1</v>
      </c>
      <c r="C1271" s="16">
        <v>44648</v>
      </c>
      <c r="D1271" s="1" t="s">
        <v>2484</v>
      </c>
      <c r="E1271" t="s">
        <v>27</v>
      </c>
      <c r="F1271" s="10" t="s">
        <v>9</v>
      </c>
      <c r="G1271" t="s">
        <v>1441</v>
      </c>
      <c r="H1271" t="s">
        <v>478</v>
      </c>
      <c r="I1271" t="s">
        <v>1441</v>
      </c>
      <c r="K1271" s="2"/>
      <c r="M1271" t="s">
        <v>2806</v>
      </c>
    </row>
    <row r="1272" spans="1:13">
      <c r="A1272" t="s">
        <v>28</v>
      </c>
      <c r="B1272">
        <f ca="1">IF(OR(changes[[#This Row],[Type]]="Checklist",changes[[#This Row],[Type]]="checklist-flat"),1+IF(changes[[#This Row],[Type of change]] = "Edit",COUNTIFS($I$4:changes[[#This Row],[Name]],changes[[#This Row],[Name]], $E$4:changes[[#This Row],[Type of change]], "Edit")),B1271)</f>
        <v>1</v>
      </c>
      <c r="C1272" s="16">
        <v>44648</v>
      </c>
      <c r="D1272" s="1" t="s">
        <v>2484</v>
      </c>
      <c r="E1272" t="s">
        <v>27</v>
      </c>
      <c r="F1272" s="10" t="s">
        <v>9</v>
      </c>
      <c r="G1272" t="s">
        <v>1441</v>
      </c>
      <c r="H1272" t="s">
        <v>55</v>
      </c>
      <c r="I1272" t="s">
        <v>1442</v>
      </c>
      <c r="K1272" s="2"/>
      <c r="M1272" s="2"/>
    </row>
    <row r="1273" spans="1:13">
      <c r="A1273" t="s">
        <v>28</v>
      </c>
      <c r="B1273">
        <f ca="1">IF(OR(changes[[#This Row],[Type]]="Checklist",changes[[#This Row],[Type]]="checklist-flat"),1+IF(changes[[#This Row],[Type of change]] = "Edit",COUNTIFS($I$4:changes[[#This Row],[Name]],changes[[#This Row],[Name]], $E$4:changes[[#This Row],[Type of change]], "Edit")),B1272)</f>
        <v>1</v>
      </c>
      <c r="C1273" s="16">
        <v>44648</v>
      </c>
      <c r="D1273" s="1" t="s">
        <v>2484</v>
      </c>
      <c r="E1273" t="s">
        <v>27</v>
      </c>
      <c r="F1273" s="10" t="s">
        <v>9</v>
      </c>
      <c r="G1273" t="s">
        <v>1441</v>
      </c>
      <c r="H1273" t="s">
        <v>214</v>
      </c>
      <c r="I1273" t="s">
        <v>1443</v>
      </c>
      <c r="K1273" s="2"/>
      <c r="M1273" s="2"/>
    </row>
    <row r="1274" spans="1:13">
      <c r="A1274" t="s">
        <v>28</v>
      </c>
      <c r="B1274">
        <f ca="1">IF(OR(changes[[#This Row],[Type]]="Checklist",changes[[#This Row],[Type]]="checklist-flat"),1+IF(changes[[#This Row],[Type of change]] = "Edit",COUNTIFS($I$4:changes[[#This Row],[Name]],changes[[#This Row],[Name]], $E$4:changes[[#This Row],[Type of change]], "Edit")),B1273)</f>
        <v>1</v>
      </c>
      <c r="C1274" s="16">
        <v>44648</v>
      </c>
      <c r="D1274" s="1" t="s">
        <v>2484</v>
      </c>
      <c r="E1274" t="s">
        <v>27</v>
      </c>
      <c r="F1274" s="10" t="s">
        <v>9</v>
      </c>
      <c r="G1274" t="s">
        <v>1441</v>
      </c>
      <c r="H1274" t="s">
        <v>214</v>
      </c>
      <c r="I1274" t="s">
        <v>1444</v>
      </c>
      <c r="K1274" s="2"/>
      <c r="M1274" s="2"/>
    </row>
    <row r="1275" spans="1:13">
      <c r="A1275" t="s">
        <v>28</v>
      </c>
      <c r="B1275">
        <f ca="1">IF(OR(changes[[#This Row],[Type]]="Checklist",changes[[#This Row],[Type]]="checklist-flat"),1+IF(changes[[#This Row],[Type of change]] = "Edit",COUNTIFS($I$4:changes[[#This Row],[Name]],changes[[#This Row],[Name]], $E$4:changes[[#This Row],[Type of change]], "Edit")),B1274)</f>
        <v>1</v>
      </c>
      <c r="C1275" s="16">
        <v>44648</v>
      </c>
      <c r="D1275" s="1" t="s">
        <v>2484</v>
      </c>
      <c r="E1275" t="s">
        <v>27</v>
      </c>
      <c r="F1275" s="10" t="s">
        <v>9</v>
      </c>
      <c r="G1275" t="s">
        <v>1441</v>
      </c>
      <c r="H1275" t="s">
        <v>214</v>
      </c>
      <c r="I1275" t="s">
        <v>1445</v>
      </c>
      <c r="K1275" s="2"/>
      <c r="M1275" s="2"/>
    </row>
    <row r="1276" spans="1:13">
      <c r="A1276" t="s">
        <v>28</v>
      </c>
      <c r="B1276">
        <f ca="1">IF(OR(changes[[#This Row],[Type]]="Checklist",changes[[#This Row],[Type]]="checklist-flat"),1+IF(changes[[#This Row],[Type of change]] = "Edit",COUNTIFS($I$4:changes[[#This Row],[Name]],changes[[#This Row],[Name]], $E$4:changes[[#This Row],[Type of change]], "Edit")),B1275)</f>
        <v>1</v>
      </c>
      <c r="C1276" s="16">
        <v>44648</v>
      </c>
      <c r="D1276" s="1" t="s">
        <v>2484</v>
      </c>
      <c r="E1276" t="s">
        <v>27</v>
      </c>
      <c r="F1276" s="10" t="s">
        <v>9</v>
      </c>
      <c r="G1276" t="s">
        <v>1441</v>
      </c>
      <c r="H1276" t="s">
        <v>214</v>
      </c>
      <c r="I1276" t="s">
        <v>1446</v>
      </c>
      <c r="K1276" s="2"/>
      <c r="M1276" s="2"/>
    </row>
    <row r="1277" spans="1:13">
      <c r="A1277" t="s">
        <v>28</v>
      </c>
      <c r="B1277">
        <f ca="1">IF(OR(changes[[#This Row],[Type]]="Checklist",changes[[#This Row],[Type]]="checklist-flat"),1+IF(changes[[#This Row],[Type of change]] = "Edit",COUNTIFS($I$4:changes[[#This Row],[Name]],changes[[#This Row],[Name]], $E$4:changes[[#This Row],[Type of change]], "Edit")),B1276)</f>
        <v>1</v>
      </c>
      <c r="C1277" s="16">
        <v>44648</v>
      </c>
      <c r="D1277" s="1" t="s">
        <v>2484</v>
      </c>
      <c r="E1277" t="s">
        <v>27</v>
      </c>
      <c r="F1277" s="10" t="s">
        <v>9</v>
      </c>
      <c r="G1277" t="s">
        <v>1441</v>
      </c>
      <c r="H1277" t="s">
        <v>214</v>
      </c>
      <c r="I1277" t="s">
        <v>1447</v>
      </c>
      <c r="K1277" s="2"/>
      <c r="M1277" s="2"/>
    </row>
    <row r="1278" spans="1:13">
      <c r="A1278" t="s">
        <v>28</v>
      </c>
      <c r="B1278">
        <f ca="1">IF(OR(changes[[#This Row],[Type]]="Checklist",changes[[#This Row],[Type]]="checklist-flat"),1+IF(changes[[#This Row],[Type of change]] = "Edit",COUNTIFS($I$4:changes[[#This Row],[Name]],changes[[#This Row],[Name]], $E$4:changes[[#This Row],[Type of change]], "Edit")),B1277)</f>
        <v>1</v>
      </c>
      <c r="C1278" s="16">
        <v>44648</v>
      </c>
      <c r="D1278" s="1" t="s">
        <v>2484</v>
      </c>
      <c r="E1278" t="s">
        <v>27</v>
      </c>
      <c r="F1278" s="10" t="s">
        <v>9</v>
      </c>
      <c r="G1278" t="s">
        <v>1441</v>
      </c>
      <c r="H1278" t="s">
        <v>1448</v>
      </c>
      <c r="I1278" t="s">
        <v>1449</v>
      </c>
      <c r="J1278" t="s">
        <v>2807</v>
      </c>
      <c r="K1278" s="2"/>
      <c r="M1278" s="2"/>
    </row>
    <row r="1279" spans="1:13">
      <c r="A1279" t="s">
        <v>28</v>
      </c>
      <c r="B1279">
        <f ca="1">IF(OR(changes[[#This Row],[Type]]="Checklist",changes[[#This Row],[Type]]="checklist-flat"),1+IF(changes[[#This Row],[Type of change]] = "Edit",COUNTIFS($I$4:changes[[#This Row],[Name]],changes[[#This Row],[Name]], $E$4:changes[[#This Row],[Type of change]], "Edit")),B1278)</f>
        <v>1</v>
      </c>
      <c r="C1279" s="16">
        <v>44648</v>
      </c>
      <c r="D1279" s="1" t="s">
        <v>2484</v>
      </c>
      <c r="E1279" t="s">
        <v>27</v>
      </c>
      <c r="F1279" s="10" t="s">
        <v>9</v>
      </c>
      <c r="G1279" t="s">
        <v>1441</v>
      </c>
      <c r="H1279" t="s">
        <v>214</v>
      </c>
      <c r="I1279" t="s">
        <v>1450</v>
      </c>
      <c r="K1279" s="2"/>
      <c r="M1279" s="2"/>
    </row>
    <row r="1280" spans="1:13">
      <c r="A1280" t="s">
        <v>28</v>
      </c>
      <c r="B1280">
        <f ca="1">IF(OR(changes[[#This Row],[Type]]="Checklist",changes[[#This Row],[Type]]="checklist-flat"),1+IF(changes[[#This Row],[Type of change]] = "Edit",COUNTIFS($I$4:changes[[#This Row],[Name]],changes[[#This Row],[Name]], $E$4:changes[[#This Row],[Type of change]], "Edit")),B1279)</f>
        <v>1</v>
      </c>
      <c r="C1280" s="16">
        <v>44648</v>
      </c>
      <c r="D1280" s="1" t="s">
        <v>2484</v>
      </c>
      <c r="E1280" t="s">
        <v>27</v>
      </c>
      <c r="F1280" s="10" t="s">
        <v>9</v>
      </c>
      <c r="G1280" t="s">
        <v>1441</v>
      </c>
      <c r="H1280" t="s">
        <v>214</v>
      </c>
      <c r="I1280" t="s">
        <v>1451</v>
      </c>
      <c r="K1280" s="2"/>
      <c r="M1280" s="2"/>
    </row>
    <row r="1281" spans="1:13">
      <c r="A1281" t="s">
        <v>28</v>
      </c>
      <c r="B1281">
        <f ca="1">IF(OR(changes[[#This Row],[Type]]="Checklist",changes[[#This Row],[Type]]="checklist-flat"),1+IF(changes[[#This Row],[Type of change]] = "Edit",COUNTIFS($I$4:changes[[#This Row],[Name]],changes[[#This Row],[Name]], $E$4:changes[[#This Row],[Type of change]], "Edit")),B1280)</f>
        <v>1</v>
      </c>
      <c r="C1281" s="16">
        <v>44648</v>
      </c>
      <c r="D1281" s="1" t="s">
        <v>2484</v>
      </c>
      <c r="E1281" t="s">
        <v>27</v>
      </c>
      <c r="F1281" s="10" t="s">
        <v>9</v>
      </c>
      <c r="G1281" t="s">
        <v>1441</v>
      </c>
      <c r="H1281" t="s">
        <v>214</v>
      </c>
      <c r="I1281" t="s">
        <v>1452</v>
      </c>
      <c r="K1281" s="2"/>
      <c r="M1281" s="2"/>
    </row>
    <row r="1282" spans="1:13">
      <c r="A1282" t="s">
        <v>28</v>
      </c>
      <c r="B1282">
        <f ca="1">IF(OR(changes[[#This Row],[Type]]="Checklist",changes[[#This Row],[Type]]="checklist-flat"),1+IF(changes[[#This Row],[Type of change]] = "Edit",COUNTIFS($I$4:changes[[#This Row],[Name]],changes[[#This Row],[Name]], $E$4:changes[[#This Row],[Type of change]], "Edit")),B1281)</f>
        <v>1</v>
      </c>
      <c r="C1282" s="16">
        <v>44648</v>
      </c>
      <c r="D1282" s="1" t="s">
        <v>2484</v>
      </c>
      <c r="E1282" t="s">
        <v>27</v>
      </c>
      <c r="F1282" s="10" t="s">
        <v>9</v>
      </c>
      <c r="G1282" t="s">
        <v>1441</v>
      </c>
      <c r="H1282" t="s">
        <v>55</v>
      </c>
      <c r="I1282" t="s">
        <v>1453</v>
      </c>
      <c r="K1282" s="2"/>
      <c r="M1282" s="2"/>
    </row>
    <row r="1283" spans="1:13">
      <c r="A1283" t="s">
        <v>28</v>
      </c>
      <c r="B1283">
        <f ca="1">IF(OR(changes[[#This Row],[Type]]="Checklist",changes[[#This Row],[Type]]="checklist-flat"),1+IF(changes[[#This Row],[Type of change]] = "Edit",COUNTIFS($I$4:changes[[#This Row],[Name]],changes[[#This Row],[Name]], $E$4:changes[[#This Row],[Type of change]], "Edit")),B1282)</f>
        <v>1</v>
      </c>
      <c r="C1283" s="16">
        <v>44648</v>
      </c>
      <c r="D1283" s="1" t="s">
        <v>2484</v>
      </c>
      <c r="E1283" t="s">
        <v>27</v>
      </c>
      <c r="F1283" s="10" t="s">
        <v>9</v>
      </c>
      <c r="G1283" t="s">
        <v>1433</v>
      </c>
      <c r="H1283" t="s">
        <v>478</v>
      </c>
      <c r="I1283" t="s">
        <v>1433</v>
      </c>
      <c r="K1283" s="2"/>
      <c r="M1283" t="s">
        <v>2808</v>
      </c>
    </row>
    <row r="1284" spans="1:13">
      <c r="A1284" t="s">
        <v>28</v>
      </c>
      <c r="B1284">
        <f ca="1">IF(OR(changes[[#This Row],[Type]]="Checklist",changes[[#This Row],[Type]]="checklist-flat"),1+IF(changes[[#This Row],[Type of change]] = "Edit",COUNTIFS($I$4:changes[[#This Row],[Name]],changes[[#This Row],[Name]], $E$4:changes[[#This Row],[Type of change]], "Edit")),B1283)</f>
        <v>1</v>
      </c>
      <c r="C1284" s="16">
        <v>44648</v>
      </c>
      <c r="D1284" s="1" t="s">
        <v>2484</v>
      </c>
      <c r="E1284" t="s">
        <v>27</v>
      </c>
      <c r="F1284" s="10" t="s">
        <v>9</v>
      </c>
      <c r="G1284" t="s">
        <v>1433</v>
      </c>
      <c r="H1284" t="s">
        <v>55</v>
      </c>
      <c r="I1284" t="s">
        <v>1434</v>
      </c>
      <c r="K1284" s="2"/>
      <c r="M1284" s="2"/>
    </row>
    <row r="1285" spans="1:13">
      <c r="A1285" t="s">
        <v>28</v>
      </c>
      <c r="B1285">
        <f ca="1">IF(OR(changes[[#This Row],[Type]]="Checklist",changes[[#This Row],[Type]]="checklist-flat"),1+IF(changes[[#This Row],[Type of change]] = "Edit",COUNTIFS($I$4:changes[[#This Row],[Name]],changes[[#This Row],[Name]], $E$4:changes[[#This Row],[Type of change]], "Edit")),B1284)</f>
        <v>1</v>
      </c>
      <c r="C1285" s="16">
        <v>44648</v>
      </c>
      <c r="D1285" s="1" t="s">
        <v>2484</v>
      </c>
      <c r="E1285" t="s">
        <v>27</v>
      </c>
      <c r="F1285" s="10" t="s">
        <v>9</v>
      </c>
      <c r="G1285" t="s">
        <v>1433</v>
      </c>
      <c r="H1285" t="s">
        <v>55</v>
      </c>
      <c r="I1285" t="s">
        <v>1435</v>
      </c>
      <c r="K1285" s="2"/>
      <c r="M1285" s="2"/>
    </row>
    <row r="1286" spans="1:13">
      <c r="A1286" t="s">
        <v>28</v>
      </c>
      <c r="B1286">
        <f ca="1">IF(OR(changes[[#This Row],[Type]]="Checklist",changes[[#This Row],[Type]]="checklist-flat"),1+IF(changes[[#This Row],[Type of change]] = "Edit",COUNTIFS($I$4:changes[[#This Row],[Name]],changes[[#This Row],[Name]], $E$4:changes[[#This Row],[Type of change]], "Edit")),B1285)</f>
        <v>1</v>
      </c>
      <c r="C1286" s="16">
        <v>44648</v>
      </c>
      <c r="D1286" s="1" t="s">
        <v>2484</v>
      </c>
      <c r="E1286" t="s">
        <v>27</v>
      </c>
      <c r="F1286" s="10" t="s">
        <v>9</v>
      </c>
      <c r="G1286" t="s">
        <v>1433</v>
      </c>
      <c r="H1286" t="s">
        <v>55</v>
      </c>
      <c r="I1286" t="s">
        <v>1436</v>
      </c>
      <c r="K1286" s="2"/>
      <c r="M1286" s="2"/>
    </row>
    <row r="1287" spans="1:13">
      <c r="A1287" t="s">
        <v>28</v>
      </c>
      <c r="B1287">
        <f ca="1">IF(OR(changes[[#This Row],[Type]]="Checklist",changes[[#This Row],[Type]]="checklist-flat"),1+IF(changes[[#This Row],[Type of change]] = "Edit",COUNTIFS($I$4:changes[[#This Row],[Name]],changes[[#This Row],[Name]], $E$4:changes[[#This Row],[Type of change]], "Edit")),B1286)</f>
        <v>1</v>
      </c>
      <c r="C1287" s="16">
        <v>44648</v>
      </c>
      <c r="D1287" s="1" t="s">
        <v>2484</v>
      </c>
      <c r="E1287" t="s">
        <v>27</v>
      </c>
      <c r="F1287" s="10" t="s">
        <v>9</v>
      </c>
      <c r="G1287" t="s">
        <v>1433</v>
      </c>
      <c r="H1287" t="s">
        <v>55</v>
      </c>
      <c r="I1287" t="s">
        <v>1437</v>
      </c>
      <c r="K1287" s="2"/>
      <c r="M1287" s="2"/>
    </row>
    <row r="1288" spans="1:13">
      <c r="A1288" t="s">
        <v>28</v>
      </c>
      <c r="B1288">
        <f ca="1">IF(OR(changes[[#This Row],[Type]]="Checklist",changes[[#This Row],[Type]]="checklist-flat"),1+IF(changes[[#This Row],[Type of change]] = "Edit",COUNTIFS($I$4:changes[[#This Row],[Name]],changes[[#This Row],[Name]], $E$4:changes[[#This Row],[Type of change]], "Edit")),B1287)</f>
        <v>1</v>
      </c>
      <c r="C1288" s="16">
        <v>44648</v>
      </c>
      <c r="D1288" s="1" t="s">
        <v>2484</v>
      </c>
      <c r="E1288" t="s">
        <v>27</v>
      </c>
      <c r="F1288" s="10" t="s">
        <v>9</v>
      </c>
      <c r="G1288" t="s">
        <v>1433</v>
      </c>
      <c r="H1288" t="s">
        <v>55</v>
      </c>
      <c r="I1288" t="s">
        <v>1438</v>
      </c>
      <c r="K1288" s="2"/>
      <c r="M1288" s="2"/>
    </row>
    <row r="1289" spans="1:13">
      <c r="A1289" t="s">
        <v>28</v>
      </c>
      <c r="B1289">
        <f ca="1">IF(OR(changes[[#This Row],[Type]]="Checklist",changes[[#This Row],[Type]]="checklist-flat"),1+IF(changes[[#This Row],[Type of change]] = "Edit",COUNTIFS($I$4:changes[[#This Row],[Name]],changes[[#This Row],[Name]], $E$4:changes[[#This Row],[Type of change]], "Edit")),B1288)</f>
        <v>1</v>
      </c>
      <c r="C1289" s="16">
        <v>44648</v>
      </c>
      <c r="D1289" s="1" t="s">
        <v>2484</v>
      </c>
      <c r="E1289" t="s">
        <v>27</v>
      </c>
      <c r="F1289" s="10" t="s">
        <v>9</v>
      </c>
      <c r="G1289" t="s">
        <v>1433</v>
      </c>
      <c r="H1289" t="s">
        <v>55</v>
      </c>
      <c r="I1289" t="s">
        <v>1439</v>
      </c>
      <c r="K1289" s="2"/>
      <c r="M1289" s="2"/>
    </row>
    <row r="1290" spans="1:13">
      <c r="A1290" t="s">
        <v>28</v>
      </c>
      <c r="B1290">
        <f ca="1">IF(OR(changes[[#This Row],[Type]]="Checklist",changes[[#This Row],[Type]]="checklist-flat"),1+IF(changes[[#This Row],[Type of change]] = "Edit",COUNTIFS($I$4:changes[[#This Row],[Name]],changes[[#This Row],[Name]], $E$4:changes[[#This Row],[Type of change]], "Edit")),B1289)</f>
        <v>1</v>
      </c>
      <c r="C1290" s="16">
        <v>44648</v>
      </c>
      <c r="D1290" s="1" t="s">
        <v>2484</v>
      </c>
      <c r="E1290" t="s">
        <v>27</v>
      </c>
      <c r="F1290" s="10" t="s">
        <v>9</v>
      </c>
      <c r="G1290" t="s">
        <v>1433</v>
      </c>
      <c r="H1290" s="40" t="s">
        <v>55</v>
      </c>
      <c r="I1290" s="40" t="s">
        <v>1440</v>
      </c>
      <c r="J1290" s="40"/>
      <c r="K1290" s="2"/>
      <c r="M1290" s="2"/>
    </row>
    <row r="1291" spans="1:13" ht="15" customHeight="1">
      <c r="A1291" t="s">
        <v>28</v>
      </c>
      <c r="B1291">
        <f ca="1">IF(OR(changes[[#This Row],[Type]]="Checklist",changes[[#This Row],[Type]]="checklist-flat"),1+IF(changes[[#This Row],[Type of change]] = "Edit",COUNTIFS($I$4:changes[[#This Row],[Name]],changes[[#This Row],[Name]], $E$4:changes[[#This Row],[Type of change]], "Edit")),B1290)</f>
        <v>1</v>
      </c>
      <c r="C1291" s="16">
        <v>44649</v>
      </c>
      <c r="D1291" s="1" t="s">
        <v>2636</v>
      </c>
      <c r="E1291" t="s">
        <v>10</v>
      </c>
      <c r="F1291" s="10" t="s">
        <v>9</v>
      </c>
      <c r="G1291" s="10" t="s">
        <v>1117</v>
      </c>
      <c r="H1291" t="s">
        <v>214</v>
      </c>
      <c r="I1291" s="41" t="s">
        <v>2809</v>
      </c>
      <c r="K1291" s="2"/>
      <c r="M1291" s="2"/>
    </row>
    <row r="1292" spans="1:13">
      <c r="A1292" t="s">
        <v>28</v>
      </c>
      <c r="B1292">
        <f ca="1">IF(OR(changes[[#This Row],[Type]]="Checklist",changes[[#This Row],[Type]]="checklist-flat"),1+IF(changes[[#This Row],[Type of change]] = "Edit",COUNTIFS($I$4:changes[[#This Row],[Name]],changes[[#This Row],[Name]], $E$4:changes[[#This Row],[Type of change]], "Edit")),B1291)</f>
        <v>1</v>
      </c>
      <c r="C1292" s="16">
        <v>44655</v>
      </c>
      <c r="D1292" s="1" t="s">
        <v>2810</v>
      </c>
      <c r="E1292" t="s">
        <v>27</v>
      </c>
      <c r="F1292" s="10" t="s">
        <v>9</v>
      </c>
      <c r="G1292" t="s">
        <v>2811</v>
      </c>
      <c r="H1292" t="s">
        <v>478</v>
      </c>
      <c r="I1292" t="s">
        <v>1157</v>
      </c>
      <c r="K1292" s="2"/>
      <c r="M1292" t="s">
        <v>2802</v>
      </c>
    </row>
    <row r="1293" spans="1:13">
      <c r="A1293" t="s">
        <v>28</v>
      </c>
      <c r="B1293">
        <f ca="1">IF(OR(changes[[#This Row],[Type]]="Checklist",changes[[#This Row],[Type]]="checklist-flat"),1+IF(changes[[#This Row],[Type of change]] = "Edit",COUNTIFS($I$4:changes[[#This Row],[Name]],changes[[#This Row],[Name]], $E$4:changes[[#This Row],[Type of change]], "Edit")),B1292)</f>
        <v>1</v>
      </c>
      <c r="C1293" s="16">
        <v>44655</v>
      </c>
      <c r="D1293" s="1" t="s">
        <v>2810</v>
      </c>
      <c r="E1293" t="s">
        <v>27</v>
      </c>
      <c r="F1293" s="10" t="s">
        <v>9</v>
      </c>
      <c r="G1293" t="s">
        <v>2811</v>
      </c>
      <c r="H1293" t="s">
        <v>55</v>
      </c>
      <c r="I1293" t="s">
        <v>2812</v>
      </c>
      <c r="K1293" s="2"/>
      <c r="M1293" t="s">
        <v>2802</v>
      </c>
    </row>
    <row r="1294" spans="1:13">
      <c r="A1294" t="s">
        <v>28</v>
      </c>
      <c r="B1294">
        <f ca="1">IF(OR(changes[[#This Row],[Type]]="Checklist",changes[[#This Row],[Type]]="checklist-flat"),1+IF(changes[[#This Row],[Type of change]] = "Edit",COUNTIFS($I$4:changes[[#This Row],[Name]],changes[[#This Row],[Name]], $E$4:changes[[#This Row],[Type of change]], "Edit")),B1293)</f>
        <v>1</v>
      </c>
      <c r="C1294" s="16">
        <v>44655</v>
      </c>
      <c r="D1294" s="1" t="s">
        <v>2810</v>
      </c>
      <c r="E1294" t="s">
        <v>27</v>
      </c>
      <c r="F1294" s="10" t="s">
        <v>9</v>
      </c>
      <c r="G1294" t="s">
        <v>2811</v>
      </c>
      <c r="H1294" t="s">
        <v>55</v>
      </c>
      <c r="I1294" t="s">
        <v>1159</v>
      </c>
      <c r="K1294" s="2"/>
      <c r="M1294" t="s">
        <v>2802</v>
      </c>
    </row>
    <row r="1295" spans="1:13">
      <c r="A1295" t="s">
        <v>28</v>
      </c>
      <c r="B1295">
        <f ca="1">IF(OR(changes[[#This Row],[Type]]="Checklist",changes[[#This Row],[Type]]="checklist-flat"),1+IF(changes[[#This Row],[Type of change]] = "Edit",COUNTIFS($I$4:changes[[#This Row],[Name]],changes[[#This Row],[Name]], $E$4:changes[[#This Row],[Type of change]], "Edit")),B1294)</f>
        <v>1</v>
      </c>
      <c r="C1295" s="16">
        <v>44655</v>
      </c>
      <c r="D1295" s="1" t="s">
        <v>2810</v>
      </c>
      <c r="E1295" t="s">
        <v>27</v>
      </c>
      <c r="F1295" s="10" t="s">
        <v>9</v>
      </c>
      <c r="G1295" t="s">
        <v>2811</v>
      </c>
      <c r="H1295" t="s">
        <v>55</v>
      </c>
      <c r="I1295" t="s">
        <v>1160</v>
      </c>
      <c r="K1295" s="2"/>
      <c r="M1295" t="s">
        <v>2802</v>
      </c>
    </row>
    <row r="1296" spans="1:13">
      <c r="A1296" t="s">
        <v>28</v>
      </c>
      <c r="B1296">
        <f ca="1">IF(OR(changes[[#This Row],[Type]]="Checklist",changes[[#This Row],[Type]]="checklist-flat"),1+IF(changes[[#This Row],[Type of change]] = "Edit",COUNTIFS($I$4:changes[[#This Row],[Name]],changes[[#This Row],[Name]], $E$4:changes[[#This Row],[Type of change]], "Edit")),B1295)</f>
        <v>1</v>
      </c>
      <c r="C1296" s="16">
        <v>44655</v>
      </c>
      <c r="D1296" s="1" t="s">
        <v>2810</v>
      </c>
      <c r="E1296" t="s">
        <v>27</v>
      </c>
      <c r="F1296" s="10" t="s">
        <v>9</v>
      </c>
      <c r="G1296" t="s">
        <v>2811</v>
      </c>
      <c r="H1296" t="s">
        <v>55</v>
      </c>
      <c r="I1296" t="s">
        <v>1161</v>
      </c>
      <c r="K1296" s="2"/>
      <c r="M1296" t="s">
        <v>2802</v>
      </c>
    </row>
    <row r="1297" spans="1:13">
      <c r="A1297" t="s">
        <v>28</v>
      </c>
      <c r="B1297">
        <f ca="1">IF(OR(changes[[#This Row],[Type]]="Checklist",changes[[#This Row],[Type]]="checklist-flat"),1+IF(changes[[#This Row],[Type of change]] = "Edit",COUNTIFS($I$4:changes[[#This Row],[Name]],changes[[#This Row],[Name]], $E$4:changes[[#This Row],[Type of change]], "Edit")),B1296)</f>
        <v>1</v>
      </c>
      <c r="C1297" s="16">
        <v>44655</v>
      </c>
      <c r="D1297" s="1" t="s">
        <v>2810</v>
      </c>
      <c r="E1297" t="s">
        <v>27</v>
      </c>
      <c r="F1297" s="10" t="s">
        <v>9</v>
      </c>
      <c r="G1297" t="s">
        <v>2811</v>
      </c>
      <c r="H1297" t="s">
        <v>55</v>
      </c>
      <c r="I1297" t="s">
        <v>1162</v>
      </c>
      <c r="K1297" s="2"/>
      <c r="M1297" t="s">
        <v>2802</v>
      </c>
    </row>
    <row r="1298" spans="1:13">
      <c r="A1298" t="s">
        <v>28</v>
      </c>
      <c r="B1298">
        <f ca="1">IF(OR(changes[[#This Row],[Type]]="Checklist",changes[[#This Row],[Type]]="checklist-flat"),1+IF(changes[[#This Row],[Type of change]] = "Edit",COUNTIFS($I$4:changes[[#This Row],[Name]],changes[[#This Row],[Name]], $E$4:changes[[#This Row],[Type of change]], "Edit")),B1297)</f>
        <v>1</v>
      </c>
      <c r="C1298" s="16">
        <v>44655</v>
      </c>
      <c r="D1298" s="1" t="s">
        <v>2810</v>
      </c>
      <c r="E1298" t="s">
        <v>27</v>
      </c>
      <c r="F1298" s="10" t="s">
        <v>9</v>
      </c>
      <c r="G1298" t="s">
        <v>2811</v>
      </c>
      <c r="H1298" t="s">
        <v>55</v>
      </c>
      <c r="I1298" t="s">
        <v>1163</v>
      </c>
      <c r="K1298" s="2"/>
      <c r="M1298" t="s">
        <v>2802</v>
      </c>
    </row>
    <row r="1299" spans="1:13">
      <c r="A1299" t="s">
        <v>28</v>
      </c>
      <c r="B1299">
        <f ca="1">IF(OR(changes[[#This Row],[Type]]="Checklist",changes[[#This Row],[Type]]="checklist-flat"),1+IF(changes[[#This Row],[Type of change]] = "Edit",COUNTIFS($I$4:changes[[#This Row],[Name]],changes[[#This Row],[Name]], $E$4:changes[[#This Row],[Type of change]], "Edit")),B1298)</f>
        <v>1</v>
      </c>
      <c r="C1299" s="16">
        <v>44657</v>
      </c>
      <c r="D1299" s="1" t="s">
        <v>2484</v>
      </c>
      <c r="E1299" t="s">
        <v>27</v>
      </c>
      <c r="F1299" s="10" t="s">
        <v>9</v>
      </c>
      <c r="G1299" s="30" t="s">
        <v>1819</v>
      </c>
      <c r="H1299" s="30" t="s">
        <v>478</v>
      </c>
      <c r="I1299" s="30" t="s">
        <v>1819</v>
      </c>
      <c r="K1299" s="2"/>
      <c r="M1299" s="2"/>
    </row>
    <row r="1300" spans="1:13">
      <c r="A1300" t="s">
        <v>28</v>
      </c>
      <c r="B1300">
        <f ca="1">IF(OR(changes[[#This Row],[Type]]="Checklist",changes[[#This Row],[Type]]="checklist-flat"),1+IF(changes[[#This Row],[Type of change]] = "Edit",COUNTIFS($I$4:changes[[#This Row],[Name]],changes[[#This Row],[Name]], $E$4:changes[[#This Row],[Type of change]], "Edit")),B1299)</f>
        <v>1</v>
      </c>
      <c r="C1300" s="16">
        <v>44657</v>
      </c>
      <c r="D1300" s="1" t="s">
        <v>2484</v>
      </c>
      <c r="E1300" t="s">
        <v>27</v>
      </c>
      <c r="F1300" s="10" t="s">
        <v>9</v>
      </c>
      <c r="G1300" s="30" t="s">
        <v>1819</v>
      </c>
      <c r="H1300" s="30" t="s">
        <v>55</v>
      </c>
      <c r="I1300" s="30" t="s">
        <v>1820</v>
      </c>
      <c r="K1300" s="2"/>
      <c r="M1300" s="2"/>
    </row>
    <row r="1301" spans="1:13">
      <c r="A1301" t="s">
        <v>28</v>
      </c>
      <c r="B1301">
        <f ca="1">IF(OR(changes[[#This Row],[Type]]="Checklist",changes[[#This Row],[Type]]="checklist-flat"),1+IF(changes[[#This Row],[Type of change]] = "Edit",COUNTIFS($I$4:changes[[#This Row],[Name]],changes[[#This Row],[Name]], $E$4:changes[[#This Row],[Type of change]], "Edit")),B1300)</f>
        <v>1</v>
      </c>
      <c r="C1301" s="16">
        <v>44657</v>
      </c>
      <c r="D1301" s="1" t="s">
        <v>2484</v>
      </c>
      <c r="E1301" t="s">
        <v>27</v>
      </c>
      <c r="F1301" s="10" t="s">
        <v>9</v>
      </c>
      <c r="G1301" s="30" t="s">
        <v>1819</v>
      </c>
      <c r="H1301" s="30" t="s">
        <v>55</v>
      </c>
      <c r="I1301" s="30" t="s">
        <v>1821</v>
      </c>
      <c r="K1301" s="2"/>
      <c r="M1301" s="2"/>
    </row>
    <row r="1302" spans="1:13">
      <c r="A1302" t="s">
        <v>28</v>
      </c>
      <c r="B1302">
        <f ca="1">IF(OR(changes[[#This Row],[Type]]="Checklist",changes[[#This Row],[Type]]="checklist-flat"),1+IF(changes[[#This Row],[Type of change]] = "Edit",COUNTIFS($I$4:changes[[#This Row],[Name]],changes[[#This Row],[Name]], $E$4:changes[[#This Row],[Type of change]], "Edit")),B1301)</f>
        <v>1</v>
      </c>
      <c r="C1302" s="16">
        <v>44657</v>
      </c>
      <c r="D1302" s="1" t="s">
        <v>2484</v>
      </c>
      <c r="E1302" t="s">
        <v>27</v>
      </c>
      <c r="F1302" s="10" t="s">
        <v>9</v>
      </c>
      <c r="G1302" s="30" t="s">
        <v>1819</v>
      </c>
      <c r="H1302" s="30" t="s">
        <v>55</v>
      </c>
      <c r="I1302" s="30" t="s">
        <v>1822</v>
      </c>
      <c r="K1302" s="2"/>
      <c r="M1302" s="2"/>
    </row>
    <row r="1303" spans="1:13">
      <c r="A1303" t="s">
        <v>28</v>
      </c>
      <c r="B1303">
        <f ca="1">IF(OR(changes[[#This Row],[Type]]="Checklist",changes[[#This Row],[Type]]="checklist-flat"),1+IF(changes[[#This Row],[Type of change]] = "Edit",COUNTIFS($I$4:changes[[#This Row],[Name]],changes[[#This Row],[Name]], $E$4:changes[[#This Row],[Type of change]], "Edit")),B1302)</f>
        <v>1</v>
      </c>
      <c r="C1303" s="16">
        <v>44657</v>
      </c>
      <c r="D1303" s="1" t="s">
        <v>2484</v>
      </c>
      <c r="E1303" t="s">
        <v>27</v>
      </c>
      <c r="F1303" s="10" t="s">
        <v>9</v>
      </c>
      <c r="G1303" s="30" t="s">
        <v>1819</v>
      </c>
      <c r="H1303" s="30" t="s">
        <v>55</v>
      </c>
      <c r="I1303" s="30" t="s">
        <v>1823</v>
      </c>
      <c r="K1303" s="2"/>
      <c r="M1303" s="2"/>
    </row>
    <row r="1304" spans="1:13">
      <c r="A1304" t="s">
        <v>28</v>
      </c>
      <c r="B1304">
        <f ca="1">IF(OR(changes[[#This Row],[Type]]="Checklist",changes[[#This Row],[Type]]="checklist-flat"),1+IF(changes[[#This Row],[Type of change]] = "Edit",COUNTIFS($I$4:changes[[#This Row],[Name]],changes[[#This Row],[Name]], $E$4:changes[[#This Row],[Type of change]], "Edit")),B1303)</f>
        <v>1</v>
      </c>
      <c r="C1304" s="16">
        <v>44657</v>
      </c>
      <c r="D1304" s="1" t="s">
        <v>2484</v>
      </c>
      <c r="E1304" t="s">
        <v>27</v>
      </c>
      <c r="F1304" s="10" t="s">
        <v>9</v>
      </c>
      <c r="G1304" s="30" t="s">
        <v>1819</v>
      </c>
      <c r="H1304" s="30" t="s">
        <v>55</v>
      </c>
      <c r="I1304" s="30" t="s">
        <v>1824</v>
      </c>
      <c r="K1304" s="2"/>
      <c r="M1304" s="2"/>
    </row>
    <row r="1305" spans="1:13">
      <c r="A1305" t="s">
        <v>28</v>
      </c>
      <c r="B1305">
        <f ca="1">IF(OR(changes[[#This Row],[Type]]="Checklist",changes[[#This Row],[Type]]="checklist-flat"),1+IF(changes[[#This Row],[Type of change]] = "Edit",COUNTIFS($I$4:changes[[#This Row],[Name]],changes[[#This Row],[Name]], $E$4:changes[[#This Row],[Type of change]], "Edit")),B1304)</f>
        <v>1</v>
      </c>
      <c r="C1305" s="16">
        <v>44657</v>
      </c>
      <c r="D1305" s="1" t="s">
        <v>2450</v>
      </c>
      <c r="E1305" t="s">
        <v>27</v>
      </c>
      <c r="F1305" s="10" t="s">
        <v>9</v>
      </c>
      <c r="G1305" s="10" t="s">
        <v>1949</v>
      </c>
      <c r="H1305" t="s">
        <v>47</v>
      </c>
      <c r="I1305" s="10" t="s">
        <v>1949</v>
      </c>
      <c r="K1305" s="2"/>
      <c r="M1305" s="2"/>
    </row>
    <row r="1306" spans="1:13">
      <c r="A1306" t="s">
        <v>28</v>
      </c>
      <c r="B1306">
        <f ca="1">IF(OR(changes[[#This Row],[Type]]="Checklist",changes[[#This Row],[Type]]="checklist-flat"),1+IF(changes[[#This Row],[Type of change]] = "Edit",COUNTIFS($I$4:changes[[#This Row],[Name]],changes[[#This Row],[Name]], $E$4:changes[[#This Row],[Type of change]], "Edit")),B1305)</f>
        <v>1</v>
      </c>
      <c r="C1306" s="16">
        <v>44657</v>
      </c>
      <c r="D1306" s="1" t="s">
        <v>2450</v>
      </c>
      <c r="E1306" t="s">
        <v>27</v>
      </c>
      <c r="F1306" s="10" t="s">
        <v>9</v>
      </c>
      <c r="G1306" s="10" t="s">
        <v>1949</v>
      </c>
      <c r="H1306" t="s">
        <v>269</v>
      </c>
      <c r="I1306" t="s">
        <v>1951</v>
      </c>
      <c r="K1306" s="2"/>
      <c r="M1306" s="2"/>
    </row>
    <row r="1307" spans="1:13">
      <c r="A1307" t="s">
        <v>28</v>
      </c>
      <c r="B1307">
        <f ca="1">IF(OR(changes[[#This Row],[Type]]="Checklist",changes[[#This Row],[Type]]="checklist-flat"),1+IF(changes[[#This Row],[Type of change]] = "Edit",COUNTIFS($I$4:changes[[#This Row],[Name]],changes[[#This Row],[Name]], $E$4:changes[[#This Row],[Type of change]], "Edit")),B1306)</f>
        <v>1</v>
      </c>
      <c r="C1307" s="16">
        <v>44657</v>
      </c>
      <c r="D1307" s="1" t="s">
        <v>2450</v>
      </c>
      <c r="E1307" t="s">
        <v>27</v>
      </c>
      <c r="F1307" s="10" t="s">
        <v>9</v>
      </c>
      <c r="G1307" s="10" t="s">
        <v>1949</v>
      </c>
      <c r="H1307" t="s">
        <v>269</v>
      </c>
      <c r="I1307" t="s">
        <v>1952</v>
      </c>
      <c r="K1307" s="2"/>
      <c r="M1307" s="2"/>
    </row>
    <row r="1308" spans="1:13">
      <c r="A1308" t="s">
        <v>28</v>
      </c>
      <c r="B1308">
        <f ca="1">IF(OR(changes[[#This Row],[Type]]="Checklist",changes[[#This Row],[Type]]="checklist-flat"),1+IF(changes[[#This Row],[Type of change]] = "Edit",COUNTIFS($I$4:changes[[#This Row],[Name]],changes[[#This Row],[Name]], $E$4:changes[[#This Row],[Type of change]], "Edit")),B1307)</f>
        <v>1</v>
      </c>
      <c r="C1308" s="16">
        <v>44657</v>
      </c>
      <c r="D1308" s="1" t="s">
        <v>2450</v>
      </c>
      <c r="E1308" t="s">
        <v>27</v>
      </c>
      <c r="F1308" s="10" t="s">
        <v>9</v>
      </c>
      <c r="G1308" s="10" t="s">
        <v>1949</v>
      </c>
      <c r="H1308" t="s">
        <v>269</v>
      </c>
      <c r="I1308" t="s">
        <v>1953</v>
      </c>
      <c r="K1308" s="2"/>
      <c r="M1308" s="2"/>
    </row>
    <row r="1309" spans="1:13">
      <c r="A1309" t="s">
        <v>28</v>
      </c>
      <c r="B1309">
        <f ca="1">IF(OR(changes[[#This Row],[Type]]="Checklist",changes[[#This Row],[Type]]="checklist-flat"),1+IF(changes[[#This Row],[Type of change]] = "Edit",COUNTIFS($I$4:changes[[#This Row],[Name]],changes[[#This Row],[Name]], $E$4:changes[[#This Row],[Type of change]], "Edit")),B1308)</f>
        <v>1</v>
      </c>
      <c r="C1309" s="16">
        <v>44657</v>
      </c>
      <c r="D1309" s="1" t="s">
        <v>2450</v>
      </c>
      <c r="E1309" t="s">
        <v>27</v>
      </c>
      <c r="F1309" s="10" t="s">
        <v>9</v>
      </c>
      <c r="G1309" s="10" t="s">
        <v>1949</v>
      </c>
      <c r="H1309" t="s">
        <v>269</v>
      </c>
      <c r="I1309" t="s">
        <v>1954</v>
      </c>
      <c r="K1309" s="2"/>
      <c r="M1309" s="2"/>
    </row>
    <row r="1310" spans="1:13">
      <c r="A1310" t="s">
        <v>28</v>
      </c>
      <c r="B1310">
        <f ca="1">IF(OR(changes[[#This Row],[Type]]="Checklist",changes[[#This Row],[Type]]="checklist-flat"),1+IF(changes[[#This Row],[Type of change]] = "Edit",COUNTIFS($I$4:changes[[#This Row],[Name]],changes[[#This Row],[Name]], $E$4:changes[[#This Row],[Type of change]], "Edit")),B1309)</f>
        <v>1</v>
      </c>
      <c r="C1310" s="16">
        <v>44657</v>
      </c>
      <c r="D1310" s="1" t="s">
        <v>2450</v>
      </c>
      <c r="E1310" t="s">
        <v>27</v>
      </c>
      <c r="F1310" s="10" t="s">
        <v>9</v>
      </c>
      <c r="G1310" s="10" t="s">
        <v>1949</v>
      </c>
      <c r="H1310" t="s">
        <v>269</v>
      </c>
      <c r="I1310" t="s">
        <v>1955</v>
      </c>
      <c r="K1310" s="2"/>
      <c r="M1310" s="2"/>
    </row>
    <row r="1311" spans="1:13">
      <c r="A1311" t="s">
        <v>28</v>
      </c>
      <c r="B1311">
        <f ca="1">IF(OR(changes[[#This Row],[Type]]="Checklist",changes[[#This Row],[Type]]="checklist-flat"),1+IF(changes[[#This Row],[Type of change]] = "Edit",COUNTIFS($I$4:changes[[#This Row],[Name]],changes[[#This Row],[Name]], $E$4:changes[[#This Row],[Type of change]], "Edit")),B1310)</f>
        <v>1</v>
      </c>
      <c r="C1311" s="16">
        <v>44657</v>
      </c>
      <c r="D1311" s="1" t="s">
        <v>2450</v>
      </c>
      <c r="E1311" t="s">
        <v>27</v>
      </c>
      <c r="F1311" s="10" t="s">
        <v>9</v>
      </c>
      <c r="G1311" s="10" t="s">
        <v>1949</v>
      </c>
      <c r="H1311" t="s">
        <v>269</v>
      </c>
      <c r="I1311" t="s">
        <v>1956</v>
      </c>
      <c r="K1311" s="2"/>
      <c r="M1311" s="2"/>
    </row>
    <row r="1312" spans="1:13">
      <c r="A1312" t="s">
        <v>28</v>
      </c>
      <c r="B1312">
        <f ca="1">IF(OR(changes[[#This Row],[Type]]="Checklist",changes[[#This Row],[Type]]="checklist-flat"),1+IF(changes[[#This Row],[Type of change]] = "Edit",COUNTIFS($I$4:changes[[#This Row],[Name]],changes[[#This Row],[Name]], $E$4:changes[[#This Row],[Type of change]], "Edit")),B1311)</f>
        <v>1</v>
      </c>
      <c r="C1312" s="16">
        <v>44657</v>
      </c>
      <c r="D1312" s="1" t="s">
        <v>2450</v>
      </c>
      <c r="E1312" t="s">
        <v>27</v>
      </c>
      <c r="F1312" s="10" t="s">
        <v>9</v>
      </c>
      <c r="G1312" s="10" t="s">
        <v>1949</v>
      </c>
      <c r="H1312" t="s">
        <v>269</v>
      </c>
      <c r="I1312" t="s">
        <v>1957</v>
      </c>
      <c r="K1312" s="2"/>
      <c r="M1312" s="2"/>
    </row>
    <row r="1313" spans="1:13">
      <c r="A1313" t="s">
        <v>28</v>
      </c>
      <c r="B1313">
        <f ca="1">IF(OR(changes[[#This Row],[Type]]="Checklist",changes[[#This Row],[Type]]="checklist-flat"),1+IF(changes[[#This Row],[Type of change]] = "Edit",COUNTIFS($I$4:changes[[#This Row],[Name]],changes[[#This Row],[Name]], $E$4:changes[[#This Row],[Type of change]], "Edit")),B1312)</f>
        <v>1</v>
      </c>
      <c r="C1313" s="16">
        <v>44657</v>
      </c>
      <c r="D1313" s="1" t="s">
        <v>2450</v>
      </c>
      <c r="E1313" t="s">
        <v>27</v>
      </c>
      <c r="F1313" s="10" t="s">
        <v>9</v>
      </c>
      <c r="G1313" s="10" t="s">
        <v>1949</v>
      </c>
      <c r="H1313" t="s">
        <v>269</v>
      </c>
      <c r="I1313" t="s">
        <v>1958</v>
      </c>
      <c r="K1313" s="2"/>
      <c r="M1313" s="2"/>
    </row>
    <row r="1314" spans="1:13">
      <c r="A1314" t="s">
        <v>28</v>
      </c>
      <c r="B1314">
        <f ca="1">IF(OR(changes[[#This Row],[Type]]="Checklist",changes[[#This Row],[Type]]="checklist-flat"),1+IF(changes[[#This Row],[Type of change]] = "Edit",COUNTIFS($I$4:changes[[#This Row],[Name]],changes[[#This Row],[Name]], $E$4:changes[[#This Row],[Type of change]], "Edit")),B1313)</f>
        <v>1</v>
      </c>
      <c r="C1314" s="16">
        <v>44657</v>
      </c>
      <c r="D1314" s="1" t="s">
        <v>2450</v>
      </c>
      <c r="E1314" t="s">
        <v>27</v>
      </c>
      <c r="F1314" s="10" t="s">
        <v>9</v>
      </c>
      <c r="G1314" s="10" t="s">
        <v>1949</v>
      </c>
      <c r="H1314" t="s">
        <v>269</v>
      </c>
      <c r="I1314" t="s">
        <v>1959</v>
      </c>
      <c r="K1314" s="2"/>
      <c r="M1314" s="2"/>
    </row>
    <row r="1315" spans="1:13">
      <c r="A1315" t="s">
        <v>28</v>
      </c>
      <c r="B1315">
        <f ca="1">IF(OR(changes[[#This Row],[Type]]="Checklist",changes[[#This Row],[Type]]="checklist-flat"),1+IF(changes[[#This Row],[Type of change]] = "Edit",COUNTIFS($I$4:changes[[#This Row],[Name]],changes[[#This Row],[Name]], $E$4:changes[[#This Row],[Type of change]], "Edit")),B1314)</f>
        <v>1</v>
      </c>
      <c r="C1315" s="16">
        <v>44657</v>
      </c>
      <c r="D1315" s="1" t="s">
        <v>2450</v>
      </c>
      <c r="E1315" t="s">
        <v>27</v>
      </c>
      <c r="F1315" s="10" t="s">
        <v>9</v>
      </c>
      <c r="G1315" s="10" t="s">
        <v>1939</v>
      </c>
      <c r="H1315" t="s">
        <v>47</v>
      </c>
      <c r="I1315" s="10" t="s">
        <v>1939</v>
      </c>
      <c r="K1315" s="2"/>
      <c r="M1315" s="2"/>
    </row>
    <row r="1316" spans="1:13">
      <c r="A1316" t="s">
        <v>28</v>
      </c>
      <c r="B1316">
        <f ca="1">IF(OR(changes[[#This Row],[Type]]="Checklist",changes[[#This Row],[Type]]="checklist-flat"),1+IF(changes[[#This Row],[Type of change]] = "Edit",COUNTIFS($I$4:changes[[#This Row],[Name]],changes[[#This Row],[Name]], $E$4:changes[[#This Row],[Type of change]], "Edit")),B1315)</f>
        <v>1</v>
      </c>
      <c r="C1316" s="16">
        <v>44657</v>
      </c>
      <c r="D1316" s="1" t="s">
        <v>2450</v>
      </c>
      <c r="E1316" t="s">
        <v>27</v>
      </c>
      <c r="F1316" s="10" t="s">
        <v>9</v>
      </c>
      <c r="G1316" s="10" t="s">
        <v>1939</v>
      </c>
      <c r="H1316" t="s">
        <v>269</v>
      </c>
      <c r="I1316" s="10" t="s">
        <v>1940</v>
      </c>
      <c r="K1316" s="2"/>
      <c r="M1316" s="2"/>
    </row>
    <row r="1317" spans="1:13">
      <c r="A1317" t="s">
        <v>28</v>
      </c>
      <c r="B1317">
        <f ca="1">IF(OR(changes[[#This Row],[Type]]="Checklist",changes[[#This Row],[Type]]="checklist-flat"),1+IF(changes[[#This Row],[Type of change]] = "Edit",COUNTIFS($I$4:changes[[#This Row],[Name]],changes[[#This Row],[Name]], $E$4:changes[[#This Row],[Type of change]], "Edit")),B1316)</f>
        <v>1</v>
      </c>
      <c r="C1317" s="16">
        <v>44657</v>
      </c>
      <c r="D1317" s="1" t="s">
        <v>2450</v>
      </c>
      <c r="E1317" t="s">
        <v>27</v>
      </c>
      <c r="F1317" s="10" t="s">
        <v>9</v>
      </c>
      <c r="G1317" s="10" t="s">
        <v>1939</v>
      </c>
      <c r="H1317" t="s">
        <v>269</v>
      </c>
      <c r="I1317" s="10" t="s">
        <v>1941</v>
      </c>
      <c r="K1317" s="2"/>
      <c r="M1317" s="2"/>
    </row>
    <row r="1318" spans="1:13">
      <c r="A1318" t="s">
        <v>28</v>
      </c>
      <c r="B1318">
        <f ca="1">IF(OR(changes[[#This Row],[Type]]="Checklist",changes[[#This Row],[Type]]="checklist-flat"),1+IF(changes[[#This Row],[Type of change]] = "Edit",COUNTIFS($I$4:changes[[#This Row],[Name]],changes[[#This Row],[Name]], $E$4:changes[[#This Row],[Type of change]], "Edit")),B1317)</f>
        <v>1</v>
      </c>
      <c r="C1318" s="16">
        <v>44657</v>
      </c>
      <c r="D1318" s="1" t="s">
        <v>2450</v>
      </c>
      <c r="E1318" t="s">
        <v>27</v>
      </c>
      <c r="F1318" s="10" t="s">
        <v>9</v>
      </c>
      <c r="G1318" s="10" t="s">
        <v>1939</v>
      </c>
      <c r="H1318" t="s">
        <v>269</v>
      </c>
      <c r="I1318" s="10" t="s">
        <v>1942</v>
      </c>
      <c r="K1318" s="2"/>
      <c r="M1318" s="2"/>
    </row>
    <row r="1319" spans="1:13">
      <c r="A1319" t="s">
        <v>28</v>
      </c>
      <c r="B1319">
        <f ca="1">IF(OR(changes[[#This Row],[Type]]="Checklist",changes[[#This Row],[Type]]="checklist-flat"),1+IF(changes[[#This Row],[Type of change]] = "Edit",COUNTIFS($I$4:changes[[#This Row],[Name]],changes[[#This Row],[Name]], $E$4:changes[[#This Row],[Type of change]], "Edit")),B1318)</f>
        <v>1</v>
      </c>
      <c r="C1319" s="16">
        <v>44657</v>
      </c>
      <c r="D1319" s="1" t="s">
        <v>2450</v>
      </c>
      <c r="E1319" t="s">
        <v>27</v>
      </c>
      <c r="F1319" s="10" t="s">
        <v>9</v>
      </c>
      <c r="G1319" s="10" t="s">
        <v>1939</v>
      </c>
      <c r="H1319" t="s">
        <v>269</v>
      </c>
      <c r="I1319" s="10" t="s">
        <v>1943</v>
      </c>
      <c r="K1319" s="2"/>
      <c r="M1319" s="2"/>
    </row>
    <row r="1320" spans="1:13">
      <c r="A1320" t="s">
        <v>28</v>
      </c>
      <c r="B1320">
        <f ca="1">IF(OR(changes[[#This Row],[Type]]="Checklist",changes[[#This Row],[Type]]="checklist-flat"),1+IF(changes[[#This Row],[Type of change]] = "Edit",COUNTIFS($I$4:changes[[#This Row],[Name]],changes[[#This Row],[Name]], $E$4:changes[[#This Row],[Type of change]], "Edit")),B1319)</f>
        <v>1</v>
      </c>
      <c r="C1320" s="16">
        <v>44657</v>
      </c>
      <c r="D1320" s="1" t="s">
        <v>2450</v>
      </c>
      <c r="E1320" t="s">
        <v>27</v>
      </c>
      <c r="F1320" s="10" t="s">
        <v>9</v>
      </c>
      <c r="G1320" s="10" t="s">
        <v>1939</v>
      </c>
      <c r="H1320" t="s">
        <v>269</v>
      </c>
      <c r="I1320" s="10" t="s">
        <v>1944</v>
      </c>
      <c r="K1320" s="2"/>
      <c r="M1320" s="2"/>
    </row>
    <row r="1321" spans="1:13">
      <c r="A1321" t="s">
        <v>28</v>
      </c>
      <c r="B1321">
        <f ca="1">IF(OR(changes[[#This Row],[Type]]="Checklist",changes[[#This Row],[Type]]="checklist-flat"),1+IF(changes[[#This Row],[Type of change]] = "Edit",COUNTIFS($I$4:changes[[#This Row],[Name]],changes[[#This Row],[Name]], $E$4:changes[[#This Row],[Type of change]], "Edit")),B1320)</f>
        <v>1</v>
      </c>
      <c r="C1321" s="16">
        <v>44657</v>
      </c>
      <c r="D1321" s="1" t="s">
        <v>2450</v>
      </c>
      <c r="E1321" t="s">
        <v>27</v>
      </c>
      <c r="F1321" s="10" t="s">
        <v>9</v>
      </c>
      <c r="G1321" s="10" t="s">
        <v>1939</v>
      </c>
      <c r="H1321" t="s">
        <v>269</v>
      </c>
      <c r="I1321" s="10" t="s">
        <v>1945</v>
      </c>
      <c r="K1321" s="2"/>
      <c r="M1321" s="2"/>
    </row>
    <row r="1322" spans="1:13">
      <c r="A1322" t="s">
        <v>28</v>
      </c>
      <c r="B1322">
        <f ca="1">IF(OR(changes[[#This Row],[Type]]="Checklist",changes[[#This Row],[Type]]="checklist-flat"),1+IF(changes[[#This Row],[Type of change]] = "Edit",COUNTIFS($I$4:changes[[#This Row],[Name]],changes[[#This Row],[Name]], $E$4:changes[[#This Row],[Type of change]], "Edit")),B1321)</f>
        <v>1</v>
      </c>
      <c r="C1322" s="16">
        <v>44657</v>
      </c>
      <c r="D1322" s="1" t="s">
        <v>2450</v>
      </c>
      <c r="E1322" t="s">
        <v>27</v>
      </c>
      <c r="F1322" s="10" t="s">
        <v>9</v>
      </c>
      <c r="G1322" s="10" t="s">
        <v>1939</v>
      </c>
      <c r="H1322" t="s">
        <v>269</v>
      </c>
      <c r="I1322" s="10" t="s">
        <v>1946</v>
      </c>
      <c r="K1322" s="2"/>
      <c r="M1322" s="2"/>
    </row>
    <row r="1323" spans="1:13">
      <c r="A1323" t="s">
        <v>28</v>
      </c>
      <c r="B1323">
        <f ca="1">IF(OR(changes[[#This Row],[Type]]="Checklist",changes[[#This Row],[Type]]="checklist-flat"),1+IF(changes[[#This Row],[Type of change]] = "Edit",COUNTIFS($I$4:changes[[#This Row],[Name]],changes[[#This Row],[Name]], $E$4:changes[[#This Row],[Type of change]], "Edit")),B1322)</f>
        <v>1</v>
      </c>
      <c r="C1323" s="16">
        <v>44657</v>
      </c>
      <c r="D1323" s="1" t="s">
        <v>2450</v>
      </c>
      <c r="E1323" t="s">
        <v>27</v>
      </c>
      <c r="F1323" s="10" t="s">
        <v>9</v>
      </c>
      <c r="G1323" s="10" t="s">
        <v>1939</v>
      </c>
      <c r="H1323" t="s">
        <v>269</v>
      </c>
      <c r="I1323" s="10" t="s">
        <v>1947</v>
      </c>
      <c r="K1323" s="2"/>
      <c r="M1323" s="2"/>
    </row>
    <row r="1324" spans="1:13">
      <c r="A1324" t="s">
        <v>28</v>
      </c>
      <c r="B1324">
        <f ca="1">IF(OR(changes[[#This Row],[Type]]="Checklist",changes[[#This Row],[Type]]="checklist-flat"),1+IF(changes[[#This Row],[Type of change]] = "Edit",COUNTIFS($I$4:changes[[#This Row],[Name]],changes[[#This Row],[Name]], $E$4:changes[[#This Row],[Type of change]], "Edit")),B1323)</f>
        <v>1</v>
      </c>
      <c r="C1324" s="16">
        <v>44657</v>
      </c>
      <c r="D1324" s="1" t="s">
        <v>2450</v>
      </c>
      <c r="E1324" t="s">
        <v>27</v>
      </c>
      <c r="F1324" s="10" t="s">
        <v>9</v>
      </c>
      <c r="G1324" s="10" t="s">
        <v>1939</v>
      </c>
      <c r="H1324" t="s">
        <v>269</v>
      </c>
      <c r="I1324" s="10" t="s">
        <v>1948</v>
      </c>
      <c r="K1324" s="2"/>
      <c r="M1324" s="2"/>
    </row>
    <row r="1325" spans="1:13">
      <c r="A1325" t="s">
        <v>28</v>
      </c>
      <c r="B1325">
        <f ca="1">IF(OR(changes[[#This Row],[Type]]="Checklist",changes[[#This Row],[Type]]="checklist-flat"),1+IF(changes[[#This Row],[Type of change]] = "Edit",COUNTIFS($I$4:changes[[#This Row],[Name]],changes[[#This Row],[Name]], $E$4:changes[[#This Row],[Type of change]], "Edit")),B1324)</f>
        <v>1</v>
      </c>
      <c r="C1325" s="16">
        <v>44657</v>
      </c>
      <c r="D1325" s="1" t="s">
        <v>2450</v>
      </c>
      <c r="E1325" t="s">
        <v>27</v>
      </c>
      <c r="F1325" s="10" t="s">
        <v>9</v>
      </c>
      <c r="G1325" s="10" t="s">
        <v>1979</v>
      </c>
      <c r="H1325" t="s">
        <v>478</v>
      </c>
      <c r="I1325" s="10" t="s">
        <v>1979</v>
      </c>
      <c r="K1325" s="2"/>
      <c r="M1325" s="2"/>
    </row>
    <row r="1326" spans="1:13">
      <c r="A1326" t="s">
        <v>28</v>
      </c>
      <c r="B1326">
        <f ca="1">IF(OR(changes[[#This Row],[Type]]="Checklist",changes[[#This Row],[Type]]="checklist-flat"),1+IF(changes[[#This Row],[Type of change]] = "Edit",COUNTIFS($I$4:changes[[#This Row],[Name]],changes[[#This Row],[Name]], $E$4:changes[[#This Row],[Type of change]], "Edit")),B1325)</f>
        <v>1</v>
      </c>
      <c r="C1326" s="16">
        <v>44657</v>
      </c>
      <c r="D1326" s="1" t="s">
        <v>2450</v>
      </c>
      <c r="E1326" t="s">
        <v>27</v>
      </c>
      <c r="F1326" s="10" t="s">
        <v>9</v>
      </c>
      <c r="G1326" s="10" t="s">
        <v>1979</v>
      </c>
      <c r="H1326" t="s">
        <v>479</v>
      </c>
      <c r="I1326" t="s">
        <v>1381</v>
      </c>
      <c r="K1326" s="2"/>
      <c r="M1326" s="2"/>
    </row>
    <row r="1327" spans="1:13">
      <c r="A1327" t="s">
        <v>28</v>
      </c>
      <c r="B1327">
        <f ca="1">IF(OR(changes[[#This Row],[Type]]="Checklist",changes[[#This Row],[Type]]="checklist-flat"),1+IF(changes[[#This Row],[Type of change]] = "Edit",COUNTIFS($I$4:changes[[#This Row],[Name]],changes[[#This Row],[Name]], $E$4:changes[[#This Row],[Type of change]], "Edit")),B1326)</f>
        <v>1</v>
      </c>
      <c r="C1327" s="16">
        <v>44657</v>
      </c>
      <c r="D1327" s="1" t="s">
        <v>2450</v>
      </c>
      <c r="E1327" t="s">
        <v>27</v>
      </c>
      <c r="F1327" s="10" t="s">
        <v>9</v>
      </c>
      <c r="G1327" s="10" t="s">
        <v>1979</v>
      </c>
      <c r="H1327" t="s">
        <v>55</v>
      </c>
      <c r="I1327" t="s">
        <v>1980</v>
      </c>
      <c r="K1327" s="2"/>
      <c r="M1327" s="2"/>
    </row>
    <row r="1328" spans="1:13">
      <c r="A1328" t="s">
        <v>28</v>
      </c>
      <c r="B1328">
        <f ca="1">IF(OR(changes[[#This Row],[Type]]="Checklist",changes[[#This Row],[Type]]="checklist-flat"),1+IF(changes[[#This Row],[Type of change]] = "Edit",COUNTIFS($I$4:changes[[#This Row],[Name]],changes[[#This Row],[Name]], $E$4:changes[[#This Row],[Type of change]], "Edit")),B1327)</f>
        <v>1</v>
      </c>
      <c r="C1328" s="16">
        <v>44657</v>
      </c>
      <c r="D1328" s="1" t="s">
        <v>2450</v>
      </c>
      <c r="E1328" t="s">
        <v>27</v>
      </c>
      <c r="F1328" s="10" t="s">
        <v>9</v>
      </c>
      <c r="G1328" s="10" t="s">
        <v>1979</v>
      </c>
      <c r="H1328" t="s">
        <v>55</v>
      </c>
      <c r="I1328" t="s">
        <v>1981</v>
      </c>
      <c r="K1328" s="2"/>
      <c r="M1328" s="2"/>
    </row>
    <row r="1329" spans="1:13">
      <c r="A1329" t="s">
        <v>28</v>
      </c>
      <c r="B1329">
        <f ca="1">IF(OR(changes[[#This Row],[Type]]="Checklist",changes[[#This Row],[Type]]="checklist-flat"),1+IF(changes[[#This Row],[Type of change]] = "Edit",COUNTIFS($I$4:changes[[#This Row],[Name]],changes[[#This Row],[Name]], $E$4:changes[[#This Row],[Type of change]], "Edit")),B1328)</f>
        <v>1</v>
      </c>
      <c r="C1329" s="16">
        <v>44657</v>
      </c>
      <c r="D1329" s="1" t="s">
        <v>2450</v>
      </c>
      <c r="E1329" t="s">
        <v>27</v>
      </c>
      <c r="F1329" s="10" t="s">
        <v>9</v>
      </c>
      <c r="G1329" s="10" t="s">
        <v>1979</v>
      </c>
      <c r="H1329" t="s">
        <v>479</v>
      </c>
      <c r="I1329" t="s">
        <v>1982</v>
      </c>
      <c r="K1329" s="2"/>
      <c r="M1329" s="2"/>
    </row>
    <row r="1330" spans="1:13">
      <c r="A1330" t="s">
        <v>28</v>
      </c>
      <c r="B1330">
        <f ca="1">IF(OR(changes[[#This Row],[Type]]="Checklist",changes[[#This Row],[Type]]="checklist-flat"),1+IF(changes[[#This Row],[Type of change]] = "Edit",COUNTIFS($I$4:changes[[#This Row],[Name]],changes[[#This Row],[Name]], $E$4:changes[[#This Row],[Type of change]], "Edit")),B1329)</f>
        <v>1</v>
      </c>
      <c r="C1330" s="16">
        <v>44657</v>
      </c>
      <c r="D1330" s="1" t="s">
        <v>2450</v>
      </c>
      <c r="E1330" t="s">
        <v>27</v>
      </c>
      <c r="F1330" s="10" t="s">
        <v>9</v>
      </c>
      <c r="G1330" s="10" t="s">
        <v>1979</v>
      </c>
      <c r="H1330" t="s">
        <v>55</v>
      </c>
      <c r="I1330" t="s">
        <v>1983</v>
      </c>
      <c r="K1330" s="2"/>
      <c r="M1330" s="2"/>
    </row>
    <row r="1331" spans="1:13">
      <c r="A1331" t="s">
        <v>28</v>
      </c>
      <c r="B1331">
        <f ca="1">IF(OR(changes[[#This Row],[Type]]="Checklist",changes[[#This Row],[Type]]="checklist-flat"),1+IF(changes[[#This Row],[Type of change]] = "Edit",COUNTIFS($I$4:changes[[#This Row],[Name]],changes[[#This Row],[Name]], $E$4:changes[[#This Row],[Type of change]], "Edit")),B1330)</f>
        <v>1</v>
      </c>
      <c r="C1331" s="16">
        <v>44657</v>
      </c>
      <c r="D1331" s="1" t="s">
        <v>2450</v>
      </c>
      <c r="E1331" t="s">
        <v>27</v>
      </c>
      <c r="F1331" s="10" t="s">
        <v>9</v>
      </c>
      <c r="G1331" s="10" t="s">
        <v>1979</v>
      </c>
      <c r="H1331" t="s">
        <v>55</v>
      </c>
      <c r="I1331" t="s">
        <v>1984</v>
      </c>
      <c r="K1331" s="2"/>
      <c r="M1331" s="2"/>
    </row>
    <row r="1332" spans="1:13">
      <c r="A1332" t="s">
        <v>28</v>
      </c>
      <c r="B1332">
        <f ca="1">IF(OR(changes[[#This Row],[Type]]="Checklist",changes[[#This Row],[Type]]="checklist-flat"),1+IF(changes[[#This Row],[Type of change]] = "Edit",COUNTIFS($I$4:changes[[#This Row],[Name]],changes[[#This Row],[Name]], $E$4:changes[[#This Row],[Type of change]], "Edit")),B1331)</f>
        <v>1</v>
      </c>
      <c r="C1332" s="16">
        <v>44657</v>
      </c>
      <c r="D1332" s="1" t="s">
        <v>2450</v>
      </c>
      <c r="E1332" t="s">
        <v>27</v>
      </c>
      <c r="F1332" s="10" t="s">
        <v>9</v>
      </c>
      <c r="G1332" s="10" t="s">
        <v>1979</v>
      </c>
      <c r="H1332" t="s">
        <v>479</v>
      </c>
      <c r="I1332" t="s">
        <v>1985</v>
      </c>
      <c r="K1332" s="2"/>
      <c r="M1332" s="2"/>
    </row>
    <row r="1333" spans="1:13">
      <c r="A1333" t="s">
        <v>28</v>
      </c>
      <c r="B1333">
        <f ca="1">IF(OR(changes[[#This Row],[Type]]="Checklist",changes[[#This Row],[Type]]="checklist-flat"),1+IF(changes[[#This Row],[Type of change]] = "Edit",COUNTIFS($I$4:changes[[#This Row],[Name]],changes[[#This Row],[Name]], $E$4:changes[[#This Row],[Type of change]], "Edit")),B1332)</f>
        <v>1</v>
      </c>
      <c r="C1333" s="16">
        <v>44657</v>
      </c>
      <c r="D1333" s="1" t="s">
        <v>2450</v>
      </c>
      <c r="E1333" t="s">
        <v>27</v>
      </c>
      <c r="F1333" s="10" t="s">
        <v>9</v>
      </c>
      <c r="G1333" s="10" t="s">
        <v>1979</v>
      </c>
      <c r="H1333" t="s">
        <v>55</v>
      </c>
      <c r="I1333" t="s">
        <v>1986</v>
      </c>
      <c r="K1333" s="2"/>
      <c r="M1333" s="2"/>
    </row>
    <row r="1334" spans="1:13">
      <c r="A1334" t="s">
        <v>28</v>
      </c>
      <c r="B1334">
        <f ca="1">IF(OR(changes[[#This Row],[Type]]="Checklist",changes[[#This Row],[Type]]="checklist-flat"),1+IF(changes[[#This Row],[Type of change]] = "Edit",COUNTIFS($I$4:changes[[#This Row],[Name]],changes[[#This Row],[Name]], $E$4:changes[[#This Row],[Type of change]], "Edit")),B1333)</f>
        <v>1</v>
      </c>
      <c r="C1334" s="16">
        <v>44657</v>
      </c>
      <c r="D1334" s="1" t="s">
        <v>2450</v>
      </c>
      <c r="E1334" t="s">
        <v>27</v>
      </c>
      <c r="F1334" s="10" t="s">
        <v>9</v>
      </c>
      <c r="G1334" s="10" t="s">
        <v>1979</v>
      </c>
      <c r="H1334" t="s">
        <v>55</v>
      </c>
      <c r="I1334" t="s">
        <v>1987</v>
      </c>
      <c r="K1334" s="2"/>
      <c r="M1334" s="2"/>
    </row>
    <row r="1335" spans="1:13">
      <c r="A1335" t="s">
        <v>28</v>
      </c>
      <c r="B1335">
        <f ca="1">IF(OR(changes[[#This Row],[Type]]="Checklist",changes[[#This Row],[Type]]="checklist-flat"),1+IF(changes[[#This Row],[Type of change]] = "Edit",COUNTIFS($I$4:changes[[#This Row],[Name]],changes[[#This Row],[Name]], $E$4:changes[[#This Row],[Type of change]], "Edit")),B1334)</f>
        <v>1</v>
      </c>
      <c r="C1335" s="16">
        <v>44657</v>
      </c>
      <c r="D1335" s="1" t="s">
        <v>2450</v>
      </c>
      <c r="E1335" t="s">
        <v>27</v>
      </c>
      <c r="F1335" s="10" t="s">
        <v>9</v>
      </c>
      <c r="G1335" s="10" t="s">
        <v>1979</v>
      </c>
      <c r="H1335" t="s">
        <v>55</v>
      </c>
      <c r="I1335" t="s">
        <v>1988</v>
      </c>
      <c r="K1335" s="2"/>
      <c r="M1335" s="2"/>
    </row>
    <row r="1336" spans="1:13">
      <c r="A1336" t="s">
        <v>28</v>
      </c>
      <c r="B1336">
        <f ca="1">IF(OR(changes[[#This Row],[Type]]="Checklist",changes[[#This Row],[Type]]="checklist-flat"),1+IF(changes[[#This Row],[Type of change]] = "Edit",COUNTIFS($I$4:changes[[#This Row],[Name]],changes[[#This Row],[Name]], $E$4:changes[[#This Row],[Type of change]], "Edit")),B1335)</f>
        <v>1</v>
      </c>
      <c r="C1336" s="16">
        <v>44657</v>
      </c>
      <c r="D1336" s="1" t="s">
        <v>2450</v>
      </c>
      <c r="E1336" t="s">
        <v>27</v>
      </c>
      <c r="F1336" s="10" t="s">
        <v>9</v>
      </c>
      <c r="G1336" s="10" t="s">
        <v>1979</v>
      </c>
      <c r="H1336" t="s">
        <v>55</v>
      </c>
      <c r="I1336" t="s">
        <v>1989</v>
      </c>
      <c r="K1336" s="2"/>
      <c r="M1336" s="2"/>
    </row>
    <row r="1337" spans="1:13">
      <c r="A1337" t="s">
        <v>28</v>
      </c>
      <c r="B1337">
        <f ca="1">IF(OR(changes[[#This Row],[Type]]="Checklist",changes[[#This Row],[Type]]="checklist-flat"),1+IF(changes[[#This Row],[Type of change]] = "Edit",COUNTIFS($I$4:changes[[#This Row],[Name]],changes[[#This Row],[Name]], $E$4:changes[[#This Row],[Type of change]], "Edit")),B1336)</f>
        <v>1</v>
      </c>
      <c r="C1337" s="16">
        <v>44658</v>
      </c>
      <c r="D1337" s="1" t="s">
        <v>2450</v>
      </c>
      <c r="E1337" t="s">
        <v>27</v>
      </c>
      <c r="F1337" s="10" t="s">
        <v>9</v>
      </c>
      <c r="G1337" t="s">
        <v>1960</v>
      </c>
      <c r="H1337" t="s">
        <v>478</v>
      </c>
      <c r="I1337" t="s">
        <v>1960</v>
      </c>
      <c r="K1337" s="2"/>
      <c r="M1337" s="2"/>
    </row>
    <row r="1338" spans="1:13">
      <c r="A1338" t="s">
        <v>28</v>
      </c>
      <c r="B1338">
        <f ca="1">IF(OR(changes[[#This Row],[Type]]="Checklist",changes[[#This Row],[Type]]="checklist-flat"),1+IF(changes[[#This Row],[Type of change]] = "Edit",COUNTIFS($I$4:changes[[#This Row],[Name]],changes[[#This Row],[Name]], $E$4:changes[[#This Row],[Type of change]], "Edit")),B1337)</f>
        <v>1</v>
      </c>
      <c r="C1338" s="16">
        <v>44658</v>
      </c>
      <c r="D1338" s="1" t="s">
        <v>2450</v>
      </c>
      <c r="E1338" t="s">
        <v>27</v>
      </c>
      <c r="F1338" s="10" t="s">
        <v>9</v>
      </c>
      <c r="G1338" t="s">
        <v>1960</v>
      </c>
      <c r="H1338" t="s">
        <v>479</v>
      </c>
      <c r="I1338" t="s">
        <v>1961</v>
      </c>
      <c r="K1338" s="2"/>
      <c r="M1338" s="2"/>
    </row>
    <row r="1339" spans="1:13">
      <c r="A1339" t="s">
        <v>28</v>
      </c>
      <c r="B1339">
        <f ca="1">IF(OR(changes[[#This Row],[Type]]="Checklist",changes[[#This Row],[Type]]="checklist-flat"),1+IF(changes[[#This Row],[Type of change]] = "Edit",COUNTIFS($I$4:changes[[#This Row],[Name]],changes[[#This Row],[Name]], $E$4:changes[[#This Row],[Type of change]], "Edit")),B1338)</f>
        <v>1</v>
      </c>
      <c r="C1339" s="16">
        <v>44658</v>
      </c>
      <c r="D1339" s="1" t="s">
        <v>2450</v>
      </c>
      <c r="E1339" t="s">
        <v>27</v>
      </c>
      <c r="F1339" s="10" t="s">
        <v>9</v>
      </c>
      <c r="G1339" t="s">
        <v>1960</v>
      </c>
      <c r="H1339" t="s">
        <v>55</v>
      </c>
      <c r="I1339" t="s">
        <v>1962</v>
      </c>
      <c r="K1339" s="2"/>
      <c r="M1339" s="2"/>
    </row>
    <row r="1340" spans="1:13">
      <c r="A1340" t="s">
        <v>28</v>
      </c>
      <c r="B1340">
        <f ca="1">IF(OR(changes[[#This Row],[Type]]="Checklist",changes[[#This Row],[Type]]="checklist-flat"),1+IF(changes[[#This Row],[Type of change]] = "Edit",COUNTIFS($I$4:changes[[#This Row],[Name]],changes[[#This Row],[Name]], $E$4:changes[[#This Row],[Type of change]], "Edit")),B1339)</f>
        <v>1</v>
      </c>
      <c r="C1340" s="16">
        <v>44658</v>
      </c>
      <c r="D1340" s="1" t="s">
        <v>2450</v>
      </c>
      <c r="E1340" t="s">
        <v>27</v>
      </c>
      <c r="F1340" s="10" t="s">
        <v>9</v>
      </c>
      <c r="G1340" t="s">
        <v>1960</v>
      </c>
      <c r="H1340" t="s">
        <v>55</v>
      </c>
      <c r="I1340" t="s">
        <v>1963</v>
      </c>
      <c r="K1340" s="2"/>
      <c r="M1340" s="2"/>
    </row>
    <row r="1341" spans="1:13">
      <c r="A1341" t="s">
        <v>28</v>
      </c>
      <c r="B1341">
        <f ca="1">IF(OR(changes[[#This Row],[Type]]="Checklist",changes[[#This Row],[Type]]="checklist-flat"),1+IF(changes[[#This Row],[Type of change]] = "Edit",COUNTIFS($I$4:changes[[#This Row],[Name]],changes[[#This Row],[Name]], $E$4:changes[[#This Row],[Type of change]], "Edit")),B1340)</f>
        <v>1</v>
      </c>
      <c r="C1341" s="16">
        <v>44658</v>
      </c>
      <c r="D1341" s="1" t="s">
        <v>2450</v>
      </c>
      <c r="E1341" t="s">
        <v>27</v>
      </c>
      <c r="F1341" s="10" t="s">
        <v>9</v>
      </c>
      <c r="G1341" t="s">
        <v>1960</v>
      </c>
      <c r="H1341" t="s">
        <v>55</v>
      </c>
      <c r="I1341" t="s">
        <v>1964</v>
      </c>
      <c r="K1341" s="2"/>
      <c r="M1341" s="2"/>
    </row>
    <row r="1342" spans="1:13">
      <c r="A1342" t="s">
        <v>28</v>
      </c>
      <c r="B1342">
        <f ca="1">IF(OR(changes[[#This Row],[Type]]="Checklist",changes[[#This Row],[Type]]="checklist-flat"),1+IF(changes[[#This Row],[Type of change]] = "Edit",COUNTIFS($I$4:changes[[#This Row],[Name]],changes[[#This Row],[Name]], $E$4:changes[[#This Row],[Type of change]], "Edit")),B1341)</f>
        <v>1</v>
      </c>
      <c r="C1342" s="16">
        <v>44658</v>
      </c>
      <c r="D1342" s="1" t="s">
        <v>2450</v>
      </c>
      <c r="E1342" t="s">
        <v>27</v>
      </c>
      <c r="F1342" s="10" t="s">
        <v>9</v>
      </c>
      <c r="G1342" t="s">
        <v>1960</v>
      </c>
      <c r="H1342" t="s">
        <v>55</v>
      </c>
      <c r="I1342" t="s">
        <v>1965</v>
      </c>
      <c r="K1342" s="2"/>
      <c r="M1342" s="2"/>
    </row>
    <row r="1343" spans="1:13">
      <c r="A1343" t="s">
        <v>28</v>
      </c>
      <c r="B1343">
        <f ca="1">IF(OR(changes[[#This Row],[Type]]="Checklist",changes[[#This Row],[Type]]="checklist-flat"),1+IF(changes[[#This Row],[Type of change]] = "Edit",COUNTIFS($I$4:changes[[#This Row],[Name]],changes[[#This Row],[Name]], $E$4:changes[[#This Row],[Type of change]], "Edit")),B1342)</f>
        <v>1</v>
      </c>
      <c r="C1343" s="16">
        <v>44658</v>
      </c>
      <c r="D1343" s="1" t="s">
        <v>2450</v>
      </c>
      <c r="E1343" t="s">
        <v>27</v>
      </c>
      <c r="F1343" s="10" t="s">
        <v>9</v>
      </c>
      <c r="G1343" t="s">
        <v>1960</v>
      </c>
      <c r="H1343" t="s">
        <v>55</v>
      </c>
      <c r="I1343" t="s">
        <v>1966</v>
      </c>
      <c r="K1343" s="2"/>
      <c r="M1343" s="2"/>
    </row>
    <row r="1344" spans="1:13">
      <c r="A1344" t="s">
        <v>28</v>
      </c>
      <c r="B1344">
        <f ca="1">IF(OR(changes[[#This Row],[Type]]="Checklist",changes[[#This Row],[Type]]="checklist-flat"),1+IF(changes[[#This Row],[Type of change]] = "Edit",COUNTIFS($I$4:changes[[#This Row],[Name]],changes[[#This Row],[Name]], $E$4:changes[[#This Row],[Type of change]], "Edit")),B1343)</f>
        <v>1</v>
      </c>
      <c r="C1344" s="16">
        <v>44658</v>
      </c>
      <c r="D1344" s="1" t="s">
        <v>2450</v>
      </c>
      <c r="E1344" t="s">
        <v>27</v>
      </c>
      <c r="F1344" s="10" t="s">
        <v>9</v>
      </c>
      <c r="G1344" t="s">
        <v>1960</v>
      </c>
      <c r="H1344" t="s">
        <v>55</v>
      </c>
      <c r="I1344" t="s">
        <v>1967</v>
      </c>
      <c r="K1344" s="2"/>
      <c r="M1344" s="2"/>
    </row>
    <row r="1345" spans="1:13">
      <c r="A1345" t="s">
        <v>28</v>
      </c>
      <c r="B1345">
        <f ca="1">IF(OR(changes[[#This Row],[Type]]="Checklist",changes[[#This Row],[Type]]="checklist-flat"),1+IF(changes[[#This Row],[Type of change]] = "Edit",COUNTIFS($I$4:changes[[#This Row],[Name]],changes[[#This Row],[Name]], $E$4:changes[[#This Row],[Type of change]], "Edit")),B1344)</f>
        <v>1</v>
      </c>
      <c r="C1345" s="16">
        <v>44658</v>
      </c>
      <c r="D1345" s="1" t="s">
        <v>2450</v>
      </c>
      <c r="E1345" t="s">
        <v>27</v>
      </c>
      <c r="F1345" s="10" t="s">
        <v>9</v>
      </c>
      <c r="G1345" t="s">
        <v>1960</v>
      </c>
      <c r="H1345" t="s">
        <v>479</v>
      </c>
      <c r="I1345" t="s">
        <v>1968</v>
      </c>
      <c r="K1345" s="2"/>
      <c r="M1345" s="2"/>
    </row>
    <row r="1346" spans="1:13">
      <c r="A1346" t="s">
        <v>28</v>
      </c>
      <c r="B1346">
        <f ca="1">IF(OR(changes[[#This Row],[Type]]="Checklist",changes[[#This Row],[Type]]="checklist-flat"),1+IF(changes[[#This Row],[Type of change]] = "Edit",COUNTIFS($I$4:changes[[#This Row],[Name]],changes[[#This Row],[Name]], $E$4:changes[[#This Row],[Type of change]], "Edit")),B1345)</f>
        <v>1</v>
      </c>
      <c r="C1346" s="16">
        <v>44658</v>
      </c>
      <c r="D1346" s="1" t="s">
        <v>2450</v>
      </c>
      <c r="E1346" t="s">
        <v>27</v>
      </c>
      <c r="F1346" s="10" t="s">
        <v>9</v>
      </c>
      <c r="G1346" t="s">
        <v>1960</v>
      </c>
      <c r="H1346" t="s">
        <v>55</v>
      </c>
      <c r="I1346" t="s">
        <v>1969</v>
      </c>
      <c r="K1346" s="2"/>
      <c r="M1346" s="2"/>
    </row>
    <row r="1347" spans="1:13">
      <c r="A1347" t="s">
        <v>28</v>
      </c>
      <c r="B1347">
        <f ca="1">IF(OR(changes[[#This Row],[Type]]="Checklist",changes[[#This Row],[Type]]="checklist-flat"),1+IF(changes[[#This Row],[Type of change]] = "Edit",COUNTIFS($I$4:changes[[#This Row],[Name]],changes[[#This Row],[Name]], $E$4:changes[[#This Row],[Type of change]], "Edit")),B1346)</f>
        <v>1</v>
      </c>
      <c r="C1347" s="16">
        <v>44658</v>
      </c>
      <c r="D1347" s="1" t="s">
        <v>2450</v>
      </c>
      <c r="E1347" t="s">
        <v>27</v>
      </c>
      <c r="F1347" s="10" t="s">
        <v>9</v>
      </c>
      <c r="G1347" t="s">
        <v>1960</v>
      </c>
      <c r="H1347" t="s">
        <v>479</v>
      </c>
      <c r="I1347" t="s">
        <v>1970</v>
      </c>
      <c r="K1347" s="2"/>
      <c r="M1347" s="2"/>
    </row>
    <row r="1348" spans="1:13">
      <c r="A1348" t="s">
        <v>28</v>
      </c>
      <c r="B1348">
        <f ca="1">IF(OR(changes[[#This Row],[Type]]="Checklist",changes[[#This Row],[Type]]="checklist-flat"),1+IF(changes[[#This Row],[Type of change]] = "Edit",COUNTIFS($I$4:changes[[#This Row],[Name]],changes[[#This Row],[Name]], $E$4:changes[[#This Row],[Type of change]], "Edit")),B1347)</f>
        <v>1</v>
      </c>
      <c r="C1348" s="16">
        <v>44658</v>
      </c>
      <c r="D1348" s="1" t="s">
        <v>2450</v>
      </c>
      <c r="E1348" t="s">
        <v>27</v>
      </c>
      <c r="F1348" s="10" t="s">
        <v>9</v>
      </c>
      <c r="G1348" t="s">
        <v>1960</v>
      </c>
      <c r="H1348" t="s">
        <v>55</v>
      </c>
      <c r="I1348" t="s">
        <v>1971</v>
      </c>
      <c r="K1348" s="2"/>
      <c r="M1348" s="2"/>
    </row>
    <row r="1349" spans="1:13">
      <c r="A1349" t="s">
        <v>28</v>
      </c>
      <c r="B1349">
        <f ca="1">IF(OR(changes[[#This Row],[Type]]="Checklist",changes[[#This Row],[Type]]="checklist-flat"),1+IF(changes[[#This Row],[Type of change]] = "Edit",COUNTIFS($I$4:changes[[#This Row],[Name]],changes[[#This Row],[Name]], $E$4:changes[[#This Row],[Type of change]], "Edit")),B1348)</f>
        <v>1</v>
      </c>
      <c r="C1349" s="16">
        <v>44658</v>
      </c>
      <c r="D1349" s="1" t="s">
        <v>2450</v>
      </c>
      <c r="E1349" t="s">
        <v>27</v>
      </c>
      <c r="F1349" s="10" t="s">
        <v>9</v>
      </c>
      <c r="G1349" t="s">
        <v>1960</v>
      </c>
      <c r="H1349" t="s">
        <v>479</v>
      </c>
      <c r="I1349" t="s">
        <v>1972</v>
      </c>
      <c r="K1349" s="2"/>
      <c r="M1349" s="2"/>
    </row>
    <row r="1350" spans="1:13">
      <c r="A1350" t="s">
        <v>28</v>
      </c>
      <c r="B1350">
        <f ca="1">IF(OR(changes[[#This Row],[Type]]="Checklist",changes[[#This Row],[Type]]="checklist-flat"),1+IF(changes[[#This Row],[Type of change]] = "Edit",COUNTIFS($I$4:changes[[#This Row],[Name]],changes[[#This Row],[Name]], $E$4:changes[[#This Row],[Type of change]], "Edit")),B1349)</f>
        <v>1</v>
      </c>
      <c r="C1350" s="16">
        <v>44658</v>
      </c>
      <c r="D1350" s="1" t="s">
        <v>2450</v>
      </c>
      <c r="E1350" t="s">
        <v>27</v>
      </c>
      <c r="F1350" s="10" t="s">
        <v>9</v>
      </c>
      <c r="G1350" t="s">
        <v>1960</v>
      </c>
      <c r="H1350" t="s">
        <v>55</v>
      </c>
      <c r="I1350" t="s">
        <v>1973</v>
      </c>
      <c r="K1350" s="2"/>
      <c r="M1350" s="2"/>
    </row>
    <row r="1351" spans="1:13">
      <c r="A1351" t="s">
        <v>28</v>
      </c>
      <c r="B1351">
        <f ca="1">IF(OR(changes[[#This Row],[Type]]="Checklist",changes[[#This Row],[Type]]="checklist-flat"),1+IF(changes[[#This Row],[Type of change]] = "Edit",COUNTIFS($I$4:changes[[#This Row],[Name]],changes[[#This Row],[Name]], $E$4:changes[[#This Row],[Type of change]], "Edit")),B1350)</f>
        <v>1</v>
      </c>
      <c r="C1351" s="16">
        <v>44658</v>
      </c>
      <c r="D1351" s="1" t="s">
        <v>2450</v>
      </c>
      <c r="E1351" t="s">
        <v>27</v>
      </c>
      <c r="F1351" s="10" t="s">
        <v>9</v>
      </c>
      <c r="G1351" t="s">
        <v>1960</v>
      </c>
      <c r="H1351" t="s">
        <v>55</v>
      </c>
      <c r="I1351" t="s">
        <v>1974</v>
      </c>
      <c r="K1351" s="2"/>
      <c r="M1351" s="2"/>
    </row>
    <row r="1352" spans="1:13">
      <c r="A1352" t="s">
        <v>28</v>
      </c>
      <c r="B1352">
        <f ca="1">IF(OR(changes[[#This Row],[Type]]="Checklist",changes[[#This Row],[Type]]="checklist-flat"),1+IF(changes[[#This Row],[Type of change]] = "Edit",COUNTIFS($I$4:changes[[#This Row],[Name]],changes[[#This Row],[Name]], $E$4:changes[[#This Row],[Type of change]], "Edit")),B1351)</f>
        <v>1</v>
      </c>
      <c r="C1352" s="16">
        <v>44658</v>
      </c>
      <c r="D1352" s="1" t="s">
        <v>2450</v>
      </c>
      <c r="E1352" t="s">
        <v>27</v>
      </c>
      <c r="F1352" s="10" t="s">
        <v>9</v>
      </c>
      <c r="G1352" t="s">
        <v>1960</v>
      </c>
      <c r="H1352" t="s">
        <v>479</v>
      </c>
      <c r="I1352" t="s">
        <v>34</v>
      </c>
      <c r="K1352" s="2"/>
      <c r="M1352" s="2"/>
    </row>
    <row r="1353" spans="1:13">
      <c r="A1353" t="s">
        <v>28</v>
      </c>
      <c r="B1353">
        <f ca="1">IF(OR(changes[[#This Row],[Type]]="Checklist",changes[[#This Row],[Type]]="checklist-flat"),1+IF(changes[[#This Row],[Type of change]] = "Edit",COUNTIFS($I$4:changes[[#This Row],[Name]],changes[[#This Row],[Name]], $E$4:changes[[#This Row],[Type of change]], "Edit")),B1352)</f>
        <v>1</v>
      </c>
      <c r="C1353" s="16">
        <v>44658</v>
      </c>
      <c r="D1353" s="1" t="s">
        <v>2450</v>
      </c>
      <c r="E1353" t="s">
        <v>27</v>
      </c>
      <c r="F1353" s="10" t="s">
        <v>9</v>
      </c>
      <c r="G1353" t="s">
        <v>1960</v>
      </c>
      <c r="H1353" t="s">
        <v>55</v>
      </c>
      <c r="I1353" t="s">
        <v>1975</v>
      </c>
      <c r="K1353" s="2"/>
      <c r="M1353" s="2"/>
    </row>
    <row r="1354" spans="1:13">
      <c r="A1354" t="s">
        <v>28</v>
      </c>
      <c r="B1354">
        <f ca="1">IF(OR(changes[[#This Row],[Type]]="Checklist",changes[[#This Row],[Type]]="checklist-flat"),1+IF(changes[[#This Row],[Type of change]] = "Edit",COUNTIFS($I$4:changes[[#This Row],[Name]],changes[[#This Row],[Name]], $E$4:changes[[#This Row],[Type of change]], "Edit")),B1353)</f>
        <v>1</v>
      </c>
      <c r="C1354" s="16">
        <v>44658</v>
      </c>
      <c r="D1354" s="1" t="s">
        <v>2450</v>
      </c>
      <c r="E1354" t="s">
        <v>27</v>
      </c>
      <c r="F1354" s="10" t="s">
        <v>9</v>
      </c>
      <c r="G1354" t="s">
        <v>1960</v>
      </c>
      <c r="H1354" t="s">
        <v>55</v>
      </c>
      <c r="I1354" t="s">
        <v>1976</v>
      </c>
      <c r="K1354" s="2"/>
      <c r="M1354" s="2"/>
    </row>
    <row r="1355" spans="1:13">
      <c r="A1355" t="s">
        <v>28</v>
      </c>
      <c r="B1355">
        <f ca="1">IF(OR(changes[[#This Row],[Type]]="Checklist",changes[[#This Row],[Type]]="checklist-flat"),1+IF(changes[[#This Row],[Type of change]] = "Edit",COUNTIFS($I$4:changes[[#This Row],[Name]],changes[[#This Row],[Name]], $E$4:changes[[#This Row],[Type of change]], "Edit")),B1354)</f>
        <v>1</v>
      </c>
      <c r="C1355" s="16">
        <v>44658</v>
      </c>
      <c r="D1355" s="1" t="s">
        <v>2450</v>
      </c>
      <c r="E1355" t="s">
        <v>27</v>
      </c>
      <c r="F1355" s="10" t="s">
        <v>9</v>
      </c>
      <c r="G1355" t="s">
        <v>1977</v>
      </c>
      <c r="H1355" t="s">
        <v>478</v>
      </c>
      <c r="I1355" t="s">
        <v>1977</v>
      </c>
      <c r="K1355" s="2"/>
      <c r="M1355" s="2"/>
    </row>
    <row r="1356" spans="1:13">
      <c r="A1356" t="s">
        <v>28</v>
      </c>
      <c r="B1356">
        <f ca="1">IF(OR(changes[[#This Row],[Type]]="Checklist",changes[[#This Row],[Type]]="checklist-flat"),1+IF(changes[[#This Row],[Type of change]] = "Edit",COUNTIFS($I$4:changes[[#This Row],[Name]],changes[[#This Row],[Name]], $E$4:changes[[#This Row],[Type of change]], "Edit")),B1355)</f>
        <v>1</v>
      </c>
      <c r="C1356" s="16">
        <v>44658</v>
      </c>
      <c r="D1356" s="1" t="s">
        <v>2450</v>
      </c>
      <c r="E1356" t="s">
        <v>27</v>
      </c>
      <c r="F1356" s="10" t="s">
        <v>9</v>
      </c>
      <c r="G1356" t="s">
        <v>1977</v>
      </c>
      <c r="H1356" t="s">
        <v>55</v>
      </c>
      <c r="I1356" t="s">
        <v>1978</v>
      </c>
      <c r="K1356" s="2"/>
      <c r="M1356" s="2"/>
    </row>
    <row r="1357" spans="1:13">
      <c r="A1357" t="s">
        <v>28</v>
      </c>
      <c r="B1357">
        <f ca="1">IF(OR(changes[[#This Row],[Type]]="Checklist",changes[[#This Row],[Type]]="checklist-flat"),1+IF(changes[[#This Row],[Type of change]] = "Edit",COUNTIFS($I$4:changes[[#This Row],[Name]],changes[[#This Row],[Name]], $E$4:changes[[#This Row],[Type of change]], "Edit")),B1356)</f>
        <v>1</v>
      </c>
      <c r="C1357" s="16">
        <v>44658</v>
      </c>
      <c r="D1357" s="1" t="s">
        <v>2450</v>
      </c>
      <c r="E1357" t="s">
        <v>27</v>
      </c>
      <c r="F1357" s="10" t="s">
        <v>9</v>
      </c>
      <c r="G1357" t="s">
        <v>1977</v>
      </c>
      <c r="H1357" t="s">
        <v>994</v>
      </c>
      <c r="I1357" t="s">
        <v>1273</v>
      </c>
      <c r="K1357" s="2"/>
      <c r="M1357" s="2"/>
    </row>
    <row r="1358" spans="1:13">
      <c r="A1358" t="s">
        <v>28</v>
      </c>
      <c r="B1358">
        <f ca="1">IF(OR(changes[[#This Row],[Type]]="Checklist",changes[[#This Row],[Type]]="checklist-flat"),1+IF(changes[[#This Row],[Type of change]] = "Edit",COUNTIFS($I$4:changes[[#This Row],[Name]],changes[[#This Row],[Name]], $E$4:changes[[#This Row],[Type of change]], "Edit")),B1357)</f>
        <v>1</v>
      </c>
      <c r="C1358" s="16">
        <v>44658</v>
      </c>
      <c r="D1358" s="1" t="s">
        <v>2458</v>
      </c>
      <c r="E1358" t="s">
        <v>27</v>
      </c>
      <c r="F1358" s="10" t="s">
        <v>9</v>
      </c>
      <c r="G1358" t="s">
        <v>797</v>
      </c>
      <c r="H1358" t="s">
        <v>478</v>
      </c>
      <c r="I1358" t="s">
        <v>797</v>
      </c>
      <c r="K1358" s="2"/>
      <c r="M1358" s="2"/>
    </row>
    <row r="1359" spans="1:13">
      <c r="A1359" t="s">
        <v>28</v>
      </c>
      <c r="B1359">
        <f ca="1">IF(OR(changes[[#This Row],[Type]]="Checklist",changes[[#This Row],[Type]]="checklist-flat"),1+IF(changes[[#This Row],[Type of change]] = "Edit",COUNTIFS($I$4:changes[[#This Row],[Name]],changes[[#This Row],[Name]], $E$4:changes[[#This Row],[Type of change]], "Edit")),B1358)</f>
        <v>1</v>
      </c>
      <c r="C1359" s="16">
        <v>44658</v>
      </c>
      <c r="D1359" s="1" t="s">
        <v>2458</v>
      </c>
      <c r="E1359" t="s">
        <v>27</v>
      </c>
      <c r="F1359" s="10" t="s">
        <v>9</v>
      </c>
      <c r="G1359" t="s">
        <v>797</v>
      </c>
      <c r="H1359" t="s">
        <v>55</v>
      </c>
      <c r="I1359" t="s">
        <v>2813</v>
      </c>
      <c r="K1359" s="2"/>
      <c r="M1359" s="2"/>
    </row>
    <row r="1360" spans="1:13">
      <c r="A1360" t="s">
        <v>28</v>
      </c>
      <c r="B1360">
        <f ca="1">IF(OR(changes[[#This Row],[Type]]="Checklist",changes[[#This Row],[Type]]="checklist-flat"),1+IF(changes[[#This Row],[Type of change]] = "Edit",COUNTIFS($I$4:changes[[#This Row],[Name]],changes[[#This Row],[Name]], $E$4:changes[[#This Row],[Type of change]], "Edit")),B1359)</f>
        <v>1</v>
      </c>
      <c r="C1360" s="16">
        <v>44658</v>
      </c>
      <c r="D1360" s="1" t="s">
        <v>2458</v>
      </c>
      <c r="E1360" t="s">
        <v>27</v>
      </c>
      <c r="F1360" s="10" t="s">
        <v>9</v>
      </c>
      <c r="G1360" t="s">
        <v>797</v>
      </c>
      <c r="H1360" t="s">
        <v>55</v>
      </c>
      <c r="I1360" t="s">
        <v>2814</v>
      </c>
      <c r="K1360" s="2"/>
      <c r="M1360" s="2"/>
    </row>
    <row r="1361" spans="1:13">
      <c r="A1361" t="s">
        <v>28</v>
      </c>
      <c r="B1361">
        <f ca="1">IF(OR(changes[[#This Row],[Type]]="Checklist",changes[[#This Row],[Type]]="checklist-flat"),1+IF(changes[[#This Row],[Type of change]] = "Edit",COUNTIFS($I$4:changes[[#This Row],[Name]],changes[[#This Row],[Name]], $E$4:changes[[#This Row],[Type of change]], "Edit")),B1360)</f>
        <v>1</v>
      </c>
      <c r="C1361" s="16">
        <v>44658</v>
      </c>
      <c r="D1361" s="1" t="s">
        <v>2458</v>
      </c>
      <c r="E1361" t="s">
        <v>27</v>
      </c>
      <c r="F1361" s="10" t="s">
        <v>9</v>
      </c>
      <c r="G1361" t="s">
        <v>797</v>
      </c>
      <c r="H1361" t="s">
        <v>55</v>
      </c>
      <c r="I1361" t="s">
        <v>2815</v>
      </c>
      <c r="K1361" s="2"/>
      <c r="M1361" s="2"/>
    </row>
    <row r="1362" spans="1:13">
      <c r="A1362" t="s">
        <v>28</v>
      </c>
      <c r="B1362">
        <f ca="1">IF(OR(changes[[#This Row],[Type]]="Checklist",changes[[#This Row],[Type]]="checklist-flat"),1+IF(changes[[#This Row],[Type of change]] = "Edit",COUNTIFS($I$4:changes[[#This Row],[Name]],changes[[#This Row],[Name]], $E$4:changes[[#This Row],[Type of change]], "Edit")),B1361)</f>
        <v>1</v>
      </c>
      <c r="C1362" s="16">
        <v>44658</v>
      </c>
      <c r="D1362" s="1" t="s">
        <v>2458</v>
      </c>
      <c r="E1362" t="s">
        <v>27</v>
      </c>
      <c r="F1362" s="10" t="s">
        <v>9</v>
      </c>
      <c r="G1362" t="s">
        <v>797</v>
      </c>
      <c r="H1362" t="s">
        <v>55</v>
      </c>
      <c r="I1362" t="s">
        <v>2816</v>
      </c>
      <c r="K1362" s="2"/>
      <c r="M1362" s="2"/>
    </row>
    <row r="1363" spans="1:13">
      <c r="A1363" t="s">
        <v>28</v>
      </c>
      <c r="B1363">
        <f ca="1">IF(OR(changes[[#This Row],[Type]]="Checklist",changes[[#This Row],[Type]]="checklist-flat"),1+IF(changes[[#This Row],[Type of change]] = "Edit",COUNTIFS($I$4:changes[[#This Row],[Name]],changes[[#This Row],[Name]], $E$4:changes[[#This Row],[Type of change]], "Edit")),B1362)</f>
        <v>1</v>
      </c>
      <c r="C1363" s="16">
        <v>44659</v>
      </c>
      <c r="D1363" s="1" t="s">
        <v>2484</v>
      </c>
      <c r="E1363" t="s">
        <v>27</v>
      </c>
      <c r="F1363" s="10" t="s">
        <v>9</v>
      </c>
      <c r="G1363" s="10" t="s">
        <v>1258</v>
      </c>
      <c r="H1363" t="s">
        <v>478</v>
      </c>
      <c r="I1363" s="10" t="s">
        <v>1258</v>
      </c>
      <c r="K1363" s="2"/>
      <c r="M1363" s="2"/>
    </row>
    <row r="1364" spans="1:13">
      <c r="A1364" t="s">
        <v>28</v>
      </c>
      <c r="B1364">
        <f ca="1">IF(OR(changes[[#This Row],[Type]]="Checklist",changes[[#This Row],[Type]]="checklist-flat"),1+IF(changes[[#This Row],[Type of change]] = "Edit",COUNTIFS($I$4:changes[[#This Row],[Name]],changes[[#This Row],[Name]], $E$4:changes[[#This Row],[Type of change]], "Edit")),B1363)</f>
        <v>1</v>
      </c>
      <c r="C1364" s="16">
        <v>44659</v>
      </c>
      <c r="D1364" s="1" t="s">
        <v>2484</v>
      </c>
      <c r="E1364" t="s">
        <v>27</v>
      </c>
      <c r="F1364" s="10" t="s">
        <v>9</v>
      </c>
      <c r="G1364" s="10" t="s">
        <v>1258</v>
      </c>
      <c r="H1364" t="s">
        <v>55</v>
      </c>
      <c r="I1364" t="s">
        <v>1259</v>
      </c>
      <c r="K1364" s="2"/>
      <c r="M1364" s="2"/>
    </row>
    <row r="1365" spans="1:13">
      <c r="A1365" t="s">
        <v>28</v>
      </c>
      <c r="B1365">
        <f ca="1">IF(OR(changes[[#This Row],[Type]]="Checklist",changes[[#This Row],[Type]]="checklist-flat"),1+IF(changes[[#This Row],[Type of change]] = "Edit",COUNTIFS($I$4:changes[[#This Row],[Name]],changes[[#This Row],[Name]], $E$4:changes[[#This Row],[Type of change]], "Edit")),B1364)</f>
        <v>1</v>
      </c>
      <c r="C1365" s="16">
        <v>44659</v>
      </c>
      <c r="D1365" s="1" t="s">
        <v>2484</v>
      </c>
      <c r="E1365" t="s">
        <v>27</v>
      </c>
      <c r="F1365" s="10" t="s">
        <v>9</v>
      </c>
      <c r="G1365" s="10" t="s">
        <v>1258</v>
      </c>
      <c r="H1365" t="s">
        <v>218</v>
      </c>
      <c r="I1365" t="s">
        <v>1260</v>
      </c>
      <c r="J1365" t="s">
        <v>1261</v>
      </c>
      <c r="K1365" s="2"/>
      <c r="M1365" s="2"/>
    </row>
    <row r="1366" spans="1:13">
      <c r="A1366" t="s">
        <v>28</v>
      </c>
      <c r="B1366">
        <f ca="1">IF(OR(changes[[#This Row],[Type]]="Checklist",changes[[#This Row],[Type]]="checklist-flat"),1+IF(changes[[#This Row],[Type of change]] = "Edit",COUNTIFS($I$4:changes[[#This Row],[Name]],changes[[#This Row],[Name]], $E$4:changes[[#This Row],[Type of change]], "Edit")),B1365)</f>
        <v>1</v>
      </c>
      <c r="C1366" s="16">
        <v>44659</v>
      </c>
      <c r="D1366" s="1" t="s">
        <v>2484</v>
      </c>
      <c r="E1366" t="s">
        <v>27</v>
      </c>
      <c r="F1366" s="10" t="s">
        <v>9</v>
      </c>
      <c r="G1366" s="10" t="s">
        <v>1258</v>
      </c>
      <c r="H1366" t="s">
        <v>218</v>
      </c>
      <c r="I1366" t="s">
        <v>1262</v>
      </c>
      <c r="J1366" t="s">
        <v>1263</v>
      </c>
      <c r="K1366" s="2"/>
      <c r="M1366" s="2"/>
    </row>
    <row r="1367" spans="1:13">
      <c r="A1367" t="s">
        <v>28</v>
      </c>
      <c r="B1367">
        <f ca="1">IF(OR(changes[[#This Row],[Type]]="Checklist",changes[[#This Row],[Type]]="checklist-flat"),1+IF(changes[[#This Row],[Type of change]] = "Edit",COUNTIFS($I$4:changes[[#This Row],[Name]],changes[[#This Row],[Name]], $E$4:changes[[#This Row],[Type of change]], "Edit")),B1366)</f>
        <v>1</v>
      </c>
      <c r="C1367" s="16">
        <v>44659</v>
      </c>
      <c r="D1367" s="1" t="s">
        <v>2484</v>
      </c>
      <c r="E1367" t="s">
        <v>27</v>
      </c>
      <c r="F1367" s="10" t="s">
        <v>9</v>
      </c>
      <c r="G1367" s="10" t="s">
        <v>1258</v>
      </c>
      <c r="H1367" t="s">
        <v>724</v>
      </c>
      <c r="I1367" t="s">
        <v>1264</v>
      </c>
      <c r="K1367" s="2"/>
      <c r="M1367" s="2"/>
    </row>
    <row r="1368" spans="1:13">
      <c r="A1368" t="s">
        <v>28</v>
      </c>
      <c r="B1368">
        <f ca="1">IF(OR(changes[[#This Row],[Type]]="Checklist",changes[[#This Row],[Type]]="checklist-flat"),1+IF(changes[[#This Row],[Type of change]] = "Edit",COUNTIFS($I$4:changes[[#This Row],[Name]],changes[[#This Row],[Name]], $E$4:changes[[#This Row],[Type of change]], "Edit")),B1367)</f>
        <v>1</v>
      </c>
      <c r="C1368" s="16">
        <v>44659</v>
      </c>
      <c r="D1368" s="1" t="s">
        <v>2484</v>
      </c>
      <c r="E1368" t="s">
        <v>27</v>
      </c>
      <c r="F1368" s="10" t="s">
        <v>9</v>
      </c>
      <c r="G1368" s="10" t="s">
        <v>1258</v>
      </c>
      <c r="H1368" t="s">
        <v>951</v>
      </c>
      <c r="I1368" t="s">
        <v>1265</v>
      </c>
      <c r="J1368" t="s">
        <v>1266</v>
      </c>
      <c r="K1368" s="2"/>
      <c r="M1368" s="2"/>
    </row>
    <row r="1369" spans="1:13">
      <c r="A1369" t="s">
        <v>28</v>
      </c>
      <c r="B1369">
        <f ca="1">IF(OR(changes[[#This Row],[Type]]="Checklist",changes[[#This Row],[Type]]="checklist-flat"),1+IF(changes[[#This Row],[Type of change]] = "Edit",COUNTIFS($I$4:changes[[#This Row],[Name]],changes[[#This Row],[Name]], $E$4:changes[[#This Row],[Type of change]], "Edit")),B1368)</f>
        <v>1</v>
      </c>
      <c r="C1369" s="16">
        <v>44659</v>
      </c>
      <c r="D1369" s="1" t="s">
        <v>2484</v>
      </c>
      <c r="E1369" t="s">
        <v>27</v>
      </c>
      <c r="F1369" s="10" t="s">
        <v>9</v>
      </c>
      <c r="G1369" s="10" t="s">
        <v>1258</v>
      </c>
      <c r="H1369" t="s">
        <v>724</v>
      </c>
      <c r="I1369" t="s">
        <v>1264</v>
      </c>
      <c r="K1369" s="2"/>
      <c r="M1369" s="2"/>
    </row>
    <row r="1370" spans="1:13">
      <c r="A1370" t="s">
        <v>28</v>
      </c>
      <c r="B1370">
        <f ca="1">IF(OR(changes[[#This Row],[Type]]="Checklist",changes[[#This Row],[Type]]="checklist-flat"),1+IF(changes[[#This Row],[Type of change]] = "Edit",COUNTIFS($I$4:changes[[#This Row],[Name]],changes[[#This Row],[Name]], $E$4:changes[[#This Row],[Type of change]], "Edit")),B1369)</f>
        <v>1</v>
      </c>
      <c r="C1370" s="16">
        <v>44659</v>
      </c>
      <c r="D1370" s="1" t="s">
        <v>2484</v>
      </c>
      <c r="E1370" t="s">
        <v>27</v>
      </c>
      <c r="F1370" s="10" t="s">
        <v>9</v>
      </c>
      <c r="G1370" s="10" t="s">
        <v>1258</v>
      </c>
      <c r="H1370" t="s">
        <v>951</v>
      </c>
      <c r="I1370" t="s">
        <v>1267</v>
      </c>
      <c r="J1370" t="s">
        <v>1268</v>
      </c>
      <c r="K1370" s="2"/>
      <c r="M1370" s="2"/>
    </row>
    <row r="1371" spans="1:13">
      <c r="A1371" t="s">
        <v>28</v>
      </c>
      <c r="B1371">
        <f ca="1">IF(OR(changes[[#This Row],[Type]]="Checklist",changes[[#This Row],[Type]]="checklist-flat"),1+IF(changes[[#This Row],[Type of change]] = "Edit",COUNTIFS($I$4:changes[[#This Row],[Name]],changes[[#This Row],[Name]], $E$4:changes[[#This Row],[Type of change]], "Edit")),B1370)</f>
        <v>1</v>
      </c>
      <c r="C1371" s="16">
        <v>44659</v>
      </c>
      <c r="D1371" s="1" t="s">
        <v>2484</v>
      </c>
      <c r="E1371" t="s">
        <v>27</v>
      </c>
      <c r="F1371" s="10" t="s">
        <v>9</v>
      </c>
      <c r="G1371" s="10" t="s">
        <v>1258</v>
      </c>
      <c r="H1371" t="s">
        <v>724</v>
      </c>
      <c r="I1371" t="s">
        <v>1264</v>
      </c>
      <c r="K1371" s="2"/>
      <c r="M1371" s="2"/>
    </row>
    <row r="1372" spans="1:13">
      <c r="A1372" t="s">
        <v>28</v>
      </c>
      <c r="B1372">
        <f ca="1">IF(OR(changes[[#This Row],[Type]]="Checklist",changes[[#This Row],[Type]]="checklist-flat"),1+IF(changes[[#This Row],[Type of change]] = "Edit",COUNTIFS($I$4:changes[[#This Row],[Name]],changes[[#This Row],[Name]], $E$4:changes[[#This Row],[Type of change]], "Edit")),B1371)</f>
        <v>1</v>
      </c>
      <c r="C1372" s="16">
        <v>44659</v>
      </c>
      <c r="D1372" s="1" t="s">
        <v>2484</v>
      </c>
      <c r="E1372" t="s">
        <v>27</v>
      </c>
      <c r="F1372" s="10" t="s">
        <v>9</v>
      </c>
      <c r="G1372" s="10" t="s">
        <v>1258</v>
      </c>
      <c r="H1372" t="s">
        <v>218</v>
      </c>
      <c r="I1372" t="s">
        <v>1269</v>
      </c>
      <c r="J1372" t="s">
        <v>1270</v>
      </c>
      <c r="K1372" s="2"/>
      <c r="M1372" s="2"/>
    </row>
    <row r="1373" spans="1:13">
      <c r="A1373" t="s">
        <v>28</v>
      </c>
      <c r="B1373">
        <f ca="1">IF(OR(changes[[#This Row],[Type]]="Checklist",changes[[#This Row],[Type]]="checklist-flat"),1+IF(changes[[#This Row],[Type of change]] = "Edit",COUNTIFS($I$4:changes[[#This Row],[Name]],changes[[#This Row],[Name]], $E$4:changes[[#This Row],[Type of change]], "Edit")),B1372)</f>
        <v>1</v>
      </c>
      <c r="C1373" s="16">
        <v>44659</v>
      </c>
      <c r="D1373" s="1" t="s">
        <v>2484</v>
      </c>
      <c r="E1373" t="s">
        <v>27</v>
      </c>
      <c r="F1373" s="10" t="s">
        <v>9</v>
      </c>
      <c r="G1373" s="10" t="s">
        <v>1258</v>
      </c>
      <c r="H1373" t="s">
        <v>724</v>
      </c>
      <c r="I1373" t="s">
        <v>1264</v>
      </c>
      <c r="K1373" s="2"/>
      <c r="M1373" s="2"/>
    </row>
    <row r="1374" spans="1:13">
      <c r="A1374" t="s">
        <v>28</v>
      </c>
      <c r="B1374">
        <f ca="1">IF(OR(changes[[#This Row],[Type]]="Checklist",changes[[#This Row],[Type]]="checklist-flat"),1+IF(changes[[#This Row],[Type of change]] = "Edit",COUNTIFS($I$4:changes[[#This Row],[Name]],changes[[#This Row],[Name]], $E$4:changes[[#This Row],[Type of change]], "Edit")),B1373)</f>
        <v>1</v>
      </c>
      <c r="C1374" s="16">
        <v>44659</v>
      </c>
      <c r="D1374" s="1" t="s">
        <v>2484</v>
      </c>
      <c r="E1374" t="s">
        <v>27</v>
      </c>
      <c r="F1374" s="10" t="s">
        <v>9</v>
      </c>
      <c r="G1374" s="10" t="s">
        <v>1258</v>
      </c>
      <c r="H1374" t="s">
        <v>218</v>
      </c>
      <c r="I1374" t="s">
        <v>1271</v>
      </c>
      <c r="J1374" t="s">
        <v>1272</v>
      </c>
      <c r="K1374" s="2"/>
      <c r="M1374" s="2"/>
    </row>
    <row r="1375" spans="1:13">
      <c r="A1375" t="s">
        <v>28</v>
      </c>
      <c r="B1375">
        <f ca="1">IF(OR(changes[[#This Row],[Type]]="Checklist",changes[[#This Row],[Type]]="checklist-flat"),1+IF(changes[[#This Row],[Type of change]] = "Edit",COUNTIFS($I$4:changes[[#This Row],[Name]],changes[[#This Row],[Name]], $E$4:changes[[#This Row],[Type of change]], "Edit")),B1374)</f>
        <v>1</v>
      </c>
      <c r="C1375" s="16">
        <v>44659</v>
      </c>
      <c r="D1375" s="1" t="s">
        <v>2484</v>
      </c>
      <c r="E1375" t="s">
        <v>27</v>
      </c>
      <c r="F1375" s="10" t="s">
        <v>9</v>
      </c>
      <c r="G1375" s="10" t="s">
        <v>1258</v>
      </c>
      <c r="H1375" t="s">
        <v>64</v>
      </c>
      <c r="I1375" t="s">
        <v>1273</v>
      </c>
      <c r="K1375" s="2"/>
      <c r="M1375" s="2"/>
    </row>
    <row r="1376" spans="1:13">
      <c r="A1376" t="s">
        <v>28</v>
      </c>
      <c r="B1376">
        <f ca="1">IF(OR(changes[[#This Row],[Type]]="Checklist",changes[[#This Row],[Type]]="checklist-flat"),1+IF(changes[[#This Row],[Type of change]] = "Edit",COUNTIFS($I$4:changes[[#This Row],[Name]],changes[[#This Row],[Name]], $E$4:changes[[#This Row],[Type of change]], "Edit")),B1375)</f>
        <v>1</v>
      </c>
      <c r="C1376" s="16">
        <v>44659</v>
      </c>
      <c r="D1376" s="1" t="s">
        <v>2817</v>
      </c>
      <c r="E1376" t="s">
        <v>10</v>
      </c>
      <c r="F1376" s="10" t="s">
        <v>9</v>
      </c>
      <c r="G1376" s="10" t="s">
        <v>821</v>
      </c>
      <c r="H1376" t="s">
        <v>55</v>
      </c>
      <c r="I1376" t="s">
        <v>2818</v>
      </c>
      <c r="K1376" s="2"/>
      <c r="M1376" s="2"/>
    </row>
    <row r="1377" spans="1:13">
      <c r="A1377" t="s">
        <v>28</v>
      </c>
      <c r="B1377">
        <f ca="1">IF(OR(changes[[#This Row],[Type]]="Checklist",changes[[#This Row],[Type]]="checklist-flat"),1+IF(changes[[#This Row],[Type of change]] = "Edit",COUNTIFS($I$4:changes[[#This Row],[Name]],changes[[#This Row],[Name]], $E$4:changes[[#This Row],[Type of change]], "Edit")),B1376)</f>
        <v>2</v>
      </c>
      <c r="C1377" s="16">
        <v>44665</v>
      </c>
      <c r="D1377" s="1" t="s">
        <v>2509</v>
      </c>
      <c r="E1377" t="s">
        <v>15</v>
      </c>
      <c r="F1377" s="10" t="s">
        <v>9</v>
      </c>
      <c r="G1377" s="10" t="s">
        <v>821</v>
      </c>
      <c r="H1377" t="s">
        <v>478</v>
      </c>
      <c r="I1377" t="s">
        <v>821</v>
      </c>
      <c r="K1377" s="2"/>
      <c r="M1377" s="2"/>
    </row>
    <row r="1378" spans="1:13">
      <c r="A1378" t="s">
        <v>28</v>
      </c>
      <c r="B1378">
        <f ca="1">IF(OR(changes[[#This Row],[Type]]="Checklist",changes[[#This Row],[Type]]="checklist-flat"),1+IF(changes[[#This Row],[Type of change]] = "Edit",COUNTIFS($I$4:changes[[#This Row],[Name]],changes[[#This Row],[Name]], $E$4:changes[[#This Row],[Type of change]], "Edit")),B1377)</f>
        <v>2</v>
      </c>
      <c r="C1378" s="16">
        <v>44665</v>
      </c>
      <c r="D1378" s="1" t="s">
        <v>2509</v>
      </c>
      <c r="E1378" t="s">
        <v>15</v>
      </c>
      <c r="F1378" s="10" t="s">
        <v>9</v>
      </c>
      <c r="G1378" s="10" t="s">
        <v>821</v>
      </c>
      <c r="H1378" t="s">
        <v>479</v>
      </c>
      <c r="I1378" t="s">
        <v>822</v>
      </c>
      <c r="K1378" s="2"/>
      <c r="M1378" s="2"/>
    </row>
    <row r="1379" spans="1:13">
      <c r="A1379" t="s">
        <v>28</v>
      </c>
      <c r="B1379">
        <f ca="1">IF(OR(changes[[#This Row],[Type]]="Checklist",changes[[#This Row],[Type]]="checklist-flat"),1+IF(changes[[#This Row],[Type of change]] = "Edit",COUNTIFS($I$4:changes[[#This Row],[Name]],changes[[#This Row],[Name]], $E$4:changes[[#This Row],[Type of change]], "Edit")),B1378)</f>
        <v>2</v>
      </c>
      <c r="C1379" s="16">
        <v>44665</v>
      </c>
      <c r="D1379" s="1" t="s">
        <v>2509</v>
      </c>
      <c r="E1379" t="s">
        <v>15</v>
      </c>
      <c r="F1379" s="10" t="s">
        <v>9</v>
      </c>
      <c r="G1379" s="10" t="s">
        <v>821</v>
      </c>
      <c r="H1379" t="s">
        <v>55</v>
      </c>
      <c r="I1379" t="s">
        <v>823</v>
      </c>
      <c r="K1379" s="2"/>
      <c r="M1379" s="2"/>
    </row>
    <row r="1380" spans="1:13">
      <c r="A1380" t="s">
        <v>28</v>
      </c>
      <c r="B1380">
        <f ca="1">IF(OR(changes[[#This Row],[Type]]="Checklist",changes[[#This Row],[Type]]="checklist-flat"),1+IF(changes[[#This Row],[Type of change]] = "Edit",COUNTIFS($I$4:changes[[#This Row],[Name]],changes[[#This Row],[Name]], $E$4:changes[[#This Row],[Type of change]], "Edit")),B1379)</f>
        <v>2</v>
      </c>
      <c r="C1380" s="16">
        <v>44665</v>
      </c>
      <c r="D1380" s="1" t="s">
        <v>2509</v>
      </c>
      <c r="E1380" t="s">
        <v>15</v>
      </c>
      <c r="F1380" s="10" t="s">
        <v>9</v>
      </c>
      <c r="G1380" s="10" t="s">
        <v>821</v>
      </c>
      <c r="H1380" t="s">
        <v>55</v>
      </c>
      <c r="I1380" t="s">
        <v>824</v>
      </c>
      <c r="K1380" s="2"/>
      <c r="M1380" s="2"/>
    </row>
    <row r="1381" spans="1:13">
      <c r="A1381" t="s">
        <v>28</v>
      </c>
      <c r="B1381">
        <f ca="1">IF(OR(changes[[#This Row],[Type]]="Checklist",changes[[#This Row],[Type]]="checklist-flat"),1+IF(changes[[#This Row],[Type of change]] = "Edit",COUNTIFS($I$4:changes[[#This Row],[Name]],changes[[#This Row],[Name]], $E$4:changes[[#This Row],[Type of change]], "Edit")),B1380)</f>
        <v>2</v>
      </c>
      <c r="C1381" s="16">
        <v>44665</v>
      </c>
      <c r="D1381" s="1" t="s">
        <v>2509</v>
      </c>
      <c r="E1381" t="s">
        <v>15</v>
      </c>
      <c r="F1381" s="10" t="s">
        <v>9</v>
      </c>
      <c r="G1381" s="10" t="s">
        <v>821</v>
      </c>
      <c r="H1381" t="s">
        <v>55</v>
      </c>
      <c r="I1381" t="s">
        <v>825</v>
      </c>
      <c r="K1381" s="2"/>
      <c r="M1381" s="2"/>
    </row>
    <row r="1382" spans="1:13">
      <c r="A1382" t="s">
        <v>28</v>
      </c>
      <c r="B1382">
        <f ca="1">IF(OR(changes[[#This Row],[Type]]="Checklist",changes[[#This Row],[Type]]="checklist-flat"),1+IF(changes[[#This Row],[Type of change]] = "Edit",COUNTIFS($I$4:changes[[#This Row],[Name]],changes[[#This Row],[Name]], $E$4:changes[[#This Row],[Type of change]], "Edit")),B1381)</f>
        <v>2</v>
      </c>
      <c r="C1382" s="16">
        <v>44665</v>
      </c>
      <c r="D1382" s="1" t="s">
        <v>2509</v>
      </c>
      <c r="E1382" t="s">
        <v>15</v>
      </c>
      <c r="F1382" s="10" t="s">
        <v>9</v>
      </c>
      <c r="G1382" s="10" t="s">
        <v>821</v>
      </c>
      <c r="H1382" t="s">
        <v>55</v>
      </c>
      <c r="I1382" t="s">
        <v>826</v>
      </c>
      <c r="K1382" s="2"/>
      <c r="M1382" s="2"/>
    </row>
    <row r="1383" spans="1:13">
      <c r="A1383" t="s">
        <v>28</v>
      </c>
      <c r="B1383">
        <f ca="1">IF(OR(changes[[#This Row],[Type]]="Checklist",changes[[#This Row],[Type]]="checklist-flat"),1+IF(changes[[#This Row],[Type of change]] = "Edit",COUNTIFS($I$4:changes[[#This Row],[Name]],changes[[#This Row],[Name]], $E$4:changes[[#This Row],[Type of change]], "Edit")),B1382)</f>
        <v>2</v>
      </c>
      <c r="C1383" s="16">
        <v>44665</v>
      </c>
      <c r="D1383" s="1" t="s">
        <v>2509</v>
      </c>
      <c r="E1383" t="s">
        <v>15</v>
      </c>
      <c r="F1383" s="10" t="s">
        <v>9</v>
      </c>
      <c r="G1383" s="10" t="s">
        <v>821</v>
      </c>
      <c r="H1383" t="s">
        <v>55</v>
      </c>
      <c r="I1383" t="s">
        <v>827</v>
      </c>
      <c r="K1383" s="2"/>
      <c r="M1383" s="2"/>
    </row>
    <row r="1384" spans="1:13">
      <c r="A1384" t="s">
        <v>28</v>
      </c>
      <c r="B1384">
        <f ca="1">IF(OR(changes[[#This Row],[Type]]="Checklist",changes[[#This Row],[Type]]="checklist-flat"),1+IF(changes[[#This Row],[Type of change]] = "Edit",COUNTIFS($I$4:changes[[#This Row],[Name]],changes[[#This Row],[Name]], $E$4:changes[[#This Row],[Type of change]], "Edit")),B1383)</f>
        <v>2</v>
      </c>
      <c r="C1384" s="16">
        <v>44665</v>
      </c>
      <c r="D1384" s="1" t="s">
        <v>2509</v>
      </c>
      <c r="E1384" t="s">
        <v>15</v>
      </c>
      <c r="F1384" s="10" t="s">
        <v>9</v>
      </c>
      <c r="G1384" s="10" t="s">
        <v>821</v>
      </c>
      <c r="H1384" t="s">
        <v>479</v>
      </c>
      <c r="I1384" t="s">
        <v>828</v>
      </c>
      <c r="K1384" s="2"/>
      <c r="M1384" s="2"/>
    </row>
    <row r="1385" spans="1:13">
      <c r="A1385" t="s">
        <v>28</v>
      </c>
      <c r="B1385">
        <f ca="1">IF(OR(changes[[#This Row],[Type]]="Checklist",changes[[#This Row],[Type]]="checklist-flat"),1+IF(changes[[#This Row],[Type of change]] = "Edit",COUNTIFS($I$4:changes[[#This Row],[Name]],changes[[#This Row],[Name]], $E$4:changes[[#This Row],[Type of change]], "Edit")),B1384)</f>
        <v>2</v>
      </c>
      <c r="C1385" s="16">
        <v>44665</v>
      </c>
      <c r="D1385" s="1" t="s">
        <v>2509</v>
      </c>
      <c r="E1385" t="s">
        <v>15</v>
      </c>
      <c r="F1385" s="10" t="s">
        <v>9</v>
      </c>
      <c r="G1385" s="10" t="s">
        <v>821</v>
      </c>
      <c r="H1385" t="s">
        <v>55</v>
      </c>
      <c r="I1385" t="s">
        <v>829</v>
      </c>
      <c r="K1385" s="2"/>
      <c r="M1385" s="2"/>
    </row>
    <row r="1386" spans="1:13">
      <c r="A1386" t="s">
        <v>28</v>
      </c>
      <c r="B1386">
        <f ca="1">IF(OR(changes[[#This Row],[Type]]="Checklist",changes[[#This Row],[Type]]="checklist-flat"),1+IF(changes[[#This Row],[Type of change]] = "Edit",COUNTIFS($I$4:changes[[#This Row],[Name]],changes[[#This Row],[Name]], $E$4:changes[[#This Row],[Type of change]], "Edit")),B1385)</f>
        <v>2</v>
      </c>
      <c r="C1386" s="16">
        <v>44665</v>
      </c>
      <c r="D1386" s="1" t="s">
        <v>2509</v>
      </c>
      <c r="E1386" t="s">
        <v>15</v>
      </c>
      <c r="F1386" s="10" t="s">
        <v>9</v>
      </c>
      <c r="G1386" s="10" t="s">
        <v>821</v>
      </c>
      <c r="H1386" t="s">
        <v>55</v>
      </c>
      <c r="I1386" t="s">
        <v>830</v>
      </c>
      <c r="K1386" s="2"/>
      <c r="M1386" s="2"/>
    </row>
    <row r="1387" spans="1:13">
      <c r="A1387" t="s">
        <v>28</v>
      </c>
      <c r="B1387">
        <f ca="1">IF(OR(changes[[#This Row],[Type]]="Checklist",changes[[#This Row],[Type]]="checklist-flat"),1+IF(changes[[#This Row],[Type of change]] = "Edit",COUNTIFS($I$4:changes[[#This Row],[Name]],changes[[#This Row],[Name]], $E$4:changes[[#This Row],[Type of change]], "Edit")),B1386)</f>
        <v>2</v>
      </c>
      <c r="C1387" s="16">
        <v>44665</v>
      </c>
      <c r="D1387" s="1" t="s">
        <v>2509</v>
      </c>
      <c r="E1387" t="s">
        <v>15</v>
      </c>
      <c r="F1387" s="10" t="s">
        <v>9</v>
      </c>
      <c r="G1387" s="10" t="s">
        <v>821</v>
      </c>
      <c r="H1387" t="s">
        <v>55</v>
      </c>
      <c r="I1387" t="s">
        <v>831</v>
      </c>
      <c r="K1387" s="2"/>
      <c r="M1387" s="2"/>
    </row>
    <row r="1388" spans="1:13">
      <c r="A1388" t="s">
        <v>28</v>
      </c>
      <c r="B1388">
        <f ca="1">IF(OR(changes[[#This Row],[Type]]="Checklist",changes[[#This Row],[Type]]="checklist-flat"),1+IF(changes[[#This Row],[Type of change]] = "Edit",COUNTIFS($I$4:changes[[#This Row],[Name]],changes[[#This Row],[Name]], $E$4:changes[[#This Row],[Type of change]], "Edit")),B1387)</f>
        <v>2</v>
      </c>
      <c r="C1388" s="16">
        <v>44665</v>
      </c>
      <c r="D1388" s="1" t="s">
        <v>2509</v>
      </c>
      <c r="E1388" t="s">
        <v>15</v>
      </c>
      <c r="F1388" s="10" t="s">
        <v>9</v>
      </c>
      <c r="G1388" s="10" t="s">
        <v>821</v>
      </c>
      <c r="H1388" t="s">
        <v>55</v>
      </c>
      <c r="I1388" t="s">
        <v>832</v>
      </c>
      <c r="K1388" s="2"/>
      <c r="M1388" s="2"/>
    </row>
    <row r="1389" spans="1:13">
      <c r="A1389" t="s">
        <v>28</v>
      </c>
      <c r="B1389">
        <f ca="1">IF(OR(changes[[#This Row],[Type]]="Checklist",changes[[#This Row],[Type]]="checklist-flat"),1+IF(changes[[#This Row],[Type of change]] = "Edit",COUNTIFS($I$4:changes[[#This Row],[Name]],changes[[#This Row],[Name]], $E$4:changes[[#This Row],[Type of change]], "Edit")),B1388)</f>
        <v>2</v>
      </c>
      <c r="C1389" s="16">
        <v>44665</v>
      </c>
      <c r="D1389" s="1" t="s">
        <v>2509</v>
      </c>
      <c r="E1389" t="s">
        <v>15</v>
      </c>
      <c r="F1389" s="10" t="s">
        <v>9</v>
      </c>
      <c r="G1389" s="10" t="s">
        <v>821</v>
      </c>
      <c r="H1389" t="s">
        <v>55</v>
      </c>
      <c r="I1389" t="s">
        <v>833</v>
      </c>
      <c r="K1389" s="2"/>
      <c r="M1389" s="2"/>
    </row>
    <row r="1390" spans="1:13">
      <c r="A1390" t="s">
        <v>28</v>
      </c>
      <c r="B1390">
        <f ca="1">IF(OR(changes[[#This Row],[Type]]="Checklist",changes[[#This Row],[Type]]="checklist-flat"),1+IF(changes[[#This Row],[Type of change]] = "Edit",COUNTIFS($I$4:changes[[#This Row],[Name]],changes[[#This Row],[Name]], $E$4:changes[[#This Row],[Type of change]], "Edit")),B1389)</f>
        <v>2</v>
      </c>
      <c r="C1390" s="16">
        <v>44665</v>
      </c>
      <c r="D1390" s="1" t="s">
        <v>2509</v>
      </c>
      <c r="E1390" t="s">
        <v>15</v>
      </c>
      <c r="F1390" s="10" t="s">
        <v>9</v>
      </c>
      <c r="G1390" s="10" t="s">
        <v>821</v>
      </c>
      <c r="H1390" t="s">
        <v>55</v>
      </c>
      <c r="I1390" t="s">
        <v>827</v>
      </c>
      <c r="K1390" s="2"/>
      <c r="M1390" s="2"/>
    </row>
    <row r="1391" spans="1:13">
      <c r="A1391" t="s">
        <v>28</v>
      </c>
      <c r="B1391">
        <f ca="1">IF(OR(changes[[#This Row],[Type]]="Checklist",changes[[#This Row],[Type]]="checklist-flat"),1+IF(changes[[#This Row],[Type of change]] = "Edit",COUNTIFS($I$4:changes[[#This Row],[Name]],changes[[#This Row],[Name]], $E$4:changes[[#This Row],[Type of change]], "Edit")),B1390)</f>
        <v>2</v>
      </c>
      <c r="C1391" s="16">
        <v>44665</v>
      </c>
      <c r="D1391" s="1" t="s">
        <v>2509</v>
      </c>
      <c r="E1391" t="s">
        <v>15</v>
      </c>
      <c r="F1391" s="10" t="s">
        <v>9</v>
      </c>
      <c r="G1391" s="10" t="s">
        <v>821</v>
      </c>
      <c r="H1391" t="s">
        <v>479</v>
      </c>
      <c r="I1391" t="s">
        <v>834</v>
      </c>
      <c r="K1391" s="2"/>
      <c r="M1391" s="2"/>
    </row>
    <row r="1392" spans="1:13">
      <c r="A1392" t="s">
        <v>28</v>
      </c>
      <c r="B1392">
        <f ca="1">IF(OR(changes[[#This Row],[Type]]="Checklist",changes[[#This Row],[Type]]="checklist-flat"),1+IF(changes[[#This Row],[Type of change]] = "Edit",COUNTIFS($I$4:changes[[#This Row],[Name]],changes[[#This Row],[Name]], $E$4:changes[[#This Row],[Type of change]], "Edit")),B1391)</f>
        <v>2</v>
      </c>
      <c r="C1392" s="16">
        <v>44665</v>
      </c>
      <c r="D1392" s="1" t="s">
        <v>2509</v>
      </c>
      <c r="E1392" t="s">
        <v>15</v>
      </c>
      <c r="F1392" s="10" t="s">
        <v>9</v>
      </c>
      <c r="G1392" s="10" t="s">
        <v>821</v>
      </c>
      <c r="H1392" t="s">
        <v>55</v>
      </c>
      <c r="I1392" t="s">
        <v>835</v>
      </c>
      <c r="K1392" s="2"/>
      <c r="M1392" s="2"/>
    </row>
    <row r="1393" spans="1:13">
      <c r="A1393" t="s">
        <v>28</v>
      </c>
      <c r="B1393">
        <f ca="1">IF(OR(changes[[#This Row],[Type]]="Checklist",changes[[#This Row],[Type]]="checklist-flat"),1+IF(changes[[#This Row],[Type of change]] = "Edit",COUNTIFS($I$4:changes[[#This Row],[Name]],changes[[#This Row],[Name]], $E$4:changes[[#This Row],[Type of change]], "Edit")),B1392)</f>
        <v>2</v>
      </c>
      <c r="C1393" s="16">
        <v>44665</v>
      </c>
      <c r="D1393" s="1" t="s">
        <v>2509</v>
      </c>
      <c r="E1393" t="s">
        <v>15</v>
      </c>
      <c r="F1393" s="10" t="s">
        <v>9</v>
      </c>
      <c r="G1393" s="10" t="s">
        <v>821</v>
      </c>
      <c r="H1393" t="s">
        <v>55</v>
      </c>
      <c r="I1393" t="s">
        <v>836</v>
      </c>
      <c r="K1393" s="2"/>
      <c r="M1393" s="2"/>
    </row>
    <row r="1394" spans="1:13">
      <c r="A1394" t="s">
        <v>28</v>
      </c>
      <c r="B1394">
        <f ca="1">IF(OR(changes[[#This Row],[Type]]="Checklist",changes[[#This Row],[Type]]="checklist-flat"),1+IF(changes[[#This Row],[Type of change]] = "Edit",COUNTIFS($I$4:changes[[#This Row],[Name]],changes[[#This Row],[Name]], $E$4:changes[[#This Row],[Type of change]], "Edit")),B1393)</f>
        <v>2</v>
      </c>
      <c r="C1394" s="16">
        <v>44665</v>
      </c>
      <c r="D1394" s="1" t="s">
        <v>2509</v>
      </c>
      <c r="E1394" t="s">
        <v>15</v>
      </c>
      <c r="F1394" s="10" t="s">
        <v>9</v>
      </c>
      <c r="G1394" s="10" t="s">
        <v>821</v>
      </c>
      <c r="H1394" t="s">
        <v>55</v>
      </c>
      <c r="I1394" t="s">
        <v>837</v>
      </c>
      <c r="K1394" s="2"/>
      <c r="M1394" s="2"/>
    </row>
    <row r="1395" spans="1:13">
      <c r="A1395" t="s">
        <v>28</v>
      </c>
      <c r="B1395">
        <f ca="1">IF(OR(changes[[#This Row],[Type]]="Checklist",changes[[#This Row],[Type]]="checklist-flat"),1+IF(changes[[#This Row],[Type of change]] = "Edit",COUNTIFS($I$4:changes[[#This Row],[Name]],changes[[#This Row],[Name]], $E$4:changes[[#This Row],[Type of change]], "Edit")),B1394)</f>
        <v>2</v>
      </c>
      <c r="C1395" s="16">
        <v>44665</v>
      </c>
      <c r="D1395" s="1" t="s">
        <v>2509</v>
      </c>
      <c r="E1395" t="s">
        <v>15</v>
      </c>
      <c r="F1395" s="10" t="s">
        <v>9</v>
      </c>
      <c r="G1395" s="10" t="s">
        <v>821</v>
      </c>
      <c r="H1395" t="s">
        <v>55</v>
      </c>
      <c r="I1395" t="s">
        <v>838</v>
      </c>
      <c r="K1395" s="2"/>
      <c r="M1395" s="2"/>
    </row>
    <row r="1396" spans="1:13">
      <c r="A1396" t="s">
        <v>28</v>
      </c>
      <c r="B1396">
        <f ca="1">IF(OR(changes[[#This Row],[Type]]="Checklist",changes[[#This Row],[Type]]="checklist-flat"),1+IF(changes[[#This Row],[Type of change]] = "Edit",COUNTIFS($I$4:changes[[#This Row],[Name]],changes[[#This Row],[Name]], $E$4:changes[[#This Row],[Type of change]], "Edit")),B1395)</f>
        <v>2</v>
      </c>
      <c r="C1396" s="16">
        <v>44665</v>
      </c>
      <c r="D1396" s="1" t="s">
        <v>2509</v>
      </c>
      <c r="E1396" t="s">
        <v>15</v>
      </c>
      <c r="F1396" s="10" t="s">
        <v>9</v>
      </c>
      <c r="G1396" s="10" t="s">
        <v>821</v>
      </c>
      <c r="H1396" t="s">
        <v>55</v>
      </c>
      <c r="I1396" t="s">
        <v>839</v>
      </c>
      <c r="K1396" s="2"/>
      <c r="M1396" s="2"/>
    </row>
    <row r="1397" spans="1:13">
      <c r="A1397" t="s">
        <v>28</v>
      </c>
      <c r="B1397">
        <f ca="1">IF(OR(changes[[#This Row],[Type]]="Checklist",changes[[#This Row],[Type]]="checklist-flat"),1+IF(changes[[#This Row],[Type of change]] = "Edit",COUNTIFS($I$4:changes[[#This Row],[Name]],changes[[#This Row],[Name]], $E$4:changes[[#This Row],[Type of change]], "Edit")),B1396)</f>
        <v>2</v>
      </c>
      <c r="C1397" s="16">
        <v>44665</v>
      </c>
      <c r="D1397" s="1" t="s">
        <v>2509</v>
      </c>
      <c r="E1397" t="s">
        <v>15</v>
      </c>
      <c r="F1397" s="10" t="s">
        <v>9</v>
      </c>
      <c r="G1397" s="10" t="s">
        <v>821</v>
      </c>
      <c r="H1397" t="s">
        <v>55</v>
      </c>
      <c r="I1397" t="s">
        <v>827</v>
      </c>
      <c r="K1397" s="2"/>
      <c r="M1397" s="2"/>
    </row>
    <row r="1398" spans="1:13">
      <c r="A1398" t="s">
        <v>28</v>
      </c>
      <c r="B1398">
        <f ca="1">IF(OR(changes[[#This Row],[Type]]="Checklist",changes[[#This Row],[Type]]="checklist-flat"),1+IF(changes[[#This Row],[Type of change]] = "Edit",COUNTIFS($I$4:changes[[#This Row],[Name]],changes[[#This Row],[Name]], $E$4:changes[[#This Row],[Type of change]], "Edit")),B1397)</f>
        <v>2</v>
      </c>
      <c r="C1398" s="16">
        <v>44665</v>
      </c>
      <c r="D1398" s="1" t="s">
        <v>2509</v>
      </c>
      <c r="E1398" t="s">
        <v>15</v>
      </c>
      <c r="F1398" s="10" t="s">
        <v>9</v>
      </c>
      <c r="G1398" s="10" t="s">
        <v>821</v>
      </c>
      <c r="H1398" t="s">
        <v>479</v>
      </c>
      <c r="I1398" t="s">
        <v>840</v>
      </c>
      <c r="K1398" s="2"/>
      <c r="M1398" s="2"/>
    </row>
    <row r="1399" spans="1:13">
      <c r="A1399" t="s">
        <v>28</v>
      </c>
      <c r="B1399">
        <f ca="1">IF(OR(changes[[#This Row],[Type]]="Checklist",changes[[#This Row],[Type]]="checklist-flat"),1+IF(changes[[#This Row],[Type of change]] = "Edit",COUNTIFS($I$4:changes[[#This Row],[Name]],changes[[#This Row],[Name]], $E$4:changes[[#This Row],[Type of change]], "Edit")),B1398)</f>
        <v>2</v>
      </c>
      <c r="C1399" s="16">
        <v>44665</v>
      </c>
      <c r="D1399" s="1" t="s">
        <v>2509</v>
      </c>
      <c r="E1399" t="s">
        <v>15</v>
      </c>
      <c r="F1399" s="10" t="s">
        <v>9</v>
      </c>
      <c r="G1399" s="10" t="s">
        <v>821</v>
      </c>
      <c r="H1399" t="s">
        <v>55</v>
      </c>
      <c r="I1399" t="s">
        <v>841</v>
      </c>
      <c r="K1399" s="2"/>
      <c r="M1399" s="2"/>
    </row>
    <row r="1400" spans="1:13">
      <c r="A1400" t="s">
        <v>28</v>
      </c>
      <c r="B1400">
        <f ca="1">IF(OR(changes[[#This Row],[Type]]="Checklist",changes[[#This Row],[Type]]="checklist-flat"),1+IF(changes[[#This Row],[Type of change]] = "Edit",COUNTIFS($I$4:changes[[#This Row],[Name]],changes[[#This Row],[Name]], $E$4:changes[[#This Row],[Type of change]], "Edit")),B1399)</f>
        <v>2</v>
      </c>
      <c r="C1400" s="16">
        <v>44665</v>
      </c>
      <c r="D1400" s="1" t="s">
        <v>2509</v>
      </c>
      <c r="E1400" t="s">
        <v>15</v>
      </c>
      <c r="F1400" s="10" t="s">
        <v>9</v>
      </c>
      <c r="G1400" s="10" t="s">
        <v>821</v>
      </c>
      <c r="H1400" t="s">
        <v>55</v>
      </c>
      <c r="I1400" t="s">
        <v>842</v>
      </c>
      <c r="K1400" s="2"/>
      <c r="M1400" s="2"/>
    </row>
    <row r="1401" spans="1:13">
      <c r="A1401" t="s">
        <v>28</v>
      </c>
      <c r="B1401">
        <f ca="1">IF(OR(changes[[#This Row],[Type]]="Checklist",changes[[#This Row],[Type]]="checklist-flat"),1+IF(changes[[#This Row],[Type of change]] = "Edit",COUNTIFS($I$4:changes[[#This Row],[Name]],changes[[#This Row],[Name]], $E$4:changes[[#This Row],[Type of change]], "Edit")),B1400)</f>
        <v>2</v>
      </c>
      <c r="C1401" s="16">
        <v>44665</v>
      </c>
      <c r="D1401" s="1" t="s">
        <v>2509</v>
      </c>
      <c r="E1401" t="s">
        <v>15</v>
      </c>
      <c r="F1401" s="10" t="s">
        <v>9</v>
      </c>
      <c r="G1401" s="10" t="s">
        <v>821</v>
      </c>
      <c r="H1401" t="s">
        <v>55</v>
      </c>
      <c r="I1401" t="s">
        <v>843</v>
      </c>
      <c r="K1401" s="2"/>
      <c r="M1401" s="2"/>
    </row>
    <row r="1402" spans="1:13">
      <c r="A1402" t="s">
        <v>28</v>
      </c>
      <c r="B1402">
        <f ca="1">IF(OR(changes[[#This Row],[Type]]="Checklist",changes[[#This Row],[Type]]="checklist-flat"),1+IF(changes[[#This Row],[Type of change]] = "Edit",COUNTIFS($I$4:changes[[#This Row],[Name]],changes[[#This Row],[Name]], $E$4:changes[[#This Row],[Type of change]], "Edit")),B1401)</f>
        <v>2</v>
      </c>
      <c r="C1402" s="16">
        <v>44665</v>
      </c>
      <c r="D1402" s="1" t="s">
        <v>2509</v>
      </c>
      <c r="E1402" t="s">
        <v>15</v>
      </c>
      <c r="F1402" s="10" t="s">
        <v>9</v>
      </c>
      <c r="G1402" s="10" t="s">
        <v>821</v>
      </c>
      <c r="H1402" t="s">
        <v>55</v>
      </c>
      <c r="I1402" t="s">
        <v>844</v>
      </c>
      <c r="K1402" s="2"/>
      <c r="M1402" s="2"/>
    </row>
    <row r="1403" spans="1:13">
      <c r="A1403" t="s">
        <v>28</v>
      </c>
      <c r="B1403">
        <f ca="1">IF(OR(changes[[#This Row],[Type]]="Checklist",changes[[#This Row],[Type]]="checklist-flat"),1+IF(changes[[#This Row],[Type of change]] = "Edit",COUNTIFS($I$4:changes[[#This Row],[Name]],changes[[#This Row],[Name]], $E$4:changes[[#This Row],[Type of change]], "Edit")),B1402)</f>
        <v>2</v>
      </c>
      <c r="C1403" s="16">
        <v>44665</v>
      </c>
      <c r="D1403" s="1" t="s">
        <v>2509</v>
      </c>
      <c r="E1403" t="s">
        <v>15</v>
      </c>
      <c r="F1403" s="10" t="s">
        <v>9</v>
      </c>
      <c r="G1403" s="10" t="s">
        <v>821</v>
      </c>
      <c r="H1403" t="s">
        <v>55</v>
      </c>
      <c r="I1403" t="s">
        <v>845</v>
      </c>
      <c r="K1403" s="2"/>
      <c r="M1403" s="2"/>
    </row>
    <row r="1404" spans="1:13">
      <c r="A1404" t="s">
        <v>28</v>
      </c>
      <c r="B1404">
        <f ca="1">IF(OR(changes[[#This Row],[Type]]="Checklist",changes[[#This Row],[Type]]="checklist-flat"),1+IF(changes[[#This Row],[Type of change]] = "Edit",COUNTIFS($I$4:changes[[#This Row],[Name]],changes[[#This Row],[Name]], $E$4:changes[[#This Row],[Type of change]], "Edit")),B1403)</f>
        <v>2</v>
      </c>
      <c r="C1404" s="16">
        <v>44665</v>
      </c>
      <c r="D1404" s="1" t="s">
        <v>2509</v>
      </c>
      <c r="E1404" t="s">
        <v>15</v>
      </c>
      <c r="F1404" s="10" t="s">
        <v>9</v>
      </c>
      <c r="G1404" s="10" t="s">
        <v>821</v>
      </c>
      <c r="H1404" t="s">
        <v>55</v>
      </c>
      <c r="I1404" t="s">
        <v>827</v>
      </c>
      <c r="K1404" s="2"/>
      <c r="M1404" s="2"/>
    </row>
    <row r="1405" spans="1:13">
      <c r="A1405" t="s">
        <v>28</v>
      </c>
      <c r="B1405">
        <f ca="1">IF(OR(changes[[#This Row],[Type]]="Checklist",changes[[#This Row],[Type]]="checklist-flat"),1+IF(changes[[#This Row],[Type of change]] = "Edit",COUNTIFS($I$4:changes[[#This Row],[Name]],changes[[#This Row],[Name]], $E$4:changes[[#This Row],[Type of change]], "Edit")),B1404)</f>
        <v>2</v>
      </c>
      <c r="C1405" s="16">
        <v>44665</v>
      </c>
      <c r="D1405" s="1" t="s">
        <v>2509</v>
      </c>
      <c r="E1405" t="s">
        <v>15</v>
      </c>
      <c r="F1405" s="10" t="s">
        <v>9</v>
      </c>
      <c r="G1405" s="10" t="s">
        <v>821</v>
      </c>
      <c r="H1405" t="s">
        <v>479</v>
      </c>
      <c r="I1405" t="s">
        <v>846</v>
      </c>
      <c r="K1405" s="2"/>
      <c r="M1405" s="2"/>
    </row>
    <row r="1406" spans="1:13">
      <c r="A1406" t="s">
        <v>28</v>
      </c>
      <c r="B1406">
        <f ca="1">IF(OR(changes[[#This Row],[Type]]="Checklist",changes[[#This Row],[Type]]="checklist-flat"),1+IF(changes[[#This Row],[Type of change]] = "Edit",COUNTIFS($I$4:changes[[#This Row],[Name]],changes[[#This Row],[Name]], $E$4:changes[[#This Row],[Type of change]], "Edit")),B1405)</f>
        <v>2</v>
      </c>
      <c r="C1406" s="16">
        <v>44665</v>
      </c>
      <c r="D1406" s="1" t="s">
        <v>2509</v>
      </c>
      <c r="E1406" t="s">
        <v>15</v>
      </c>
      <c r="F1406" s="10" t="s">
        <v>9</v>
      </c>
      <c r="G1406" s="10" t="s">
        <v>821</v>
      </c>
      <c r="H1406" t="s">
        <v>55</v>
      </c>
      <c r="I1406" t="s">
        <v>847</v>
      </c>
      <c r="K1406" s="2"/>
      <c r="M1406" s="2"/>
    </row>
    <row r="1407" spans="1:13">
      <c r="A1407" t="s">
        <v>28</v>
      </c>
      <c r="B1407">
        <f ca="1">IF(OR(changes[[#This Row],[Type]]="Checklist",changes[[#This Row],[Type]]="checklist-flat"),1+IF(changes[[#This Row],[Type of change]] = "Edit",COUNTIFS($I$4:changes[[#This Row],[Name]],changes[[#This Row],[Name]], $E$4:changes[[#This Row],[Type of change]], "Edit")),B1406)</f>
        <v>2</v>
      </c>
      <c r="C1407" s="16">
        <v>44665</v>
      </c>
      <c r="D1407" s="1" t="s">
        <v>2509</v>
      </c>
      <c r="E1407" t="s">
        <v>15</v>
      </c>
      <c r="F1407" s="10" t="s">
        <v>9</v>
      </c>
      <c r="G1407" s="10" t="s">
        <v>821</v>
      </c>
      <c r="H1407" t="s">
        <v>55</v>
      </c>
      <c r="I1407" t="s">
        <v>2819</v>
      </c>
      <c r="K1407" s="2"/>
      <c r="M1407" s="2"/>
    </row>
    <row r="1408" spans="1:13">
      <c r="A1408" t="s">
        <v>28</v>
      </c>
      <c r="B1408">
        <f ca="1">IF(OR(changes[[#This Row],[Type]]="Checklist",changes[[#This Row],[Type]]="checklist-flat"),1+IF(changes[[#This Row],[Type of change]] = "Edit",COUNTIFS($I$4:changes[[#This Row],[Name]],changes[[#This Row],[Name]], $E$4:changes[[#This Row],[Type of change]], "Edit")),B1407)</f>
        <v>2</v>
      </c>
      <c r="C1408" s="16">
        <v>44665</v>
      </c>
      <c r="D1408" s="1" t="s">
        <v>2509</v>
      </c>
      <c r="E1408" t="s">
        <v>15</v>
      </c>
      <c r="F1408" s="10" t="s">
        <v>9</v>
      </c>
      <c r="G1408" s="10" t="s">
        <v>821</v>
      </c>
      <c r="H1408" t="s">
        <v>55</v>
      </c>
      <c r="I1408" t="s">
        <v>849</v>
      </c>
    </row>
    <row r="1409" spans="1:13">
      <c r="A1409" t="s">
        <v>28</v>
      </c>
      <c r="B1409">
        <f ca="1">IF(OR(changes[[#This Row],[Type]]="Checklist",changes[[#This Row],[Type]]="checklist-flat"),1+IF(changes[[#This Row],[Type of change]] = "Edit",COUNTIFS($I$4:changes[[#This Row],[Name]],changes[[#This Row],[Name]], $E$4:changes[[#This Row],[Type of change]], "Edit")),B1408)</f>
        <v>2</v>
      </c>
      <c r="C1409" s="16">
        <v>44665</v>
      </c>
      <c r="D1409" s="1" t="s">
        <v>2509</v>
      </c>
      <c r="E1409" t="s">
        <v>15</v>
      </c>
      <c r="F1409" s="10" t="s">
        <v>9</v>
      </c>
      <c r="G1409" s="10" t="s">
        <v>821</v>
      </c>
      <c r="H1409" t="s">
        <v>55</v>
      </c>
      <c r="I1409" t="s">
        <v>850</v>
      </c>
    </row>
    <row r="1410" spans="1:13">
      <c r="A1410" t="s">
        <v>28</v>
      </c>
      <c r="B1410">
        <f ca="1">IF(OR(changes[[#This Row],[Type]]="Checklist",changes[[#This Row],[Type]]="checklist-flat"),1+IF(changes[[#This Row],[Type of change]] = "Edit",COUNTIFS($I$4:changes[[#This Row],[Name]],changes[[#This Row],[Name]], $E$4:changes[[#This Row],[Type of change]], "Edit")),B1409)</f>
        <v>2</v>
      </c>
      <c r="C1410" s="16">
        <v>44665</v>
      </c>
      <c r="D1410" s="1" t="s">
        <v>2509</v>
      </c>
      <c r="E1410" t="s">
        <v>15</v>
      </c>
      <c r="F1410" s="10" t="s">
        <v>9</v>
      </c>
      <c r="G1410" s="10" t="s">
        <v>821</v>
      </c>
      <c r="H1410" t="s">
        <v>55</v>
      </c>
      <c r="I1410" t="s">
        <v>827</v>
      </c>
    </row>
    <row r="1411" spans="1:13">
      <c r="A1411" t="s">
        <v>28</v>
      </c>
      <c r="B1411">
        <f ca="1">IF(OR(changes[[#This Row],[Type]]="Checklist",changes[[#This Row],[Type]]="checklist-flat"),1+IF(changes[[#This Row],[Type of change]] = "Edit",COUNTIFS($I$4:changes[[#This Row],[Name]],changes[[#This Row],[Name]], $E$4:changes[[#This Row],[Type of change]], "Edit")),B1410)</f>
        <v>2</v>
      </c>
      <c r="C1411" s="16">
        <v>44665</v>
      </c>
      <c r="D1411" s="1" t="s">
        <v>2458</v>
      </c>
      <c r="E1411" t="s">
        <v>19</v>
      </c>
      <c r="F1411" s="10" t="s">
        <v>9</v>
      </c>
      <c r="G1411" s="10" t="s">
        <v>821</v>
      </c>
      <c r="H1411" t="s">
        <v>479</v>
      </c>
      <c r="I1411" t="s">
        <v>2523</v>
      </c>
      <c r="M1411" t="s">
        <v>2820</v>
      </c>
    </row>
    <row r="1412" spans="1:13">
      <c r="A1412" t="s">
        <v>28</v>
      </c>
      <c r="B1412">
        <f ca="1">IF(OR(changes[[#This Row],[Type]]="Checklist",changes[[#This Row],[Type]]="checklist-flat"),1+IF(changes[[#This Row],[Type of change]] = "Edit",COUNTIFS($I$4:changes[[#This Row],[Name]],changes[[#This Row],[Name]], $E$4:changes[[#This Row],[Type of change]], "Edit")),B1411)</f>
        <v>2</v>
      </c>
      <c r="C1412" s="16">
        <v>44665</v>
      </c>
      <c r="D1412" s="1" t="s">
        <v>2458</v>
      </c>
      <c r="E1412" t="s">
        <v>19</v>
      </c>
      <c r="F1412" s="10" t="s">
        <v>9</v>
      </c>
      <c r="G1412" s="10" t="s">
        <v>821</v>
      </c>
      <c r="H1412" t="s">
        <v>55</v>
      </c>
      <c r="I1412" t="s">
        <v>757</v>
      </c>
    </row>
    <row r="1413" spans="1:13">
      <c r="A1413" t="s">
        <v>28</v>
      </c>
      <c r="B1413">
        <f ca="1">IF(OR(changes[[#This Row],[Type]]="Checklist",changes[[#This Row],[Type]]="checklist-flat"),1+IF(changes[[#This Row],[Type of change]] = "Edit",COUNTIFS($I$4:changes[[#This Row],[Name]],changes[[#This Row],[Name]], $E$4:changes[[#This Row],[Type of change]], "Edit")),B1412)</f>
        <v>2</v>
      </c>
      <c r="C1413" s="16">
        <v>44665</v>
      </c>
      <c r="D1413" s="1" t="s">
        <v>2458</v>
      </c>
      <c r="E1413" t="s">
        <v>19</v>
      </c>
      <c r="F1413" s="10" t="s">
        <v>9</v>
      </c>
      <c r="G1413" s="10" t="s">
        <v>821</v>
      </c>
      <c r="H1413" t="s">
        <v>55</v>
      </c>
      <c r="I1413" t="s">
        <v>2511</v>
      </c>
    </row>
    <row r="1414" spans="1:13">
      <c r="A1414" t="s">
        <v>28</v>
      </c>
      <c r="B1414">
        <f ca="1">IF(OR(changes[[#This Row],[Type]]="Checklist",changes[[#This Row],[Type]]="checklist-flat"),1+IF(changes[[#This Row],[Type of change]] = "Edit",COUNTIFS($I$4:changes[[#This Row],[Name]],changes[[#This Row],[Name]], $E$4:changes[[#This Row],[Type of change]], "Edit")),B1413)</f>
        <v>2</v>
      </c>
      <c r="C1414" s="16">
        <v>44665</v>
      </c>
      <c r="D1414" s="1" t="s">
        <v>2458</v>
      </c>
      <c r="E1414" t="s">
        <v>19</v>
      </c>
      <c r="F1414" s="10" t="s">
        <v>9</v>
      </c>
      <c r="G1414" s="10" t="s">
        <v>821</v>
      </c>
      <c r="H1414" t="s">
        <v>55</v>
      </c>
      <c r="I1414" t="s">
        <v>759</v>
      </c>
    </row>
    <row r="1415" spans="1:13">
      <c r="A1415" t="s">
        <v>28</v>
      </c>
      <c r="B1415">
        <f ca="1">IF(OR(changes[[#This Row],[Type]]="Checklist",changes[[#This Row],[Type]]="checklist-flat"),1+IF(changes[[#This Row],[Type of change]] = "Edit",COUNTIFS($I$4:changes[[#This Row],[Name]],changes[[#This Row],[Name]], $E$4:changes[[#This Row],[Type of change]], "Edit")),B1414)</f>
        <v>2</v>
      </c>
      <c r="C1415" s="16">
        <v>44665</v>
      </c>
      <c r="D1415" s="1" t="s">
        <v>2458</v>
      </c>
      <c r="E1415" t="s">
        <v>19</v>
      </c>
      <c r="F1415" s="10" t="s">
        <v>9</v>
      </c>
      <c r="G1415" s="10" t="s">
        <v>821</v>
      </c>
      <c r="H1415" t="s">
        <v>55</v>
      </c>
      <c r="I1415" t="s">
        <v>760</v>
      </c>
    </row>
    <row r="1416" spans="1:13">
      <c r="A1416" t="s">
        <v>28</v>
      </c>
      <c r="B1416">
        <f ca="1">IF(OR(changes[[#This Row],[Type]]="Checklist",changes[[#This Row],[Type]]="checklist-flat"),1+IF(changes[[#This Row],[Type of change]] = "Edit",COUNTIFS($I$4:changes[[#This Row],[Name]],changes[[#This Row],[Name]], $E$4:changes[[#This Row],[Type of change]], "Edit")),B1415)</f>
        <v>2</v>
      </c>
      <c r="C1416" s="16">
        <v>44665</v>
      </c>
      <c r="D1416" s="1" t="s">
        <v>2458</v>
      </c>
      <c r="E1416" t="s">
        <v>19</v>
      </c>
      <c r="F1416" s="10" t="s">
        <v>9</v>
      </c>
      <c r="G1416" s="10" t="s">
        <v>821</v>
      </c>
      <c r="H1416" t="s">
        <v>55</v>
      </c>
      <c r="I1416" t="s">
        <v>761</v>
      </c>
    </row>
    <row r="1417" spans="1:13">
      <c r="A1417" t="s">
        <v>28</v>
      </c>
      <c r="B1417">
        <f ca="1">IF(OR(changes[[#This Row],[Type]]="Checklist",changes[[#This Row],[Type]]="checklist-flat"),1+IF(changes[[#This Row],[Type of change]] = "Edit",COUNTIFS($I$4:changes[[#This Row],[Name]],changes[[#This Row],[Name]], $E$4:changes[[#This Row],[Type of change]], "Edit")),B1416)</f>
        <v>2</v>
      </c>
      <c r="C1417" s="16">
        <v>44665</v>
      </c>
      <c r="D1417" s="1" t="s">
        <v>2458</v>
      </c>
      <c r="E1417" t="s">
        <v>19</v>
      </c>
      <c r="F1417" s="10" t="s">
        <v>9</v>
      </c>
      <c r="G1417" s="10" t="s">
        <v>821</v>
      </c>
      <c r="H1417" t="s">
        <v>55</v>
      </c>
      <c r="I1417" t="s">
        <v>2512</v>
      </c>
    </row>
    <row r="1418" spans="1:13">
      <c r="A1418" t="s">
        <v>28</v>
      </c>
      <c r="B1418">
        <f ca="1">IF(OR(changes[[#This Row],[Type]]="Checklist",changes[[#This Row],[Type]]="checklist-flat"),1+IF(changes[[#This Row],[Type of change]] = "Edit",COUNTIFS($I$4:changes[[#This Row],[Name]],changes[[#This Row],[Name]], $E$4:changes[[#This Row],[Type of change]], "Edit")),B1417)</f>
        <v>2</v>
      </c>
      <c r="C1418" s="16">
        <v>44665</v>
      </c>
      <c r="D1418" s="1" t="s">
        <v>2458</v>
      </c>
      <c r="E1418" t="s">
        <v>19</v>
      </c>
      <c r="F1418" s="10" t="s">
        <v>9</v>
      </c>
      <c r="G1418" s="10" t="s">
        <v>821</v>
      </c>
      <c r="H1418" t="s">
        <v>55</v>
      </c>
      <c r="I1418" t="s">
        <v>763</v>
      </c>
    </row>
    <row r="1419" spans="1:13">
      <c r="A1419" t="s">
        <v>28</v>
      </c>
      <c r="B1419">
        <f ca="1">IF(OR(changes[[#This Row],[Type]]="Checklist",changes[[#This Row],[Type]]="checklist-flat"),1+IF(changes[[#This Row],[Type of change]] = "Edit",COUNTIFS($I$4:changes[[#This Row],[Name]],changes[[#This Row],[Name]], $E$4:changes[[#This Row],[Type of change]], "Edit")),B1418)</f>
        <v>2</v>
      </c>
      <c r="C1419" s="16">
        <v>44665</v>
      </c>
      <c r="D1419" s="1" t="s">
        <v>2458</v>
      </c>
      <c r="E1419" t="s">
        <v>19</v>
      </c>
      <c r="F1419" s="10" t="s">
        <v>9</v>
      </c>
      <c r="G1419" s="10" t="s">
        <v>821</v>
      </c>
      <c r="H1419" t="s">
        <v>479</v>
      </c>
      <c r="I1419" t="s">
        <v>2524</v>
      </c>
      <c r="M1419" t="s">
        <v>2820</v>
      </c>
    </row>
    <row r="1420" spans="1:13">
      <c r="A1420" t="s">
        <v>28</v>
      </c>
      <c r="B1420">
        <f ca="1">IF(OR(changes[[#This Row],[Type]]="Checklist",changes[[#This Row],[Type]]="checklist-flat"),1+IF(changes[[#This Row],[Type of change]] = "Edit",COUNTIFS($I$4:changes[[#This Row],[Name]],changes[[#This Row],[Name]], $E$4:changes[[#This Row],[Type of change]], "Edit")),B1419)</f>
        <v>2</v>
      </c>
      <c r="C1420" s="16">
        <v>44665</v>
      </c>
      <c r="D1420" s="1" t="s">
        <v>2458</v>
      </c>
      <c r="E1420" t="s">
        <v>19</v>
      </c>
      <c r="F1420" s="10" t="s">
        <v>9</v>
      </c>
      <c r="G1420" s="10" t="s">
        <v>821</v>
      </c>
      <c r="H1420" t="s">
        <v>55</v>
      </c>
      <c r="I1420" t="s">
        <v>757</v>
      </c>
    </row>
    <row r="1421" spans="1:13">
      <c r="A1421" t="s">
        <v>28</v>
      </c>
      <c r="B1421">
        <f ca="1">IF(OR(changes[[#This Row],[Type]]="Checklist",changes[[#This Row],[Type]]="checklist-flat"),1+IF(changes[[#This Row],[Type of change]] = "Edit",COUNTIFS($I$4:changes[[#This Row],[Name]],changes[[#This Row],[Name]], $E$4:changes[[#This Row],[Type of change]], "Edit")),B1420)</f>
        <v>2</v>
      </c>
      <c r="C1421" s="16">
        <v>44665</v>
      </c>
      <c r="D1421" s="1" t="s">
        <v>2458</v>
      </c>
      <c r="E1421" t="s">
        <v>19</v>
      </c>
      <c r="F1421" s="10" t="s">
        <v>9</v>
      </c>
      <c r="G1421" s="10" t="s">
        <v>821</v>
      </c>
      <c r="H1421" t="s">
        <v>55</v>
      </c>
      <c r="I1421" t="s">
        <v>2511</v>
      </c>
    </row>
    <row r="1422" spans="1:13">
      <c r="A1422" t="s">
        <v>28</v>
      </c>
      <c r="B1422">
        <f ca="1">IF(OR(changes[[#This Row],[Type]]="Checklist",changes[[#This Row],[Type]]="checklist-flat"),1+IF(changes[[#This Row],[Type of change]] = "Edit",COUNTIFS($I$4:changes[[#This Row],[Name]],changes[[#This Row],[Name]], $E$4:changes[[#This Row],[Type of change]], "Edit")),B1421)</f>
        <v>2</v>
      </c>
      <c r="C1422" s="16">
        <v>44665</v>
      </c>
      <c r="D1422" s="1" t="s">
        <v>2458</v>
      </c>
      <c r="E1422" t="s">
        <v>19</v>
      </c>
      <c r="F1422" s="10" t="s">
        <v>9</v>
      </c>
      <c r="G1422" s="10" t="s">
        <v>821</v>
      </c>
      <c r="H1422" t="s">
        <v>55</v>
      </c>
      <c r="I1422" t="s">
        <v>759</v>
      </c>
    </row>
    <row r="1423" spans="1:13">
      <c r="A1423" t="s">
        <v>28</v>
      </c>
      <c r="B1423">
        <f ca="1">IF(OR(changes[[#This Row],[Type]]="Checklist",changes[[#This Row],[Type]]="checklist-flat"),1+IF(changes[[#This Row],[Type of change]] = "Edit",COUNTIFS($I$4:changes[[#This Row],[Name]],changes[[#This Row],[Name]], $E$4:changes[[#This Row],[Type of change]], "Edit")),B1422)</f>
        <v>2</v>
      </c>
      <c r="C1423" s="16">
        <v>44665</v>
      </c>
      <c r="D1423" s="1" t="s">
        <v>2458</v>
      </c>
      <c r="E1423" t="s">
        <v>19</v>
      </c>
      <c r="F1423" s="10" t="s">
        <v>9</v>
      </c>
      <c r="G1423" s="10" t="s">
        <v>821</v>
      </c>
      <c r="H1423" t="s">
        <v>55</v>
      </c>
      <c r="I1423" t="s">
        <v>760</v>
      </c>
    </row>
    <row r="1424" spans="1:13">
      <c r="A1424" t="s">
        <v>28</v>
      </c>
      <c r="B1424">
        <f ca="1">IF(OR(changes[[#This Row],[Type]]="Checklist",changes[[#This Row],[Type]]="checklist-flat"),1+IF(changes[[#This Row],[Type of change]] = "Edit",COUNTIFS($I$4:changes[[#This Row],[Name]],changes[[#This Row],[Name]], $E$4:changes[[#This Row],[Type of change]], "Edit")),B1423)</f>
        <v>2</v>
      </c>
      <c r="C1424" s="16">
        <v>44665</v>
      </c>
      <c r="D1424" s="1" t="s">
        <v>2458</v>
      </c>
      <c r="E1424" t="s">
        <v>19</v>
      </c>
      <c r="F1424" s="10" t="s">
        <v>9</v>
      </c>
      <c r="G1424" s="10" t="s">
        <v>821</v>
      </c>
      <c r="H1424" t="s">
        <v>55</v>
      </c>
      <c r="I1424" t="s">
        <v>761</v>
      </c>
    </row>
    <row r="1425" spans="1:13">
      <c r="A1425" t="s">
        <v>28</v>
      </c>
      <c r="B1425">
        <f ca="1">IF(OR(changes[[#This Row],[Type]]="Checklist",changes[[#This Row],[Type]]="checklist-flat"),1+IF(changes[[#This Row],[Type of change]] = "Edit",COUNTIFS($I$4:changes[[#This Row],[Name]],changes[[#This Row],[Name]], $E$4:changes[[#This Row],[Type of change]], "Edit")),B1424)</f>
        <v>2</v>
      </c>
      <c r="C1425" s="16">
        <v>44665</v>
      </c>
      <c r="D1425" s="1" t="s">
        <v>2458</v>
      </c>
      <c r="E1425" t="s">
        <v>19</v>
      </c>
      <c r="F1425" s="10" t="s">
        <v>9</v>
      </c>
      <c r="G1425" s="10" t="s">
        <v>821</v>
      </c>
      <c r="H1425" t="s">
        <v>55</v>
      </c>
      <c r="I1425" t="s">
        <v>2512</v>
      </c>
    </row>
    <row r="1426" spans="1:13">
      <c r="A1426" t="s">
        <v>28</v>
      </c>
      <c r="B1426">
        <f ca="1">IF(OR(changes[[#This Row],[Type]]="Checklist",changes[[#This Row],[Type]]="checklist-flat"),1+IF(changes[[#This Row],[Type of change]] = "Edit",COUNTIFS($I$4:changes[[#This Row],[Name]],changes[[#This Row],[Name]], $E$4:changes[[#This Row],[Type of change]], "Edit")),B1425)</f>
        <v>2</v>
      </c>
      <c r="C1426" s="16">
        <v>44665</v>
      </c>
      <c r="D1426" s="1" t="s">
        <v>2458</v>
      </c>
      <c r="E1426" t="s">
        <v>19</v>
      </c>
      <c r="F1426" s="10" t="s">
        <v>9</v>
      </c>
      <c r="G1426" s="10" t="s">
        <v>821</v>
      </c>
      <c r="H1426" t="s">
        <v>55</v>
      </c>
      <c r="I1426" t="s">
        <v>763</v>
      </c>
      <c r="K1426" s="2"/>
      <c r="M1426" s="2"/>
    </row>
    <row r="1427" spans="1:13">
      <c r="A1427" t="s">
        <v>28</v>
      </c>
      <c r="B1427">
        <f ca="1">IF(OR(changes[[#This Row],[Type]]="Checklist",changes[[#This Row],[Type]]="checklist-flat"),1+IF(changes[[#This Row],[Type of change]] = "Edit",COUNTIFS($I$4:changes[[#This Row],[Name]],changes[[#This Row],[Name]], $E$4:changes[[#This Row],[Type of change]], "Edit")),B1426)</f>
        <v>1</v>
      </c>
      <c r="C1427" s="16">
        <v>44665</v>
      </c>
      <c r="D1427" s="1" t="s">
        <v>2458</v>
      </c>
      <c r="E1427" t="s">
        <v>27</v>
      </c>
      <c r="F1427" s="10" t="s">
        <v>9</v>
      </c>
      <c r="G1427" t="s">
        <v>796</v>
      </c>
      <c r="H1427" t="s">
        <v>54</v>
      </c>
      <c r="I1427" t="s">
        <v>796</v>
      </c>
    </row>
    <row r="1428" spans="1:13">
      <c r="A1428" t="s">
        <v>28</v>
      </c>
      <c r="B1428">
        <f ca="1">IF(OR(changes[[#This Row],[Type]]="Checklist",changes[[#This Row],[Type]]="checklist-flat"),1+IF(changes[[#This Row],[Type of change]] = "Edit",COUNTIFS($I$4:changes[[#This Row],[Name]],changes[[#This Row],[Name]], $E$4:changes[[#This Row],[Type of change]], "Edit")),B1427)</f>
        <v>1</v>
      </c>
      <c r="C1428" s="16">
        <v>44665</v>
      </c>
      <c r="D1428" s="1" t="s">
        <v>2458</v>
      </c>
      <c r="E1428" t="s">
        <v>27</v>
      </c>
      <c r="F1428" s="10" t="s">
        <v>9</v>
      </c>
      <c r="G1428" t="s">
        <v>796</v>
      </c>
      <c r="H1428" t="s">
        <v>55</v>
      </c>
      <c r="I1428" t="s">
        <v>757</v>
      </c>
    </row>
    <row r="1429" spans="1:13">
      <c r="A1429" t="s">
        <v>28</v>
      </c>
      <c r="B1429">
        <f ca="1">IF(OR(changes[[#This Row],[Type]]="Checklist",changes[[#This Row],[Type]]="checklist-flat"),1+IF(changes[[#This Row],[Type of change]] = "Edit",COUNTIFS($I$4:changes[[#This Row],[Name]],changes[[#This Row],[Name]], $E$4:changes[[#This Row],[Type of change]], "Edit")),B1428)</f>
        <v>1</v>
      </c>
      <c r="C1429" s="16">
        <v>44665</v>
      </c>
      <c r="D1429" s="1" t="s">
        <v>2458</v>
      </c>
      <c r="E1429" t="s">
        <v>27</v>
      </c>
      <c r="F1429" s="10" t="s">
        <v>9</v>
      </c>
      <c r="G1429" t="s">
        <v>796</v>
      </c>
      <c r="H1429" t="s">
        <v>55</v>
      </c>
      <c r="I1429" t="s">
        <v>2511</v>
      </c>
    </row>
    <row r="1430" spans="1:13">
      <c r="A1430" t="s">
        <v>28</v>
      </c>
      <c r="B1430">
        <f ca="1">IF(OR(changes[[#This Row],[Type]]="Checklist",changes[[#This Row],[Type]]="checklist-flat"),1+IF(changes[[#This Row],[Type of change]] = "Edit",COUNTIFS($I$4:changes[[#This Row],[Name]],changes[[#This Row],[Name]], $E$4:changes[[#This Row],[Type of change]], "Edit")),B1429)</f>
        <v>1</v>
      </c>
      <c r="C1430" s="16">
        <v>44665</v>
      </c>
      <c r="D1430" s="1" t="s">
        <v>2458</v>
      </c>
      <c r="E1430" t="s">
        <v>27</v>
      </c>
      <c r="F1430" s="10" t="s">
        <v>9</v>
      </c>
      <c r="G1430" t="s">
        <v>796</v>
      </c>
      <c r="H1430" t="s">
        <v>55</v>
      </c>
      <c r="I1430" t="s">
        <v>759</v>
      </c>
    </row>
    <row r="1431" spans="1:13">
      <c r="A1431" t="s">
        <v>28</v>
      </c>
      <c r="B1431">
        <f ca="1">IF(OR(changes[[#This Row],[Type]]="Checklist",changes[[#This Row],[Type]]="checklist-flat"),1+IF(changes[[#This Row],[Type of change]] = "Edit",COUNTIFS($I$4:changes[[#This Row],[Name]],changes[[#This Row],[Name]], $E$4:changes[[#This Row],[Type of change]], "Edit")),B1430)</f>
        <v>1</v>
      </c>
      <c r="C1431" s="16">
        <v>44665</v>
      </c>
      <c r="D1431" s="1" t="s">
        <v>2458</v>
      </c>
      <c r="E1431" t="s">
        <v>27</v>
      </c>
      <c r="F1431" s="10" t="s">
        <v>9</v>
      </c>
      <c r="G1431" t="s">
        <v>796</v>
      </c>
      <c r="H1431" t="s">
        <v>55</v>
      </c>
      <c r="I1431" t="s">
        <v>760</v>
      </c>
    </row>
    <row r="1432" spans="1:13">
      <c r="A1432" t="s">
        <v>28</v>
      </c>
      <c r="B1432">
        <f ca="1">IF(OR(changes[[#This Row],[Type]]="Checklist",changes[[#This Row],[Type]]="checklist-flat"),1+IF(changes[[#This Row],[Type of change]] = "Edit",COUNTIFS($I$4:changes[[#This Row],[Name]],changes[[#This Row],[Name]], $E$4:changes[[#This Row],[Type of change]], "Edit")),B1431)</f>
        <v>1</v>
      </c>
      <c r="C1432" s="16">
        <v>44665</v>
      </c>
      <c r="D1432" s="1" t="s">
        <v>2458</v>
      </c>
      <c r="E1432" t="s">
        <v>27</v>
      </c>
      <c r="F1432" s="10" t="s">
        <v>9</v>
      </c>
      <c r="G1432" t="s">
        <v>796</v>
      </c>
      <c r="H1432" t="s">
        <v>55</v>
      </c>
      <c r="I1432" t="s">
        <v>761</v>
      </c>
    </row>
    <row r="1433" spans="1:13">
      <c r="A1433" t="s">
        <v>28</v>
      </c>
      <c r="B1433">
        <f ca="1">IF(OR(changes[[#This Row],[Type]]="Checklist",changes[[#This Row],[Type]]="checklist-flat"),1+IF(changes[[#This Row],[Type of change]] = "Edit",COUNTIFS($I$4:changes[[#This Row],[Name]],changes[[#This Row],[Name]], $E$4:changes[[#This Row],[Type of change]], "Edit")),B1432)</f>
        <v>1</v>
      </c>
      <c r="C1433" s="16">
        <v>44665</v>
      </c>
      <c r="D1433" s="1" t="s">
        <v>2458</v>
      </c>
      <c r="E1433" t="s">
        <v>27</v>
      </c>
      <c r="F1433" s="10" t="s">
        <v>9</v>
      </c>
      <c r="G1433" t="s">
        <v>796</v>
      </c>
      <c r="H1433" t="s">
        <v>55</v>
      </c>
      <c r="I1433" t="s">
        <v>2512</v>
      </c>
    </row>
    <row r="1434" spans="1:13">
      <c r="A1434" t="s">
        <v>28</v>
      </c>
      <c r="B1434">
        <f ca="1">IF(OR(changes[[#This Row],[Type]]="Checklist",changes[[#This Row],[Type]]="checklist-flat"),1+IF(changes[[#This Row],[Type of change]] = "Edit",COUNTIFS($I$4:changes[[#This Row],[Name]],changes[[#This Row],[Name]], $E$4:changes[[#This Row],[Type of change]], "Edit")),B1433)</f>
        <v>1</v>
      </c>
      <c r="C1434" s="16">
        <v>44665</v>
      </c>
      <c r="D1434" s="1" t="s">
        <v>2458</v>
      </c>
      <c r="E1434" t="s">
        <v>27</v>
      </c>
      <c r="F1434" s="10" t="s">
        <v>9</v>
      </c>
      <c r="G1434" t="s">
        <v>796</v>
      </c>
      <c r="H1434" t="s">
        <v>55</v>
      </c>
      <c r="I1434" t="s">
        <v>763</v>
      </c>
    </row>
    <row r="1435" spans="1:13">
      <c r="A1435" t="s">
        <v>28</v>
      </c>
      <c r="B1435">
        <f ca="1">IF(OR(changes[[#This Row],[Type]]="Checklist",changes[[#This Row],[Type]]="checklist-flat"),1+IF(changes[[#This Row],[Type of change]] = "Edit",COUNTIFS($I$4:changes[[#This Row],[Name]],changes[[#This Row],[Name]], $E$4:changes[[#This Row],[Type of change]], "Edit")),B1434)</f>
        <v>1</v>
      </c>
      <c r="C1435" s="16">
        <v>44665</v>
      </c>
      <c r="D1435" s="1" t="s">
        <v>2458</v>
      </c>
      <c r="E1435" t="s">
        <v>27</v>
      </c>
      <c r="F1435" s="10" t="s">
        <v>9</v>
      </c>
      <c r="G1435" t="s">
        <v>795</v>
      </c>
      <c r="H1435" t="s">
        <v>54</v>
      </c>
      <c r="I1435" t="s">
        <v>795</v>
      </c>
    </row>
    <row r="1436" spans="1:13">
      <c r="A1436" t="s">
        <v>28</v>
      </c>
      <c r="B1436">
        <f ca="1">IF(OR(changes[[#This Row],[Type]]="Checklist",changes[[#This Row],[Type]]="checklist-flat"),1+IF(changes[[#This Row],[Type of change]] = "Edit",COUNTIFS($I$4:changes[[#This Row],[Name]],changes[[#This Row],[Name]], $E$4:changes[[#This Row],[Type of change]], "Edit")),B1435)</f>
        <v>1</v>
      </c>
      <c r="C1436" s="16">
        <v>44665</v>
      </c>
      <c r="D1436" s="1" t="s">
        <v>2458</v>
      </c>
      <c r="E1436" t="s">
        <v>27</v>
      </c>
      <c r="F1436" s="10" t="s">
        <v>9</v>
      </c>
      <c r="G1436" t="s">
        <v>795</v>
      </c>
      <c r="H1436" t="s">
        <v>55</v>
      </c>
      <c r="I1436" t="s">
        <v>757</v>
      </c>
    </row>
    <row r="1437" spans="1:13">
      <c r="A1437" t="s">
        <v>28</v>
      </c>
      <c r="B1437">
        <f ca="1">IF(OR(changes[[#This Row],[Type]]="Checklist",changes[[#This Row],[Type]]="checklist-flat"),1+IF(changes[[#This Row],[Type of change]] = "Edit",COUNTIFS($I$4:changes[[#This Row],[Name]],changes[[#This Row],[Name]], $E$4:changes[[#This Row],[Type of change]], "Edit")),B1436)</f>
        <v>1</v>
      </c>
      <c r="C1437" s="16">
        <v>44665</v>
      </c>
      <c r="D1437" s="1" t="s">
        <v>2458</v>
      </c>
      <c r="E1437" t="s">
        <v>27</v>
      </c>
      <c r="F1437" s="10" t="s">
        <v>9</v>
      </c>
      <c r="G1437" t="s">
        <v>795</v>
      </c>
      <c r="H1437" t="s">
        <v>55</v>
      </c>
      <c r="I1437" t="s">
        <v>2511</v>
      </c>
    </row>
    <row r="1438" spans="1:13">
      <c r="A1438" t="s">
        <v>28</v>
      </c>
      <c r="B1438">
        <f ca="1">IF(OR(changes[[#This Row],[Type]]="Checklist",changes[[#This Row],[Type]]="checklist-flat"),1+IF(changes[[#This Row],[Type of change]] = "Edit",COUNTIFS($I$4:changes[[#This Row],[Name]],changes[[#This Row],[Name]], $E$4:changes[[#This Row],[Type of change]], "Edit")),B1437)</f>
        <v>1</v>
      </c>
      <c r="C1438" s="16">
        <v>44665</v>
      </c>
      <c r="D1438" s="1" t="s">
        <v>2458</v>
      </c>
      <c r="E1438" t="s">
        <v>27</v>
      </c>
      <c r="F1438" s="10" t="s">
        <v>9</v>
      </c>
      <c r="G1438" t="s">
        <v>795</v>
      </c>
      <c r="H1438" t="s">
        <v>55</v>
      </c>
      <c r="I1438" t="s">
        <v>759</v>
      </c>
    </row>
    <row r="1439" spans="1:13">
      <c r="A1439" t="s">
        <v>28</v>
      </c>
      <c r="B1439">
        <f ca="1">IF(OR(changes[[#This Row],[Type]]="Checklist",changes[[#This Row],[Type]]="checklist-flat"),1+IF(changes[[#This Row],[Type of change]] = "Edit",COUNTIFS($I$4:changes[[#This Row],[Name]],changes[[#This Row],[Name]], $E$4:changes[[#This Row],[Type of change]], "Edit")),B1438)</f>
        <v>1</v>
      </c>
      <c r="C1439" s="16">
        <v>44665</v>
      </c>
      <c r="D1439" s="1" t="s">
        <v>2458</v>
      </c>
      <c r="E1439" t="s">
        <v>27</v>
      </c>
      <c r="F1439" s="10" t="s">
        <v>9</v>
      </c>
      <c r="G1439" t="s">
        <v>795</v>
      </c>
      <c r="H1439" t="s">
        <v>55</v>
      </c>
      <c r="I1439" t="s">
        <v>760</v>
      </c>
    </row>
    <row r="1440" spans="1:13">
      <c r="A1440" t="s">
        <v>28</v>
      </c>
      <c r="B1440">
        <f ca="1">IF(OR(changes[[#This Row],[Type]]="Checklist",changes[[#This Row],[Type]]="checklist-flat"),1+IF(changes[[#This Row],[Type of change]] = "Edit",COUNTIFS($I$4:changes[[#This Row],[Name]],changes[[#This Row],[Name]], $E$4:changes[[#This Row],[Type of change]], "Edit")),B1439)</f>
        <v>1</v>
      </c>
      <c r="C1440" s="16">
        <v>44665</v>
      </c>
      <c r="D1440" s="1" t="s">
        <v>2458</v>
      </c>
      <c r="E1440" t="s">
        <v>27</v>
      </c>
      <c r="F1440" s="10" t="s">
        <v>9</v>
      </c>
      <c r="G1440" t="s">
        <v>795</v>
      </c>
      <c r="H1440" t="s">
        <v>55</v>
      </c>
      <c r="I1440" t="s">
        <v>761</v>
      </c>
    </row>
    <row r="1441" spans="1:13">
      <c r="A1441" t="s">
        <v>28</v>
      </c>
      <c r="B1441">
        <f ca="1">IF(OR(changes[[#This Row],[Type]]="Checklist",changes[[#This Row],[Type]]="checklist-flat"),1+IF(changes[[#This Row],[Type of change]] = "Edit",COUNTIFS($I$4:changes[[#This Row],[Name]],changes[[#This Row],[Name]], $E$4:changes[[#This Row],[Type of change]], "Edit")),B1440)</f>
        <v>1</v>
      </c>
      <c r="C1441" s="16">
        <v>44665</v>
      </c>
      <c r="D1441" s="1" t="s">
        <v>2458</v>
      </c>
      <c r="E1441" t="s">
        <v>27</v>
      </c>
      <c r="F1441" s="10" t="s">
        <v>9</v>
      </c>
      <c r="G1441" t="s">
        <v>795</v>
      </c>
      <c r="H1441" t="s">
        <v>55</v>
      </c>
      <c r="I1441" t="s">
        <v>2512</v>
      </c>
    </row>
    <row r="1442" spans="1:13">
      <c r="A1442" t="s">
        <v>28</v>
      </c>
      <c r="B1442">
        <f ca="1">IF(OR(changes[[#This Row],[Type]]="Checklist",changes[[#This Row],[Type]]="checklist-flat"),1+IF(changes[[#This Row],[Type of change]] = "Edit",COUNTIFS($I$4:changes[[#This Row],[Name]],changes[[#This Row],[Name]], $E$4:changes[[#This Row],[Type of change]], "Edit")),B1441)</f>
        <v>1</v>
      </c>
      <c r="C1442" s="16">
        <v>44665</v>
      </c>
      <c r="D1442" s="1" t="s">
        <v>2458</v>
      </c>
      <c r="E1442" t="s">
        <v>27</v>
      </c>
      <c r="F1442" s="10" t="s">
        <v>9</v>
      </c>
      <c r="G1442" t="s">
        <v>795</v>
      </c>
      <c r="H1442" t="s">
        <v>55</v>
      </c>
      <c r="I1442" t="s">
        <v>763</v>
      </c>
      <c r="K1442" s="2"/>
      <c r="M1442" s="2"/>
    </row>
    <row r="1443" spans="1:13">
      <c r="A1443" t="s">
        <v>28</v>
      </c>
      <c r="B1443">
        <f ca="1">IF(OR(changes[[#This Row],[Type]]="Checklist",changes[[#This Row],[Type]]="checklist-flat"),1+IF(changes[[#This Row],[Type of change]] = "Edit",COUNTIFS($I$4:changes[[#This Row],[Name]],changes[[#This Row],[Name]], $E$4:changes[[#This Row],[Type of change]], "Edit")),B1442)</f>
        <v>2</v>
      </c>
      <c r="C1443" s="16">
        <v>44665</v>
      </c>
      <c r="D1443" s="1" t="s">
        <v>2810</v>
      </c>
      <c r="E1443" t="s">
        <v>15</v>
      </c>
      <c r="F1443" s="10" t="s">
        <v>9</v>
      </c>
      <c r="G1443" t="s">
        <v>1109</v>
      </c>
      <c r="H1443" t="s">
        <v>54</v>
      </c>
      <c r="I1443" t="s">
        <v>1109</v>
      </c>
      <c r="K1443" s="2"/>
      <c r="M1443" s="2"/>
    </row>
    <row r="1444" spans="1:13">
      <c r="A1444" t="s">
        <v>28</v>
      </c>
      <c r="B1444">
        <f ca="1">IF(OR(changes[[#This Row],[Type]]="Checklist",changes[[#This Row],[Type]]="checklist-flat"),1+IF(changes[[#This Row],[Type of change]] = "Edit",COUNTIFS($I$4:changes[[#This Row],[Name]],changes[[#This Row],[Name]], $E$4:changes[[#This Row],[Type of change]], "Edit")),B1443)</f>
        <v>2</v>
      </c>
      <c r="C1444" s="16">
        <v>44665</v>
      </c>
      <c r="D1444" s="1" t="s">
        <v>2810</v>
      </c>
      <c r="E1444" t="s">
        <v>15</v>
      </c>
      <c r="F1444" s="10" t="s">
        <v>9</v>
      </c>
      <c r="G1444" t="s">
        <v>1109</v>
      </c>
      <c r="H1444" t="s">
        <v>55</v>
      </c>
      <c r="I1444" t="s">
        <v>1079</v>
      </c>
      <c r="K1444" s="2"/>
      <c r="M1444" s="2"/>
    </row>
    <row r="1445" spans="1:13">
      <c r="A1445" t="s">
        <v>28</v>
      </c>
      <c r="B1445">
        <f ca="1">IF(OR(changes[[#This Row],[Type]]="Checklist",changes[[#This Row],[Type]]="checklist-flat"),1+IF(changes[[#This Row],[Type of change]] = "Edit",COUNTIFS($I$4:changes[[#This Row],[Name]],changes[[#This Row],[Name]], $E$4:changes[[#This Row],[Type of change]], "Edit")),B1444)</f>
        <v>2</v>
      </c>
      <c r="C1445" s="16">
        <v>44665</v>
      </c>
      <c r="D1445" s="1" t="s">
        <v>2810</v>
      </c>
      <c r="E1445" t="s">
        <v>15</v>
      </c>
      <c r="F1445" s="10" t="s">
        <v>9</v>
      </c>
      <c r="G1445" t="s">
        <v>1109</v>
      </c>
      <c r="H1445" t="s">
        <v>55</v>
      </c>
      <c r="I1445" t="s">
        <v>1080</v>
      </c>
      <c r="K1445" s="2"/>
      <c r="M1445" s="2"/>
    </row>
    <row r="1446" spans="1:13">
      <c r="A1446" t="s">
        <v>28</v>
      </c>
      <c r="B1446">
        <f ca="1">IF(OR(changes[[#This Row],[Type]]="Checklist",changes[[#This Row],[Type]]="checklist-flat"),1+IF(changes[[#This Row],[Type of change]] = "Edit",COUNTIFS($I$4:changes[[#This Row],[Name]],changes[[#This Row],[Name]], $E$4:changes[[#This Row],[Type of change]], "Edit")),B1445)</f>
        <v>2</v>
      </c>
      <c r="C1446" s="16">
        <v>44665</v>
      </c>
      <c r="D1446" s="1" t="s">
        <v>2810</v>
      </c>
      <c r="E1446" t="s">
        <v>15</v>
      </c>
      <c r="F1446" s="10" t="s">
        <v>9</v>
      </c>
      <c r="G1446" t="s">
        <v>1109</v>
      </c>
      <c r="H1446" t="s">
        <v>55</v>
      </c>
      <c r="I1446" t="s">
        <v>2821</v>
      </c>
      <c r="K1446" s="2"/>
      <c r="M1446" s="2" t="s">
        <v>2822</v>
      </c>
    </row>
    <row r="1447" spans="1:13">
      <c r="A1447" t="s">
        <v>28</v>
      </c>
      <c r="B1447">
        <f ca="1">IF(OR(changes[[#This Row],[Type]]="Checklist",changes[[#This Row],[Type]]="checklist-flat"),1+IF(changes[[#This Row],[Type of change]] = "Edit",COUNTIFS($I$4:changes[[#This Row],[Name]],changes[[#This Row],[Name]], $E$4:changes[[#This Row],[Type of change]], "Edit")),B1446)</f>
        <v>2</v>
      </c>
      <c r="C1447" s="16">
        <v>44665</v>
      </c>
      <c r="D1447" s="1" t="s">
        <v>2810</v>
      </c>
      <c r="E1447" t="s">
        <v>15</v>
      </c>
      <c r="F1447" s="10" t="s">
        <v>9</v>
      </c>
      <c r="G1447" t="s">
        <v>1109</v>
      </c>
      <c r="H1447" t="s">
        <v>55</v>
      </c>
      <c r="I1447" t="s">
        <v>2823</v>
      </c>
      <c r="K1447" s="2"/>
      <c r="M1447" s="2"/>
    </row>
    <row r="1448" spans="1:13">
      <c r="A1448" t="s">
        <v>28</v>
      </c>
      <c r="B1448">
        <f ca="1">IF(OR(changes[[#This Row],[Type]]="Checklist",changes[[#This Row],[Type]]="checklist-flat"),1+IF(changes[[#This Row],[Type of change]] = "Edit",COUNTIFS($I$4:changes[[#This Row],[Name]],changes[[#This Row],[Name]], $E$4:changes[[#This Row],[Type of change]], "Edit")),B1447)</f>
        <v>2</v>
      </c>
      <c r="C1448" s="16">
        <v>44665</v>
      </c>
      <c r="D1448" s="1" t="s">
        <v>2810</v>
      </c>
      <c r="E1448" t="s">
        <v>15</v>
      </c>
      <c r="F1448" s="10" t="s">
        <v>9</v>
      </c>
      <c r="G1448" t="s">
        <v>1109</v>
      </c>
      <c r="H1448" t="s">
        <v>55</v>
      </c>
      <c r="I1448" t="s">
        <v>1084</v>
      </c>
      <c r="K1448" s="2"/>
      <c r="M1448" s="2"/>
    </row>
    <row r="1449" spans="1:13">
      <c r="A1449" t="s">
        <v>28</v>
      </c>
      <c r="B1449">
        <f ca="1">IF(OR(changes[[#This Row],[Type]]="Checklist",changes[[#This Row],[Type]]="checklist-flat"),1+IF(changes[[#This Row],[Type of change]] = "Edit",COUNTIFS($I$4:changes[[#This Row],[Name]],changes[[#This Row],[Name]], $E$4:changes[[#This Row],[Type of change]], "Edit")),B1448)</f>
        <v>2</v>
      </c>
      <c r="C1449" s="16">
        <v>44665</v>
      </c>
      <c r="D1449" s="1" t="s">
        <v>2810</v>
      </c>
      <c r="E1449" t="s">
        <v>15</v>
      </c>
      <c r="F1449" s="10" t="s">
        <v>9</v>
      </c>
      <c r="G1449" t="s">
        <v>1109</v>
      </c>
      <c r="H1449" t="s">
        <v>55</v>
      </c>
      <c r="I1449" t="s">
        <v>1086</v>
      </c>
      <c r="K1449" s="2"/>
      <c r="M1449" s="2"/>
    </row>
    <row r="1450" spans="1:13">
      <c r="A1450" t="s">
        <v>28</v>
      </c>
      <c r="B1450">
        <f ca="1">IF(OR(changes[[#This Row],[Type]]="Checklist",changes[[#This Row],[Type]]="checklist-flat"),1+IF(changes[[#This Row],[Type of change]] = "Edit",COUNTIFS($I$4:changes[[#This Row],[Name]],changes[[#This Row],[Name]], $E$4:changes[[#This Row],[Type of change]], "Edit")),B1449)</f>
        <v>2</v>
      </c>
      <c r="C1450" s="16">
        <v>44671</v>
      </c>
      <c r="D1450" s="1" t="s">
        <v>2810</v>
      </c>
      <c r="E1450" t="s">
        <v>15</v>
      </c>
      <c r="F1450" s="10" t="s">
        <v>9</v>
      </c>
      <c r="G1450" s="30" t="s">
        <v>797</v>
      </c>
      <c r="H1450" s="30" t="s">
        <v>478</v>
      </c>
      <c r="I1450" s="30" t="s">
        <v>797</v>
      </c>
      <c r="K1450" s="2"/>
      <c r="M1450" s="2" t="s">
        <v>2824</v>
      </c>
    </row>
    <row r="1451" spans="1:13">
      <c r="A1451" t="s">
        <v>28</v>
      </c>
      <c r="B1451">
        <f ca="1">IF(OR(changes[[#This Row],[Type]]="Checklist",changes[[#This Row],[Type]]="checklist-flat"),1+IF(changes[[#This Row],[Type of change]] = "Edit",COUNTIFS($I$4:changes[[#This Row],[Name]],changes[[#This Row],[Name]], $E$4:changes[[#This Row],[Type of change]], "Edit")),B1450)</f>
        <v>2</v>
      </c>
      <c r="C1451" s="16">
        <v>44671</v>
      </c>
      <c r="D1451" s="1" t="s">
        <v>2810</v>
      </c>
      <c r="E1451" t="s">
        <v>15</v>
      </c>
      <c r="F1451" s="10" t="s">
        <v>9</v>
      </c>
      <c r="G1451" s="30" t="s">
        <v>797</v>
      </c>
      <c r="H1451" s="30" t="s">
        <v>479</v>
      </c>
      <c r="I1451" s="30" t="s">
        <v>711</v>
      </c>
      <c r="K1451" s="2"/>
      <c r="M1451" s="2"/>
    </row>
    <row r="1452" spans="1:13">
      <c r="A1452" t="s">
        <v>28</v>
      </c>
      <c r="B1452">
        <f ca="1">IF(OR(changes[[#This Row],[Type]]="Checklist",changes[[#This Row],[Type]]="checklist-flat"),1+IF(changes[[#This Row],[Type of change]] = "Edit",COUNTIFS($I$4:changes[[#This Row],[Name]],changes[[#This Row],[Name]], $E$4:changes[[#This Row],[Type of change]], "Edit")),B1451)</f>
        <v>2</v>
      </c>
      <c r="C1452" s="16">
        <v>44671</v>
      </c>
      <c r="D1452" s="1" t="s">
        <v>2810</v>
      </c>
      <c r="E1452" t="s">
        <v>15</v>
      </c>
      <c r="F1452" s="10" t="s">
        <v>9</v>
      </c>
      <c r="G1452" s="30" t="s">
        <v>797</v>
      </c>
      <c r="H1452" s="30" t="s">
        <v>55</v>
      </c>
      <c r="I1452" s="30" t="s">
        <v>712</v>
      </c>
      <c r="K1452" s="2"/>
      <c r="M1452" s="2"/>
    </row>
    <row r="1453" spans="1:13">
      <c r="A1453" t="s">
        <v>28</v>
      </c>
      <c r="B1453">
        <f ca="1">IF(OR(changes[[#This Row],[Type]]="Checklist",changes[[#This Row],[Type]]="checklist-flat"),1+IF(changes[[#This Row],[Type of change]] = "Edit",COUNTIFS($I$4:changes[[#This Row],[Name]],changes[[#This Row],[Name]], $E$4:changes[[#This Row],[Type of change]], "Edit")),B1452)</f>
        <v>2</v>
      </c>
      <c r="C1453" s="16">
        <v>44671</v>
      </c>
      <c r="D1453" s="1" t="s">
        <v>2810</v>
      </c>
      <c r="E1453" t="s">
        <v>15</v>
      </c>
      <c r="F1453" s="10" t="s">
        <v>9</v>
      </c>
      <c r="G1453" s="30" t="s">
        <v>797</v>
      </c>
      <c r="H1453" s="30" t="s">
        <v>55</v>
      </c>
      <c r="I1453" s="30" t="s">
        <v>713</v>
      </c>
      <c r="K1453" s="2"/>
      <c r="M1453" s="2"/>
    </row>
    <row r="1454" spans="1:13">
      <c r="A1454" t="s">
        <v>28</v>
      </c>
      <c r="B1454">
        <f ca="1">IF(OR(changes[[#This Row],[Type]]="Checklist",changes[[#This Row],[Type]]="checklist-flat"),1+IF(changes[[#This Row],[Type of change]] = "Edit",COUNTIFS($I$4:changes[[#This Row],[Name]],changes[[#This Row],[Name]], $E$4:changes[[#This Row],[Type of change]], "Edit")),B1453)</f>
        <v>2</v>
      </c>
      <c r="C1454" s="16">
        <v>44671</v>
      </c>
      <c r="D1454" s="1" t="s">
        <v>2810</v>
      </c>
      <c r="E1454" t="s">
        <v>15</v>
      </c>
      <c r="F1454" s="10" t="s">
        <v>9</v>
      </c>
      <c r="G1454" s="30" t="s">
        <v>797</v>
      </c>
      <c r="H1454" s="30" t="s">
        <v>479</v>
      </c>
      <c r="I1454" s="30" t="s">
        <v>714</v>
      </c>
      <c r="K1454" s="2"/>
      <c r="M1454" s="2"/>
    </row>
    <row r="1455" spans="1:13">
      <c r="A1455" t="s">
        <v>28</v>
      </c>
      <c r="B1455">
        <f ca="1">IF(OR(changes[[#This Row],[Type]]="Checklist",changes[[#This Row],[Type]]="checklist-flat"),1+IF(changes[[#This Row],[Type of change]] = "Edit",COUNTIFS($I$4:changes[[#This Row],[Name]],changes[[#This Row],[Name]], $E$4:changes[[#This Row],[Type of change]], "Edit")),B1454)</f>
        <v>2</v>
      </c>
      <c r="C1455" s="16">
        <v>44671</v>
      </c>
      <c r="D1455" s="1" t="s">
        <v>2810</v>
      </c>
      <c r="E1455" t="s">
        <v>15</v>
      </c>
      <c r="F1455" s="10" t="s">
        <v>9</v>
      </c>
      <c r="G1455" s="30" t="s">
        <v>797</v>
      </c>
      <c r="H1455" s="30" t="s">
        <v>55</v>
      </c>
      <c r="I1455" s="30" t="s">
        <v>798</v>
      </c>
      <c r="K1455" s="2"/>
      <c r="M1455" s="2"/>
    </row>
    <row r="1456" spans="1:13">
      <c r="A1456" t="s">
        <v>28</v>
      </c>
      <c r="B1456">
        <f ca="1">IF(OR(changes[[#This Row],[Type]]="Checklist",changes[[#This Row],[Type]]="checklist-flat"),1+IF(changes[[#This Row],[Type of change]] = "Edit",COUNTIFS($I$4:changes[[#This Row],[Name]],changes[[#This Row],[Name]], $E$4:changes[[#This Row],[Type of change]], "Edit")),B1455)</f>
        <v>2</v>
      </c>
      <c r="C1456" s="16">
        <v>44671</v>
      </c>
      <c r="D1456" s="1" t="s">
        <v>2810</v>
      </c>
      <c r="E1456" t="s">
        <v>15</v>
      </c>
      <c r="F1456" s="10" t="s">
        <v>9</v>
      </c>
      <c r="G1456" s="30" t="s">
        <v>797</v>
      </c>
      <c r="H1456" s="30" t="s">
        <v>55</v>
      </c>
      <c r="I1456" s="30" t="s">
        <v>799</v>
      </c>
      <c r="K1456" s="2"/>
      <c r="M1456" s="2"/>
    </row>
    <row r="1457" spans="1:13">
      <c r="A1457" t="s">
        <v>28</v>
      </c>
      <c r="B1457">
        <f ca="1">IF(OR(changes[[#This Row],[Type]]="Checklist",changes[[#This Row],[Type]]="checklist-flat"),1+IF(changes[[#This Row],[Type of change]] = "Edit",COUNTIFS($I$4:changes[[#This Row],[Name]],changes[[#This Row],[Name]], $E$4:changes[[#This Row],[Type of change]], "Edit")),B1456)</f>
        <v>2</v>
      </c>
      <c r="C1457" s="16">
        <v>44671</v>
      </c>
      <c r="D1457" s="1" t="s">
        <v>2810</v>
      </c>
      <c r="E1457" t="s">
        <v>15</v>
      </c>
      <c r="F1457" s="10" t="s">
        <v>9</v>
      </c>
      <c r="G1457" s="30" t="s">
        <v>797</v>
      </c>
      <c r="H1457" s="30" t="s">
        <v>55</v>
      </c>
      <c r="I1457" s="30" t="s">
        <v>800</v>
      </c>
      <c r="K1457" s="2"/>
      <c r="M1457" s="2"/>
    </row>
    <row r="1458" spans="1:13">
      <c r="A1458" t="s">
        <v>28</v>
      </c>
      <c r="B1458">
        <f ca="1">IF(OR(changes[[#This Row],[Type]]="Checklist",changes[[#This Row],[Type]]="checklist-flat"),1+IF(changes[[#This Row],[Type of change]] = "Edit",COUNTIFS($I$4:changes[[#This Row],[Name]],changes[[#This Row],[Name]], $E$4:changes[[#This Row],[Type of change]], "Edit")),B1457)</f>
        <v>2</v>
      </c>
      <c r="C1458" s="16">
        <v>44671</v>
      </c>
      <c r="D1458" s="1" t="s">
        <v>2810</v>
      </c>
      <c r="E1458" t="s">
        <v>15</v>
      </c>
      <c r="F1458" s="10" t="s">
        <v>9</v>
      </c>
      <c r="G1458" s="30" t="s">
        <v>797</v>
      </c>
      <c r="H1458" s="30" t="s">
        <v>55</v>
      </c>
      <c r="I1458" s="30" t="s">
        <v>801</v>
      </c>
      <c r="K1458" s="2"/>
      <c r="M1458" s="2"/>
    </row>
    <row r="1459" spans="1:13">
      <c r="A1459" t="s">
        <v>28</v>
      </c>
      <c r="B1459">
        <f ca="1">IF(OR(changes[[#This Row],[Type]]="Checklist",changes[[#This Row],[Type]]="checklist-flat"),1+IF(changes[[#This Row],[Type of change]] = "Edit",COUNTIFS($I$4:changes[[#This Row],[Name]],changes[[#This Row],[Name]], $E$4:changes[[#This Row],[Type of change]], "Edit")),B1458)</f>
        <v>2</v>
      </c>
      <c r="C1459" s="16">
        <v>44671</v>
      </c>
      <c r="D1459" s="1" t="s">
        <v>2810</v>
      </c>
      <c r="E1459" t="s">
        <v>15</v>
      </c>
      <c r="F1459" s="10" t="s">
        <v>9</v>
      </c>
      <c r="G1459" s="30" t="s">
        <v>797</v>
      </c>
      <c r="H1459" s="30" t="s">
        <v>55</v>
      </c>
      <c r="I1459" s="30" t="s">
        <v>718</v>
      </c>
      <c r="K1459" s="2"/>
      <c r="M1459" s="2"/>
    </row>
    <row r="1460" spans="1:13">
      <c r="A1460" t="s">
        <v>28</v>
      </c>
      <c r="B1460">
        <f ca="1">IF(OR(changes[[#This Row],[Type]]="Checklist",changes[[#This Row],[Type]]="checklist-flat"),1+IF(changes[[#This Row],[Type of change]] = "Edit",COUNTIFS($I$4:changes[[#This Row],[Name]],changes[[#This Row],[Name]], $E$4:changes[[#This Row],[Type of change]], "Edit")),B1459)</f>
        <v>2</v>
      </c>
      <c r="C1460" s="16">
        <v>44671</v>
      </c>
      <c r="D1460" s="1" t="s">
        <v>2810</v>
      </c>
      <c r="E1460" t="s">
        <v>15</v>
      </c>
      <c r="F1460" s="10" t="s">
        <v>9</v>
      </c>
      <c r="G1460" s="30" t="s">
        <v>797</v>
      </c>
      <c r="H1460" s="30" t="s">
        <v>55</v>
      </c>
      <c r="I1460" s="30" t="s">
        <v>719</v>
      </c>
      <c r="K1460" s="2"/>
      <c r="M1460" s="2"/>
    </row>
    <row r="1461" spans="1:13">
      <c r="A1461" t="s">
        <v>28</v>
      </c>
      <c r="B1461">
        <f ca="1">IF(OR(changes[[#This Row],[Type]]="Checklist",changes[[#This Row],[Type]]="checklist-flat"),1+IF(changes[[#This Row],[Type of change]] = "Edit",COUNTIFS($I$4:changes[[#This Row],[Name]],changes[[#This Row],[Name]], $E$4:changes[[#This Row],[Type of change]], "Edit")),B1460)</f>
        <v>2</v>
      </c>
      <c r="C1461" s="16">
        <v>44671</v>
      </c>
      <c r="D1461" s="1" t="s">
        <v>2810</v>
      </c>
      <c r="E1461" t="s">
        <v>15</v>
      </c>
      <c r="F1461" s="10" t="s">
        <v>9</v>
      </c>
      <c r="G1461" s="30" t="s">
        <v>797</v>
      </c>
      <c r="H1461" s="30" t="s">
        <v>55</v>
      </c>
      <c r="I1461" s="30" t="s">
        <v>802</v>
      </c>
      <c r="K1461" s="2"/>
      <c r="M1461" s="2"/>
    </row>
    <row r="1462" spans="1:13">
      <c r="A1462" t="s">
        <v>28</v>
      </c>
      <c r="B1462">
        <f ca="1">IF(OR(changes[[#This Row],[Type]]="Checklist",changes[[#This Row],[Type]]="checklist-flat"),1+IF(changes[[#This Row],[Type of change]] = "Edit",COUNTIFS($I$4:changes[[#This Row],[Name]],changes[[#This Row],[Name]], $E$4:changes[[#This Row],[Type of change]], "Edit")),B1461)</f>
        <v>1</v>
      </c>
      <c r="C1462" s="16">
        <v>44671</v>
      </c>
      <c r="D1462" s="1" t="s">
        <v>2484</v>
      </c>
      <c r="E1462" t="s">
        <v>27</v>
      </c>
      <c r="F1462" s="10" t="s">
        <v>52</v>
      </c>
      <c r="G1462" t="s">
        <v>213</v>
      </c>
      <c r="H1462" t="s">
        <v>54</v>
      </c>
      <c r="I1462" t="s">
        <v>213</v>
      </c>
      <c r="K1462" s="2"/>
      <c r="M1462" s="2"/>
    </row>
    <row r="1463" spans="1:13">
      <c r="A1463" t="s">
        <v>28</v>
      </c>
      <c r="B1463">
        <f ca="1">IF(OR(changes[[#This Row],[Type]]="Checklist",changes[[#This Row],[Type]]="checklist-flat"),1+IF(changes[[#This Row],[Type of change]] = "Edit",COUNTIFS($I$4:changes[[#This Row],[Name]],changes[[#This Row],[Name]], $E$4:changes[[#This Row],[Type of change]], "Edit")),B1462)</f>
        <v>1</v>
      </c>
      <c r="C1463" s="16">
        <v>44671</v>
      </c>
      <c r="D1463" s="1" t="s">
        <v>2484</v>
      </c>
      <c r="E1463" t="s">
        <v>27</v>
      </c>
      <c r="F1463" s="10" t="s">
        <v>52</v>
      </c>
      <c r="G1463" t="s">
        <v>213</v>
      </c>
      <c r="H1463" t="s">
        <v>214</v>
      </c>
      <c r="I1463" t="s">
        <v>215</v>
      </c>
      <c r="K1463" s="2"/>
      <c r="M1463" s="2"/>
    </row>
    <row r="1464" spans="1:13">
      <c r="A1464" t="s">
        <v>28</v>
      </c>
      <c r="B1464">
        <f ca="1">IF(OR(changes[[#This Row],[Type]]="Checklist",changes[[#This Row],[Type]]="checklist-flat"),1+IF(changes[[#This Row],[Type of change]] = "Edit",COUNTIFS($I$4:changes[[#This Row],[Name]],changes[[#This Row],[Name]], $E$4:changes[[#This Row],[Type of change]], "Edit")),B1463)</f>
        <v>1</v>
      </c>
      <c r="C1464" s="16">
        <v>44671</v>
      </c>
      <c r="D1464" s="1" t="s">
        <v>2484</v>
      </c>
      <c r="E1464" t="s">
        <v>27</v>
      </c>
      <c r="F1464" s="10" t="s">
        <v>52</v>
      </c>
      <c r="G1464" t="s">
        <v>213</v>
      </c>
      <c r="H1464" t="s">
        <v>214</v>
      </c>
      <c r="I1464" t="s">
        <v>216</v>
      </c>
      <c r="K1464" s="2"/>
      <c r="M1464" s="2"/>
    </row>
    <row r="1465" spans="1:13">
      <c r="A1465" t="s">
        <v>28</v>
      </c>
      <c r="B1465">
        <f ca="1">IF(OR(changes[[#This Row],[Type]]="Checklist",changes[[#This Row],[Type]]="checklist-flat"),1+IF(changes[[#This Row],[Type of change]] = "Edit",COUNTIFS($I$4:changes[[#This Row],[Name]],changes[[#This Row],[Name]], $E$4:changes[[#This Row],[Type of change]], "Edit")),B1464)</f>
        <v>1</v>
      </c>
      <c r="C1465" s="16">
        <v>44671</v>
      </c>
      <c r="D1465" s="1" t="s">
        <v>2484</v>
      </c>
      <c r="E1465" t="s">
        <v>27</v>
      </c>
      <c r="F1465" s="10" t="s">
        <v>52</v>
      </c>
      <c r="G1465" t="s">
        <v>213</v>
      </c>
      <c r="H1465" t="s">
        <v>214</v>
      </c>
      <c r="I1465" t="s">
        <v>217</v>
      </c>
      <c r="K1465" s="2"/>
      <c r="M1465" s="2"/>
    </row>
    <row r="1466" spans="1:13">
      <c r="A1466" t="s">
        <v>28</v>
      </c>
      <c r="B1466">
        <f ca="1">IF(OR(changes[[#This Row],[Type]]="Checklist",changes[[#This Row],[Type]]="checklist-flat"),1+IF(changes[[#This Row],[Type of change]] = "Edit",COUNTIFS($I$4:changes[[#This Row],[Name]],changes[[#This Row],[Name]], $E$4:changes[[#This Row],[Type of change]], "Edit")),B1465)</f>
        <v>1</v>
      </c>
      <c r="C1466" s="16">
        <v>44671</v>
      </c>
      <c r="D1466" s="1" t="s">
        <v>2484</v>
      </c>
      <c r="E1466" t="s">
        <v>27</v>
      </c>
      <c r="F1466" s="10" t="s">
        <v>52</v>
      </c>
      <c r="G1466" t="s">
        <v>213</v>
      </c>
      <c r="H1466" t="s">
        <v>218</v>
      </c>
      <c r="I1466" t="s">
        <v>219</v>
      </c>
      <c r="J1466" t="s">
        <v>2825</v>
      </c>
      <c r="K1466" s="2"/>
      <c r="M1466" s="2"/>
    </row>
    <row r="1467" spans="1:13">
      <c r="A1467" t="s">
        <v>28</v>
      </c>
      <c r="B1467">
        <f ca="1">IF(OR(changes[[#This Row],[Type]]="Checklist",changes[[#This Row],[Type]]="checklist-flat"),1+IF(changes[[#This Row],[Type of change]] = "Edit",COUNTIFS($I$4:changes[[#This Row],[Name]],changes[[#This Row],[Name]], $E$4:changes[[#This Row],[Type of change]], "Edit")),B1466)</f>
        <v>1</v>
      </c>
      <c r="C1467" s="16">
        <v>44671</v>
      </c>
      <c r="D1467" s="1" t="s">
        <v>2484</v>
      </c>
      <c r="E1467" t="s">
        <v>27</v>
      </c>
      <c r="F1467" s="10" t="s">
        <v>52</v>
      </c>
      <c r="G1467" t="s">
        <v>213</v>
      </c>
      <c r="H1467" t="s">
        <v>99</v>
      </c>
      <c r="I1467" t="s">
        <v>221</v>
      </c>
      <c r="K1467" s="2"/>
      <c r="M1467" s="2"/>
    </row>
    <row r="1468" spans="1:13">
      <c r="A1468" t="s">
        <v>28</v>
      </c>
      <c r="B1468">
        <f ca="1">IF(OR(changes[[#This Row],[Type]]="Checklist",changes[[#This Row],[Type]]="checklist-flat"),1+IF(changes[[#This Row],[Type of change]] = "Edit",COUNTIFS($I$4:changes[[#This Row],[Name]],changes[[#This Row],[Name]], $E$4:changes[[#This Row],[Type of change]], "Edit")),B1467)</f>
        <v>1</v>
      </c>
      <c r="C1468" s="16">
        <v>44671</v>
      </c>
      <c r="D1468" s="1" t="s">
        <v>2484</v>
      </c>
      <c r="E1468" t="s">
        <v>27</v>
      </c>
      <c r="F1468" s="10" t="s">
        <v>52</v>
      </c>
      <c r="G1468" t="s">
        <v>213</v>
      </c>
      <c r="H1468" t="s">
        <v>55</v>
      </c>
      <c r="I1468" t="s">
        <v>222</v>
      </c>
      <c r="K1468" s="2"/>
      <c r="M1468" s="2"/>
    </row>
    <row r="1469" spans="1:13">
      <c r="A1469" t="s">
        <v>28</v>
      </c>
      <c r="B1469">
        <f ca="1">IF(OR(changes[[#This Row],[Type]]="Checklist",changes[[#This Row],[Type]]="checklist-flat"),1+IF(changes[[#This Row],[Type of change]] = "Edit",COUNTIFS($I$4:changes[[#This Row],[Name]],changes[[#This Row],[Name]], $E$4:changes[[#This Row],[Type of change]], "Edit")),B1468)</f>
        <v>1</v>
      </c>
      <c r="C1469" s="16">
        <v>44671</v>
      </c>
      <c r="D1469" s="1" t="s">
        <v>2484</v>
      </c>
      <c r="E1469" t="s">
        <v>27</v>
      </c>
      <c r="F1469" s="10" t="s">
        <v>52</v>
      </c>
      <c r="G1469" t="s">
        <v>213</v>
      </c>
      <c r="H1469" t="s">
        <v>214</v>
      </c>
      <c r="I1469" t="s">
        <v>223</v>
      </c>
      <c r="K1469" s="2"/>
      <c r="M1469" s="2"/>
    </row>
    <row r="1470" spans="1:13">
      <c r="A1470" t="s">
        <v>28</v>
      </c>
      <c r="B1470">
        <f ca="1">IF(OR(changes[[#This Row],[Type]]="Checklist",changes[[#This Row],[Type]]="checklist-flat"),1+IF(changes[[#This Row],[Type of change]] = "Edit",COUNTIFS($I$4:changes[[#This Row],[Name]],changes[[#This Row],[Name]], $E$4:changes[[#This Row],[Type of change]], "Edit")),B1469)</f>
        <v>1</v>
      </c>
      <c r="C1470" s="16">
        <v>44671</v>
      </c>
      <c r="D1470" s="1" t="s">
        <v>2810</v>
      </c>
      <c r="E1470" t="s">
        <v>27</v>
      </c>
      <c r="F1470" s="10" t="s">
        <v>9</v>
      </c>
      <c r="G1470" s="17" t="s">
        <v>2826</v>
      </c>
      <c r="H1470" s="30" t="s">
        <v>54</v>
      </c>
      <c r="I1470" s="17" t="s">
        <v>686</v>
      </c>
      <c r="K1470" s="2"/>
      <c r="M1470" s="2" t="s">
        <v>2827</v>
      </c>
    </row>
    <row r="1471" spans="1:13">
      <c r="A1471" t="s">
        <v>28</v>
      </c>
      <c r="B1471">
        <f ca="1">IF(OR(changes[[#This Row],[Type]]="Checklist",changes[[#This Row],[Type]]="checklist-flat"),1+IF(changes[[#This Row],[Type of change]] = "Edit",COUNTIFS($I$4:changes[[#This Row],[Name]],changes[[#This Row],[Name]], $E$4:changes[[#This Row],[Type of change]], "Edit")),B1470)</f>
        <v>1</v>
      </c>
      <c r="C1471" s="16">
        <v>44671</v>
      </c>
      <c r="D1471" s="1" t="s">
        <v>2810</v>
      </c>
      <c r="E1471" t="s">
        <v>27</v>
      </c>
      <c r="F1471" s="10" t="s">
        <v>9</v>
      </c>
      <c r="G1471" s="17" t="s">
        <v>2826</v>
      </c>
      <c r="H1471" s="30" t="s">
        <v>55</v>
      </c>
      <c r="I1471" t="s">
        <v>687</v>
      </c>
      <c r="K1471" s="2"/>
      <c r="M1471" s="2"/>
    </row>
    <row r="1472" spans="1:13">
      <c r="A1472" t="s">
        <v>28</v>
      </c>
      <c r="B1472">
        <f ca="1">IF(OR(changes[[#This Row],[Type]]="Checklist",changes[[#This Row],[Type]]="checklist-flat"),1+IF(changes[[#This Row],[Type of change]] = "Edit",COUNTIFS($I$4:changes[[#This Row],[Name]],changes[[#This Row],[Name]], $E$4:changes[[#This Row],[Type of change]], "Edit")),B1471)</f>
        <v>1</v>
      </c>
      <c r="C1472" s="16">
        <v>44671</v>
      </c>
      <c r="D1472" s="1" t="s">
        <v>2810</v>
      </c>
      <c r="E1472" t="s">
        <v>27</v>
      </c>
      <c r="F1472" s="10" t="s">
        <v>9</v>
      </c>
      <c r="G1472" s="17" t="s">
        <v>2826</v>
      </c>
      <c r="H1472" s="30" t="s">
        <v>55</v>
      </c>
      <c r="I1472" t="s">
        <v>688</v>
      </c>
      <c r="K1472" s="2"/>
      <c r="M1472" s="2"/>
    </row>
    <row r="1473" spans="1:13">
      <c r="A1473" t="s">
        <v>28</v>
      </c>
      <c r="B1473">
        <f ca="1">IF(OR(changes[[#This Row],[Type]]="Checklist",changes[[#This Row],[Type]]="checklist-flat"),1+IF(changes[[#This Row],[Type of change]] = "Edit",COUNTIFS($I$4:changes[[#This Row],[Name]],changes[[#This Row],[Name]], $E$4:changes[[#This Row],[Type of change]], "Edit")),B1472)</f>
        <v>1</v>
      </c>
      <c r="C1473" s="16">
        <v>44671</v>
      </c>
      <c r="D1473" s="1" t="s">
        <v>2810</v>
      </c>
      <c r="E1473" t="s">
        <v>27</v>
      </c>
      <c r="F1473" s="10" t="s">
        <v>9</v>
      </c>
      <c r="G1473" s="17" t="s">
        <v>2826</v>
      </c>
      <c r="H1473" s="30" t="s">
        <v>55</v>
      </c>
      <c r="I1473" t="s">
        <v>689</v>
      </c>
      <c r="K1473" s="2"/>
      <c r="M1473" s="2"/>
    </row>
    <row r="1474" spans="1:13">
      <c r="A1474" t="s">
        <v>28</v>
      </c>
      <c r="B1474">
        <f ca="1">IF(OR(changes[[#This Row],[Type]]="Checklist",changes[[#This Row],[Type]]="checklist-flat"),1+IF(changes[[#This Row],[Type of change]] = "Edit",COUNTIFS($I$4:changes[[#This Row],[Name]],changes[[#This Row],[Name]], $E$4:changes[[#This Row],[Type of change]], "Edit")),B1473)</f>
        <v>1</v>
      </c>
      <c r="C1474" s="16">
        <v>44671</v>
      </c>
      <c r="D1474" s="1" t="s">
        <v>2810</v>
      </c>
      <c r="E1474" t="s">
        <v>27</v>
      </c>
      <c r="F1474" s="10" t="s">
        <v>9</v>
      </c>
      <c r="G1474" s="17" t="s">
        <v>2826</v>
      </c>
      <c r="H1474" s="30" t="s">
        <v>55</v>
      </c>
      <c r="I1474" t="s">
        <v>690</v>
      </c>
      <c r="K1474" s="2"/>
      <c r="M1474" s="2"/>
    </row>
    <row r="1475" spans="1:13">
      <c r="A1475" t="s">
        <v>28</v>
      </c>
      <c r="B1475">
        <f ca="1">IF(OR(changes[[#This Row],[Type]]="Checklist",changes[[#This Row],[Type]]="checklist-flat"),1+IF(changes[[#This Row],[Type of change]] = "Edit",COUNTIFS($I$4:changes[[#This Row],[Name]],changes[[#This Row],[Name]], $E$4:changes[[#This Row],[Type of change]], "Edit")),B1474)</f>
        <v>1</v>
      </c>
      <c r="C1475" s="16">
        <v>44671</v>
      </c>
      <c r="D1475" s="1" t="s">
        <v>2810</v>
      </c>
      <c r="E1475" t="s">
        <v>27</v>
      </c>
      <c r="F1475" s="10" t="s">
        <v>9</v>
      </c>
      <c r="G1475" s="17" t="s">
        <v>2826</v>
      </c>
      <c r="H1475" s="30" t="s">
        <v>55</v>
      </c>
      <c r="I1475" t="s">
        <v>691</v>
      </c>
      <c r="K1475" s="2"/>
      <c r="M1475" s="2"/>
    </row>
    <row r="1476" spans="1:13">
      <c r="A1476" t="s">
        <v>28</v>
      </c>
      <c r="B1476">
        <f ca="1">IF(OR(changes[[#This Row],[Type]]="Checklist",changes[[#This Row],[Type]]="checklist-flat"),1+IF(changes[[#This Row],[Type of change]] = "Edit",COUNTIFS($I$4:changes[[#This Row],[Name]],changes[[#This Row],[Name]], $E$4:changes[[#This Row],[Type of change]], "Edit")),B1475)</f>
        <v>3</v>
      </c>
      <c r="C1476" s="16">
        <v>44673</v>
      </c>
      <c r="D1476" s="1" t="s">
        <v>2509</v>
      </c>
      <c r="E1476" t="s">
        <v>15</v>
      </c>
      <c r="F1476" s="10" t="s">
        <v>52</v>
      </c>
      <c r="G1476" t="s">
        <v>1576</v>
      </c>
      <c r="H1476" t="s">
        <v>54</v>
      </c>
      <c r="I1476" t="s">
        <v>1576</v>
      </c>
      <c r="K1476" s="2"/>
      <c r="M1476" s="2" t="s">
        <v>2828</v>
      </c>
    </row>
    <row r="1477" spans="1:13">
      <c r="A1477" t="s">
        <v>28</v>
      </c>
      <c r="B1477">
        <f ca="1">IF(OR(changes[[#This Row],[Type]]="Checklist",changes[[#This Row],[Type]]="checklist-flat"),1+IF(changes[[#This Row],[Type of change]] = "Edit",COUNTIFS($I$4:changes[[#This Row],[Name]],changes[[#This Row],[Name]], $E$4:changes[[#This Row],[Type of change]], "Edit")),B1476)</f>
        <v>3</v>
      </c>
      <c r="C1477" s="16">
        <v>44673</v>
      </c>
      <c r="D1477" s="1" t="s">
        <v>2509</v>
      </c>
      <c r="E1477" t="s">
        <v>15</v>
      </c>
      <c r="F1477" s="10" t="s">
        <v>52</v>
      </c>
      <c r="G1477" t="s">
        <v>1576</v>
      </c>
      <c r="H1477" t="s">
        <v>55</v>
      </c>
      <c r="I1477" t="s">
        <v>62</v>
      </c>
      <c r="K1477" s="2"/>
      <c r="M1477" s="2"/>
    </row>
    <row r="1478" spans="1:13">
      <c r="A1478" t="s">
        <v>28</v>
      </c>
      <c r="B1478">
        <f ca="1">IF(OR(changes[[#This Row],[Type]]="Checklist",changes[[#This Row],[Type]]="checklist-flat"),1+IF(changes[[#This Row],[Type of change]] = "Edit",COUNTIFS($I$4:changes[[#This Row],[Name]],changes[[#This Row],[Name]], $E$4:changes[[#This Row],[Type of change]], "Edit")),B1477)</f>
        <v>3</v>
      </c>
      <c r="C1478" s="16">
        <v>44673</v>
      </c>
      <c r="D1478" s="1" t="s">
        <v>2509</v>
      </c>
      <c r="E1478" t="s">
        <v>15</v>
      </c>
      <c r="F1478" s="10" t="s">
        <v>52</v>
      </c>
      <c r="G1478" t="s">
        <v>1576</v>
      </c>
      <c r="H1478" t="s">
        <v>55</v>
      </c>
      <c r="I1478" t="s">
        <v>1581</v>
      </c>
      <c r="K1478" s="2"/>
      <c r="M1478" s="2"/>
    </row>
    <row r="1479" spans="1:13">
      <c r="A1479" t="s">
        <v>28</v>
      </c>
      <c r="B1479">
        <f ca="1">IF(OR(changes[[#This Row],[Type]]="Checklist",changes[[#This Row],[Type]]="checklist-flat"),1+IF(changes[[#This Row],[Type of change]] = "Edit",COUNTIFS($I$4:changes[[#This Row],[Name]],changes[[#This Row],[Name]], $E$4:changes[[#This Row],[Type of change]], "Edit")),B1478)</f>
        <v>3</v>
      </c>
      <c r="C1479" s="16">
        <v>44673</v>
      </c>
      <c r="D1479" s="1" t="s">
        <v>2509</v>
      </c>
      <c r="E1479" t="s">
        <v>15</v>
      </c>
      <c r="F1479" s="10" t="s">
        <v>52</v>
      </c>
      <c r="G1479" t="s">
        <v>1576</v>
      </c>
      <c r="H1479" t="s">
        <v>55</v>
      </c>
      <c r="I1479" t="s">
        <v>1582</v>
      </c>
      <c r="K1479" s="2"/>
      <c r="M1479" s="2"/>
    </row>
    <row r="1480" spans="1:13">
      <c r="A1480" t="s">
        <v>28</v>
      </c>
      <c r="B1480">
        <f ca="1">IF(OR(changes[[#This Row],[Type]]="Checklist",changes[[#This Row],[Type]]="checklist-flat"),1+IF(changes[[#This Row],[Type of change]] = "Edit",COUNTIFS($I$4:changes[[#This Row],[Name]],changes[[#This Row],[Name]], $E$4:changes[[#This Row],[Type of change]], "Edit")),B1479)</f>
        <v>3</v>
      </c>
      <c r="C1480" s="16">
        <v>44673</v>
      </c>
      <c r="D1480" s="1" t="s">
        <v>2509</v>
      </c>
      <c r="E1480" t="s">
        <v>15</v>
      </c>
      <c r="F1480" s="10" t="s">
        <v>52</v>
      </c>
      <c r="G1480" t="s">
        <v>1576</v>
      </c>
      <c r="H1480" t="s">
        <v>55</v>
      </c>
      <c r="I1480" t="s">
        <v>1583</v>
      </c>
      <c r="K1480" s="2"/>
      <c r="M1480" s="2"/>
    </row>
    <row r="1481" spans="1:13">
      <c r="A1481" t="s">
        <v>28</v>
      </c>
      <c r="B1481">
        <f ca="1">IF(OR(changes[[#This Row],[Type]]="Checklist",changes[[#This Row],[Type]]="checklist-flat"),1+IF(changes[[#This Row],[Type of change]] = "Edit",COUNTIFS($I$4:changes[[#This Row],[Name]],changes[[#This Row],[Name]], $E$4:changes[[#This Row],[Type of change]], "Edit")),B1480)</f>
        <v>3</v>
      </c>
      <c r="C1481" s="16">
        <v>44673</v>
      </c>
      <c r="D1481" s="1" t="s">
        <v>2509</v>
      </c>
      <c r="E1481" t="s">
        <v>15</v>
      </c>
      <c r="F1481" s="10" t="s">
        <v>52</v>
      </c>
      <c r="G1481" t="s">
        <v>1576</v>
      </c>
      <c r="H1481" t="s">
        <v>55</v>
      </c>
      <c r="I1481" t="s">
        <v>63</v>
      </c>
      <c r="K1481" s="2"/>
      <c r="M1481" s="2"/>
    </row>
    <row r="1482" spans="1:13">
      <c r="A1482" t="s">
        <v>28</v>
      </c>
      <c r="B1482">
        <f ca="1">IF(OR(changes[[#This Row],[Type]]="Checklist",changes[[#This Row],[Type]]="checklist-flat"),1+IF(changes[[#This Row],[Type of change]] = "Edit",COUNTIFS($I$4:changes[[#This Row],[Name]],changes[[#This Row],[Name]], $E$4:changes[[#This Row],[Type of change]], "Edit")),B1481)</f>
        <v>3</v>
      </c>
      <c r="C1482" s="16">
        <v>44673</v>
      </c>
      <c r="D1482" s="1" t="s">
        <v>2509</v>
      </c>
      <c r="E1482" t="s">
        <v>15</v>
      </c>
      <c r="F1482" s="10" t="s">
        <v>52</v>
      </c>
      <c r="G1482" t="s">
        <v>1576</v>
      </c>
      <c r="H1482" t="s">
        <v>64</v>
      </c>
      <c r="I1482" t="s">
        <v>65</v>
      </c>
      <c r="K1482" s="2"/>
      <c r="M1482" s="2"/>
    </row>
    <row r="1483" spans="1:13">
      <c r="A1483" t="s">
        <v>28</v>
      </c>
      <c r="B1483">
        <f ca="1">IF(OR(changes[[#This Row],[Type]]="Checklist",changes[[#This Row],[Type]]="checklist-flat"),1+IF(changes[[#This Row],[Type of change]] = "Edit",COUNTIFS($I$4:changes[[#This Row],[Name]],changes[[#This Row],[Name]], $E$4:changes[[#This Row],[Type of change]], "Edit")),B1482)</f>
        <v>3</v>
      </c>
      <c r="C1483" s="16">
        <v>44673</v>
      </c>
      <c r="D1483" s="1" t="s">
        <v>2509</v>
      </c>
      <c r="E1483" t="s">
        <v>15</v>
      </c>
      <c r="F1483" s="10" t="s">
        <v>52</v>
      </c>
      <c r="G1483" t="s">
        <v>1576</v>
      </c>
      <c r="H1483" t="s">
        <v>55</v>
      </c>
      <c r="I1483" t="s">
        <v>1584</v>
      </c>
      <c r="K1483" s="2"/>
      <c r="M1483" s="2"/>
    </row>
    <row r="1484" spans="1:13">
      <c r="A1484" t="s">
        <v>28</v>
      </c>
      <c r="B1484">
        <f ca="1">IF(OR(changes[[#This Row],[Type]]="Checklist",changes[[#This Row],[Type]]="checklist-flat"),1+IF(changes[[#This Row],[Type of change]] = "Edit",COUNTIFS($I$4:changes[[#This Row],[Name]],changes[[#This Row],[Name]], $E$4:changes[[#This Row],[Type of change]], "Edit")),B1483)</f>
        <v>1</v>
      </c>
      <c r="C1484" s="16">
        <v>44678</v>
      </c>
      <c r="D1484" s="1" t="s">
        <v>2484</v>
      </c>
      <c r="E1484" t="s">
        <v>27</v>
      </c>
      <c r="F1484" s="10" t="s">
        <v>9</v>
      </c>
      <c r="G1484" t="s">
        <v>1137</v>
      </c>
      <c r="H1484" t="s">
        <v>54</v>
      </c>
      <c r="I1484" t="s">
        <v>1137</v>
      </c>
      <c r="K1484" s="2"/>
      <c r="M1484" s="2" t="s">
        <v>2829</v>
      </c>
    </row>
    <row r="1485" spans="1:13">
      <c r="A1485" t="s">
        <v>28</v>
      </c>
      <c r="B1485">
        <f ca="1">IF(OR(changes[[#This Row],[Type]]="Checklist",changes[[#This Row],[Type]]="checklist-flat"),1+IF(changes[[#This Row],[Type of change]] = "Edit",COUNTIFS($I$4:changes[[#This Row],[Name]],changes[[#This Row],[Name]], $E$4:changes[[#This Row],[Type of change]], "Edit")),B1484)</f>
        <v>1</v>
      </c>
      <c r="C1485" s="16">
        <v>44678</v>
      </c>
      <c r="D1485" s="1" t="s">
        <v>2484</v>
      </c>
      <c r="E1485" t="s">
        <v>27</v>
      </c>
      <c r="F1485" s="10" t="s">
        <v>9</v>
      </c>
      <c r="G1485" t="s">
        <v>1137</v>
      </c>
      <c r="H1485" t="s">
        <v>55</v>
      </c>
      <c r="I1485" t="s">
        <v>1138</v>
      </c>
      <c r="K1485" s="2"/>
      <c r="M1485" s="2"/>
    </row>
    <row r="1486" spans="1:13">
      <c r="A1486" t="s">
        <v>28</v>
      </c>
      <c r="B1486">
        <f ca="1">IF(OR(changes[[#This Row],[Type]]="Checklist",changes[[#This Row],[Type]]="checklist-flat"),1+IF(changes[[#This Row],[Type of change]] = "Edit",COUNTIFS($I$4:changes[[#This Row],[Name]],changes[[#This Row],[Name]], $E$4:changes[[#This Row],[Type of change]], "Edit")),B1485)</f>
        <v>1</v>
      </c>
      <c r="C1486" s="16">
        <v>44678</v>
      </c>
      <c r="D1486" s="1" t="s">
        <v>2484</v>
      </c>
      <c r="E1486" t="s">
        <v>27</v>
      </c>
      <c r="F1486" s="10" t="s">
        <v>9</v>
      </c>
      <c r="G1486" t="s">
        <v>1137</v>
      </c>
      <c r="H1486" t="s">
        <v>55</v>
      </c>
      <c r="I1486" t="s">
        <v>1139</v>
      </c>
      <c r="K1486" s="2"/>
      <c r="M1486" s="2"/>
    </row>
    <row r="1487" spans="1:13">
      <c r="A1487" t="s">
        <v>28</v>
      </c>
      <c r="B1487">
        <f ca="1">IF(OR(changes[[#This Row],[Type]]="Checklist",changes[[#This Row],[Type]]="checklist-flat"),1+IF(changes[[#This Row],[Type of change]] = "Edit",COUNTIFS($I$4:changes[[#This Row],[Name]],changes[[#This Row],[Name]], $E$4:changes[[#This Row],[Type of change]], "Edit")),B1486)</f>
        <v>1</v>
      </c>
      <c r="C1487" s="16">
        <v>44678</v>
      </c>
      <c r="D1487" s="1" t="s">
        <v>2484</v>
      </c>
      <c r="E1487" t="s">
        <v>27</v>
      </c>
      <c r="F1487" s="10" t="s">
        <v>9</v>
      </c>
      <c r="G1487" t="s">
        <v>1137</v>
      </c>
      <c r="H1487" t="s">
        <v>55</v>
      </c>
      <c r="I1487" t="s">
        <v>1140</v>
      </c>
      <c r="K1487" s="2"/>
      <c r="M1487" s="2"/>
    </row>
    <row r="1488" spans="1:13">
      <c r="A1488" t="s">
        <v>28</v>
      </c>
      <c r="B1488">
        <f ca="1">IF(OR(changes[[#This Row],[Type]]="Checklist",changes[[#This Row],[Type]]="checklist-flat"),1+IF(changes[[#This Row],[Type of change]] = "Edit",COUNTIFS($I$4:changes[[#This Row],[Name]],changes[[#This Row],[Name]], $E$4:changes[[#This Row],[Type of change]], "Edit")),B1487)</f>
        <v>1</v>
      </c>
      <c r="C1488" s="16">
        <v>44678</v>
      </c>
      <c r="D1488" s="1" t="s">
        <v>2484</v>
      </c>
      <c r="E1488" t="s">
        <v>27</v>
      </c>
      <c r="F1488" s="10" t="s">
        <v>9</v>
      </c>
      <c r="G1488" t="s">
        <v>1137</v>
      </c>
      <c r="H1488" t="s">
        <v>55</v>
      </c>
      <c r="I1488" t="s">
        <v>1141</v>
      </c>
      <c r="K1488" s="2"/>
      <c r="M1488" s="2"/>
    </row>
    <row r="1489" spans="1:13">
      <c r="A1489" t="s">
        <v>28</v>
      </c>
      <c r="B1489">
        <f ca="1">IF(OR(changes[[#This Row],[Type]]="Checklist",changes[[#This Row],[Type]]="checklist-flat"),1+IF(changes[[#This Row],[Type of change]] = "Edit",COUNTIFS($I$4:changes[[#This Row],[Name]],changes[[#This Row],[Name]], $E$4:changes[[#This Row],[Type of change]], "Edit")),B1488)</f>
        <v>1</v>
      </c>
      <c r="C1489" s="16">
        <v>44678</v>
      </c>
      <c r="D1489" s="1" t="s">
        <v>2484</v>
      </c>
      <c r="E1489" t="s">
        <v>27</v>
      </c>
      <c r="F1489" s="10" t="s">
        <v>9</v>
      </c>
      <c r="G1489" t="s">
        <v>1137</v>
      </c>
      <c r="H1489" t="s">
        <v>64</v>
      </c>
      <c r="I1489" t="s">
        <v>1142</v>
      </c>
      <c r="K1489" s="2"/>
      <c r="M1489" s="2"/>
    </row>
    <row r="1490" spans="1:13">
      <c r="A1490" t="s">
        <v>28</v>
      </c>
      <c r="B1490">
        <f ca="1">IF(OR(changes[[#This Row],[Type]]="Checklist",changes[[#This Row],[Type]]="checklist-flat"),1+IF(changes[[#This Row],[Type of change]] = "Edit",COUNTIFS($I$4:changes[[#This Row],[Name]],changes[[#This Row],[Name]], $E$4:changes[[#This Row],[Type of change]], "Edit")),B1489)</f>
        <v>1</v>
      </c>
      <c r="C1490" s="16">
        <v>44678</v>
      </c>
      <c r="D1490" s="1" t="s">
        <v>2484</v>
      </c>
      <c r="E1490" t="s">
        <v>27</v>
      </c>
      <c r="F1490" s="10" t="s">
        <v>9</v>
      </c>
      <c r="G1490" t="s">
        <v>1137</v>
      </c>
      <c r="H1490" t="s">
        <v>54</v>
      </c>
      <c r="I1490" t="s">
        <v>1211</v>
      </c>
      <c r="K1490" s="2"/>
      <c r="M1490" s="2" t="s">
        <v>2829</v>
      </c>
    </row>
    <row r="1491" spans="1:13">
      <c r="A1491" t="s">
        <v>28</v>
      </c>
      <c r="B1491">
        <f ca="1">IF(OR(changes[[#This Row],[Type]]="Checklist",changes[[#This Row],[Type]]="checklist-flat"),1+IF(changes[[#This Row],[Type of change]] = "Edit",COUNTIFS($I$4:changes[[#This Row],[Name]],changes[[#This Row],[Name]], $E$4:changes[[#This Row],[Type of change]], "Edit")),B1490)</f>
        <v>1</v>
      </c>
      <c r="C1491" s="16">
        <v>44678</v>
      </c>
      <c r="D1491" s="1" t="s">
        <v>2484</v>
      </c>
      <c r="E1491" t="s">
        <v>27</v>
      </c>
      <c r="F1491" s="10" t="s">
        <v>9</v>
      </c>
      <c r="G1491" t="s">
        <v>1137</v>
      </c>
      <c r="H1491" t="s">
        <v>55</v>
      </c>
      <c r="I1491" t="s">
        <v>1212</v>
      </c>
      <c r="K1491" s="2"/>
      <c r="M1491" s="2"/>
    </row>
    <row r="1492" spans="1:13">
      <c r="A1492" t="s">
        <v>28</v>
      </c>
      <c r="B1492">
        <f ca="1">IF(OR(changes[[#This Row],[Type]]="Checklist",changes[[#This Row],[Type]]="checklist-flat"),1+IF(changes[[#This Row],[Type of change]] = "Edit",COUNTIFS($I$4:changes[[#This Row],[Name]],changes[[#This Row],[Name]], $E$4:changes[[#This Row],[Type of change]], "Edit")),B1491)</f>
        <v>1</v>
      </c>
      <c r="C1492" s="16">
        <v>44678</v>
      </c>
      <c r="D1492" s="1" t="s">
        <v>2484</v>
      </c>
      <c r="E1492" t="s">
        <v>27</v>
      </c>
      <c r="F1492" s="10" t="s">
        <v>9</v>
      </c>
      <c r="G1492" t="s">
        <v>1137</v>
      </c>
      <c r="H1492" t="s">
        <v>55</v>
      </c>
      <c r="I1492" t="s">
        <v>1213</v>
      </c>
      <c r="K1492" s="2"/>
      <c r="M1492" s="2"/>
    </row>
    <row r="1493" spans="1:13">
      <c r="A1493" t="s">
        <v>28</v>
      </c>
      <c r="B1493">
        <f ca="1">IF(OR(changes[[#This Row],[Type]]="Checklist",changes[[#This Row],[Type]]="checklist-flat"),1+IF(changes[[#This Row],[Type of change]] = "Edit",COUNTIFS($I$4:changes[[#This Row],[Name]],changes[[#This Row],[Name]], $E$4:changes[[#This Row],[Type of change]], "Edit")),B1492)</f>
        <v>1</v>
      </c>
      <c r="C1493" s="16">
        <v>44678</v>
      </c>
      <c r="D1493" s="1" t="s">
        <v>2484</v>
      </c>
      <c r="E1493" t="s">
        <v>27</v>
      </c>
      <c r="F1493" s="10" t="s">
        <v>9</v>
      </c>
      <c r="G1493" t="s">
        <v>1137</v>
      </c>
      <c r="H1493" t="s">
        <v>55</v>
      </c>
      <c r="I1493" t="s">
        <v>1214</v>
      </c>
      <c r="K1493" s="2"/>
      <c r="M1493" s="2"/>
    </row>
    <row r="1494" spans="1:13">
      <c r="A1494" t="s">
        <v>28</v>
      </c>
      <c r="B1494">
        <f ca="1">IF(OR(changes[[#This Row],[Type]]="Checklist",changes[[#This Row],[Type]]="checklist-flat"),1+IF(changes[[#This Row],[Type of change]] = "Edit",COUNTIFS($I$4:changes[[#This Row],[Name]],changes[[#This Row],[Name]], $E$4:changes[[#This Row],[Type of change]], "Edit")),B1493)</f>
        <v>1</v>
      </c>
      <c r="C1494" s="16">
        <v>44678</v>
      </c>
      <c r="D1494" s="1" t="s">
        <v>2484</v>
      </c>
      <c r="E1494" t="s">
        <v>27</v>
      </c>
      <c r="F1494" s="10" t="s">
        <v>9</v>
      </c>
      <c r="G1494" t="s">
        <v>1137</v>
      </c>
      <c r="H1494" t="s">
        <v>55</v>
      </c>
      <c r="I1494" t="s">
        <v>1141</v>
      </c>
      <c r="K1494" s="2"/>
      <c r="M1494" s="2"/>
    </row>
    <row r="1495" spans="1:13">
      <c r="A1495" t="s">
        <v>28</v>
      </c>
      <c r="B1495">
        <f ca="1">IF(OR(changes[[#This Row],[Type]]="Checklist",changes[[#This Row],[Type]]="checklist-flat"),1+IF(changes[[#This Row],[Type of change]] = "Edit",COUNTIFS($I$4:changes[[#This Row],[Name]],changes[[#This Row],[Name]], $E$4:changes[[#This Row],[Type of change]], "Edit")),B1494)</f>
        <v>1</v>
      </c>
      <c r="C1495" s="16">
        <v>44678</v>
      </c>
      <c r="D1495" s="1" t="s">
        <v>2484</v>
      </c>
      <c r="E1495" t="s">
        <v>27</v>
      </c>
      <c r="F1495" s="10" t="s">
        <v>9</v>
      </c>
      <c r="G1495" t="s">
        <v>1137</v>
      </c>
      <c r="H1495" t="s">
        <v>55</v>
      </c>
      <c r="I1495" t="s">
        <v>1215</v>
      </c>
      <c r="K1495" s="2"/>
      <c r="M1495" s="2"/>
    </row>
    <row r="1496" spans="1:13">
      <c r="A1496" t="s">
        <v>28</v>
      </c>
      <c r="B1496">
        <f ca="1">IF(OR(changes[[#This Row],[Type]]="Checklist",changes[[#This Row],[Type]]="checklist-flat"),1+IF(changes[[#This Row],[Type of change]] = "Edit",COUNTIFS($I$4:changes[[#This Row],[Name]],changes[[#This Row],[Name]], $E$4:changes[[#This Row],[Type of change]], "Edit")),B1495)</f>
        <v>1</v>
      </c>
      <c r="C1496" s="16">
        <v>44678</v>
      </c>
      <c r="D1496" s="1" t="s">
        <v>2484</v>
      </c>
      <c r="E1496" t="s">
        <v>27</v>
      </c>
      <c r="F1496" s="10" t="s">
        <v>9</v>
      </c>
      <c r="G1496" t="s">
        <v>1137</v>
      </c>
      <c r="H1496" t="s">
        <v>64</v>
      </c>
      <c r="I1496" t="s">
        <v>1142</v>
      </c>
      <c r="K1496" s="2"/>
      <c r="M1496" s="2"/>
    </row>
    <row r="1497" spans="1:13">
      <c r="A1497" t="s">
        <v>28</v>
      </c>
      <c r="B1497">
        <f ca="1">IF(OR(changes[[#This Row],[Type]]="Checklist",changes[[#This Row],[Type]]="checklist-flat"),1+IF(changes[[#This Row],[Type of change]] = "Edit",COUNTIFS($I$4:changes[[#This Row],[Name]],changes[[#This Row],[Name]], $E$4:changes[[#This Row],[Type of change]], "Edit")),B1496)</f>
        <v>2</v>
      </c>
      <c r="C1497" s="16">
        <v>44684</v>
      </c>
      <c r="D1497" s="1" t="s">
        <v>2509</v>
      </c>
      <c r="E1497" t="s">
        <v>15</v>
      </c>
      <c r="F1497" s="10" t="s">
        <v>9</v>
      </c>
      <c r="G1497" t="s">
        <v>2830</v>
      </c>
      <c r="H1497" t="s">
        <v>54</v>
      </c>
      <c r="I1497" t="s">
        <v>2830</v>
      </c>
      <c r="K1497" s="2"/>
      <c r="M1497" s="2" t="s">
        <v>2831</v>
      </c>
    </row>
    <row r="1498" spans="1:13" ht="14.25">
      <c r="A1498" t="s">
        <v>28</v>
      </c>
      <c r="B1498">
        <f ca="1">IF(OR(changes[[#This Row],[Type]]="Checklist",changes[[#This Row],[Type]]="checklist-flat"),1+IF(changes[[#This Row],[Type of change]] = "Edit",COUNTIFS($I$4:changes[[#This Row],[Name]],changes[[#This Row],[Name]], $E$4:changes[[#This Row],[Type of change]], "Edit")),B1497)</f>
        <v>2</v>
      </c>
      <c r="C1498" s="16">
        <v>44684</v>
      </c>
      <c r="D1498" s="1" t="s">
        <v>2509</v>
      </c>
      <c r="E1498" t="s">
        <v>15</v>
      </c>
      <c r="F1498" s="10" t="s">
        <v>9</v>
      </c>
      <c r="G1498" t="s">
        <v>2830</v>
      </c>
      <c r="H1498" t="s">
        <v>55</v>
      </c>
      <c r="I1498" s="8" t="s">
        <v>1152</v>
      </c>
      <c r="K1498" s="2"/>
      <c r="M1498" s="2"/>
    </row>
    <row r="1499" spans="1:13" ht="14.25">
      <c r="A1499" t="s">
        <v>28</v>
      </c>
      <c r="B1499">
        <f ca="1">IF(OR(changes[[#This Row],[Type]]="Checklist",changes[[#This Row],[Type]]="checklist-flat"),1+IF(changes[[#This Row],[Type of change]] = "Edit",COUNTIFS($I$4:changes[[#This Row],[Name]],changes[[#This Row],[Name]], $E$4:changes[[#This Row],[Type of change]], "Edit")),B1498)</f>
        <v>2</v>
      </c>
      <c r="C1499" s="16">
        <v>44684</v>
      </c>
      <c r="D1499" s="1" t="s">
        <v>2509</v>
      </c>
      <c r="E1499" t="s">
        <v>15</v>
      </c>
      <c r="F1499" s="10" t="s">
        <v>9</v>
      </c>
      <c r="G1499" t="s">
        <v>2830</v>
      </c>
      <c r="H1499" t="s">
        <v>55</v>
      </c>
      <c r="I1499" s="41" t="s">
        <v>1153</v>
      </c>
      <c r="K1499" s="2"/>
      <c r="M1499" s="2"/>
    </row>
    <row r="1500" spans="1:13" ht="14.25">
      <c r="A1500" t="s">
        <v>28</v>
      </c>
      <c r="B1500">
        <f ca="1">IF(OR(changes[[#This Row],[Type]]="Checklist",changes[[#This Row],[Type]]="checklist-flat"),1+IF(changes[[#This Row],[Type of change]] = "Edit",COUNTIFS($I$4:changes[[#This Row],[Name]],changes[[#This Row],[Name]], $E$4:changes[[#This Row],[Type of change]], "Edit")),B1499)</f>
        <v>2</v>
      </c>
      <c r="C1500" s="16">
        <v>44684</v>
      </c>
      <c r="D1500" s="1" t="s">
        <v>2509</v>
      </c>
      <c r="E1500" t="s">
        <v>15</v>
      </c>
      <c r="F1500" s="10" t="s">
        <v>9</v>
      </c>
      <c r="G1500" t="s">
        <v>2830</v>
      </c>
      <c r="H1500" t="s">
        <v>55</v>
      </c>
      <c r="I1500" s="41" t="s">
        <v>1154</v>
      </c>
      <c r="K1500" s="2"/>
      <c r="M1500" s="2"/>
    </row>
    <row r="1501" spans="1:13" ht="14.25">
      <c r="A1501" t="s">
        <v>28</v>
      </c>
      <c r="B1501">
        <f ca="1">IF(OR(changes[[#This Row],[Type]]="Checklist",changes[[#This Row],[Type]]="checklist-flat"),1+IF(changes[[#This Row],[Type of change]] = "Edit",COUNTIFS($I$4:changes[[#This Row],[Name]],changes[[#This Row],[Name]], $E$4:changes[[#This Row],[Type of change]], "Edit")),B1500)</f>
        <v>2</v>
      </c>
      <c r="C1501" s="16">
        <v>44684</v>
      </c>
      <c r="D1501" s="1" t="s">
        <v>2509</v>
      </c>
      <c r="E1501" t="s">
        <v>15</v>
      </c>
      <c r="F1501" s="10" t="s">
        <v>9</v>
      </c>
      <c r="G1501" t="s">
        <v>2830</v>
      </c>
      <c r="H1501" t="s">
        <v>55</v>
      </c>
      <c r="I1501" s="41" t="s">
        <v>1155</v>
      </c>
      <c r="K1501" s="2"/>
      <c r="M1501" s="2"/>
    </row>
    <row r="1502" spans="1:13">
      <c r="A1502" t="s">
        <v>28</v>
      </c>
      <c r="B1502">
        <f ca="1">IF(OR(changes[[#This Row],[Type]]="Checklist",changes[[#This Row],[Type]]="checklist-flat"),1+IF(changes[[#This Row],[Type of change]] = "Edit",COUNTIFS($I$4:changes[[#This Row],[Name]],changes[[#This Row],[Name]], $E$4:changes[[#This Row],[Type of change]], "Edit")),B1501)</f>
        <v>2</v>
      </c>
      <c r="C1502" s="16">
        <v>44684</v>
      </c>
      <c r="D1502" s="1" t="s">
        <v>2509</v>
      </c>
      <c r="E1502" t="s">
        <v>15</v>
      </c>
      <c r="F1502" s="10" t="s">
        <v>9</v>
      </c>
      <c r="G1502" t="s">
        <v>2830</v>
      </c>
      <c r="H1502" t="s">
        <v>55</v>
      </c>
      <c r="I1502" t="s">
        <v>1156</v>
      </c>
      <c r="K1502" s="2"/>
      <c r="M1502" s="2"/>
    </row>
    <row r="1503" spans="1:13">
      <c r="A1503" t="s">
        <v>28</v>
      </c>
      <c r="B1503">
        <f ca="1">IF(OR(changes[[#This Row],[Type]]="Checklist",changes[[#This Row],[Type]]="checklist-flat"),1+IF(changes[[#This Row],[Type of change]] = "Edit",COUNTIFS($I$4:changes[[#This Row],[Name]],changes[[#This Row],[Name]], $E$4:changes[[#This Row],[Type of change]], "Edit")),B1502)</f>
        <v>1</v>
      </c>
      <c r="C1503" s="16">
        <v>44684</v>
      </c>
      <c r="D1503" s="1" t="s">
        <v>2810</v>
      </c>
      <c r="E1503" t="s">
        <v>27</v>
      </c>
      <c r="F1503" s="10" t="s">
        <v>9</v>
      </c>
      <c r="G1503" s="10" t="s">
        <v>1483</v>
      </c>
      <c r="H1503" t="s">
        <v>478</v>
      </c>
      <c r="I1503" t="s">
        <v>1483</v>
      </c>
      <c r="K1503" s="2"/>
      <c r="M1503" s="2"/>
    </row>
    <row r="1504" spans="1:13">
      <c r="A1504" t="s">
        <v>28</v>
      </c>
      <c r="B1504">
        <f ca="1">IF(OR(changes[[#This Row],[Type]]="Checklist",changes[[#This Row],[Type]]="checklist-flat"),1+IF(changes[[#This Row],[Type of change]] = "Edit",COUNTIFS($I$4:changes[[#This Row],[Name]],changes[[#This Row],[Name]], $E$4:changes[[#This Row],[Type of change]], "Edit")),B1503)</f>
        <v>1</v>
      </c>
      <c r="C1504" s="16">
        <v>44684</v>
      </c>
      <c r="D1504" s="1" t="s">
        <v>2810</v>
      </c>
      <c r="E1504" t="s">
        <v>27</v>
      </c>
      <c r="F1504" s="10" t="s">
        <v>9</v>
      </c>
      <c r="G1504" s="10" t="s">
        <v>1483</v>
      </c>
      <c r="H1504" t="s">
        <v>55</v>
      </c>
      <c r="I1504" t="s">
        <v>2832</v>
      </c>
      <c r="K1504" s="2"/>
      <c r="M1504" s="2"/>
    </row>
    <row r="1505" spans="1:13">
      <c r="A1505" t="s">
        <v>28</v>
      </c>
      <c r="B1505">
        <f ca="1">IF(OR(changes[[#This Row],[Type]]="Checklist",changes[[#This Row],[Type]]="checklist-flat"),1+IF(changes[[#This Row],[Type of change]] = "Edit",COUNTIFS($I$4:changes[[#This Row],[Name]],changes[[#This Row],[Name]], $E$4:changes[[#This Row],[Type of change]], "Edit")),B1504)</f>
        <v>1</v>
      </c>
      <c r="C1505" s="16">
        <v>44684</v>
      </c>
      <c r="D1505" s="1" t="s">
        <v>2810</v>
      </c>
      <c r="E1505" t="s">
        <v>27</v>
      </c>
      <c r="F1505" s="10" t="s">
        <v>9</v>
      </c>
      <c r="G1505" s="10" t="s">
        <v>1483</v>
      </c>
      <c r="H1505" t="s">
        <v>55</v>
      </c>
      <c r="I1505" t="s">
        <v>1485</v>
      </c>
      <c r="K1505" s="2"/>
      <c r="M1505" s="2"/>
    </row>
    <row r="1506" spans="1:13">
      <c r="A1506" t="s">
        <v>28</v>
      </c>
      <c r="B1506">
        <f ca="1">IF(OR(changes[[#This Row],[Type]]="Checklist",changes[[#This Row],[Type]]="checklist-flat"),1+IF(changes[[#This Row],[Type of change]] = "Edit",COUNTIFS($I$4:changes[[#This Row],[Name]],changes[[#This Row],[Name]], $E$4:changes[[#This Row],[Type of change]], "Edit")),B1505)</f>
        <v>1</v>
      </c>
      <c r="C1506" s="16">
        <v>44684</v>
      </c>
      <c r="D1506" s="1" t="s">
        <v>2810</v>
      </c>
      <c r="E1506" t="s">
        <v>27</v>
      </c>
      <c r="F1506" s="10" t="s">
        <v>9</v>
      </c>
      <c r="G1506" s="10" t="s">
        <v>1483</v>
      </c>
      <c r="H1506" t="s">
        <v>55</v>
      </c>
      <c r="I1506" t="s">
        <v>1486</v>
      </c>
      <c r="K1506" s="2"/>
      <c r="M1506" s="2"/>
    </row>
    <row r="1507" spans="1:13">
      <c r="A1507" t="s">
        <v>28</v>
      </c>
      <c r="B1507">
        <f ca="1">IF(OR(changes[[#This Row],[Type]]="Checklist",changes[[#This Row],[Type]]="checklist-flat"),1+IF(changes[[#This Row],[Type of change]] = "Edit",COUNTIFS($I$4:changes[[#This Row],[Name]],changes[[#This Row],[Name]], $E$4:changes[[#This Row],[Type of change]], "Edit")),B1506)</f>
        <v>1</v>
      </c>
      <c r="C1507" s="16">
        <v>44684</v>
      </c>
      <c r="D1507" s="1" t="s">
        <v>2810</v>
      </c>
      <c r="E1507" t="s">
        <v>27</v>
      </c>
      <c r="F1507" s="10" t="s">
        <v>9</v>
      </c>
      <c r="G1507" s="10" t="s">
        <v>1483</v>
      </c>
      <c r="H1507" t="s">
        <v>55</v>
      </c>
      <c r="I1507" t="s">
        <v>1487</v>
      </c>
      <c r="K1507" s="2"/>
      <c r="M1507" s="2"/>
    </row>
    <row r="1508" spans="1:13">
      <c r="A1508" t="s">
        <v>28</v>
      </c>
      <c r="B1508">
        <f ca="1">IF(OR(changes[[#This Row],[Type]]="Checklist",changes[[#This Row],[Type]]="checklist-flat"),1+IF(changes[[#This Row],[Type of change]] = "Edit",COUNTIFS($I$4:changes[[#This Row],[Name]],changes[[#This Row],[Name]], $E$4:changes[[#This Row],[Type of change]], "Edit")),B1507)</f>
        <v>1</v>
      </c>
      <c r="C1508" s="16">
        <v>44684</v>
      </c>
      <c r="D1508" s="1" t="s">
        <v>2810</v>
      </c>
      <c r="E1508" t="s">
        <v>27</v>
      </c>
      <c r="F1508" s="10" t="s">
        <v>9</v>
      </c>
      <c r="G1508" s="10" t="s">
        <v>1483</v>
      </c>
      <c r="H1508" t="s">
        <v>55</v>
      </c>
      <c r="I1508" t="s">
        <v>1488</v>
      </c>
      <c r="K1508" s="2"/>
      <c r="M1508" s="2"/>
    </row>
    <row r="1509" spans="1:13">
      <c r="A1509" t="s">
        <v>28</v>
      </c>
      <c r="B1509">
        <f ca="1">IF(OR(changes[[#This Row],[Type]]="Checklist",changes[[#This Row],[Type]]="checklist-flat"),1+IF(changes[[#This Row],[Type of change]] = "Edit",COUNTIFS($I$4:changes[[#This Row],[Name]],changes[[#This Row],[Name]], $E$4:changes[[#This Row],[Type of change]], "Edit")),B1508)</f>
        <v>1</v>
      </c>
      <c r="C1509" s="16">
        <v>44684</v>
      </c>
      <c r="D1509" s="1" t="s">
        <v>2810</v>
      </c>
      <c r="E1509" t="s">
        <v>27</v>
      </c>
      <c r="F1509" s="10" t="s">
        <v>9</v>
      </c>
      <c r="G1509" s="10" t="s">
        <v>1483</v>
      </c>
      <c r="H1509" t="s">
        <v>55</v>
      </c>
      <c r="I1509" t="s">
        <v>1489</v>
      </c>
      <c r="K1509" s="2"/>
      <c r="M1509" s="2"/>
    </row>
    <row r="1510" spans="1:13">
      <c r="A1510" t="s">
        <v>28</v>
      </c>
      <c r="B1510">
        <f ca="1">IF(OR(changes[[#This Row],[Type]]="Checklist",changes[[#This Row],[Type]]="checklist-flat"),1+IF(changes[[#This Row],[Type of change]] = "Edit",COUNTIFS($I$4:changes[[#This Row],[Name]],changes[[#This Row],[Name]], $E$4:changes[[#This Row],[Type of change]], "Edit")),B1509)</f>
        <v>1</v>
      </c>
      <c r="C1510" s="16">
        <v>44684</v>
      </c>
      <c r="D1510" s="1" t="s">
        <v>2810</v>
      </c>
      <c r="E1510" t="s">
        <v>27</v>
      </c>
      <c r="F1510" s="10" t="s">
        <v>9</v>
      </c>
      <c r="G1510" s="10" t="s">
        <v>1483</v>
      </c>
      <c r="H1510" t="s">
        <v>55</v>
      </c>
      <c r="I1510" t="s">
        <v>1490</v>
      </c>
      <c r="K1510" s="2"/>
      <c r="M1510" s="2"/>
    </row>
    <row r="1511" spans="1:13">
      <c r="A1511" t="s">
        <v>28</v>
      </c>
      <c r="B1511">
        <f ca="1">IF(OR(changes[[#This Row],[Type]]="Checklist",changes[[#This Row],[Type]]="checklist-flat"),1+IF(changes[[#This Row],[Type of change]] = "Edit",COUNTIFS($I$4:changes[[#This Row],[Name]],changes[[#This Row],[Name]], $E$4:changes[[#This Row],[Type of change]], "Edit")),B1510)</f>
        <v>1</v>
      </c>
      <c r="C1511" s="16">
        <v>44684</v>
      </c>
      <c r="D1511" s="1" t="s">
        <v>2810</v>
      </c>
      <c r="E1511" t="s">
        <v>27</v>
      </c>
      <c r="F1511" s="10" t="s">
        <v>9</v>
      </c>
      <c r="G1511" s="10" t="s">
        <v>1483</v>
      </c>
      <c r="H1511" t="s">
        <v>55</v>
      </c>
      <c r="I1511" t="s">
        <v>1491</v>
      </c>
      <c r="K1511" s="2"/>
      <c r="M1511" s="2"/>
    </row>
    <row r="1512" spans="1:13">
      <c r="A1512" t="s">
        <v>28</v>
      </c>
      <c r="B1512">
        <f ca="1">IF(OR(changes[[#This Row],[Type]]="Checklist",changes[[#This Row],[Type]]="checklist-flat"),1+IF(changes[[#This Row],[Type of change]] = "Edit",COUNTIFS($I$4:changes[[#This Row],[Name]],changes[[#This Row],[Name]], $E$4:changes[[#This Row],[Type of change]], "Edit")),B1511)</f>
        <v>1</v>
      </c>
      <c r="C1512" s="16">
        <v>44684</v>
      </c>
      <c r="D1512" s="1" t="s">
        <v>2810</v>
      </c>
      <c r="E1512" t="s">
        <v>27</v>
      </c>
      <c r="F1512" s="10" t="s">
        <v>9</v>
      </c>
      <c r="G1512" s="10" t="s">
        <v>1483</v>
      </c>
      <c r="H1512" t="s">
        <v>55</v>
      </c>
      <c r="I1512" t="s">
        <v>1492</v>
      </c>
      <c r="K1512" s="2"/>
      <c r="M1512" s="2"/>
    </row>
    <row r="1513" spans="1:13">
      <c r="A1513" t="s">
        <v>28</v>
      </c>
      <c r="B1513">
        <f ca="1">IF(OR(changes[[#This Row],[Type]]="Checklist",changes[[#This Row],[Type]]="checklist-flat"),1+IF(changes[[#This Row],[Type of change]] = "Edit",COUNTIFS($I$4:changes[[#This Row],[Name]],changes[[#This Row],[Name]], $E$4:changes[[#This Row],[Type of change]], "Edit")),B1512)</f>
        <v>1</v>
      </c>
      <c r="C1513" s="16">
        <v>44684</v>
      </c>
      <c r="D1513" s="1" t="s">
        <v>2833</v>
      </c>
      <c r="E1513" t="s">
        <v>27</v>
      </c>
      <c r="F1513" s="10" t="s">
        <v>52</v>
      </c>
      <c r="G1513" t="s">
        <v>2834</v>
      </c>
      <c r="H1513" t="s">
        <v>478</v>
      </c>
      <c r="I1513" t="s">
        <v>2834</v>
      </c>
      <c r="K1513" s="2"/>
      <c r="M1513" s="2" t="s">
        <v>2835</v>
      </c>
    </row>
    <row r="1514" spans="1:13">
      <c r="A1514" t="s">
        <v>28</v>
      </c>
      <c r="B1514">
        <f ca="1">IF(OR(changes[[#This Row],[Type]]="Checklist",changes[[#This Row],[Type]]="checklist-flat"),1+IF(changes[[#This Row],[Type of change]] = "Edit",COUNTIFS($I$4:changes[[#This Row],[Name]],changes[[#This Row],[Name]], $E$4:changes[[#This Row],[Type of change]], "Edit")),B1513)</f>
        <v>1</v>
      </c>
      <c r="C1514" s="16">
        <v>44684</v>
      </c>
      <c r="D1514" s="1" t="s">
        <v>2833</v>
      </c>
      <c r="E1514" t="s">
        <v>27</v>
      </c>
      <c r="F1514" s="10" t="s">
        <v>52</v>
      </c>
      <c r="G1514" t="s">
        <v>2834</v>
      </c>
      <c r="H1514" t="s">
        <v>479</v>
      </c>
      <c r="I1514" t="s">
        <v>1716</v>
      </c>
      <c r="K1514" s="2"/>
      <c r="M1514" s="2"/>
    </row>
    <row r="1515" spans="1:13">
      <c r="A1515" t="s">
        <v>28</v>
      </c>
      <c r="B1515">
        <f ca="1">IF(OR(changes[[#This Row],[Type]]="Checklist",changes[[#This Row],[Type]]="checklist-flat"),1+IF(changes[[#This Row],[Type of change]] = "Edit",COUNTIFS($I$4:changes[[#This Row],[Name]],changes[[#This Row],[Name]], $E$4:changes[[#This Row],[Type of change]], "Edit")),B1514)</f>
        <v>1</v>
      </c>
      <c r="C1515" s="16">
        <v>44684</v>
      </c>
      <c r="D1515" s="1" t="s">
        <v>2833</v>
      </c>
      <c r="E1515" t="s">
        <v>27</v>
      </c>
      <c r="F1515" s="10" t="s">
        <v>52</v>
      </c>
      <c r="G1515" t="s">
        <v>2834</v>
      </c>
      <c r="H1515" t="s">
        <v>55</v>
      </c>
      <c r="I1515" t="s">
        <v>1717</v>
      </c>
      <c r="K1515" s="2"/>
      <c r="M1515" s="2"/>
    </row>
    <row r="1516" spans="1:13">
      <c r="A1516" t="s">
        <v>28</v>
      </c>
      <c r="B1516">
        <f ca="1">IF(OR(changes[[#This Row],[Type]]="Checklist",changes[[#This Row],[Type]]="checklist-flat"),1+IF(changes[[#This Row],[Type of change]] = "Edit",COUNTIFS($I$4:changes[[#This Row],[Name]],changes[[#This Row],[Name]], $E$4:changes[[#This Row],[Type of change]], "Edit")),B1515)</f>
        <v>1</v>
      </c>
      <c r="C1516" s="16">
        <v>44684</v>
      </c>
      <c r="D1516" s="1" t="s">
        <v>2833</v>
      </c>
      <c r="E1516" t="s">
        <v>27</v>
      </c>
      <c r="F1516" s="10" t="s">
        <v>52</v>
      </c>
      <c r="G1516" t="s">
        <v>2834</v>
      </c>
      <c r="H1516" t="s">
        <v>214</v>
      </c>
      <c r="I1516" t="s">
        <v>1613</v>
      </c>
      <c r="K1516" s="2"/>
      <c r="M1516" s="2"/>
    </row>
    <row r="1517" spans="1:13">
      <c r="A1517" t="s">
        <v>28</v>
      </c>
      <c r="B1517">
        <f ca="1">IF(OR(changes[[#This Row],[Type]]="Checklist",changes[[#This Row],[Type]]="checklist-flat"),1+IF(changes[[#This Row],[Type of change]] = "Edit",COUNTIFS($I$4:changes[[#This Row],[Name]],changes[[#This Row],[Name]], $E$4:changes[[#This Row],[Type of change]], "Edit")),B1516)</f>
        <v>1</v>
      </c>
      <c r="C1517" s="16">
        <v>44684</v>
      </c>
      <c r="D1517" s="1" t="s">
        <v>2833</v>
      </c>
      <c r="E1517" t="s">
        <v>27</v>
      </c>
      <c r="F1517" s="10" t="s">
        <v>52</v>
      </c>
      <c r="G1517" t="s">
        <v>2834</v>
      </c>
      <c r="H1517" t="s">
        <v>214</v>
      </c>
      <c r="I1517" t="s">
        <v>1614</v>
      </c>
      <c r="K1517" s="2"/>
      <c r="M1517" s="2"/>
    </row>
    <row r="1518" spans="1:13">
      <c r="A1518" t="s">
        <v>28</v>
      </c>
      <c r="B1518">
        <f ca="1">IF(OR(changes[[#This Row],[Type]]="Checklist",changes[[#This Row],[Type]]="checklist-flat"),1+IF(changes[[#This Row],[Type of change]] = "Edit",COUNTIFS($I$4:changes[[#This Row],[Name]],changes[[#This Row],[Name]], $E$4:changes[[#This Row],[Type of change]], "Edit")),B1517)</f>
        <v>1</v>
      </c>
      <c r="C1518" s="16">
        <v>44684</v>
      </c>
      <c r="D1518" s="1" t="s">
        <v>2833</v>
      </c>
      <c r="E1518" t="s">
        <v>27</v>
      </c>
      <c r="F1518" s="10" t="s">
        <v>52</v>
      </c>
      <c r="G1518" t="s">
        <v>2834</v>
      </c>
      <c r="H1518" t="s">
        <v>55</v>
      </c>
      <c r="I1518" t="s">
        <v>1718</v>
      </c>
      <c r="K1518" s="2"/>
      <c r="M1518" s="2"/>
    </row>
    <row r="1519" spans="1:13">
      <c r="A1519" t="s">
        <v>28</v>
      </c>
      <c r="B1519">
        <f ca="1">IF(OR(changes[[#This Row],[Type]]="Checklist",changes[[#This Row],[Type]]="checklist-flat"),1+IF(changes[[#This Row],[Type of change]] = "Edit",COUNTIFS($I$4:changes[[#This Row],[Name]],changes[[#This Row],[Name]], $E$4:changes[[#This Row],[Type of change]], "Edit")),B1518)</f>
        <v>1</v>
      </c>
      <c r="C1519" s="16">
        <v>44684</v>
      </c>
      <c r="D1519" s="1" t="s">
        <v>2833</v>
      </c>
      <c r="E1519" t="s">
        <v>27</v>
      </c>
      <c r="F1519" s="10" t="s">
        <v>52</v>
      </c>
      <c r="G1519" t="s">
        <v>2834</v>
      </c>
      <c r="H1519" t="s">
        <v>479</v>
      </c>
      <c r="I1519" t="s">
        <v>1719</v>
      </c>
      <c r="K1519" s="2"/>
      <c r="M1519" s="2"/>
    </row>
    <row r="1520" spans="1:13">
      <c r="A1520" t="s">
        <v>28</v>
      </c>
      <c r="B1520">
        <f ca="1">IF(OR(changes[[#This Row],[Type]]="Checklist",changes[[#This Row],[Type]]="checklist-flat"),1+IF(changes[[#This Row],[Type of change]] = "Edit",COUNTIFS($I$4:changes[[#This Row],[Name]],changes[[#This Row],[Name]], $E$4:changes[[#This Row],[Type of change]], "Edit")),B1519)</f>
        <v>1</v>
      </c>
      <c r="C1520" s="16">
        <v>44684</v>
      </c>
      <c r="D1520" s="1" t="s">
        <v>2833</v>
      </c>
      <c r="E1520" t="s">
        <v>27</v>
      </c>
      <c r="F1520" s="10" t="s">
        <v>52</v>
      </c>
      <c r="G1520" t="s">
        <v>2834</v>
      </c>
      <c r="H1520" t="s">
        <v>55</v>
      </c>
      <c r="I1520" t="s">
        <v>1720</v>
      </c>
      <c r="K1520" s="2"/>
      <c r="M1520" s="2"/>
    </row>
    <row r="1521" spans="1:13">
      <c r="A1521" t="s">
        <v>28</v>
      </c>
      <c r="B1521">
        <f ca="1">IF(OR(changes[[#This Row],[Type]]="Checklist",changes[[#This Row],[Type]]="checklist-flat"),1+IF(changes[[#This Row],[Type of change]] = "Edit",COUNTIFS($I$4:changes[[#This Row],[Name]],changes[[#This Row],[Name]], $E$4:changes[[#This Row],[Type of change]], "Edit")),B1520)</f>
        <v>1</v>
      </c>
      <c r="C1521" s="16">
        <v>44684</v>
      </c>
      <c r="D1521" s="1" t="s">
        <v>2833</v>
      </c>
      <c r="E1521" t="s">
        <v>27</v>
      </c>
      <c r="F1521" s="10" t="s">
        <v>52</v>
      </c>
      <c r="G1521" t="s">
        <v>2834</v>
      </c>
      <c r="H1521" t="s">
        <v>55</v>
      </c>
      <c r="I1521" t="s">
        <v>474</v>
      </c>
      <c r="K1521" s="2"/>
      <c r="M1521" s="2"/>
    </row>
    <row r="1522" spans="1:13">
      <c r="A1522" t="s">
        <v>28</v>
      </c>
      <c r="B1522">
        <f ca="1">IF(OR(changes[[#This Row],[Type]]="Checklist",changes[[#This Row],[Type]]="checklist-flat"),1+IF(changes[[#This Row],[Type of change]] = "Edit",COUNTIFS($I$4:changes[[#This Row],[Name]],changes[[#This Row],[Name]], $E$4:changes[[#This Row],[Type of change]], "Edit")),B1521)</f>
        <v>1</v>
      </c>
      <c r="C1522" s="16">
        <v>44684</v>
      </c>
      <c r="D1522" s="1" t="s">
        <v>2833</v>
      </c>
      <c r="E1522" t="s">
        <v>27</v>
      </c>
      <c r="F1522" s="10" t="s">
        <v>52</v>
      </c>
      <c r="G1522" t="s">
        <v>2834</v>
      </c>
      <c r="H1522" t="s">
        <v>55</v>
      </c>
      <c r="I1522" t="s">
        <v>2456</v>
      </c>
      <c r="K1522" s="2"/>
      <c r="M1522" s="2"/>
    </row>
    <row r="1523" spans="1:13">
      <c r="A1523" t="s">
        <v>28</v>
      </c>
      <c r="B1523">
        <f ca="1">IF(OR(changes[[#This Row],[Type]]="Checklist",changes[[#This Row],[Type]]="checklist-flat"),1+IF(changes[[#This Row],[Type of change]] = "Edit",COUNTIFS($I$4:changes[[#This Row],[Name]],changes[[#This Row],[Name]], $E$4:changes[[#This Row],[Type of change]], "Edit")),B1522)</f>
        <v>1</v>
      </c>
      <c r="C1523" s="16">
        <v>44684</v>
      </c>
      <c r="D1523" s="1" t="s">
        <v>2833</v>
      </c>
      <c r="E1523" t="s">
        <v>27</v>
      </c>
      <c r="F1523" s="10" t="s">
        <v>52</v>
      </c>
      <c r="G1523" t="s">
        <v>2834</v>
      </c>
      <c r="H1523" t="s">
        <v>55</v>
      </c>
      <c r="I1523" t="s">
        <v>476</v>
      </c>
      <c r="K1523" s="2"/>
      <c r="M1523" s="2"/>
    </row>
    <row r="1524" spans="1:13">
      <c r="A1524" t="s">
        <v>28</v>
      </c>
      <c r="B1524">
        <f ca="1">IF(OR(changes[[#This Row],[Type]]="Checklist",changes[[#This Row],[Type]]="checklist-flat"),1+IF(changes[[#This Row],[Type of change]] = "Edit",COUNTIFS($I$4:changes[[#This Row],[Name]],changes[[#This Row],[Name]], $E$4:changes[[#This Row],[Type of change]], "Edit")),B1523)</f>
        <v>1</v>
      </c>
      <c r="C1524" s="16">
        <v>44684</v>
      </c>
      <c r="D1524" s="1" t="s">
        <v>2833</v>
      </c>
      <c r="E1524" t="s">
        <v>27</v>
      </c>
      <c r="F1524" s="10" t="s">
        <v>52</v>
      </c>
      <c r="G1524" t="s">
        <v>2834</v>
      </c>
      <c r="H1524" t="s">
        <v>479</v>
      </c>
      <c r="I1524" t="s">
        <v>1721</v>
      </c>
      <c r="K1524" s="2"/>
      <c r="M1524" s="2"/>
    </row>
    <row r="1525" spans="1:13">
      <c r="A1525" t="s">
        <v>28</v>
      </c>
      <c r="B1525">
        <f ca="1">IF(OR(changes[[#This Row],[Type]]="Checklist",changes[[#This Row],[Type]]="checklist-flat"),1+IF(changes[[#This Row],[Type of change]] = "Edit",COUNTIFS($I$4:changes[[#This Row],[Name]],changes[[#This Row],[Name]], $E$4:changes[[#This Row],[Type of change]], "Edit")),B1524)</f>
        <v>1</v>
      </c>
      <c r="C1525" s="16">
        <v>44684</v>
      </c>
      <c r="D1525" s="1" t="s">
        <v>2833</v>
      </c>
      <c r="E1525" t="s">
        <v>27</v>
      </c>
      <c r="F1525" s="10" t="s">
        <v>52</v>
      </c>
      <c r="G1525" t="s">
        <v>2834</v>
      </c>
      <c r="H1525" t="s">
        <v>55</v>
      </c>
      <c r="I1525" t="s">
        <v>1722</v>
      </c>
      <c r="K1525" s="2"/>
      <c r="M1525" s="2"/>
    </row>
    <row r="1526" spans="1:13">
      <c r="A1526" t="s">
        <v>28</v>
      </c>
      <c r="B1526">
        <f ca="1">IF(OR(changes[[#This Row],[Type]]="Checklist",changes[[#This Row],[Type]]="checklist-flat"),1+IF(changes[[#This Row],[Type of change]] = "Edit",COUNTIFS($I$4:changes[[#This Row],[Name]],changes[[#This Row],[Name]], $E$4:changes[[#This Row],[Type of change]], "Edit")),B1525)</f>
        <v>1</v>
      </c>
      <c r="C1526" s="16">
        <v>44684</v>
      </c>
      <c r="D1526" s="1" t="s">
        <v>2833</v>
      </c>
      <c r="E1526" t="s">
        <v>27</v>
      </c>
      <c r="F1526" s="10" t="s">
        <v>52</v>
      </c>
      <c r="G1526" t="s">
        <v>2834</v>
      </c>
      <c r="H1526" t="s">
        <v>55</v>
      </c>
      <c r="I1526" t="s">
        <v>1723</v>
      </c>
      <c r="K1526" s="2"/>
      <c r="M1526" s="2"/>
    </row>
    <row r="1527" spans="1:13">
      <c r="A1527" t="s">
        <v>28</v>
      </c>
      <c r="B1527">
        <f ca="1">IF(OR(changes[[#This Row],[Type]]="Checklist",changes[[#This Row],[Type]]="checklist-flat"),1+IF(changes[[#This Row],[Type of change]] = "Edit",COUNTIFS($I$4:changes[[#This Row],[Name]],changes[[#This Row],[Name]], $E$4:changes[[#This Row],[Type of change]], "Edit")),B1526)</f>
        <v>1</v>
      </c>
      <c r="C1527" s="16">
        <v>44684</v>
      </c>
      <c r="D1527" s="1" t="s">
        <v>2833</v>
      </c>
      <c r="E1527" t="s">
        <v>27</v>
      </c>
      <c r="F1527" s="10" t="s">
        <v>52</v>
      </c>
      <c r="G1527" t="s">
        <v>2834</v>
      </c>
      <c r="H1527" t="s">
        <v>55</v>
      </c>
      <c r="I1527" t="s">
        <v>1724</v>
      </c>
      <c r="K1527" s="2"/>
      <c r="M1527" s="2"/>
    </row>
    <row r="1528" spans="1:13">
      <c r="A1528" t="s">
        <v>28</v>
      </c>
      <c r="B1528">
        <f ca="1">IF(OR(changes[[#This Row],[Type]]="Checklist",changes[[#This Row],[Type]]="checklist-flat"),1+IF(changes[[#This Row],[Type of change]] = "Edit",COUNTIFS($I$4:changes[[#This Row],[Name]],changes[[#This Row],[Name]], $E$4:changes[[#This Row],[Type of change]], "Edit")),B1527)</f>
        <v>1</v>
      </c>
      <c r="C1528" s="16">
        <v>44684</v>
      </c>
      <c r="D1528" s="1" t="s">
        <v>2833</v>
      </c>
      <c r="E1528" t="s">
        <v>27</v>
      </c>
      <c r="F1528" s="10" t="s">
        <v>52</v>
      </c>
      <c r="G1528" t="s">
        <v>2834</v>
      </c>
      <c r="H1528" t="s">
        <v>55</v>
      </c>
      <c r="I1528" t="s">
        <v>1725</v>
      </c>
      <c r="K1528" s="2"/>
      <c r="M1528" s="2"/>
    </row>
    <row r="1529" spans="1:13">
      <c r="A1529" t="s">
        <v>28</v>
      </c>
      <c r="B1529">
        <f ca="1">IF(OR(changes[[#This Row],[Type]]="Checklist",changes[[#This Row],[Type]]="checklist-flat"),1+IF(changes[[#This Row],[Type of change]] = "Edit",COUNTIFS($I$4:changes[[#This Row],[Name]],changes[[#This Row],[Name]], $E$4:changes[[#This Row],[Type of change]], "Edit")),B1528)</f>
        <v>1</v>
      </c>
      <c r="C1529" s="16">
        <v>44684</v>
      </c>
      <c r="D1529" s="1" t="s">
        <v>2833</v>
      </c>
      <c r="E1529" t="s">
        <v>27</v>
      </c>
      <c r="F1529" s="10" t="s">
        <v>52</v>
      </c>
      <c r="G1529" t="s">
        <v>2834</v>
      </c>
      <c r="H1529" t="s">
        <v>55</v>
      </c>
      <c r="I1529" t="s">
        <v>1726</v>
      </c>
      <c r="K1529" s="2"/>
      <c r="M1529" s="2"/>
    </row>
    <row r="1530" spans="1:13">
      <c r="A1530" t="s">
        <v>28</v>
      </c>
      <c r="B1530">
        <f ca="1">IF(OR(changes[[#This Row],[Type]]="Checklist",changes[[#This Row],[Type]]="checklist-flat"),1+IF(changes[[#This Row],[Type of change]] = "Edit",COUNTIFS($I$4:changes[[#This Row],[Name]],changes[[#This Row],[Name]], $E$4:changes[[#This Row],[Type of change]], "Edit")),B1529)</f>
        <v>1</v>
      </c>
      <c r="C1530" s="16">
        <v>44684</v>
      </c>
      <c r="D1530" s="1" t="s">
        <v>2833</v>
      </c>
      <c r="E1530" t="s">
        <v>27</v>
      </c>
      <c r="F1530" s="10" t="s">
        <v>52</v>
      </c>
      <c r="G1530" t="s">
        <v>2834</v>
      </c>
      <c r="H1530" t="s">
        <v>99</v>
      </c>
      <c r="I1530" t="s">
        <v>1727</v>
      </c>
      <c r="K1530" s="2"/>
      <c r="M1530" s="2"/>
    </row>
    <row r="1531" spans="1:13">
      <c r="A1531" t="s">
        <v>28</v>
      </c>
      <c r="B1531">
        <f ca="1">IF(OR(changes[[#This Row],[Type]]="Checklist",changes[[#This Row],[Type]]="checklist-flat"),1+IF(changes[[#This Row],[Type of change]] = "Edit",COUNTIFS($I$4:changes[[#This Row],[Name]],changes[[#This Row],[Name]], $E$4:changes[[#This Row],[Type of change]], "Edit")),B1530)</f>
        <v>1</v>
      </c>
      <c r="C1531" s="16">
        <v>44684</v>
      </c>
      <c r="D1531" s="1" t="s">
        <v>2833</v>
      </c>
      <c r="E1531" t="s">
        <v>27</v>
      </c>
      <c r="F1531" s="10" t="s">
        <v>52</v>
      </c>
      <c r="G1531" t="s">
        <v>2834</v>
      </c>
      <c r="H1531" t="s">
        <v>99</v>
      </c>
      <c r="I1531" t="s">
        <v>1728</v>
      </c>
      <c r="K1531" s="2"/>
      <c r="M1531" s="2"/>
    </row>
    <row r="1532" spans="1:13">
      <c r="A1532" t="s">
        <v>28</v>
      </c>
      <c r="B1532">
        <f ca="1">IF(OR(changes[[#This Row],[Type]]="Checklist",changes[[#This Row],[Type]]="checklist-flat"),1+IF(changes[[#This Row],[Type of change]] = "Edit",COUNTIFS($I$4:changes[[#This Row],[Name]],changes[[#This Row],[Name]], $E$4:changes[[#This Row],[Type of change]], "Edit")),B1531)</f>
        <v>1</v>
      </c>
      <c r="C1532" s="16">
        <v>44684</v>
      </c>
      <c r="D1532" s="1" t="s">
        <v>2833</v>
      </c>
      <c r="E1532" t="s">
        <v>27</v>
      </c>
      <c r="F1532" s="10" t="s">
        <v>52</v>
      </c>
      <c r="G1532" t="s">
        <v>2834</v>
      </c>
      <c r="H1532" t="s">
        <v>55</v>
      </c>
      <c r="I1532" t="s">
        <v>1729</v>
      </c>
      <c r="K1532" s="2"/>
      <c r="M1532" s="2"/>
    </row>
    <row r="1533" spans="1:13">
      <c r="A1533" t="s">
        <v>28</v>
      </c>
      <c r="B1533">
        <f ca="1">IF(OR(changes[[#This Row],[Type]]="Checklist",changes[[#This Row],[Type]]="checklist-flat"),1+IF(changes[[#This Row],[Type of change]] = "Edit",COUNTIFS($I$4:changes[[#This Row],[Name]],changes[[#This Row],[Name]], $E$4:changes[[#This Row],[Type of change]], "Edit")),B1532)</f>
        <v>1</v>
      </c>
      <c r="C1533" s="16">
        <v>44684</v>
      </c>
      <c r="D1533" s="1" t="s">
        <v>2833</v>
      </c>
      <c r="E1533" t="s">
        <v>27</v>
      </c>
      <c r="F1533" s="10" t="s">
        <v>52</v>
      </c>
      <c r="G1533" t="s">
        <v>2834</v>
      </c>
      <c r="H1533" t="s">
        <v>55</v>
      </c>
      <c r="I1533" t="s">
        <v>1730</v>
      </c>
      <c r="K1533" s="2"/>
      <c r="M1533" s="2"/>
    </row>
    <row r="1534" spans="1:13">
      <c r="A1534" t="s">
        <v>28</v>
      </c>
      <c r="B1534">
        <f ca="1">IF(OR(changes[[#This Row],[Type]]="Checklist",changes[[#This Row],[Type]]="checklist-flat"),1+IF(changes[[#This Row],[Type of change]] = "Edit",COUNTIFS($I$4:changes[[#This Row],[Name]],changes[[#This Row],[Name]], $E$4:changes[[#This Row],[Type of change]], "Edit")),B1533)</f>
        <v>1</v>
      </c>
      <c r="C1534" s="16">
        <v>44684</v>
      </c>
      <c r="D1534" s="1" t="s">
        <v>2833</v>
      </c>
      <c r="E1534" t="s">
        <v>27</v>
      </c>
      <c r="F1534" s="10" t="s">
        <v>52</v>
      </c>
      <c r="G1534" t="s">
        <v>2834</v>
      </c>
      <c r="H1534" t="s">
        <v>55</v>
      </c>
      <c r="I1534" t="s">
        <v>1731</v>
      </c>
      <c r="K1534" s="2"/>
      <c r="M1534" s="2"/>
    </row>
    <row r="1535" spans="1:13">
      <c r="A1535" t="s">
        <v>28</v>
      </c>
      <c r="B1535">
        <f ca="1">IF(OR(changes[[#This Row],[Type]]="Checklist",changes[[#This Row],[Type]]="checklist-flat"),1+IF(changes[[#This Row],[Type of change]] = "Edit",COUNTIFS($I$4:changes[[#This Row],[Name]],changes[[#This Row],[Name]], $E$4:changes[[#This Row],[Type of change]], "Edit")),B1534)</f>
        <v>1</v>
      </c>
      <c r="C1535" s="16">
        <v>44684</v>
      </c>
      <c r="D1535" s="1" t="s">
        <v>2833</v>
      </c>
      <c r="E1535" t="s">
        <v>27</v>
      </c>
      <c r="F1535" s="10" t="s">
        <v>52</v>
      </c>
      <c r="G1535" t="s">
        <v>2834</v>
      </c>
      <c r="H1535" t="s">
        <v>55</v>
      </c>
      <c r="I1535" t="s">
        <v>1732</v>
      </c>
      <c r="K1535" s="2"/>
      <c r="M1535" s="2"/>
    </row>
    <row r="1536" spans="1:13">
      <c r="A1536" t="s">
        <v>28</v>
      </c>
      <c r="B1536">
        <f ca="1">IF(OR(changes[[#This Row],[Type]]="Checklist",changes[[#This Row],[Type]]="checklist-flat"),1+IF(changes[[#This Row],[Type of change]] = "Edit",COUNTIFS($I$4:changes[[#This Row],[Name]],changes[[#This Row],[Name]], $E$4:changes[[#This Row],[Type of change]], "Edit")),B1535)</f>
        <v>1</v>
      </c>
      <c r="C1536" s="16">
        <v>44684</v>
      </c>
      <c r="D1536" s="1" t="s">
        <v>2833</v>
      </c>
      <c r="E1536" t="s">
        <v>27</v>
      </c>
      <c r="F1536" s="10" t="s">
        <v>52</v>
      </c>
      <c r="G1536" t="s">
        <v>2834</v>
      </c>
      <c r="H1536" t="s">
        <v>55</v>
      </c>
      <c r="I1536" t="s">
        <v>1583</v>
      </c>
      <c r="K1536" s="2"/>
      <c r="M1536" s="2"/>
    </row>
    <row r="1537" spans="1:13">
      <c r="A1537" t="s">
        <v>28</v>
      </c>
      <c r="B1537">
        <f ca="1">IF(OR(changes[[#This Row],[Type]]="Checklist",changes[[#This Row],[Type]]="checklist-flat"),1+IF(changes[[#This Row],[Type of change]] = "Edit",COUNTIFS($I$4:changes[[#This Row],[Name]],changes[[#This Row],[Name]], $E$4:changes[[#This Row],[Type of change]], "Edit")),B1536)</f>
        <v>1</v>
      </c>
      <c r="C1537" s="16">
        <v>44684</v>
      </c>
      <c r="D1537" s="1" t="s">
        <v>2833</v>
      </c>
      <c r="E1537" t="s">
        <v>27</v>
      </c>
      <c r="F1537" s="10" t="s">
        <v>52</v>
      </c>
      <c r="G1537" t="s">
        <v>2834</v>
      </c>
      <c r="H1537" t="s">
        <v>55</v>
      </c>
      <c r="I1537" t="s">
        <v>1733</v>
      </c>
      <c r="K1537" s="2"/>
      <c r="M1537" s="2"/>
    </row>
    <row r="1538" spans="1:13">
      <c r="A1538" t="s">
        <v>28</v>
      </c>
      <c r="B1538">
        <f ca="1">IF(OR(changes[[#This Row],[Type]]="Checklist",changes[[#This Row],[Type]]="checklist-flat"),1+IF(changes[[#This Row],[Type of change]] = "Edit",COUNTIFS($I$4:changes[[#This Row],[Name]],changes[[#This Row],[Name]], $E$4:changes[[#This Row],[Type of change]], "Edit")),B1537)</f>
        <v>1</v>
      </c>
      <c r="C1538" s="16">
        <v>44684</v>
      </c>
      <c r="D1538" s="1" t="s">
        <v>2833</v>
      </c>
      <c r="E1538" t="s">
        <v>27</v>
      </c>
      <c r="F1538" s="10" t="s">
        <v>52</v>
      </c>
      <c r="G1538" t="s">
        <v>2834</v>
      </c>
      <c r="H1538" t="s">
        <v>479</v>
      </c>
      <c r="I1538" t="s">
        <v>1734</v>
      </c>
      <c r="K1538" s="2"/>
      <c r="M1538" s="2"/>
    </row>
    <row r="1539" spans="1:13">
      <c r="A1539" t="s">
        <v>28</v>
      </c>
      <c r="B1539">
        <f ca="1">IF(OR(changes[[#This Row],[Type]]="Checklist",changes[[#This Row],[Type]]="checklist-flat"),1+IF(changes[[#This Row],[Type of change]] = "Edit",COUNTIFS($I$4:changes[[#This Row],[Name]],changes[[#This Row],[Name]], $E$4:changes[[#This Row],[Type of change]], "Edit")),B1538)</f>
        <v>1</v>
      </c>
      <c r="C1539" s="16">
        <v>44684</v>
      </c>
      <c r="D1539" s="1" t="s">
        <v>2833</v>
      </c>
      <c r="E1539" t="s">
        <v>27</v>
      </c>
      <c r="F1539" s="10" t="s">
        <v>52</v>
      </c>
      <c r="G1539" t="s">
        <v>2834</v>
      </c>
      <c r="H1539" t="s">
        <v>55</v>
      </c>
      <c r="I1539" t="s">
        <v>1735</v>
      </c>
      <c r="K1539" s="2"/>
      <c r="M1539" s="2"/>
    </row>
    <row r="1540" spans="1:13">
      <c r="A1540" t="s">
        <v>28</v>
      </c>
      <c r="B1540">
        <f ca="1">IF(OR(changes[[#This Row],[Type]]="Checklist",changes[[#This Row],[Type]]="checklist-flat"),1+IF(changes[[#This Row],[Type of change]] = "Edit",COUNTIFS($I$4:changes[[#This Row],[Name]],changes[[#This Row],[Name]], $E$4:changes[[#This Row],[Type of change]], "Edit")),B1539)</f>
        <v>1</v>
      </c>
      <c r="C1540" s="16">
        <v>44684</v>
      </c>
      <c r="D1540" s="1" t="s">
        <v>2833</v>
      </c>
      <c r="E1540" t="s">
        <v>27</v>
      </c>
      <c r="F1540" s="10" t="s">
        <v>52</v>
      </c>
      <c r="G1540" t="s">
        <v>2834</v>
      </c>
      <c r="H1540" t="s">
        <v>55</v>
      </c>
      <c r="I1540" t="s">
        <v>1736</v>
      </c>
      <c r="K1540" s="2"/>
      <c r="M1540" s="2"/>
    </row>
    <row r="1541" spans="1:13">
      <c r="A1541" t="s">
        <v>28</v>
      </c>
      <c r="B1541">
        <f ca="1">IF(OR(changes[[#This Row],[Type]]="Checklist",changes[[#This Row],[Type]]="checklist-flat"),1+IF(changes[[#This Row],[Type of change]] = "Edit",COUNTIFS($I$4:changes[[#This Row],[Name]],changes[[#This Row],[Name]], $E$4:changes[[#This Row],[Type of change]], "Edit")),B1540)</f>
        <v>1</v>
      </c>
      <c r="C1541" s="16">
        <v>44684</v>
      </c>
      <c r="D1541" s="1" t="s">
        <v>2833</v>
      </c>
      <c r="E1541" t="s">
        <v>27</v>
      </c>
      <c r="F1541" s="10" t="s">
        <v>52</v>
      </c>
      <c r="G1541" t="s">
        <v>2834</v>
      </c>
      <c r="H1541" t="s">
        <v>55</v>
      </c>
      <c r="I1541" t="s">
        <v>1737</v>
      </c>
      <c r="K1541" s="2"/>
      <c r="M1541" s="2"/>
    </row>
    <row r="1542" spans="1:13">
      <c r="A1542" t="s">
        <v>28</v>
      </c>
      <c r="B1542">
        <f ca="1">IF(OR(changes[[#This Row],[Type]]="Checklist",changes[[#This Row],[Type]]="checklist-flat"),1+IF(changes[[#This Row],[Type of change]] = "Edit",COUNTIFS($I$4:changes[[#This Row],[Name]],changes[[#This Row],[Name]], $E$4:changes[[#This Row],[Type of change]], "Edit")),B1541)</f>
        <v>1</v>
      </c>
      <c r="C1542" s="16">
        <v>44684</v>
      </c>
      <c r="D1542" s="1" t="s">
        <v>2833</v>
      </c>
      <c r="E1542" t="s">
        <v>27</v>
      </c>
      <c r="F1542" s="10" t="s">
        <v>52</v>
      </c>
      <c r="G1542" t="s">
        <v>2834</v>
      </c>
      <c r="H1542" t="s">
        <v>55</v>
      </c>
      <c r="I1542" t="s">
        <v>1738</v>
      </c>
      <c r="K1542" s="2"/>
      <c r="M1542" s="2"/>
    </row>
    <row r="1543" spans="1:13">
      <c r="A1543" t="s">
        <v>28</v>
      </c>
      <c r="B1543">
        <f ca="1">IF(OR(changes[[#This Row],[Type]]="Checklist",changes[[#This Row],[Type]]="checklist-flat"),1+IF(changes[[#This Row],[Type of change]] = "Edit",COUNTIFS($I$4:changes[[#This Row],[Name]],changes[[#This Row],[Name]], $E$4:changes[[#This Row],[Type of change]], "Edit")),B1542)</f>
        <v>1</v>
      </c>
      <c r="C1543" s="16">
        <v>44684</v>
      </c>
      <c r="D1543" s="1" t="s">
        <v>2833</v>
      </c>
      <c r="E1543" t="s">
        <v>27</v>
      </c>
      <c r="F1543" s="10" t="s">
        <v>52</v>
      </c>
      <c r="G1543" t="s">
        <v>2834</v>
      </c>
      <c r="H1543" t="s">
        <v>479</v>
      </c>
      <c r="I1543" t="s">
        <v>1739</v>
      </c>
      <c r="K1543" s="2"/>
      <c r="M1543" s="2"/>
    </row>
    <row r="1544" spans="1:13">
      <c r="A1544" t="s">
        <v>28</v>
      </c>
      <c r="B1544">
        <f ca="1">IF(OR(changes[[#This Row],[Type]]="Checklist",changes[[#This Row],[Type]]="checklist-flat"),1+IF(changes[[#This Row],[Type of change]] = "Edit",COUNTIFS($I$4:changes[[#This Row],[Name]],changes[[#This Row],[Name]], $E$4:changes[[#This Row],[Type of change]], "Edit")),B1543)</f>
        <v>1</v>
      </c>
      <c r="C1544" s="16">
        <v>44684</v>
      </c>
      <c r="D1544" s="1" t="s">
        <v>2833</v>
      </c>
      <c r="E1544" t="s">
        <v>27</v>
      </c>
      <c r="F1544" s="10" t="s">
        <v>52</v>
      </c>
      <c r="G1544" t="s">
        <v>2834</v>
      </c>
      <c r="H1544" t="s">
        <v>55</v>
      </c>
      <c r="I1544" t="s">
        <v>1740</v>
      </c>
      <c r="K1544" s="2"/>
      <c r="M1544" s="2"/>
    </row>
    <row r="1545" spans="1:13">
      <c r="A1545" t="s">
        <v>28</v>
      </c>
      <c r="B1545">
        <f ca="1">IF(OR(changes[[#This Row],[Type]]="Checklist",changes[[#This Row],[Type]]="checklist-flat"),1+IF(changes[[#This Row],[Type of change]] = "Edit",COUNTIFS($I$4:changes[[#This Row],[Name]],changes[[#This Row],[Name]], $E$4:changes[[#This Row],[Type of change]], "Edit")),B1544)</f>
        <v>1</v>
      </c>
      <c r="C1545" s="16">
        <v>44684</v>
      </c>
      <c r="D1545" s="1" t="s">
        <v>2833</v>
      </c>
      <c r="E1545" t="s">
        <v>27</v>
      </c>
      <c r="F1545" s="10" t="s">
        <v>52</v>
      </c>
      <c r="G1545" t="s">
        <v>2834</v>
      </c>
      <c r="H1545" t="s">
        <v>214</v>
      </c>
      <c r="I1545" t="s">
        <v>1741</v>
      </c>
      <c r="K1545" s="2"/>
      <c r="M1545" s="2"/>
    </row>
    <row r="1546" spans="1:13">
      <c r="A1546" t="s">
        <v>28</v>
      </c>
      <c r="B1546">
        <f ca="1">IF(OR(changes[[#This Row],[Type]]="Checklist",changes[[#This Row],[Type]]="checklist-flat"),1+IF(changes[[#This Row],[Type of change]] = "Edit",COUNTIFS($I$4:changes[[#This Row],[Name]],changes[[#This Row],[Name]], $E$4:changes[[#This Row],[Type of change]], "Edit")),B1545)</f>
        <v>1</v>
      </c>
      <c r="C1546" s="16">
        <v>44684</v>
      </c>
      <c r="D1546" s="1" t="s">
        <v>2833</v>
      </c>
      <c r="E1546" t="s">
        <v>27</v>
      </c>
      <c r="F1546" s="10" t="s">
        <v>52</v>
      </c>
      <c r="G1546" t="s">
        <v>2834</v>
      </c>
      <c r="H1546" t="s">
        <v>214</v>
      </c>
      <c r="I1546" t="s">
        <v>1618</v>
      </c>
      <c r="J1546" t="s">
        <v>1742</v>
      </c>
      <c r="K1546" s="2"/>
      <c r="M1546" s="2"/>
    </row>
    <row r="1547" spans="1:13">
      <c r="A1547" t="s">
        <v>28</v>
      </c>
      <c r="B1547">
        <f ca="1">IF(OR(changes[[#This Row],[Type]]="Checklist",changes[[#This Row],[Type]]="checklist-flat"),1+IF(changes[[#This Row],[Type of change]] = "Edit",COUNTIFS($I$4:changes[[#This Row],[Name]],changes[[#This Row],[Name]], $E$4:changes[[#This Row],[Type of change]], "Edit")),B1546)</f>
        <v>1</v>
      </c>
      <c r="C1547" s="16">
        <v>44684</v>
      </c>
      <c r="D1547" s="1" t="s">
        <v>2833</v>
      </c>
      <c r="E1547" t="s">
        <v>27</v>
      </c>
      <c r="F1547" s="10" t="s">
        <v>52</v>
      </c>
      <c r="G1547" t="s">
        <v>2834</v>
      </c>
      <c r="H1547" t="s">
        <v>214</v>
      </c>
      <c r="I1547" t="s">
        <v>1619</v>
      </c>
      <c r="J1547" t="s">
        <v>1742</v>
      </c>
      <c r="K1547" s="2"/>
      <c r="M1547" s="2"/>
    </row>
    <row r="1548" spans="1:13">
      <c r="A1548" t="s">
        <v>28</v>
      </c>
      <c r="B1548">
        <f ca="1">IF(OR(changes[[#This Row],[Type]]="Checklist",changes[[#This Row],[Type]]="checklist-flat"),1+IF(changes[[#This Row],[Type of change]] = "Edit",COUNTIFS($I$4:changes[[#This Row],[Name]],changes[[#This Row],[Name]], $E$4:changes[[#This Row],[Type of change]], "Edit")),B1547)</f>
        <v>1</v>
      </c>
      <c r="C1548" s="16">
        <v>44684</v>
      </c>
      <c r="D1548" s="1" t="s">
        <v>2833</v>
      </c>
      <c r="E1548" t="s">
        <v>27</v>
      </c>
      <c r="F1548" s="10" t="s">
        <v>52</v>
      </c>
      <c r="G1548" t="s">
        <v>2834</v>
      </c>
      <c r="H1548" t="s">
        <v>214</v>
      </c>
      <c r="I1548" t="s">
        <v>1620</v>
      </c>
      <c r="J1548" t="s">
        <v>1743</v>
      </c>
      <c r="K1548" s="2"/>
      <c r="M1548" s="2"/>
    </row>
    <row r="1549" spans="1:13">
      <c r="A1549" t="s">
        <v>28</v>
      </c>
      <c r="B1549">
        <f ca="1">IF(OR(changes[[#This Row],[Type]]="Checklist",changes[[#This Row],[Type]]="checklist-flat"),1+IF(changes[[#This Row],[Type of change]] = "Edit",COUNTIFS($I$4:changes[[#This Row],[Name]],changes[[#This Row],[Name]], $E$4:changes[[#This Row],[Type of change]], "Edit")),B1548)</f>
        <v>1</v>
      </c>
      <c r="C1549" s="16">
        <v>44684</v>
      </c>
      <c r="D1549" s="1" t="s">
        <v>2833</v>
      </c>
      <c r="E1549" t="s">
        <v>27</v>
      </c>
      <c r="F1549" s="10" t="s">
        <v>52</v>
      </c>
      <c r="G1549" t="s">
        <v>2834</v>
      </c>
      <c r="H1549" t="s">
        <v>437</v>
      </c>
      <c r="I1549" t="s">
        <v>1621</v>
      </c>
      <c r="J1549" t="s">
        <v>1272</v>
      </c>
      <c r="K1549" s="2"/>
      <c r="M1549" s="2"/>
    </row>
    <row r="1550" spans="1:13">
      <c r="A1550" t="s">
        <v>28</v>
      </c>
      <c r="B1550">
        <f ca="1">IF(OR(changes[[#This Row],[Type]]="Checklist",changes[[#This Row],[Type]]="checklist-flat"),1+IF(changes[[#This Row],[Type of change]] = "Edit",COUNTIFS($I$4:changes[[#This Row],[Name]],changes[[#This Row],[Name]], $E$4:changes[[#This Row],[Type of change]], "Edit")),B1549)</f>
        <v>1</v>
      </c>
      <c r="C1550" s="16">
        <v>44684</v>
      </c>
      <c r="D1550" s="1" t="s">
        <v>2833</v>
      </c>
      <c r="E1550" t="s">
        <v>27</v>
      </c>
      <c r="F1550" s="10" t="s">
        <v>52</v>
      </c>
      <c r="G1550" t="s">
        <v>2834</v>
      </c>
      <c r="H1550" t="s">
        <v>55</v>
      </c>
      <c r="I1550" t="s">
        <v>1581</v>
      </c>
      <c r="K1550" s="2"/>
      <c r="M1550" s="2"/>
    </row>
    <row r="1551" spans="1:13">
      <c r="A1551" t="s">
        <v>28</v>
      </c>
      <c r="B1551">
        <f ca="1">IF(OR(changes[[#This Row],[Type]]="Checklist",changes[[#This Row],[Type]]="checklist-flat"),1+IF(changes[[#This Row],[Type of change]] = "Edit",COUNTIFS($I$4:changes[[#This Row],[Name]],changes[[#This Row],[Name]], $E$4:changes[[#This Row],[Type of change]], "Edit")),B1550)</f>
        <v>1</v>
      </c>
      <c r="C1551" s="16">
        <v>44684</v>
      </c>
      <c r="D1551" s="1" t="s">
        <v>2833</v>
      </c>
      <c r="E1551" t="s">
        <v>27</v>
      </c>
      <c r="F1551" s="10" t="s">
        <v>52</v>
      </c>
      <c r="G1551" t="s">
        <v>2834</v>
      </c>
      <c r="H1551" t="s">
        <v>55</v>
      </c>
      <c r="I1551" t="s">
        <v>1582</v>
      </c>
      <c r="K1551" s="2"/>
      <c r="M1551" s="2"/>
    </row>
    <row r="1552" spans="1:13">
      <c r="A1552" t="s">
        <v>28</v>
      </c>
      <c r="B1552">
        <f ca="1">IF(OR(changes[[#This Row],[Type]]="Checklist",changes[[#This Row],[Type]]="checklist-flat"),1+IF(changes[[#This Row],[Type of change]] = "Edit",COUNTIFS($I$4:changes[[#This Row],[Name]],changes[[#This Row],[Name]], $E$4:changes[[#This Row],[Type of change]], "Edit")),B1551)</f>
        <v>1</v>
      </c>
      <c r="C1552" s="16">
        <v>44684</v>
      </c>
      <c r="D1552" s="1" t="s">
        <v>2833</v>
      </c>
      <c r="E1552" t="s">
        <v>27</v>
      </c>
      <c r="F1552" s="10" t="s">
        <v>52</v>
      </c>
      <c r="G1552" t="s">
        <v>2834</v>
      </c>
      <c r="H1552" t="s">
        <v>479</v>
      </c>
      <c r="I1552" t="s">
        <v>1744</v>
      </c>
      <c r="K1552" s="2"/>
      <c r="M1552" s="2"/>
    </row>
    <row r="1553" spans="1:13">
      <c r="A1553" t="s">
        <v>28</v>
      </c>
      <c r="B1553">
        <f ca="1">IF(OR(changes[[#This Row],[Type]]="Checklist",changes[[#This Row],[Type]]="checklist-flat"),1+IF(changes[[#This Row],[Type of change]] = "Edit",COUNTIFS($I$4:changes[[#This Row],[Name]],changes[[#This Row],[Name]], $E$4:changes[[#This Row],[Type of change]], "Edit")),B1552)</f>
        <v>1</v>
      </c>
      <c r="C1553" s="16">
        <v>44684</v>
      </c>
      <c r="D1553" s="1" t="s">
        <v>2833</v>
      </c>
      <c r="E1553" t="s">
        <v>27</v>
      </c>
      <c r="F1553" s="10" t="s">
        <v>52</v>
      </c>
      <c r="G1553" t="s">
        <v>2834</v>
      </c>
      <c r="H1553" t="s">
        <v>55</v>
      </c>
      <c r="I1553" t="s">
        <v>1745</v>
      </c>
      <c r="K1553" s="2"/>
      <c r="M1553" s="2"/>
    </row>
    <row r="1554" spans="1:13">
      <c r="A1554" t="s">
        <v>28</v>
      </c>
      <c r="B1554">
        <f ca="1">IF(OR(changes[[#This Row],[Type]]="Checklist",changes[[#This Row],[Type]]="checklist-flat"),1+IF(changes[[#This Row],[Type of change]] = "Edit",COUNTIFS($I$4:changes[[#This Row],[Name]],changes[[#This Row],[Name]], $E$4:changes[[#This Row],[Type of change]], "Edit")),B1553)</f>
        <v>1</v>
      </c>
      <c r="C1554" s="16">
        <v>44684</v>
      </c>
      <c r="D1554" s="1" t="s">
        <v>2833</v>
      </c>
      <c r="E1554" t="s">
        <v>27</v>
      </c>
      <c r="F1554" s="10" t="s">
        <v>52</v>
      </c>
      <c r="G1554" t="s">
        <v>2834</v>
      </c>
      <c r="H1554" t="s">
        <v>55</v>
      </c>
      <c r="I1554" t="s">
        <v>1746</v>
      </c>
      <c r="K1554" s="2"/>
      <c r="M1554" s="2"/>
    </row>
    <row r="1555" spans="1:13">
      <c r="A1555" t="s">
        <v>28</v>
      </c>
      <c r="B1555">
        <f ca="1">IF(OR(changes[[#This Row],[Type]]="Checklist",changes[[#This Row],[Type]]="checklist-flat"),1+IF(changes[[#This Row],[Type of change]] = "Edit",COUNTIFS($I$4:changes[[#This Row],[Name]],changes[[#This Row],[Name]], $E$4:changes[[#This Row],[Type of change]], "Edit")),B1554)</f>
        <v>1</v>
      </c>
      <c r="C1555" s="16">
        <v>44684</v>
      </c>
      <c r="D1555" s="1" t="s">
        <v>2833</v>
      </c>
      <c r="E1555" t="s">
        <v>27</v>
      </c>
      <c r="F1555" s="10" t="s">
        <v>52</v>
      </c>
      <c r="G1555" t="s">
        <v>2834</v>
      </c>
      <c r="H1555" t="s">
        <v>437</v>
      </c>
      <c r="I1555" t="s">
        <v>1747</v>
      </c>
      <c r="J1555" t="s">
        <v>1272</v>
      </c>
      <c r="K1555" s="2"/>
      <c r="M1555" s="2"/>
    </row>
    <row r="1556" spans="1:13">
      <c r="A1556" t="s">
        <v>28</v>
      </c>
      <c r="B1556">
        <f ca="1">IF(OR(changes[[#This Row],[Type]]="Checklist",changes[[#This Row],[Type]]="checklist-flat"),1+IF(changes[[#This Row],[Type of change]] = "Edit",COUNTIFS($I$4:changes[[#This Row],[Name]],changes[[#This Row],[Name]], $E$4:changes[[#This Row],[Type of change]], "Edit")),B1555)</f>
        <v>1</v>
      </c>
      <c r="C1556" s="16">
        <v>44684</v>
      </c>
      <c r="D1556" s="1" t="s">
        <v>2833</v>
      </c>
      <c r="E1556" t="s">
        <v>27</v>
      </c>
      <c r="F1556" s="10" t="s">
        <v>52</v>
      </c>
      <c r="G1556" t="s">
        <v>2834</v>
      </c>
      <c r="H1556" t="s">
        <v>55</v>
      </c>
      <c r="I1556" t="s">
        <v>1748</v>
      </c>
      <c r="K1556" s="2"/>
      <c r="M1556" s="2"/>
    </row>
    <row r="1557" spans="1:13">
      <c r="A1557" t="s">
        <v>28</v>
      </c>
      <c r="B1557">
        <f ca="1">IF(OR(changes[[#This Row],[Type]]="Checklist",changes[[#This Row],[Type]]="checklist-flat"),1+IF(changes[[#This Row],[Type of change]] = "Edit",COUNTIFS($I$4:changes[[#This Row],[Name]],changes[[#This Row],[Name]], $E$4:changes[[#This Row],[Type of change]], "Edit")),B1556)</f>
        <v>1</v>
      </c>
      <c r="C1557" s="16">
        <v>44684</v>
      </c>
      <c r="D1557" s="1" t="s">
        <v>2833</v>
      </c>
      <c r="E1557" t="s">
        <v>27</v>
      </c>
      <c r="F1557" s="10" t="s">
        <v>52</v>
      </c>
      <c r="G1557" t="s">
        <v>2834</v>
      </c>
      <c r="H1557" t="s">
        <v>55</v>
      </c>
      <c r="I1557" t="s">
        <v>1749</v>
      </c>
      <c r="K1557" s="2"/>
      <c r="M1557" s="2"/>
    </row>
    <row r="1558" spans="1:13">
      <c r="A1558" t="s">
        <v>28</v>
      </c>
      <c r="B1558">
        <f ca="1">IF(OR(changes[[#This Row],[Type]]="Checklist",changes[[#This Row],[Type]]="checklist-flat"),1+IF(changes[[#This Row],[Type of change]] = "Edit",COUNTIFS($I$4:changes[[#This Row],[Name]],changes[[#This Row],[Name]], $E$4:changes[[#This Row],[Type of change]], "Edit")),B1557)</f>
        <v>1</v>
      </c>
      <c r="C1558" s="16">
        <v>44684</v>
      </c>
      <c r="D1558" s="1" t="s">
        <v>2833</v>
      </c>
      <c r="E1558" t="s">
        <v>27</v>
      </c>
      <c r="F1558" s="10" t="s">
        <v>52</v>
      </c>
      <c r="G1558" t="s">
        <v>2834</v>
      </c>
      <c r="H1558" t="s">
        <v>55</v>
      </c>
      <c r="I1558" t="s">
        <v>1750</v>
      </c>
      <c r="K1558" s="2"/>
      <c r="M1558" s="2"/>
    </row>
    <row r="1559" spans="1:13">
      <c r="A1559" t="s">
        <v>28</v>
      </c>
      <c r="B1559">
        <f ca="1">IF(OR(changes[[#This Row],[Type]]="Checklist",changes[[#This Row],[Type]]="checklist-flat"),1+IF(changes[[#This Row],[Type of change]] = "Edit",COUNTIFS($I$4:changes[[#This Row],[Name]],changes[[#This Row],[Name]], $E$4:changes[[#This Row],[Type of change]], "Edit")),B1558)</f>
        <v>1</v>
      </c>
      <c r="C1559" s="16">
        <v>44684</v>
      </c>
      <c r="D1559" s="1" t="s">
        <v>2833</v>
      </c>
      <c r="E1559" t="s">
        <v>27</v>
      </c>
      <c r="F1559" s="10" t="s">
        <v>52</v>
      </c>
      <c r="G1559" t="s">
        <v>2834</v>
      </c>
      <c r="H1559" t="s">
        <v>479</v>
      </c>
      <c r="I1559" t="s">
        <v>1751</v>
      </c>
      <c r="K1559" s="2"/>
      <c r="M1559" s="2"/>
    </row>
    <row r="1560" spans="1:13">
      <c r="A1560" t="s">
        <v>28</v>
      </c>
      <c r="B1560">
        <f ca="1">IF(OR(changes[[#This Row],[Type]]="Checklist",changes[[#This Row],[Type]]="checklist-flat"),1+IF(changes[[#This Row],[Type of change]] = "Edit",COUNTIFS($I$4:changes[[#This Row],[Name]],changes[[#This Row],[Name]], $E$4:changes[[#This Row],[Type of change]], "Edit")),B1559)</f>
        <v>1</v>
      </c>
      <c r="C1560" s="16">
        <v>44684</v>
      </c>
      <c r="D1560" s="1" t="s">
        <v>2833</v>
      </c>
      <c r="E1560" t="s">
        <v>27</v>
      </c>
      <c r="F1560" s="10" t="s">
        <v>52</v>
      </c>
      <c r="G1560" t="s">
        <v>2834</v>
      </c>
      <c r="H1560" t="s">
        <v>55</v>
      </c>
      <c r="I1560" t="s">
        <v>1752</v>
      </c>
      <c r="K1560" s="2"/>
      <c r="M1560" s="2"/>
    </row>
    <row r="1561" spans="1:13">
      <c r="A1561" t="s">
        <v>28</v>
      </c>
      <c r="B1561">
        <f ca="1">IF(OR(changes[[#This Row],[Type]]="Checklist",changes[[#This Row],[Type]]="checklist-flat"),1+IF(changes[[#This Row],[Type of change]] = "Edit",COUNTIFS($I$4:changes[[#This Row],[Name]],changes[[#This Row],[Name]], $E$4:changes[[#This Row],[Type of change]], "Edit")),B1560)</f>
        <v>1</v>
      </c>
      <c r="C1561" s="16">
        <v>44684</v>
      </c>
      <c r="D1561" s="1" t="s">
        <v>2833</v>
      </c>
      <c r="E1561" t="s">
        <v>27</v>
      </c>
      <c r="F1561" s="10" t="s">
        <v>52</v>
      </c>
      <c r="G1561" t="s">
        <v>2834</v>
      </c>
      <c r="H1561" t="s">
        <v>64</v>
      </c>
      <c r="I1561" t="s">
        <v>1753</v>
      </c>
      <c r="K1561" s="2"/>
      <c r="M1561" s="2"/>
    </row>
    <row r="1562" spans="1:13">
      <c r="A1562" t="s">
        <v>28</v>
      </c>
      <c r="B1562">
        <f ca="1">IF(OR(changes[[#This Row],[Type]]="Checklist",changes[[#This Row],[Type]]="checklist-flat"),1+IF(changes[[#This Row],[Type of change]] = "Edit",COUNTIFS($I$4:changes[[#This Row],[Name]],changes[[#This Row],[Name]], $E$4:changes[[#This Row],[Type of change]], "Edit")),B1561)</f>
        <v>1</v>
      </c>
      <c r="C1562" s="16">
        <v>44684</v>
      </c>
      <c r="D1562" s="1" t="s">
        <v>2833</v>
      </c>
      <c r="E1562" t="s">
        <v>27</v>
      </c>
      <c r="F1562" s="10" t="s">
        <v>52</v>
      </c>
      <c r="G1562" t="s">
        <v>2834</v>
      </c>
      <c r="H1562" t="s">
        <v>55</v>
      </c>
      <c r="I1562" t="s">
        <v>1754</v>
      </c>
      <c r="K1562" s="2"/>
      <c r="M1562" s="2"/>
    </row>
    <row r="1563" spans="1:13">
      <c r="A1563" t="s">
        <v>28</v>
      </c>
      <c r="B1563">
        <f ca="1">IF(OR(changes[[#This Row],[Type]]="Checklist",changes[[#This Row],[Type]]="checklist-flat"),1+IF(changes[[#This Row],[Type of change]] = "Edit",COUNTIFS($I$4:changes[[#This Row],[Name]],changes[[#This Row],[Name]], $E$4:changes[[#This Row],[Type of change]], "Edit")),B1562)</f>
        <v>2</v>
      </c>
      <c r="C1563" s="16">
        <v>44685</v>
      </c>
      <c r="D1563" s="1" t="s">
        <v>2509</v>
      </c>
      <c r="E1563" t="s">
        <v>15</v>
      </c>
      <c r="F1563" s="10" t="s">
        <v>9</v>
      </c>
      <c r="G1563" t="s">
        <v>164</v>
      </c>
      <c r="H1563" t="s">
        <v>54</v>
      </c>
      <c r="I1563" t="s">
        <v>164</v>
      </c>
      <c r="K1563" s="2"/>
      <c r="M1563" s="2"/>
    </row>
    <row r="1564" spans="1:13">
      <c r="A1564" t="s">
        <v>28</v>
      </c>
      <c r="B1564">
        <f ca="1">IF(OR(changes[[#This Row],[Type]]="Checklist",changes[[#This Row],[Type]]="checklist-flat"),1+IF(changes[[#This Row],[Type of change]] = "Edit",COUNTIFS($I$4:changes[[#This Row],[Name]],changes[[#This Row],[Name]], $E$4:changes[[#This Row],[Type of change]], "Edit")),B1563)</f>
        <v>2</v>
      </c>
      <c r="C1564" s="16">
        <v>44685</v>
      </c>
      <c r="D1564" s="1" t="s">
        <v>2509</v>
      </c>
      <c r="E1564" t="s">
        <v>15</v>
      </c>
      <c r="F1564" s="10" t="s">
        <v>9</v>
      </c>
      <c r="G1564" t="s">
        <v>164</v>
      </c>
      <c r="H1564" t="s">
        <v>55</v>
      </c>
      <c r="I1564" t="s">
        <v>127</v>
      </c>
      <c r="K1564" s="2"/>
      <c r="M1564" s="2"/>
    </row>
    <row r="1565" spans="1:13">
      <c r="A1565" t="s">
        <v>28</v>
      </c>
      <c r="B1565">
        <f ca="1">IF(OR(changes[[#This Row],[Type]]="Checklist",changes[[#This Row],[Type]]="checklist-flat"),1+IF(changes[[#This Row],[Type of change]] = "Edit",COUNTIFS($I$4:changes[[#This Row],[Name]],changes[[#This Row],[Name]], $E$4:changes[[#This Row],[Type of change]], "Edit")),B1564)</f>
        <v>2</v>
      </c>
      <c r="C1565" s="16">
        <v>44685</v>
      </c>
      <c r="D1565" s="1" t="s">
        <v>2509</v>
      </c>
      <c r="E1565" t="s">
        <v>15</v>
      </c>
      <c r="F1565" s="10" t="s">
        <v>9</v>
      </c>
      <c r="G1565" t="s">
        <v>164</v>
      </c>
      <c r="H1565" t="s">
        <v>55</v>
      </c>
      <c r="I1565" t="s">
        <v>165</v>
      </c>
      <c r="K1565" s="2"/>
      <c r="M1565" s="2" t="s">
        <v>2836</v>
      </c>
    </row>
    <row r="1566" spans="1:13">
      <c r="A1566" t="s">
        <v>28</v>
      </c>
      <c r="B1566">
        <f ca="1">IF(OR(changes[[#This Row],[Type]]="Checklist",changes[[#This Row],[Type]]="checklist-flat"),1+IF(changes[[#This Row],[Type of change]] = "Edit",COUNTIFS($I$4:changes[[#This Row],[Name]],changes[[#This Row],[Name]], $E$4:changes[[#This Row],[Type of change]], "Edit")),B1565)</f>
        <v>2</v>
      </c>
      <c r="C1566" s="16">
        <v>44685</v>
      </c>
      <c r="D1566" s="1" t="s">
        <v>2509</v>
      </c>
      <c r="E1566" t="s">
        <v>15</v>
      </c>
      <c r="F1566" s="10" t="s">
        <v>9</v>
      </c>
      <c r="G1566" t="s">
        <v>164</v>
      </c>
      <c r="H1566" t="s">
        <v>55</v>
      </c>
      <c r="I1566" t="s">
        <v>129</v>
      </c>
      <c r="K1566" s="2"/>
      <c r="M1566" s="2"/>
    </row>
    <row r="1567" spans="1:13">
      <c r="A1567" t="s">
        <v>28</v>
      </c>
      <c r="B1567">
        <f ca="1">IF(OR(changes[[#This Row],[Type]]="Checklist",changes[[#This Row],[Type]]="checklist-flat"),1+IF(changes[[#This Row],[Type of change]] = "Edit",COUNTIFS($I$4:changes[[#This Row],[Name]],changes[[#This Row],[Name]], $E$4:changes[[#This Row],[Type of change]], "Edit")),B1566)</f>
        <v>2</v>
      </c>
      <c r="C1567" s="16">
        <v>44685</v>
      </c>
      <c r="D1567" s="1" t="s">
        <v>2509</v>
      </c>
      <c r="E1567" t="s">
        <v>15</v>
      </c>
      <c r="F1567" s="10" t="s">
        <v>9</v>
      </c>
      <c r="G1567" t="s">
        <v>164</v>
      </c>
      <c r="H1567" t="s">
        <v>55</v>
      </c>
      <c r="I1567" t="s">
        <v>166</v>
      </c>
      <c r="K1567" s="2"/>
      <c r="M1567" s="2" t="s">
        <v>2837</v>
      </c>
    </row>
    <row r="1568" spans="1:13">
      <c r="A1568" t="s">
        <v>28</v>
      </c>
      <c r="B1568">
        <f ca="1">IF(OR(changes[[#This Row],[Type]]="Checklist",changes[[#This Row],[Type]]="checklist-flat"),1+IF(changes[[#This Row],[Type of change]] = "Edit",COUNTIFS($I$4:changes[[#This Row],[Name]],changes[[#This Row],[Name]], $E$4:changes[[#This Row],[Type of change]], "Edit")),B1567)</f>
        <v>2</v>
      </c>
      <c r="C1568" s="16">
        <v>44685</v>
      </c>
      <c r="D1568" s="1" t="s">
        <v>2509</v>
      </c>
      <c r="E1568" t="s">
        <v>15</v>
      </c>
      <c r="F1568" s="10" t="s">
        <v>9</v>
      </c>
      <c r="G1568" t="s">
        <v>164</v>
      </c>
      <c r="H1568" t="s">
        <v>55</v>
      </c>
      <c r="I1568" t="s">
        <v>167</v>
      </c>
      <c r="K1568" s="2"/>
      <c r="M1568" s="2"/>
    </row>
    <row r="1569" spans="1:13">
      <c r="A1569" t="s">
        <v>28</v>
      </c>
      <c r="B1569">
        <f ca="1">IF(OR(changes[[#This Row],[Type]]="Checklist",changes[[#This Row],[Type]]="checklist-flat"),1+IF(changes[[#This Row],[Type of change]] = "Edit",COUNTIFS($I$4:changes[[#This Row],[Name]],changes[[#This Row],[Name]], $E$4:changes[[#This Row],[Type of change]], "Edit")),B1568)</f>
        <v>2</v>
      </c>
      <c r="C1569" s="16">
        <v>44685</v>
      </c>
      <c r="D1569" s="1" t="s">
        <v>2509</v>
      </c>
      <c r="E1569" t="s">
        <v>15</v>
      </c>
      <c r="F1569" s="10" t="s">
        <v>9</v>
      </c>
      <c r="G1569" t="s">
        <v>164</v>
      </c>
      <c r="H1569" t="s">
        <v>55</v>
      </c>
      <c r="I1569" t="s">
        <v>147</v>
      </c>
      <c r="K1569" s="2"/>
      <c r="M1569" s="2"/>
    </row>
    <row r="1570" spans="1:13">
      <c r="A1570" t="s">
        <v>28</v>
      </c>
      <c r="B1570">
        <f ca="1">IF(OR(changes[[#This Row],[Type]]="Checklist",changes[[#This Row],[Type]]="checklist-flat"),1+IF(changes[[#This Row],[Type of change]] = "Edit",COUNTIFS($I$4:changes[[#This Row],[Name]],changes[[#This Row],[Name]], $E$4:changes[[#This Row],[Type of change]], "Edit")),B1569)</f>
        <v>2</v>
      </c>
      <c r="C1570" s="16">
        <v>44685</v>
      </c>
      <c r="D1570" s="1" t="s">
        <v>2509</v>
      </c>
      <c r="E1570" t="s">
        <v>15</v>
      </c>
      <c r="F1570" s="10" t="s">
        <v>9</v>
      </c>
      <c r="G1570" t="s">
        <v>132</v>
      </c>
      <c r="H1570" t="s">
        <v>54</v>
      </c>
      <c r="I1570" t="s">
        <v>132</v>
      </c>
      <c r="K1570" s="2"/>
      <c r="M1570" s="2"/>
    </row>
    <row r="1571" spans="1:13">
      <c r="A1571" t="s">
        <v>28</v>
      </c>
      <c r="B1571">
        <f ca="1">IF(OR(changes[[#This Row],[Type]]="Checklist",changes[[#This Row],[Type]]="checklist-flat"),1+IF(changes[[#This Row],[Type of change]] = "Edit",COUNTIFS($I$4:changes[[#This Row],[Name]],changes[[#This Row],[Name]], $E$4:changes[[#This Row],[Type of change]], "Edit")),B1570)</f>
        <v>2</v>
      </c>
      <c r="C1571" s="16">
        <v>44685</v>
      </c>
      <c r="D1571" s="1" t="s">
        <v>2509</v>
      </c>
      <c r="E1571" t="s">
        <v>15</v>
      </c>
      <c r="F1571" s="10" t="s">
        <v>9</v>
      </c>
      <c r="G1571" t="s">
        <v>132</v>
      </c>
      <c r="H1571" t="s">
        <v>55</v>
      </c>
      <c r="I1571" t="s">
        <v>127</v>
      </c>
      <c r="K1571" s="2"/>
      <c r="M1571" s="2"/>
    </row>
    <row r="1572" spans="1:13">
      <c r="A1572" t="s">
        <v>28</v>
      </c>
      <c r="B1572">
        <f ca="1">IF(OR(changes[[#This Row],[Type]]="Checklist",changes[[#This Row],[Type]]="checklist-flat"),1+IF(changes[[#This Row],[Type of change]] = "Edit",COUNTIFS($I$4:changes[[#This Row],[Name]],changes[[#This Row],[Name]], $E$4:changes[[#This Row],[Type of change]], "Edit")),B1571)</f>
        <v>2</v>
      </c>
      <c r="C1572" s="16">
        <v>44685</v>
      </c>
      <c r="D1572" s="1" t="s">
        <v>2509</v>
      </c>
      <c r="E1572" t="s">
        <v>15</v>
      </c>
      <c r="F1572" s="10" t="s">
        <v>9</v>
      </c>
      <c r="G1572" t="s">
        <v>132</v>
      </c>
      <c r="H1572" t="s">
        <v>55</v>
      </c>
      <c r="I1572" t="s">
        <v>128</v>
      </c>
      <c r="K1572" s="2"/>
      <c r="M1572" s="2"/>
    </row>
    <row r="1573" spans="1:13">
      <c r="A1573" t="s">
        <v>28</v>
      </c>
      <c r="B1573">
        <f ca="1">IF(OR(changes[[#This Row],[Type]]="Checklist",changes[[#This Row],[Type]]="checklist-flat"),1+IF(changes[[#This Row],[Type of change]] = "Edit",COUNTIFS($I$4:changes[[#This Row],[Name]],changes[[#This Row],[Name]], $E$4:changes[[#This Row],[Type of change]], "Edit")),B1572)</f>
        <v>2</v>
      </c>
      <c r="C1573" s="16">
        <v>44685</v>
      </c>
      <c r="D1573" s="1" t="s">
        <v>2509</v>
      </c>
      <c r="E1573" t="s">
        <v>15</v>
      </c>
      <c r="F1573" s="10" t="s">
        <v>9</v>
      </c>
      <c r="G1573" t="s">
        <v>132</v>
      </c>
      <c r="H1573" t="s">
        <v>55</v>
      </c>
      <c r="I1573" t="s">
        <v>129</v>
      </c>
      <c r="K1573" s="2"/>
      <c r="M1573" s="2" t="s">
        <v>2837</v>
      </c>
    </row>
    <row r="1574" spans="1:13">
      <c r="A1574" t="s">
        <v>28</v>
      </c>
      <c r="B1574">
        <f ca="1">IF(OR(changes[[#This Row],[Type]]="Checklist",changes[[#This Row],[Type]]="checklist-flat"),1+IF(changes[[#This Row],[Type of change]] = "Edit",COUNTIFS($I$4:changes[[#This Row],[Name]],changes[[#This Row],[Name]], $E$4:changes[[#This Row],[Type of change]], "Edit")),B1573)</f>
        <v>2</v>
      </c>
      <c r="C1574" s="16">
        <v>44685</v>
      </c>
      <c r="D1574" s="1" t="s">
        <v>2509</v>
      </c>
      <c r="E1574" t="s">
        <v>15</v>
      </c>
      <c r="F1574" s="10" t="s">
        <v>9</v>
      </c>
      <c r="G1574" t="s">
        <v>132</v>
      </c>
      <c r="H1574" t="s">
        <v>55</v>
      </c>
      <c r="I1574" t="s">
        <v>133</v>
      </c>
      <c r="K1574" s="2"/>
      <c r="M1574" s="2"/>
    </row>
    <row r="1575" spans="1:13">
      <c r="A1575" t="s">
        <v>28</v>
      </c>
      <c r="B1575">
        <f ca="1">IF(OR(changes[[#This Row],[Type]]="Checklist",changes[[#This Row],[Type]]="checklist-flat"),1+IF(changes[[#This Row],[Type of change]] = "Edit",COUNTIFS($I$4:changes[[#This Row],[Name]],changes[[#This Row],[Name]], $E$4:changes[[#This Row],[Type of change]], "Edit")),B1574)</f>
        <v>2</v>
      </c>
      <c r="C1575" s="16">
        <v>44685</v>
      </c>
      <c r="D1575" s="1" t="s">
        <v>2509</v>
      </c>
      <c r="E1575" t="s">
        <v>15</v>
      </c>
      <c r="F1575" s="10" t="s">
        <v>9</v>
      </c>
      <c r="G1575" t="s">
        <v>132</v>
      </c>
      <c r="H1575" t="s">
        <v>55</v>
      </c>
      <c r="I1575" t="s">
        <v>134</v>
      </c>
      <c r="K1575" s="2"/>
      <c r="M1575" s="2"/>
    </row>
    <row r="1576" spans="1:13">
      <c r="A1576" t="s">
        <v>28</v>
      </c>
      <c r="B1576">
        <f ca="1">IF(OR(changes[[#This Row],[Type]]="Checklist",changes[[#This Row],[Type]]="checklist-flat"),1+IF(changes[[#This Row],[Type of change]] = "Edit",COUNTIFS($I$4:changes[[#This Row],[Name]],changes[[#This Row],[Name]], $E$4:changes[[#This Row],[Type of change]], "Edit")),B1575)</f>
        <v>2</v>
      </c>
      <c r="C1576" s="16">
        <v>44685</v>
      </c>
      <c r="D1576" s="1" t="s">
        <v>2509</v>
      </c>
      <c r="E1576" t="s">
        <v>15</v>
      </c>
      <c r="F1576" s="10" t="s">
        <v>9</v>
      </c>
      <c r="G1576" t="s">
        <v>132</v>
      </c>
      <c r="H1576" t="s">
        <v>55</v>
      </c>
      <c r="I1576" t="s">
        <v>135</v>
      </c>
      <c r="K1576" s="2"/>
      <c r="M1576" s="2"/>
    </row>
    <row r="1577" spans="1:13">
      <c r="A1577" t="s">
        <v>28</v>
      </c>
      <c r="B1577">
        <f ca="1">IF(OR(changes[[#This Row],[Type]]="Checklist",changes[[#This Row],[Type]]="checklist-flat"),1+IF(changes[[#This Row],[Type of change]] = "Edit",COUNTIFS($I$4:changes[[#This Row],[Name]],changes[[#This Row],[Name]], $E$4:changes[[#This Row],[Type of change]], "Edit")),B1576)</f>
        <v>2</v>
      </c>
      <c r="C1577" s="16">
        <v>44685</v>
      </c>
      <c r="D1577" s="1" t="s">
        <v>2509</v>
      </c>
      <c r="E1577" t="s">
        <v>15</v>
      </c>
      <c r="F1577" s="10" t="s">
        <v>9</v>
      </c>
      <c r="G1577" t="s">
        <v>132</v>
      </c>
      <c r="H1577" t="s">
        <v>55</v>
      </c>
      <c r="I1577" t="s">
        <v>136</v>
      </c>
      <c r="K1577" s="2"/>
      <c r="M1577" s="2"/>
    </row>
    <row r="1578" spans="1:13">
      <c r="A1578" t="s">
        <v>28</v>
      </c>
      <c r="B1578">
        <f ca="1">IF(OR(changes[[#This Row],[Type]]="Checklist",changes[[#This Row],[Type]]="checklist-flat"),1+IF(changes[[#This Row],[Type of change]] = "Edit",COUNTIFS($I$4:changes[[#This Row],[Name]],changes[[#This Row],[Name]], $E$4:changes[[#This Row],[Type of change]], "Edit")),B1577)</f>
        <v>2</v>
      </c>
      <c r="C1578" s="16">
        <v>44685</v>
      </c>
      <c r="D1578" s="1" t="s">
        <v>2509</v>
      </c>
      <c r="E1578" t="s">
        <v>15</v>
      </c>
      <c r="F1578" s="10" t="s">
        <v>9</v>
      </c>
      <c r="G1578" t="s">
        <v>132</v>
      </c>
      <c r="H1578" t="s">
        <v>55</v>
      </c>
      <c r="I1578" t="s">
        <v>137</v>
      </c>
      <c r="K1578" s="2"/>
      <c r="M1578" s="2"/>
    </row>
    <row r="1579" spans="1:13">
      <c r="A1579" t="s">
        <v>28</v>
      </c>
      <c r="B1579">
        <f ca="1">IF(OR(changes[[#This Row],[Type]]="Checklist",changes[[#This Row],[Type]]="checklist-flat"),1+IF(changes[[#This Row],[Type of change]] = "Edit",COUNTIFS($I$4:changes[[#This Row],[Name]],changes[[#This Row],[Name]], $E$4:changes[[#This Row],[Type of change]], "Edit")),B1578)</f>
        <v>2</v>
      </c>
      <c r="C1579" s="16">
        <v>44685</v>
      </c>
      <c r="D1579" s="1" t="s">
        <v>2509</v>
      </c>
      <c r="E1579" t="s">
        <v>15</v>
      </c>
      <c r="F1579" s="10" t="s">
        <v>9</v>
      </c>
      <c r="G1579" t="s">
        <v>132</v>
      </c>
      <c r="H1579" t="s">
        <v>55</v>
      </c>
      <c r="I1579" t="s">
        <v>138</v>
      </c>
      <c r="K1579" s="2"/>
      <c r="M1579" s="2"/>
    </row>
    <row r="1580" spans="1:13">
      <c r="A1580" t="s">
        <v>28</v>
      </c>
      <c r="B1580">
        <f ca="1">IF(OR(changes[[#This Row],[Type]]="Checklist",changes[[#This Row],[Type]]="checklist-flat"),1+IF(changes[[#This Row],[Type of change]] = "Edit",COUNTIFS($I$4:changes[[#This Row],[Name]],changes[[#This Row],[Name]], $E$4:changes[[#This Row],[Type of change]], "Edit")),B1579)</f>
        <v>2</v>
      </c>
      <c r="C1580" s="16">
        <v>44685</v>
      </c>
      <c r="D1580" s="1" t="s">
        <v>2509</v>
      </c>
      <c r="E1580" t="s">
        <v>15</v>
      </c>
      <c r="F1580" s="10" t="s">
        <v>9</v>
      </c>
      <c r="G1580" t="s">
        <v>132</v>
      </c>
      <c r="H1580" t="s">
        <v>55</v>
      </c>
      <c r="I1580" t="s">
        <v>139</v>
      </c>
      <c r="K1580" s="2"/>
      <c r="M1580" s="2"/>
    </row>
    <row r="1581" spans="1:13">
      <c r="A1581" t="s">
        <v>28</v>
      </c>
      <c r="B1581">
        <f ca="1">IF(OR(changes[[#This Row],[Type]]="Checklist",changes[[#This Row],[Type]]="checklist-flat"),1+IF(changes[[#This Row],[Type of change]] = "Edit",COUNTIFS($I$4:changes[[#This Row],[Name]],changes[[#This Row],[Name]], $E$4:changes[[#This Row],[Type of change]], "Edit")),B1580)</f>
        <v>1</v>
      </c>
      <c r="C1581" s="16">
        <v>44685</v>
      </c>
      <c r="D1581" s="1" t="s">
        <v>2509</v>
      </c>
      <c r="E1581" t="s">
        <v>27</v>
      </c>
      <c r="F1581" s="10" t="s">
        <v>9</v>
      </c>
      <c r="G1581" t="s">
        <v>126</v>
      </c>
      <c r="H1581" t="s">
        <v>54</v>
      </c>
      <c r="I1581" t="s">
        <v>126</v>
      </c>
      <c r="K1581" s="2"/>
      <c r="M1581" s="2" t="s">
        <v>2838</v>
      </c>
    </row>
    <row r="1582" spans="1:13">
      <c r="A1582" t="s">
        <v>28</v>
      </c>
      <c r="B1582">
        <f ca="1">IF(OR(changes[[#This Row],[Type]]="Checklist",changes[[#This Row],[Type]]="checklist-flat"),1+IF(changes[[#This Row],[Type of change]] = "Edit",COUNTIFS($I$4:changes[[#This Row],[Name]],changes[[#This Row],[Name]], $E$4:changes[[#This Row],[Type of change]], "Edit")),B1581)</f>
        <v>1</v>
      </c>
      <c r="C1582" s="16">
        <v>44685</v>
      </c>
      <c r="D1582" s="1" t="s">
        <v>2509</v>
      </c>
      <c r="E1582" t="s">
        <v>27</v>
      </c>
      <c r="F1582" s="10" t="s">
        <v>9</v>
      </c>
      <c r="G1582" t="s">
        <v>126</v>
      </c>
      <c r="H1582" t="s">
        <v>55</v>
      </c>
      <c r="I1582" t="s">
        <v>127</v>
      </c>
      <c r="K1582" s="2"/>
      <c r="M1582" s="2"/>
    </row>
    <row r="1583" spans="1:13">
      <c r="A1583" t="s">
        <v>28</v>
      </c>
      <c r="B1583">
        <f ca="1">IF(OR(changes[[#This Row],[Type]]="Checklist",changes[[#This Row],[Type]]="checklist-flat"),1+IF(changes[[#This Row],[Type of change]] = "Edit",COUNTIFS($I$4:changes[[#This Row],[Name]],changes[[#This Row],[Name]], $E$4:changes[[#This Row],[Type of change]], "Edit")),B1582)</f>
        <v>1</v>
      </c>
      <c r="C1583" s="16">
        <v>44685</v>
      </c>
      <c r="D1583" s="1" t="s">
        <v>2509</v>
      </c>
      <c r="E1583" t="s">
        <v>27</v>
      </c>
      <c r="F1583" s="10" t="s">
        <v>9</v>
      </c>
      <c r="G1583" t="s">
        <v>126</v>
      </c>
      <c r="H1583" t="s">
        <v>55</v>
      </c>
      <c r="I1583" t="s">
        <v>128</v>
      </c>
      <c r="K1583" s="2"/>
      <c r="M1583" s="2"/>
    </row>
    <row r="1584" spans="1:13">
      <c r="A1584" t="s">
        <v>28</v>
      </c>
      <c r="B1584">
        <f ca="1">IF(OR(changes[[#This Row],[Type]]="Checklist",changes[[#This Row],[Type]]="checklist-flat"),1+IF(changes[[#This Row],[Type of change]] = "Edit",COUNTIFS($I$4:changes[[#This Row],[Name]],changes[[#This Row],[Name]], $E$4:changes[[#This Row],[Type of change]], "Edit")),B1583)</f>
        <v>1</v>
      </c>
      <c r="C1584" s="16">
        <v>44685</v>
      </c>
      <c r="D1584" s="1" t="s">
        <v>2509</v>
      </c>
      <c r="E1584" t="s">
        <v>27</v>
      </c>
      <c r="F1584" s="10" t="s">
        <v>9</v>
      </c>
      <c r="G1584" t="s">
        <v>126</v>
      </c>
      <c r="H1584" t="s">
        <v>55</v>
      </c>
      <c r="I1584" t="s">
        <v>129</v>
      </c>
      <c r="K1584" s="2"/>
      <c r="M1584" s="2"/>
    </row>
    <row r="1585" spans="1:13">
      <c r="A1585" t="s">
        <v>28</v>
      </c>
      <c r="B1585">
        <f ca="1">IF(OR(changes[[#This Row],[Type]]="Checklist",changes[[#This Row],[Type]]="checklist-flat"),1+IF(changes[[#This Row],[Type of change]] = "Edit",COUNTIFS($I$4:changes[[#This Row],[Name]],changes[[#This Row],[Name]], $E$4:changes[[#This Row],[Type of change]], "Edit")),B1584)</f>
        <v>1</v>
      </c>
      <c r="C1585" s="16">
        <v>44685</v>
      </c>
      <c r="D1585" s="1" t="s">
        <v>2509</v>
      </c>
      <c r="E1585" t="s">
        <v>27</v>
      </c>
      <c r="F1585" s="10" t="s">
        <v>9</v>
      </c>
      <c r="G1585" t="s">
        <v>126</v>
      </c>
      <c r="H1585" t="s">
        <v>55</v>
      </c>
      <c r="I1585" t="s">
        <v>2839</v>
      </c>
      <c r="K1585" s="2"/>
      <c r="M1585" s="2"/>
    </row>
    <row r="1586" spans="1:13">
      <c r="A1586" t="s">
        <v>28</v>
      </c>
      <c r="B1586">
        <f ca="1">IF(OR(changes[[#This Row],[Type]]="Checklist",changes[[#This Row],[Type]]="checklist-flat"),1+IF(changes[[#This Row],[Type of change]] = "Edit",COUNTIFS($I$4:changes[[#This Row],[Name]],changes[[#This Row],[Name]], $E$4:changes[[#This Row],[Type of change]], "Edit")),B1585)</f>
        <v>1</v>
      </c>
      <c r="C1586" s="16">
        <v>44685</v>
      </c>
      <c r="D1586" s="1" t="s">
        <v>2509</v>
      </c>
      <c r="E1586" t="s">
        <v>27</v>
      </c>
      <c r="F1586" s="10" t="s">
        <v>9</v>
      </c>
      <c r="G1586" t="s">
        <v>126</v>
      </c>
      <c r="H1586" t="s">
        <v>55</v>
      </c>
      <c r="I1586" t="s">
        <v>131</v>
      </c>
      <c r="K1586" s="2"/>
      <c r="M1586" s="2"/>
    </row>
    <row r="1587" spans="1:13">
      <c r="A1587" t="s">
        <v>28</v>
      </c>
      <c r="B1587">
        <f ca="1">IF(OR(changes[[#This Row],[Type]]="Checklist",changes[[#This Row],[Type]]="checklist-flat"),1+IF(changes[[#This Row],[Type of change]] = "Edit",COUNTIFS($I$4:changes[[#This Row],[Name]],changes[[#This Row],[Name]], $E$4:changes[[#This Row],[Type of change]], "Edit")),B1586)</f>
        <v>2</v>
      </c>
      <c r="C1587" s="16">
        <v>44685</v>
      </c>
      <c r="D1587" s="1" t="s">
        <v>2509</v>
      </c>
      <c r="E1587" t="s">
        <v>15</v>
      </c>
      <c r="F1587" s="10" t="s">
        <v>9</v>
      </c>
      <c r="G1587" t="s">
        <v>456</v>
      </c>
      <c r="H1587" t="s">
        <v>54</v>
      </c>
      <c r="I1587" t="s">
        <v>456</v>
      </c>
      <c r="K1587" s="2"/>
      <c r="M1587" s="2"/>
    </row>
    <row r="1588" spans="1:13">
      <c r="A1588" t="s">
        <v>28</v>
      </c>
      <c r="B1588">
        <f ca="1">IF(OR(changes[[#This Row],[Type]]="Checklist",changes[[#This Row],[Type]]="checklist-flat"),1+IF(changes[[#This Row],[Type of change]] = "Edit",COUNTIFS($I$4:changes[[#This Row],[Name]],changes[[#This Row],[Name]], $E$4:changes[[#This Row],[Type of change]], "Edit")),B1587)</f>
        <v>2</v>
      </c>
      <c r="C1588" s="16">
        <v>44685</v>
      </c>
      <c r="D1588" s="1" t="s">
        <v>2509</v>
      </c>
      <c r="E1588" t="s">
        <v>15</v>
      </c>
      <c r="F1588" s="10" t="s">
        <v>9</v>
      </c>
      <c r="G1588" t="s">
        <v>456</v>
      </c>
      <c r="H1588" t="s">
        <v>55</v>
      </c>
      <c r="I1588" t="s">
        <v>457</v>
      </c>
      <c r="K1588" s="2"/>
      <c r="M1588" s="2" t="s">
        <v>2840</v>
      </c>
    </row>
    <row r="1589" spans="1:13">
      <c r="A1589" t="s">
        <v>28</v>
      </c>
      <c r="B1589">
        <f ca="1">IF(OR(changes[[#This Row],[Type]]="Checklist",changes[[#This Row],[Type]]="checklist-flat"),1+IF(changes[[#This Row],[Type of change]] = "Edit",COUNTIFS($I$4:changes[[#This Row],[Name]],changes[[#This Row],[Name]], $E$4:changes[[#This Row],[Type of change]], "Edit")),B1588)</f>
        <v>2</v>
      </c>
      <c r="C1589" s="16">
        <v>44685</v>
      </c>
      <c r="D1589" s="1" t="s">
        <v>2509</v>
      </c>
      <c r="E1589" t="s">
        <v>15</v>
      </c>
      <c r="F1589" s="10" t="s">
        <v>9</v>
      </c>
      <c r="G1589" t="s">
        <v>456</v>
      </c>
      <c r="H1589" t="s">
        <v>55</v>
      </c>
      <c r="I1589" t="s">
        <v>458</v>
      </c>
      <c r="K1589" s="2"/>
      <c r="M1589" s="2"/>
    </row>
    <row r="1590" spans="1:13">
      <c r="A1590" t="s">
        <v>28</v>
      </c>
      <c r="B1590">
        <f ca="1">IF(OR(changes[[#This Row],[Type]]="Checklist",changes[[#This Row],[Type]]="checklist-flat"),1+IF(changes[[#This Row],[Type of change]] = "Edit",COUNTIFS($I$4:changes[[#This Row],[Name]],changes[[#This Row],[Name]], $E$4:changes[[#This Row],[Type of change]], "Edit")),B1589)</f>
        <v>2</v>
      </c>
      <c r="C1590" s="16">
        <v>44685</v>
      </c>
      <c r="D1590" s="1" t="s">
        <v>2509</v>
      </c>
      <c r="E1590" t="s">
        <v>15</v>
      </c>
      <c r="F1590" s="10" t="s">
        <v>9</v>
      </c>
      <c r="G1590" t="s">
        <v>456</v>
      </c>
      <c r="H1590" t="s">
        <v>55</v>
      </c>
      <c r="I1590" t="s">
        <v>459</v>
      </c>
      <c r="K1590" s="2"/>
      <c r="M1590" s="2"/>
    </row>
    <row r="1591" spans="1:13">
      <c r="A1591" t="s">
        <v>28</v>
      </c>
      <c r="B1591">
        <f ca="1">IF(OR(changes[[#This Row],[Type]]="Checklist",changes[[#This Row],[Type]]="checklist-flat"),1+IF(changes[[#This Row],[Type of change]] = "Edit",COUNTIFS($I$4:changes[[#This Row],[Name]],changes[[#This Row],[Name]], $E$4:changes[[#This Row],[Type of change]], "Edit")),B1590)</f>
        <v>2</v>
      </c>
      <c r="C1591" s="16">
        <v>44685</v>
      </c>
      <c r="D1591" s="1" t="s">
        <v>2509</v>
      </c>
      <c r="E1591" t="s">
        <v>15</v>
      </c>
      <c r="F1591" s="10" t="s">
        <v>9</v>
      </c>
      <c r="G1591" t="s">
        <v>417</v>
      </c>
      <c r="H1591" t="s">
        <v>54</v>
      </c>
      <c r="I1591" t="s">
        <v>417</v>
      </c>
      <c r="K1591" s="2"/>
      <c r="M1591" s="2"/>
    </row>
    <row r="1592" spans="1:13">
      <c r="A1592" t="s">
        <v>28</v>
      </c>
      <c r="B1592">
        <f ca="1">IF(OR(changes[[#This Row],[Type]]="Checklist",changes[[#This Row],[Type]]="checklist-flat"),1+IF(changes[[#This Row],[Type of change]] = "Edit",COUNTIFS($I$4:changes[[#This Row],[Name]],changes[[#This Row],[Name]], $E$4:changes[[#This Row],[Type of change]], "Edit")),B1591)</f>
        <v>2</v>
      </c>
      <c r="C1592" s="16">
        <v>44685</v>
      </c>
      <c r="D1592" s="1" t="s">
        <v>2509</v>
      </c>
      <c r="E1592" t="s">
        <v>15</v>
      </c>
      <c r="F1592" s="10" t="s">
        <v>9</v>
      </c>
      <c r="G1592" t="s">
        <v>417</v>
      </c>
      <c r="H1592" t="s">
        <v>55</v>
      </c>
      <c r="I1592" t="s">
        <v>418</v>
      </c>
      <c r="K1592" s="2"/>
      <c r="M1592" s="2" t="s">
        <v>2841</v>
      </c>
    </row>
    <row r="1593" spans="1:13">
      <c r="A1593" t="s">
        <v>28</v>
      </c>
      <c r="B1593">
        <f ca="1">IF(OR(changes[[#This Row],[Type]]="Checklist",changes[[#This Row],[Type]]="checklist-flat"),1+IF(changes[[#This Row],[Type of change]] = "Edit",COUNTIFS($I$4:changes[[#This Row],[Name]],changes[[#This Row],[Name]], $E$4:changes[[#This Row],[Type of change]], "Edit")),B1592)</f>
        <v>2</v>
      </c>
      <c r="C1593" s="16">
        <v>44685</v>
      </c>
      <c r="D1593" s="1" t="s">
        <v>2509</v>
      </c>
      <c r="E1593" t="s">
        <v>15</v>
      </c>
      <c r="F1593" s="10" t="s">
        <v>9</v>
      </c>
      <c r="G1593" t="s">
        <v>417</v>
      </c>
      <c r="H1593" t="s">
        <v>437</v>
      </c>
      <c r="I1593" t="s">
        <v>419</v>
      </c>
      <c r="J1593" t="s">
        <v>1272</v>
      </c>
      <c r="K1593" s="2"/>
      <c r="M1593" s="2" t="s">
        <v>2842</v>
      </c>
    </row>
    <row r="1594" spans="1:13">
      <c r="A1594" t="s">
        <v>28</v>
      </c>
      <c r="B1594">
        <f ca="1">IF(OR(changes[[#This Row],[Type]]="Checklist",changes[[#This Row],[Type]]="checklist-flat"),1+IF(changes[[#This Row],[Type of change]] = "Edit",COUNTIFS($I$4:changes[[#This Row],[Name]],changes[[#This Row],[Name]], $E$4:changes[[#This Row],[Type of change]], "Edit")),B1593)</f>
        <v>2</v>
      </c>
      <c r="C1594" s="16">
        <v>44685</v>
      </c>
      <c r="D1594" s="1" t="s">
        <v>2509</v>
      </c>
      <c r="E1594" t="s">
        <v>15</v>
      </c>
      <c r="F1594" s="10" t="s">
        <v>9</v>
      </c>
      <c r="G1594" t="s">
        <v>417</v>
      </c>
      <c r="H1594" t="s">
        <v>420</v>
      </c>
      <c r="I1594" t="s">
        <v>421</v>
      </c>
      <c r="J1594" t="s">
        <v>1272</v>
      </c>
      <c r="K1594" s="2"/>
      <c r="M1594" s="2"/>
    </row>
    <row r="1595" spans="1:13">
      <c r="A1595" t="s">
        <v>28</v>
      </c>
      <c r="B1595">
        <f ca="1">IF(OR(changes[[#This Row],[Type]]="Checklist",changes[[#This Row],[Type]]="checklist-flat"),1+IF(changes[[#This Row],[Type of change]] = "Edit",COUNTIFS($I$4:changes[[#This Row],[Name]],changes[[#This Row],[Name]], $E$4:changes[[#This Row],[Type of change]], "Edit")),B1594)</f>
        <v>2</v>
      </c>
      <c r="C1595" s="16">
        <v>44685</v>
      </c>
      <c r="D1595" s="1" t="s">
        <v>2509</v>
      </c>
      <c r="E1595" t="s">
        <v>15</v>
      </c>
      <c r="F1595" s="10" t="s">
        <v>9</v>
      </c>
      <c r="G1595" t="s">
        <v>417</v>
      </c>
      <c r="H1595" t="s">
        <v>64</v>
      </c>
      <c r="I1595" t="s">
        <v>422</v>
      </c>
      <c r="K1595" s="2"/>
      <c r="M1595" s="2"/>
    </row>
    <row r="1596" spans="1:13">
      <c r="A1596" t="s">
        <v>28</v>
      </c>
      <c r="B1596">
        <f ca="1">IF(OR(changes[[#This Row],[Type]]="Checklist",changes[[#This Row],[Type]]="checklist-flat"),1+IF(changes[[#This Row],[Type of change]] = "Edit",COUNTIFS($I$4:changes[[#This Row],[Name]],changes[[#This Row],[Name]], $E$4:changes[[#This Row],[Type of change]], "Edit")),B1595)</f>
        <v>1</v>
      </c>
      <c r="C1596" s="16">
        <v>44700</v>
      </c>
      <c r="D1596" s="1" t="s">
        <v>2810</v>
      </c>
      <c r="E1596" t="s">
        <v>27</v>
      </c>
      <c r="F1596" s="10" t="s">
        <v>9</v>
      </c>
      <c r="G1596" t="s">
        <v>2005</v>
      </c>
      <c r="H1596" t="s">
        <v>54</v>
      </c>
      <c r="I1596" t="s">
        <v>2005</v>
      </c>
      <c r="K1596" s="2"/>
      <c r="M1596" s="2"/>
    </row>
    <row r="1597" spans="1:13">
      <c r="A1597" t="s">
        <v>28</v>
      </c>
      <c r="B1597">
        <f ca="1">IF(OR(changes[[#This Row],[Type]]="Checklist",changes[[#This Row],[Type]]="checklist-flat"),1+IF(changes[[#This Row],[Type of change]] = "Edit",COUNTIFS($I$4:changes[[#This Row],[Name]],changes[[#This Row],[Name]], $E$4:changes[[#This Row],[Type of change]], "Edit")),B1596)</f>
        <v>1</v>
      </c>
      <c r="C1597" s="16">
        <v>44700</v>
      </c>
      <c r="D1597" s="1" t="s">
        <v>2810</v>
      </c>
      <c r="E1597" t="s">
        <v>27</v>
      </c>
      <c r="F1597" s="10" t="s">
        <v>9</v>
      </c>
      <c r="G1597" t="s">
        <v>2005</v>
      </c>
      <c r="H1597" t="s">
        <v>55</v>
      </c>
      <c r="I1597" t="s">
        <v>2006</v>
      </c>
      <c r="K1597" s="2"/>
      <c r="M1597" s="2"/>
    </row>
    <row r="1598" spans="1:13">
      <c r="A1598" t="s">
        <v>28</v>
      </c>
      <c r="B1598">
        <f ca="1">IF(OR(changes[[#This Row],[Type]]="Checklist",changes[[#This Row],[Type]]="checklist-flat"),1+IF(changes[[#This Row],[Type of change]] = "Edit",COUNTIFS($I$4:changes[[#This Row],[Name]],changes[[#This Row],[Name]], $E$4:changes[[#This Row],[Type of change]], "Edit")),B1597)</f>
        <v>1</v>
      </c>
      <c r="C1598" s="16">
        <v>44700</v>
      </c>
      <c r="D1598" s="1" t="s">
        <v>2810</v>
      </c>
      <c r="E1598" t="s">
        <v>27</v>
      </c>
      <c r="F1598" s="10" t="s">
        <v>9</v>
      </c>
      <c r="G1598" t="s">
        <v>2005</v>
      </c>
      <c r="H1598" t="s">
        <v>55</v>
      </c>
      <c r="I1598" t="s">
        <v>1089</v>
      </c>
      <c r="K1598" s="2"/>
      <c r="M1598" s="2"/>
    </row>
    <row r="1599" spans="1:13">
      <c r="A1599" t="s">
        <v>28</v>
      </c>
      <c r="B1599">
        <f ca="1">IF(OR(changes[[#This Row],[Type]]="Checklist",changes[[#This Row],[Type]]="checklist-flat"),1+IF(changes[[#This Row],[Type of change]] = "Edit",COUNTIFS($I$4:changes[[#This Row],[Name]],changes[[#This Row],[Name]], $E$4:changes[[#This Row],[Type of change]], "Edit")),B1598)</f>
        <v>1</v>
      </c>
      <c r="C1599" s="16">
        <v>44700</v>
      </c>
      <c r="D1599" s="1" t="s">
        <v>2810</v>
      </c>
      <c r="E1599" t="s">
        <v>27</v>
      </c>
      <c r="F1599" s="10" t="s">
        <v>9</v>
      </c>
      <c r="G1599" t="s">
        <v>2005</v>
      </c>
      <c r="H1599" t="s">
        <v>55</v>
      </c>
      <c r="I1599" t="s">
        <v>1090</v>
      </c>
      <c r="K1599" s="2"/>
      <c r="M1599" s="2"/>
    </row>
    <row r="1600" spans="1:13">
      <c r="A1600" t="s">
        <v>28</v>
      </c>
      <c r="B1600">
        <f ca="1">IF(OR(changes[[#This Row],[Type]]="Checklist",changes[[#This Row],[Type]]="checklist-flat"),1+IF(changes[[#This Row],[Type of change]] = "Edit",COUNTIFS($I$4:changes[[#This Row],[Name]],changes[[#This Row],[Name]], $E$4:changes[[#This Row],[Type of change]], "Edit")),B1599)</f>
        <v>1</v>
      </c>
      <c r="C1600" s="16">
        <v>44700</v>
      </c>
      <c r="D1600" s="1" t="s">
        <v>2810</v>
      </c>
      <c r="E1600" t="s">
        <v>27</v>
      </c>
      <c r="F1600" s="10" t="s">
        <v>9</v>
      </c>
      <c r="G1600" t="s">
        <v>1087</v>
      </c>
      <c r="H1600" t="s">
        <v>54</v>
      </c>
      <c r="I1600" t="s">
        <v>1087</v>
      </c>
      <c r="K1600" s="2"/>
      <c r="M1600" s="2"/>
    </row>
    <row r="1601" spans="1:13">
      <c r="A1601" t="s">
        <v>28</v>
      </c>
      <c r="B1601">
        <f ca="1">IF(OR(changes[[#This Row],[Type]]="Checklist",changes[[#This Row],[Type]]="checklist-flat"),1+IF(changes[[#This Row],[Type of change]] = "Edit",COUNTIFS($I$4:changes[[#This Row],[Name]],changes[[#This Row],[Name]], $E$4:changes[[#This Row],[Type of change]], "Edit")),B1600)</f>
        <v>1</v>
      </c>
      <c r="C1601" s="16">
        <v>44700</v>
      </c>
      <c r="D1601" s="1" t="s">
        <v>2810</v>
      </c>
      <c r="E1601" t="s">
        <v>27</v>
      </c>
      <c r="F1601" s="10" t="s">
        <v>9</v>
      </c>
      <c r="G1601" t="s">
        <v>1087</v>
      </c>
      <c r="H1601" t="s">
        <v>55</v>
      </c>
      <c r="I1601" t="s">
        <v>1088</v>
      </c>
      <c r="K1601" s="2"/>
      <c r="M1601" s="2"/>
    </row>
    <row r="1602" spans="1:13">
      <c r="A1602" t="s">
        <v>28</v>
      </c>
      <c r="B1602">
        <f ca="1">IF(OR(changes[[#This Row],[Type]]="Checklist",changes[[#This Row],[Type]]="checklist-flat"),1+IF(changes[[#This Row],[Type of change]] = "Edit",COUNTIFS($I$4:changes[[#This Row],[Name]],changes[[#This Row],[Name]], $E$4:changes[[#This Row],[Type of change]], "Edit")),B1601)</f>
        <v>1</v>
      </c>
      <c r="C1602" s="16">
        <v>44700</v>
      </c>
      <c r="D1602" s="1" t="s">
        <v>2810</v>
      </c>
      <c r="E1602" t="s">
        <v>27</v>
      </c>
      <c r="F1602" s="10" t="s">
        <v>9</v>
      </c>
      <c r="G1602" t="s">
        <v>1087</v>
      </c>
      <c r="H1602" t="s">
        <v>55</v>
      </c>
      <c r="I1602" t="s">
        <v>1089</v>
      </c>
      <c r="K1602" s="2"/>
      <c r="M1602" s="2"/>
    </row>
    <row r="1603" spans="1:13">
      <c r="A1603" t="s">
        <v>28</v>
      </c>
      <c r="B1603">
        <f ca="1">IF(OR(changes[[#This Row],[Type]]="Checklist",changes[[#This Row],[Type]]="checklist-flat"),1+IF(changes[[#This Row],[Type of change]] = "Edit",COUNTIFS($I$4:changes[[#This Row],[Name]],changes[[#This Row],[Name]], $E$4:changes[[#This Row],[Type of change]], "Edit")),B1602)</f>
        <v>1</v>
      </c>
      <c r="C1603" s="16">
        <v>44700</v>
      </c>
      <c r="D1603" s="1" t="s">
        <v>2810</v>
      </c>
      <c r="E1603" t="s">
        <v>27</v>
      </c>
      <c r="F1603" s="10" t="s">
        <v>9</v>
      </c>
      <c r="G1603" t="s">
        <v>1087</v>
      </c>
      <c r="H1603" t="s">
        <v>55</v>
      </c>
      <c r="I1603" t="s">
        <v>1090</v>
      </c>
      <c r="K1603" s="2"/>
      <c r="M1603" s="2"/>
    </row>
    <row r="1604" spans="1:13">
      <c r="A1604" t="s">
        <v>28</v>
      </c>
      <c r="B1604">
        <f ca="1">IF(OR(changes[[#This Row],[Type]]="Checklist",changes[[#This Row],[Type]]="checklist-flat"),1+IF(changes[[#This Row],[Type of change]] = "Edit",COUNTIFS($I$4:changes[[#This Row],[Name]],changes[[#This Row],[Name]], $E$4:changes[[#This Row],[Type of change]], "Edit")),B1603)</f>
        <v>1</v>
      </c>
      <c r="C1604" s="16">
        <v>44700</v>
      </c>
      <c r="D1604" s="1" t="s">
        <v>2810</v>
      </c>
      <c r="E1604" t="s">
        <v>27</v>
      </c>
      <c r="F1604" s="10" t="s">
        <v>9</v>
      </c>
      <c r="G1604" t="s">
        <v>1087</v>
      </c>
      <c r="H1604" t="s">
        <v>55</v>
      </c>
      <c r="I1604" t="s">
        <v>1079</v>
      </c>
      <c r="K1604" s="2"/>
      <c r="M1604" s="2"/>
    </row>
    <row r="1605" spans="1:13">
      <c r="A1605" t="s">
        <v>28</v>
      </c>
      <c r="B1605">
        <f ca="1">IF(OR(changes[[#This Row],[Type]]="Checklist",changes[[#This Row],[Type]]="checklist-flat"),1+IF(changes[[#This Row],[Type of change]] = "Edit",COUNTIFS($I$4:changes[[#This Row],[Name]],changes[[#This Row],[Name]], $E$4:changes[[#This Row],[Type of change]], "Edit")),B1604)</f>
        <v>1</v>
      </c>
      <c r="C1605" s="16">
        <v>44700</v>
      </c>
      <c r="D1605" s="1" t="s">
        <v>2810</v>
      </c>
      <c r="E1605" t="s">
        <v>27</v>
      </c>
      <c r="F1605" s="10" t="s">
        <v>9</v>
      </c>
      <c r="G1605" t="s">
        <v>1087</v>
      </c>
      <c r="H1605" t="s">
        <v>55</v>
      </c>
      <c r="I1605" t="s">
        <v>1091</v>
      </c>
      <c r="K1605" s="2"/>
      <c r="M1605" s="2"/>
    </row>
    <row r="1606" spans="1:13">
      <c r="A1606" t="s">
        <v>28</v>
      </c>
      <c r="B1606">
        <f ca="1">IF(OR(changes[[#This Row],[Type]]="Checklist",changes[[#This Row],[Type]]="checklist-flat"),1+IF(changes[[#This Row],[Type of change]] = "Edit",COUNTIFS($I$4:changes[[#This Row],[Name]],changes[[#This Row],[Name]], $E$4:changes[[#This Row],[Type of change]], "Edit")),B1605)</f>
        <v>1</v>
      </c>
      <c r="C1606" s="16">
        <v>44704</v>
      </c>
      <c r="D1606" s="1" t="s">
        <v>2484</v>
      </c>
      <c r="E1606" t="s">
        <v>27</v>
      </c>
      <c r="F1606" s="10" t="s">
        <v>9</v>
      </c>
      <c r="G1606" s="30" t="s">
        <v>1092</v>
      </c>
      <c r="H1606" s="30" t="s">
        <v>478</v>
      </c>
      <c r="I1606" s="30" t="s">
        <v>1092</v>
      </c>
      <c r="J1606" s="35"/>
      <c r="K1606" s="2"/>
      <c r="M1606" s="2"/>
    </row>
    <row r="1607" spans="1:13">
      <c r="A1607" t="s">
        <v>28</v>
      </c>
      <c r="B1607">
        <f ca="1">IF(OR(changes[[#This Row],[Type]]="Checklist",changes[[#This Row],[Type]]="checklist-flat"),1+IF(changes[[#This Row],[Type of change]] = "Edit",COUNTIFS($I$4:changes[[#This Row],[Name]],changes[[#This Row],[Name]], $E$4:changes[[#This Row],[Type of change]], "Edit")),B1606)</f>
        <v>1</v>
      </c>
      <c r="C1607" s="16">
        <v>44704</v>
      </c>
      <c r="D1607" s="1" t="s">
        <v>2484</v>
      </c>
      <c r="E1607" t="s">
        <v>27</v>
      </c>
      <c r="F1607" s="10" t="s">
        <v>9</v>
      </c>
      <c r="G1607" s="30" t="s">
        <v>1092</v>
      </c>
      <c r="H1607" t="s">
        <v>55</v>
      </c>
      <c r="I1607" t="s">
        <v>1093</v>
      </c>
      <c r="K1607" s="2"/>
      <c r="M1607" s="2"/>
    </row>
    <row r="1608" spans="1:13">
      <c r="A1608" t="s">
        <v>28</v>
      </c>
      <c r="B1608">
        <f ca="1">IF(OR(changes[[#This Row],[Type]]="Checklist",changes[[#This Row],[Type]]="checklist-flat"),1+IF(changes[[#This Row],[Type of change]] = "Edit",COUNTIFS($I$4:changes[[#This Row],[Name]],changes[[#This Row],[Name]], $E$4:changes[[#This Row],[Type of change]], "Edit")),B1607)</f>
        <v>1</v>
      </c>
      <c r="C1608" s="16">
        <v>44704</v>
      </c>
      <c r="D1608" s="1" t="s">
        <v>2484</v>
      </c>
      <c r="E1608" t="s">
        <v>27</v>
      </c>
      <c r="F1608" s="10" t="s">
        <v>9</v>
      </c>
      <c r="G1608" s="30" t="s">
        <v>1092</v>
      </c>
      <c r="H1608" t="s">
        <v>55</v>
      </c>
      <c r="I1608" t="s">
        <v>1094</v>
      </c>
      <c r="K1608" s="2"/>
      <c r="M1608" s="2"/>
    </row>
    <row r="1609" spans="1:13">
      <c r="A1609" t="s">
        <v>28</v>
      </c>
      <c r="B1609">
        <f ca="1">IF(OR(changes[[#This Row],[Type]]="Checklist",changes[[#This Row],[Type]]="checklist-flat"),1+IF(changes[[#This Row],[Type of change]] = "Edit",COUNTIFS($I$4:changes[[#This Row],[Name]],changes[[#This Row],[Name]], $E$4:changes[[#This Row],[Type of change]], "Edit")),B1608)</f>
        <v>1</v>
      </c>
      <c r="C1609" s="16">
        <v>44704</v>
      </c>
      <c r="D1609" s="1" t="s">
        <v>2484</v>
      </c>
      <c r="E1609" t="s">
        <v>27</v>
      </c>
      <c r="F1609" s="10" t="s">
        <v>9</v>
      </c>
      <c r="G1609" s="30" t="s">
        <v>1092</v>
      </c>
      <c r="H1609" t="s">
        <v>55</v>
      </c>
      <c r="I1609" t="s">
        <v>1095</v>
      </c>
      <c r="K1609" s="2"/>
      <c r="M1609" s="2"/>
    </row>
    <row r="1610" spans="1:13">
      <c r="A1610" t="s">
        <v>28</v>
      </c>
      <c r="B1610">
        <f ca="1">IF(OR(changes[[#This Row],[Type]]="Checklist",changes[[#This Row],[Type]]="checklist-flat"),1+IF(changes[[#This Row],[Type of change]] = "Edit",COUNTIFS($I$4:changes[[#This Row],[Name]],changes[[#This Row],[Name]], $E$4:changes[[#This Row],[Type of change]], "Edit")),B1609)</f>
        <v>1</v>
      </c>
      <c r="C1610" s="16">
        <v>44704</v>
      </c>
      <c r="D1610" s="1" t="s">
        <v>2484</v>
      </c>
      <c r="E1610" t="s">
        <v>27</v>
      </c>
      <c r="F1610" s="10" t="s">
        <v>9</v>
      </c>
      <c r="G1610" s="30" t="s">
        <v>1092</v>
      </c>
      <c r="H1610" t="s">
        <v>55</v>
      </c>
      <c r="I1610" t="s">
        <v>1096</v>
      </c>
      <c r="K1610" s="2"/>
      <c r="M1610" s="2"/>
    </row>
    <row r="1611" spans="1:13">
      <c r="A1611" t="s">
        <v>28</v>
      </c>
      <c r="B1611">
        <f ca="1">IF(OR(changes[[#This Row],[Type]]="Checklist",changes[[#This Row],[Type]]="checklist-flat"),1+IF(changes[[#This Row],[Type of change]] = "Edit",COUNTIFS($I$4:changes[[#This Row],[Name]],changes[[#This Row],[Name]], $E$4:changes[[#This Row],[Type of change]], "Edit")),B1610)</f>
        <v>1</v>
      </c>
      <c r="C1611" s="16">
        <v>44704</v>
      </c>
      <c r="D1611" s="1" t="s">
        <v>2484</v>
      </c>
      <c r="E1611" t="s">
        <v>27</v>
      </c>
      <c r="F1611" s="10" t="s">
        <v>9</v>
      </c>
      <c r="G1611" s="30" t="s">
        <v>1092</v>
      </c>
      <c r="H1611" t="s">
        <v>55</v>
      </c>
      <c r="I1611" t="s">
        <v>1098</v>
      </c>
      <c r="K1611" s="2"/>
      <c r="M1611" s="2"/>
    </row>
    <row r="1612" spans="1:13">
      <c r="A1612" t="s">
        <v>28</v>
      </c>
      <c r="B1612">
        <f ca="1">IF(OR(changes[[#This Row],[Type]]="Checklist",changes[[#This Row],[Type]]="checklist-flat"),1+IF(changes[[#This Row],[Type of change]] = "Edit",COUNTIFS($I$4:changes[[#This Row],[Name]],changes[[#This Row],[Name]], $E$4:changes[[#This Row],[Type of change]], "Edit")),B1611)</f>
        <v>1</v>
      </c>
      <c r="C1612" s="16">
        <v>44704</v>
      </c>
      <c r="D1612" s="1" t="s">
        <v>2484</v>
      </c>
      <c r="E1612" t="s">
        <v>27</v>
      </c>
      <c r="F1612" s="10" t="s">
        <v>9</v>
      </c>
      <c r="G1612" s="30" t="s">
        <v>1092</v>
      </c>
      <c r="H1612" t="s">
        <v>55</v>
      </c>
      <c r="I1612" t="s">
        <v>1101</v>
      </c>
      <c r="K1612" s="2"/>
      <c r="M1612" s="2"/>
    </row>
    <row r="1613" spans="1:13">
      <c r="A1613" t="s">
        <v>28</v>
      </c>
      <c r="B1613">
        <f ca="1">IF(OR(changes[[#This Row],[Type]]="Checklist",changes[[#This Row],[Type]]="checklist-flat"),1+IF(changes[[#This Row],[Type of change]] = "Edit",COUNTIFS($I$4:changes[[#This Row],[Name]],changes[[#This Row],[Name]], $E$4:changes[[#This Row],[Type of change]], "Edit")),B1612)</f>
        <v>1</v>
      </c>
      <c r="C1613" s="16">
        <v>44704</v>
      </c>
      <c r="D1613" s="1" t="s">
        <v>2810</v>
      </c>
      <c r="E1613" t="s">
        <v>27</v>
      </c>
      <c r="F1613" s="10" t="s">
        <v>9</v>
      </c>
      <c r="G1613" t="s">
        <v>1135</v>
      </c>
      <c r="H1613" t="s">
        <v>54</v>
      </c>
      <c r="I1613" t="s">
        <v>1135</v>
      </c>
      <c r="K1613" s="2"/>
      <c r="M1613" s="2"/>
    </row>
    <row r="1614" spans="1:13">
      <c r="A1614" t="s">
        <v>28</v>
      </c>
      <c r="B1614">
        <f ca="1">IF(OR(changes[[#This Row],[Type]]="Checklist",changes[[#This Row],[Type]]="checklist-flat"),1+IF(changes[[#This Row],[Type of change]] = "Edit",COUNTIFS($I$4:changes[[#This Row],[Name]],changes[[#This Row],[Name]], $E$4:changes[[#This Row],[Type of change]], "Edit")),B1613)</f>
        <v>1</v>
      </c>
      <c r="C1614" s="16">
        <v>44704</v>
      </c>
      <c r="D1614" s="1" t="s">
        <v>2810</v>
      </c>
      <c r="E1614" t="s">
        <v>27</v>
      </c>
      <c r="F1614" s="10" t="s">
        <v>9</v>
      </c>
      <c r="G1614" t="s">
        <v>1135</v>
      </c>
      <c r="H1614" t="s">
        <v>55</v>
      </c>
      <c r="I1614" t="s">
        <v>1136</v>
      </c>
      <c r="K1614" s="2"/>
      <c r="M1614" s="2"/>
    </row>
    <row r="1615" spans="1:13">
      <c r="A1615" t="s">
        <v>28</v>
      </c>
      <c r="B1615">
        <f ca="1">IF(OR(changes[[#This Row],[Type]]="Checklist",changes[[#This Row],[Type]]="checklist-flat"),1+IF(changes[[#This Row],[Type of change]] = "Edit",COUNTIFS($I$4:changes[[#This Row],[Name]],changes[[#This Row],[Name]], $E$4:changes[[#This Row],[Type of change]], "Edit")),B1614)</f>
        <v>1</v>
      </c>
      <c r="C1615" s="16">
        <v>44704</v>
      </c>
      <c r="D1615" s="1" t="s">
        <v>2810</v>
      </c>
      <c r="E1615" t="s">
        <v>27</v>
      </c>
      <c r="F1615" s="10" t="s">
        <v>9</v>
      </c>
      <c r="G1615" t="s">
        <v>1135</v>
      </c>
      <c r="H1615" t="s">
        <v>55</v>
      </c>
      <c r="I1615" t="s">
        <v>1089</v>
      </c>
      <c r="K1615" s="2"/>
      <c r="M1615" s="2"/>
    </row>
    <row r="1616" spans="1:13">
      <c r="A1616" t="s">
        <v>28</v>
      </c>
      <c r="B1616">
        <f ca="1">IF(OR(changes[[#This Row],[Type]]="Checklist",changes[[#This Row],[Type]]="checklist-flat"),1+IF(changes[[#This Row],[Type of change]] = "Edit",COUNTIFS($I$4:changes[[#This Row],[Name]],changes[[#This Row],[Name]], $E$4:changes[[#This Row],[Type of change]], "Edit")),B1615)</f>
        <v>1</v>
      </c>
      <c r="C1616" s="16">
        <v>44704</v>
      </c>
      <c r="D1616" s="1" t="s">
        <v>2810</v>
      </c>
      <c r="E1616" t="s">
        <v>27</v>
      </c>
      <c r="F1616" s="10" t="s">
        <v>9</v>
      </c>
      <c r="G1616" t="s">
        <v>1135</v>
      </c>
      <c r="H1616" t="s">
        <v>55</v>
      </c>
      <c r="I1616" t="s">
        <v>1090</v>
      </c>
      <c r="K1616" s="2"/>
      <c r="M1616" s="2"/>
    </row>
    <row r="1617" spans="1:13">
      <c r="A1617" t="s">
        <v>28</v>
      </c>
      <c r="B1617">
        <f ca="1">IF(OR(changes[[#This Row],[Type]]="Checklist",changes[[#This Row],[Type]]="checklist-flat"),1+IF(changes[[#This Row],[Type of change]] = "Edit",COUNTIFS($I$4:changes[[#This Row],[Name]],changes[[#This Row],[Name]], $E$4:changes[[#This Row],[Type of change]], "Edit")),B1616)</f>
        <v>2</v>
      </c>
      <c r="C1617" s="16">
        <v>44706</v>
      </c>
      <c r="D1617" s="1" t="s">
        <v>2843</v>
      </c>
      <c r="E1617" t="s">
        <v>15</v>
      </c>
      <c r="F1617" s="10" t="s">
        <v>9</v>
      </c>
      <c r="G1617" t="s">
        <v>2844</v>
      </c>
      <c r="H1617" t="s">
        <v>54</v>
      </c>
      <c r="I1617" t="s">
        <v>2845</v>
      </c>
      <c r="K1617" s="2"/>
      <c r="M1617" s="2" t="s">
        <v>2846</v>
      </c>
    </row>
    <row r="1618" spans="1:13">
      <c r="A1618" t="s">
        <v>28</v>
      </c>
      <c r="B1618">
        <f ca="1">IF(OR(changes[[#This Row],[Type]]="Checklist",changes[[#This Row],[Type]]="checklist-flat"),1+IF(changes[[#This Row],[Type of change]] = "Edit",COUNTIFS($I$4:changes[[#This Row],[Name]],changes[[#This Row],[Name]], $E$4:changes[[#This Row],[Type of change]], "Edit")),B1617)</f>
        <v>2</v>
      </c>
      <c r="C1618" s="16">
        <v>44706</v>
      </c>
      <c r="D1618" s="1" t="s">
        <v>2843</v>
      </c>
      <c r="E1618" t="s">
        <v>15</v>
      </c>
      <c r="F1618" s="10" t="s">
        <v>9</v>
      </c>
      <c r="G1618" t="s">
        <v>2844</v>
      </c>
      <c r="H1618" t="s">
        <v>55</v>
      </c>
      <c r="I1618" t="s">
        <v>874</v>
      </c>
      <c r="K1618" s="2"/>
      <c r="M1618" s="2"/>
    </row>
    <row r="1619" spans="1:13">
      <c r="A1619" t="s">
        <v>28</v>
      </c>
      <c r="B1619">
        <f ca="1">IF(OR(changes[[#This Row],[Type]]="Checklist",changes[[#This Row],[Type]]="checklist-flat"),1+IF(changes[[#This Row],[Type of change]] = "Edit",COUNTIFS($I$4:changes[[#This Row],[Name]],changes[[#This Row],[Name]], $E$4:changes[[#This Row],[Type of change]], "Edit")),B1618)</f>
        <v>2</v>
      </c>
      <c r="C1619" s="16">
        <v>44706</v>
      </c>
      <c r="D1619" s="1" t="s">
        <v>2843</v>
      </c>
      <c r="E1619" t="s">
        <v>15</v>
      </c>
      <c r="F1619" s="10" t="s">
        <v>9</v>
      </c>
      <c r="G1619" t="s">
        <v>2844</v>
      </c>
      <c r="H1619" t="s">
        <v>55</v>
      </c>
      <c r="I1619" t="s">
        <v>875</v>
      </c>
      <c r="K1619" s="2"/>
      <c r="M1619" s="2"/>
    </row>
    <row r="1620" spans="1:13">
      <c r="A1620" t="s">
        <v>28</v>
      </c>
      <c r="B1620">
        <f ca="1">IF(OR(changes[[#This Row],[Type]]="Checklist",changes[[#This Row],[Type]]="checklist-flat"),1+IF(changes[[#This Row],[Type of change]] = "Edit",COUNTIFS($I$4:changes[[#This Row],[Name]],changes[[#This Row],[Name]], $E$4:changes[[#This Row],[Type of change]], "Edit")),B1619)</f>
        <v>2</v>
      </c>
      <c r="C1620" s="16">
        <v>44706</v>
      </c>
      <c r="D1620" s="1" t="s">
        <v>2843</v>
      </c>
      <c r="E1620" t="s">
        <v>15</v>
      </c>
      <c r="F1620" s="10" t="s">
        <v>9</v>
      </c>
      <c r="G1620" t="s">
        <v>2844</v>
      </c>
      <c r="H1620" t="s">
        <v>55</v>
      </c>
      <c r="I1620" t="s">
        <v>876</v>
      </c>
      <c r="K1620" s="2"/>
      <c r="M1620" s="2"/>
    </row>
    <row r="1621" spans="1:13">
      <c r="A1621" t="s">
        <v>28</v>
      </c>
      <c r="B1621">
        <f ca="1">IF(OR(changes[[#This Row],[Type]]="Checklist",changes[[#This Row],[Type]]="checklist-flat"),1+IF(changes[[#This Row],[Type of change]] = "Edit",COUNTIFS($I$4:changes[[#This Row],[Name]],changes[[#This Row],[Name]], $E$4:changes[[#This Row],[Type of change]], "Edit")),B1620)</f>
        <v>2</v>
      </c>
      <c r="C1621" s="16">
        <v>44706</v>
      </c>
      <c r="D1621" s="1" t="s">
        <v>2843</v>
      </c>
      <c r="E1621" t="s">
        <v>15</v>
      </c>
      <c r="F1621" s="10" t="s">
        <v>9</v>
      </c>
      <c r="G1621" t="s">
        <v>2844</v>
      </c>
      <c r="H1621" t="s">
        <v>55</v>
      </c>
      <c r="I1621" t="s">
        <v>877</v>
      </c>
      <c r="K1621" s="2"/>
      <c r="M1621" s="2"/>
    </row>
    <row r="1622" spans="1:13">
      <c r="A1622" t="s">
        <v>28</v>
      </c>
      <c r="B1622">
        <f ca="1">IF(OR(changes[[#This Row],[Type]]="Checklist",changes[[#This Row],[Type]]="checklist-flat"),1+IF(changes[[#This Row],[Type of change]] = "Edit",COUNTIFS($I$4:changes[[#This Row],[Name]],changes[[#This Row],[Name]], $E$4:changes[[#This Row],[Type of change]], "Edit")),B1621)</f>
        <v>2</v>
      </c>
      <c r="C1622" s="16">
        <v>44706</v>
      </c>
      <c r="D1622" s="1" t="s">
        <v>2843</v>
      </c>
      <c r="E1622" t="s">
        <v>15</v>
      </c>
      <c r="F1622" s="10" t="s">
        <v>9</v>
      </c>
      <c r="G1622" t="s">
        <v>2844</v>
      </c>
      <c r="H1622" t="s">
        <v>55</v>
      </c>
      <c r="I1622" t="s">
        <v>878</v>
      </c>
      <c r="K1622" s="2"/>
      <c r="M1622" s="2"/>
    </row>
    <row r="1623" spans="1:13">
      <c r="A1623" t="s">
        <v>28</v>
      </c>
      <c r="B1623">
        <f ca="1">IF(OR(changes[[#This Row],[Type]]="Checklist",changes[[#This Row],[Type]]="checklist-flat"),1+IF(changes[[#This Row],[Type of change]] = "Edit",COUNTIFS($I$4:changes[[#This Row],[Name]],changes[[#This Row],[Name]], $E$4:changes[[#This Row],[Type of change]], "Edit")),B1622)</f>
        <v>2</v>
      </c>
      <c r="C1623" s="16">
        <v>44706</v>
      </c>
      <c r="D1623" s="1" t="s">
        <v>2843</v>
      </c>
      <c r="E1623" t="s">
        <v>15</v>
      </c>
      <c r="F1623" s="10" t="s">
        <v>9</v>
      </c>
      <c r="G1623" t="s">
        <v>2844</v>
      </c>
      <c r="H1623" t="s">
        <v>55</v>
      </c>
      <c r="I1623" t="s">
        <v>879</v>
      </c>
      <c r="K1623" s="2"/>
      <c r="M1623" s="2"/>
    </row>
    <row r="1624" spans="1:13">
      <c r="A1624" t="s">
        <v>28</v>
      </c>
      <c r="B1624">
        <f ca="1">IF(OR(changes[[#This Row],[Type]]="Checklist",changes[[#This Row],[Type]]="checklist-flat"),1+IF(changes[[#This Row],[Type of change]] = "Edit",COUNTIFS($I$4:changes[[#This Row],[Name]],changes[[#This Row],[Name]], $E$4:changes[[#This Row],[Type of change]], "Edit")),B1623)</f>
        <v>2</v>
      </c>
      <c r="C1624" s="16">
        <v>44706</v>
      </c>
      <c r="D1624" s="1" t="s">
        <v>2843</v>
      </c>
      <c r="E1624" t="s">
        <v>15</v>
      </c>
      <c r="F1624" s="10" t="s">
        <v>9</v>
      </c>
      <c r="G1624" t="s">
        <v>2844</v>
      </c>
      <c r="H1624" t="s">
        <v>55</v>
      </c>
      <c r="I1624" t="s">
        <v>779</v>
      </c>
      <c r="K1624" s="2"/>
      <c r="M1624" s="2"/>
    </row>
    <row r="1625" spans="1:13">
      <c r="A1625" t="s">
        <v>28</v>
      </c>
      <c r="B1625">
        <f ca="1">IF(OR(changes[[#This Row],[Type]]="Checklist",changes[[#This Row],[Type]]="checklist-flat"),1+IF(changes[[#This Row],[Type of change]] = "Edit",COUNTIFS($I$4:changes[[#This Row],[Name]],changes[[#This Row],[Name]], $E$4:changes[[#This Row],[Type of change]], "Edit")),B1624)</f>
        <v>2</v>
      </c>
      <c r="C1625" s="16">
        <v>44706</v>
      </c>
      <c r="D1625" s="1" t="s">
        <v>2843</v>
      </c>
      <c r="E1625" t="s">
        <v>15</v>
      </c>
      <c r="F1625" s="10" t="s">
        <v>9</v>
      </c>
      <c r="G1625" t="s">
        <v>2844</v>
      </c>
      <c r="H1625" t="s">
        <v>55</v>
      </c>
      <c r="I1625" t="s">
        <v>880</v>
      </c>
      <c r="K1625" s="2"/>
      <c r="M1625" s="2"/>
    </row>
    <row r="1626" spans="1:13">
      <c r="A1626" t="s">
        <v>28</v>
      </c>
      <c r="B1626">
        <f ca="1">IF(OR(changes[[#This Row],[Type]]="Checklist",changes[[#This Row],[Type]]="checklist-flat"),1+IF(changes[[#This Row],[Type of change]] = "Edit",COUNTIFS($I$4:changes[[#This Row],[Name]],changes[[#This Row],[Name]], $E$4:changes[[#This Row],[Type of change]], "Edit")),B1625)</f>
        <v>2</v>
      </c>
      <c r="C1626" s="16">
        <v>44706</v>
      </c>
      <c r="D1626" s="1" t="s">
        <v>2843</v>
      </c>
      <c r="E1626" t="s">
        <v>15</v>
      </c>
      <c r="F1626" s="10" t="s">
        <v>9</v>
      </c>
      <c r="G1626" t="s">
        <v>2844</v>
      </c>
      <c r="H1626" t="s">
        <v>55</v>
      </c>
      <c r="I1626" t="s">
        <v>881</v>
      </c>
      <c r="K1626" s="2"/>
      <c r="M1626" s="2"/>
    </row>
    <row r="1627" spans="1:13">
      <c r="A1627" t="s">
        <v>28</v>
      </c>
      <c r="B1627">
        <f ca="1">IF(OR(changes[[#This Row],[Type]]="Checklist",changes[[#This Row],[Type]]="checklist-flat"),1+IF(changes[[#This Row],[Type of change]] = "Edit",COUNTIFS($I$4:changes[[#This Row],[Name]],changes[[#This Row],[Name]], $E$4:changes[[#This Row],[Type of change]], "Edit")),B1626)</f>
        <v>1</v>
      </c>
      <c r="C1627" s="16">
        <v>44706</v>
      </c>
      <c r="D1627" s="1" t="s">
        <v>2817</v>
      </c>
      <c r="E1627" t="s">
        <v>27</v>
      </c>
      <c r="F1627" s="10" t="s">
        <v>9</v>
      </c>
      <c r="G1627" s="10" t="s">
        <v>1757</v>
      </c>
      <c r="H1627" t="s">
        <v>54</v>
      </c>
      <c r="I1627" s="10" t="s">
        <v>1757</v>
      </c>
      <c r="K1627" s="2"/>
      <c r="L1627">
        <v>1</v>
      </c>
      <c r="M1627" s="2"/>
    </row>
    <row r="1628" spans="1:13">
      <c r="A1628" t="s">
        <v>28</v>
      </c>
      <c r="B1628">
        <f ca="1">IF(OR(changes[[#This Row],[Type]]="Checklist",changes[[#This Row],[Type]]="checklist-flat"),1+IF(changes[[#This Row],[Type of change]] = "Edit",COUNTIFS($I$4:changes[[#This Row],[Name]],changes[[#This Row],[Name]], $E$4:changes[[#This Row],[Type of change]], "Edit")),B1627)</f>
        <v>1</v>
      </c>
      <c r="C1628" s="16">
        <v>44706</v>
      </c>
      <c r="D1628" s="1" t="s">
        <v>2817</v>
      </c>
      <c r="E1628" t="s">
        <v>27</v>
      </c>
      <c r="F1628" s="10" t="s">
        <v>9</v>
      </c>
      <c r="G1628" s="10" t="s">
        <v>1757</v>
      </c>
      <c r="H1628" t="s">
        <v>55</v>
      </c>
      <c r="I1628" t="s">
        <v>1758</v>
      </c>
      <c r="K1628" s="2"/>
      <c r="M1628" s="2"/>
    </row>
    <row r="1629" spans="1:13">
      <c r="A1629" t="s">
        <v>28</v>
      </c>
      <c r="B1629">
        <f ca="1">IF(OR(changes[[#This Row],[Type]]="Checklist",changes[[#This Row],[Type]]="checklist-flat"),1+IF(changes[[#This Row],[Type of change]] = "Edit",COUNTIFS($I$4:changes[[#This Row],[Name]],changes[[#This Row],[Name]], $E$4:changes[[#This Row],[Type of change]], "Edit")),B1628)</f>
        <v>1</v>
      </c>
      <c r="C1629" s="16">
        <v>44706</v>
      </c>
      <c r="D1629" s="1" t="s">
        <v>2817</v>
      </c>
      <c r="E1629" t="s">
        <v>27</v>
      </c>
      <c r="F1629" s="10" t="s">
        <v>9</v>
      </c>
      <c r="G1629" s="10" t="s">
        <v>1757</v>
      </c>
      <c r="H1629" t="s">
        <v>214</v>
      </c>
      <c r="I1629" t="s">
        <v>569</v>
      </c>
      <c r="K1629" s="2"/>
      <c r="M1629" s="2"/>
    </row>
    <row r="1630" spans="1:13">
      <c r="A1630" t="s">
        <v>28</v>
      </c>
      <c r="B1630">
        <f ca="1">IF(OR(changes[[#This Row],[Type]]="Checklist",changes[[#This Row],[Type]]="checklist-flat"),1+IF(changes[[#This Row],[Type of change]] = "Edit",COUNTIFS($I$4:changes[[#This Row],[Name]],changes[[#This Row],[Name]], $E$4:changes[[#This Row],[Type of change]], "Edit")),B1629)</f>
        <v>1</v>
      </c>
      <c r="C1630" s="16">
        <v>44706</v>
      </c>
      <c r="D1630" s="1" t="s">
        <v>2817</v>
      </c>
      <c r="E1630" t="s">
        <v>27</v>
      </c>
      <c r="F1630" s="10" t="s">
        <v>9</v>
      </c>
      <c r="G1630" s="10" t="s">
        <v>1757</v>
      </c>
      <c r="H1630" t="s">
        <v>55</v>
      </c>
      <c r="I1630" t="s">
        <v>1759</v>
      </c>
      <c r="K1630" s="2"/>
      <c r="M1630" s="2"/>
    </row>
    <row r="1631" spans="1:13">
      <c r="A1631" t="s">
        <v>28</v>
      </c>
      <c r="B1631">
        <f ca="1">IF(OR(changes[[#This Row],[Type]]="Checklist",changes[[#This Row],[Type]]="checklist-flat"),1+IF(changes[[#This Row],[Type of change]] = "Edit",COUNTIFS($I$4:changes[[#This Row],[Name]],changes[[#This Row],[Name]], $E$4:changes[[#This Row],[Type of change]], "Edit")),B1630)</f>
        <v>1</v>
      </c>
      <c r="C1631" s="16">
        <v>44706</v>
      </c>
      <c r="D1631" s="1" t="s">
        <v>2817</v>
      </c>
      <c r="E1631" t="s">
        <v>27</v>
      </c>
      <c r="F1631" s="10" t="s">
        <v>9</v>
      </c>
      <c r="G1631" s="10" t="s">
        <v>1757</v>
      </c>
      <c r="H1631" t="s">
        <v>55</v>
      </c>
      <c r="I1631" t="s">
        <v>1760</v>
      </c>
      <c r="K1631" s="2"/>
      <c r="M1631" s="2"/>
    </row>
    <row r="1632" spans="1:13">
      <c r="A1632" t="s">
        <v>28</v>
      </c>
      <c r="B1632">
        <f ca="1">IF(OR(changes[[#This Row],[Type]]="Checklist",changes[[#This Row],[Type]]="checklist-flat"),1+IF(changes[[#This Row],[Type of change]] = "Edit",COUNTIFS($I$4:changes[[#This Row],[Name]],changes[[#This Row],[Name]], $E$4:changes[[#This Row],[Type of change]], "Edit")),B1631)</f>
        <v>1</v>
      </c>
      <c r="C1632" s="16">
        <v>44706</v>
      </c>
      <c r="D1632" s="1" t="s">
        <v>2817</v>
      </c>
      <c r="E1632" t="s">
        <v>27</v>
      </c>
      <c r="F1632" s="10" t="s">
        <v>9</v>
      </c>
      <c r="G1632" s="10" t="s">
        <v>1757</v>
      </c>
      <c r="H1632" t="s">
        <v>55</v>
      </c>
      <c r="I1632" t="s">
        <v>1761</v>
      </c>
      <c r="K1632" s="2"/>
      <c r="M1632" s="2"/>
    </row>
    <row r="1633" spans="1:13">
      <c r="A1633" t="s">
        <v>28</v>
      </c>
      <c r="B1633">
        <f ca="1">IF(OR(changes[[#This Row],[Type]]="Checklist",changes[[#This Row],[Type]]="checklist-flat"),1+IF(changes[[#This Row],[Type of change]] = "Edit",COUNTIFS($I$4:changes[[#This Row],[Name]],changes[[#This Row],[Name]], $E$4:changes[[#This Row],[Type of change]], "Edit")),B1632)</f>
        <v>1</v>
      </c>
      <c r="C1633" s="16">
        <v>44706</v>
      </c>
      <c r="D1633" s="1" t="s">
        <v>2817</v>
      </c>
      <c r="E1633" t="s">
        <v>27</v>
      </c>
      <c r="F1633" s="10" t="s">
        <v>9</v>
      </c>
      <c r="G1633" s="10" t="s">
        <v>1757</v>
      </c>
      <c r="H1633" t="s">
        <v>55</v>
      </c>
      <c r="I1633" t="s">
        <v>2847</v>
      </c>
      <c r="K1633" s="2"/>
      <c r="M1633" s="2"/>
    </row>
    <row r="1634" spans="1:13">
      <c r="A1634" t="s">
        <v>28</v>
      </c>
      <c r="B1634">
        <f ca="1">IF(OR(changes[[#This Row],[Type]]="Checklist",changes[[#This Row],[Type]]="checklist-flat"),1+IF(changes[[#This Row],[Type of change]] = "Edit",COUNTIFS($I$4:changes[[#This Row],[Name]],changes[[#This Row],[Name]], $E$4:changes[[#This Row],[Type of change]], "Edit")),B1633)</f>
        <v>1</v>
      </c>
      <c r="C1634" s="16">
        <v>44706</v>
      </c>
      <c r="D1634" s="1" t="s">
        <v>2817</v>
      </c>
      <c r="E1634" t="s">
        <v>27</v>
      </c>
      <c r="F1634" s="10" t="s">
        <v>9</v>
      </c>
      <c r="G1634" s="10" t="s">
        <v>1757</v>
      </c>
      <c r="H1634" t="s">
        <v>55</v>
      </c>
      <c r="I1634" t="s">
        <v>1763</v>
      </c>
      <c r="K1634" s="2"/>
      <c r="M1634" s="2"/>
    </row>
    <row r="1635" spans="1:13">
      <c r="A1635" t="s">
        <v>28</v>
      </c>
      <c r="B1635">
        <f ca="1">IF(OR(changes[[#This Row],[Type]]="Checklist",changes[[#This Row],[Type]]="checklist-flat"),1+IF(changes[[#This Row],[Type of change]] = "Edit",COUNTIFS($I$4:changes[[#This Row],[Name]],changes[[#This Row],[Name]], $E$4:changes[[#This Row],[Type of change]], "Edit")),B1634)</f>
        <v>1</v>
      </c>
      <c r="C1635" s="16">
        <v>44706</v>
      </c>
      <c r="D1635" s="1" t="s">
        <v>2817</v>
      </c>
      <c r="E1635" t="s">
        <v>27</v>
      </c>
      <c r="F1635" s="10" t="s">
        <v>9</v>
      </c>
      <c r="G1635" s="10" t="s">
        <v>1757</v>
      </c>
      <c r="H1635" t="s">
        <v>214</v>
      </c>
      <c r="I1635" t="s">
        <v>1764</v>
      </c>
      <c r="K1635" s="2"/>
      <c r="M1635" s="2"/>
    </row>
    <row r="1636" spans="1:13">
      <c r="A1636" t="s">
        <v>28</v>
      </c>
      <c r="B1636">
        <f ca="1">IF(OR(changes[[#This Row],[Type]]="Checklist",changes[[#This Row],[Type]]="checklist-flat"),1+IF(changes[[#This Row],[Type of change]] = "Edit",COUNTIFS($I$4:changes[[#This Row],[Name]],changes[[#This Row],[Name]], $E$4:changes[[#This Row],[Type of change]], "Edit")),B1635)</f>
        <v>1</v>
      </c>
      <c r="C1636" s="16">
        <v>44706</v>
      </c>
      <c r="D1636" s="1" t="s">
        <v>2817</v>
      </c>
      <c r="E1636" t="s">
        <v>27</v>
      </c>
      <c r="F1636" s="10" t="s">
        <v>9</v>
      </c>
      <c r="G1636" s="10" t="s">
        <v>1757</v>
      </c>
      <c r="H1636" t="s">
        <v>55</v>
      </c>
      <c r="I1636" t="s">
        <v>1765</v>
      </c>
      <c r="K1636" s="2"/>
      <c r="M1636" s="2"/>
    </row>
    <row r="1637" spans="1:13">
      <c r="A1637" t="s">
        <v>28</v>
      </c>
      <c r="B1637">
        <f ca="1">IF(OR(changes[[#This Row],[Type]]="Checklist",changes[[#This Row],[Type]]="checklist-flat"),1+IF(changes[[#This Row],[Type of change]] = "Edit",COUNTIFS($I$4:changes[[#This Row],[Name]],changes[[#This Row],[Name]], $E$4:changes[[#This Row],[Type of change]], "Edit")),B1636)</f>
        <v>1</v>
      </c>
      <c r="C1637" s="16">
        <v>44706</v>
      </c>
      <c r="D1637" s="1" t="s">
        <v>2817</v>
      </c>
      <c r="E1637" t="s">
        <v>27</v>
      </c>
      <c r="F1637" s="10" t="s">
        <v>9</v>
      </c>
      <c r="G1637" s="10" t="s">
        <v>1757</v>
      </c>
      <c r="H1637" t="s">
        <v>214</v>
      </c>
      <c r="I1637" t="s">
        <v>1766</v>
      </c>
      <c r="K1637" s="2"/>
      <c r="M1637" s="2"/>
    </row>
    <row r="1638" spans="1:13">
      <c r="A1638" t="s">
        <v>28</v>
      </c>
      <c r="B1638">
        <f ca="1">IF(OR(changes[[#This Row],[Type]]="Checklist",changes[[#This Row],[Type]]="checklist-flat"),1+IF(changes[[#This Row],[Type of change]] = "Edit",COUNTIFS($I$4:changes[[#This Row],[Name]],changes[[#This Row],[Name]], $E$4:changes[[#This Row],[Type of change]], "Edit")),B1637)</f>
        <v>1</v>
      </c>
      <c r="C1638" s="16">
        <v>44706</v>
      </c>
      <c r="D1638" s="1" t="s">
        <v>2817</v>
      </c>
      <c r="E1638" t="s">
        <v>27</v>
      </c>
      <c r="F1638" s="10" t="s">
        <v>9</v>
      </c>
      <c r="G1638" s="10" t="s">
        <v>1757</v>
      </c>
      <c r="H1638" t="s">
        <v>55</v>
      </c>
      <c r="I1638" t="s">
        <v>1767</v>
      </c>
      <c r="K1638" s="2"/>
      <c r="M1638" s="2"/>
    </row>
    <row r="1639" spans="1:13">
      <c r="A1639" t="s">
        <v>28</v>
      </c>
      <c r="B1639">
        <f ca="1">IF(OR(changes[[#This Row],[Type]]="Checklist",changes[[#This Row],[Type]]="checklist-flat"),1+IF(changes[[#This Row],[Type of change]] = "Edit",COUNTIFS($I$4:changes[[#This Row],[Name]],changes[[#This Row],[Name]], $E$4:changes[[#This Row],[Type of change]], "Edit")),B1638)</f>
        <v>1</v>
      </c>
      <c r="C1639" s="16">
        <v>44706</v>
      </c>
      <c r="D1639" s="1" t="s">
        <v>2817</v>
      </c>
      <c r="E1639" t="s">
        <v>27</v>
      </c>
      <c r="F1639" s="10" t="s">
        <v>9</v>
      </c>
      <c r="G1639" t="s">
        <v>2848</v>
      </c>
      <c r="H1639" t="s">
        <v>54</v>
      </c>
      <c r="I1639" t="s">
        <v>566</v>
      </c>
      <c r="K1639" s="2"/>
      <c r="L1639">
        <v>1</v>
      </c>
      <c r="M1639" s="2"/>
    </row>
    <row r="1640" spans="1:13">
      <c r="A1640" t="s">
        <v>28</v>
      </c>
      <c r="B1640">
        <f ca="1">IF(OR(changes[[#This Row],[Type]]="Checklist",changes[[#This Row],[Type]]="checklist-flat"),1+IF(changes[[#This Row],[Type of change]] = "Edit",COUNTIFS($I$4:changes[[#This Row],[Name]],changes[[#This Row],[Name]], $E$4:changes[[#This Row],[Type of change]], "Edit")),B1639)</f>
        <v>1</v>
      </c>
      <c r="C1640" s="16">
        <v>44706</v>
      </c>
      <c r="D1640" s="1" t="s">
        <v>2817</v>
      </c>
      <c r="E1640" t="s">
        <v>27</v>
      </c>
      <c r="F1640" s="10" t="s">
        <v>9</v>
      </c>
      <c r="G1640" t="s">
        <v>2849</v>
      </c>
      <c r="H1640" t="s">
        <v>55</v>
      </c>
      <c r="I1640" t="s">
        <v>567</v>
      </c>
      <c r="K1640" s="2"/>
      <c r="M1640" s="2"/>
    </row>
    <row r="1641" spans="1:13">
      <c r="A1641" t="s">
        <v>28</v>
      </c>
      <c r="B1641">
        <f ca="1">IF(OR(changes[[#This Row],[Type]]="Checklist",changes[[#This Row],[Type]]="checklist-flat"),1+IF(changes[[#This Row],[Type of change]] = "Edit",COUNTIFS($I$4:changes[[#This Row],[Name]],changes[[#This Row],[Name]], $E$4:changes[[#This Row],[Type of change]], "Edit")),B1640)</f>
        <v>1</v>
      </c>
      <c r="C1641" s="16">
        <v>44706</v>
      </c>
      <c r="D1641" s="1" t="s">
        <v>2817</v>
      </c>
      <c r="E1641" t="s">
        <v>27</v>
      </c>
      <c r="F1641" s="10" t="s">
        <v>9</v>
      </c>
      <c r="G1641" t="s">
        <v>2849</v>
      </c>
      <c r="H1641" t="s">
        <v>214</v>
      </c>
      <c r="I1641" t="s">
        <v>568</v>
      </c>
      <c r="K1641" s="2"/>
      <c r="M1641" s="2"/>
    </row>
    <row r="1642" spans="1:13">
      <c r="A1642" t="s">
        <v>28</v>
      </c>
      <c r="B1642">
        <f ca="1">IF(OR(changes[[#This Row],[Type]]="Checklist",changes[[#This Row],[Type]]="checklist-flat"),1+IF(changes[[#This Row],[Type of change]] = "Edit",COUNTIFS($I$4:changes[[#This Row],[Name]],changes[[#This Row],[Name]], $E$4:changes[[#This Row],[Type of change]], "Edit")),B1641)</f>
        <v>1</v>
      </c>
      <c r="C1642" s="16">
        <v>44706</v>
      </c>
      <c r="D1642" s="1" t="s">
        <v>2817</v>
      </c>
      <c r="E1642" t="s">
        <v>27</v>
      </c>
      <c r="F1642" s="10" t="s">
        <v>9</v>
      </c>
      <c r="G1642" t="s">
        <v>2849</v>
      </c>
      <c r="H1642" t="s">
        <v>214</v>
      </c>
      <c r="I1642" t="s">
        <v>569</v>
      </c>
      <c r="K1642" s="2"/>
      <c r="M1642" s="2"/>
    </row>
    <row r="1643" spans="1:13">
      <c r="A1643" t="s">
        <v>28</v>
      </c>
      <c r="B1643">
        <f ca="1">IF(OR(changes[[#This Row],[Type]]="Checklist",changes[[#This Row],[Type]]="checklist-flat"),1+IF(changes[[#This Row],[Type of change]] = "Edit",COUNTIFS($I$4:changes[[#This Row],[Name]],changes[[#This Row],[Name]], $E$4:changes[[#This Row],[Type of change]], "Edit")),B1642)</f>
        <v>1</v>
      </c>
      <c r="C1643" s="16">
        <v>44706</v>
      </c>
      <c r="D1643" s="1" t="s">
        <v>2817</v>
      </c>
      <c r="E1643" t="s">
        <v>27</v>
      </c>
      <c r="F1643" s="10" t="s">
        <v>9</v>
      </c>
      <c r="G1643" t="s">
        <v>2849</v>
      </c>
      <c r="H1643" t="s">
        <v>214</v>
      </c>
      <c r="I1643" t="s">
        <v>570</v>
      </c>
      <c r="K1643" s="2"/>
      <c r="M1643" s="2"/>
    </row>
    <row r="1644" spans="1:13">
      <c r="A1644" t="s">
        <v>28</v>
      </c>
      <c r="B1644">
        <f ca="1">IF(OR(changes[[#This Row],[Type]]="Checklist",changes[[#This Row],[Type]]="checklist-flat"),1+IF(changes[[#This Row],[Type of change]] = "Edit",COUNTIFS($I$4:changes[[#This Row],[Name]],changes[[#This Row],[Name]], $E$4:changes[[#This Row],[Type of change]], "Edit")),B1643)</f>
        <v>1</v>
      </c>
      <c r="C1644" s="16">
        <v>44706</v>
      </c>
      <c r="D1644" s="1" t="s">
        <v>2817</v>
      </c>
      <c r="E1644" t="s">
        <v>27</v>
      </c>
      <c r="F1644" s="10" t="s">
        <v>9</v>
      </c>
      <c r="G1644" t="s">
        <v>2849</v>
      </c>
      <c r="H1644" t="s">
        <v>214</v>
      </c>
      <c r="I1644" t="s">
        <v>571</v>
      </c>
      <c r="K1644" s="2"/>
      <c r="M1644" s="2"/>
    </row>
    <row r="1645" spans="1:13">
      <c r="A1645" t="s">
        <v>28</v>
      </c>
      <c r="B1645">
        <f ca="1">IF(OR(changes[[#This Row],[Type]]="Checklist",changes[[#This Row],[Type]]="checklist-flat"),1+IF(changes[[#This Row],[Type of change]] = "Edit",COUNTIFS($I$4:changes[[#This Row],[Name]],changes[[#This Row],[Name]], $E$4:changes[[#This Row],[Type of change]], "Edit")),B1644)</f>
        <v>1</v>
      </c>
      <c r="C1645" s="16">
        <v>44706</v>
      </c>
      <c r="D1645" s="1" t="s">
        <v>2817</v>
      </c>
      <c r="E1645" t="s">
        <v>27</v>
      </c>
      <c r="F1645" s="10" t="s">
        <v>9</v>
      </c>
      <c r="G1645" t="s">
        <v>2849</v>
      </c>
      <c r="H1645" t="s">
        <v>214</v>
      </c>
      <c r="I1645" t="s">
        <v>572</v>
      </c>
      <c r="K1645" s="2"/>
      <c r="M1645" s="2"/>
    </row>
    <row r="1646" spans="1:13">
      <c r="A1646" t="s">
        <v>28</v>
      </c>
      <c r="B1646">
        <f ca="1">IF(OR(changes[[#This Row],[Type]]="Checklist",changes[[#This Row],[Type]]="checklist-flat"),1+IF(changes[[#This Row],[Type of change]] = "Edit",COUNTIFS($I$4:changes[[#This Row],[Name]],changes[[#This Row],[Name]], $E$4:changes[[#This Row],[Type of change]], "Edit")),B1645)</f>
        <v>1</v>
      </c>
      <c r="C1646" s="16">
        <v>44706</v>
      </c>
      <c r="D1646" s="1" t="s">
        <v>2817</v>
      </c>
      <c r="E1646" t="s">
        <v>27</v>
      </c>
      <c r="F1646" s="10" t="s">
        <v>9</v>
      </c>
      <c r="G1646" t="s">
        <v>2849</v>
      </c>
      <c r="H1646" t="s">
        <v>214</v>
      </c>
      <c r="I1646" t="s">
        <v>573</v>
      </c>
      <c r="K1646" s="2"/>
      <c r="M1646" s="2"/>
    </row>
    <row r="1647" spans="1:13">
      <c r="A1647" t="s">
        <v>28</v>
      </c>
      <c r="B1647">
        <f ca="1">IF(OR(changes[[#This Row],[Type]]="Checklist",changes[[#This Row],[Type]]="checklist-flat"),1+IF(changes[[#This Row],[Type of change]] = "Edit",COUNTIFS($I$4:changes[[#This Row],[Name]],changes[[#This Row],[Name]], $E$4:changes[[#This Row],[Type of change]], "Edit")),B1646)</f>
        <v>1</v>
      </c>
      <c r="C1647" s="16">
        <v>44706</v>
      </c>
      <c r="D1647" s="1" t="s">
        <v>2817</v>
      </c>
      <c r="E1647" t="s">
        <v>27</v>
      </c>
      <c r="F1647" s="10" t="s">
        <v>9</v>
      </c>
      <c r="G1647" t="s">
        <v>2849</v>
      </c>
      <c r="H1647" t="s">
        <v>55</v>
      </c>
      <c r="I1647" t="s">
        <v>574</v>
      </c>
      <c r="K1647" s="2"/>
      <c r="M1647" s="2"/>
    </row>
    <row r="1648" spans="1:13">
      <c r="A1648" t="s">
        <v>28</v>
      </c>
      <c r="B1648">
        <f ca="1">IF(OR(changes[[#This Row],[Type]]="Checklist",changes[[#This Row],[Type]]="checklist-flat"),1+IF(changes[[#This Row],[Type of change]] = "Edit",COUNTIFS($I$4:changes[[#This Row],[Name]],changes[[#This Row],[Name]], $E$4:changes[[#This Row],[Type of change]], "Edit")),B1647)</f>
        <v>1</v>
      </c>
      <c r="C1648" s="16">
        <v>44706</v>
      </c>
      <c r="D1648" s="1" t="s">
        <v>2817</v>
      </c>
      <c r="E1648" t="s">
        <v>27</v>
      </c>
      <c r="F1648" s="10" t="s">
        <v>9</v>
      </c>
      <c r="G1648" t="s">
        <v>2849</v>
      </c>
      <c r="H1648" t="s">
        <v>55</v>
      </c>
      <c r="I1648" t="s">
        <v>575</v>
      </c>
      <c r="K1648" s="2"/>
      <c r="M1648" s="2"/>
    </row>
    <row r="1649" spans="1:13">
      <c r="A1649" t="s">
        <v>28</v>
      </c>
      <c r="B1649">
        <f ca="1">IF(OR(changes[[#This Row],[Type]]="Checklist",changes[[#This Row],[Type]]="checklist-flat"),1+IF(changes[[#This Row],[Type of change]] = "Edit",COUNTIFS($I$4:changes[[#This Row],[Name]],changes[[#This Row],[Name]], $E$4:changes[[#This Row],[Type of change]], "Edit")),B1648)</f>
        <v>1</v>
      </c>
      <c r="C1649" s="16">
        <v>44706</v>
      </c>
      <c r="D1649" s="1" t="s">
        <v>2817</v>
      </c>
      <c r="E1649" t="s">
        <v>27</v>
      </c>
      <c r="F1649" s="10" t="s">
        <v>9</v>
      </c>
      <c r="G1649" t="s">
        <v>2849</v>
      </c>
      <c r="H1649" t="s">
        <v>55</v>
      </c>
      <c r="I1649" t="s">
        <v>2850</v>
      </c>
      <c r="K1649" s="2"/>
      <c r="M1649" s="2"/>
    </row>
    <row r="1650" spans="1:13">
      <c r="A1650" t="s">
        <v>28</v>
      </c>
      <c r="B1650">
        <f ca="1">IF(OR(changes[[#This Row],[Type]]="Checklist",changes[[#This Row],[Type]]="checklist-flat"),1+IF(changes[[#This Row],[Type of change]] = "Edit",COUNTIFS($I$4:changes[[#This Row],[Name]],changes[[#This Row],[Name]], $E$4:changes[[#This Row],[Type of change]], "Edit")),B1649)</f>
        <v>1</v>
      </c>
      <c r="C1650" s="16">
        <v>44706</v>
      </c>
      <c r="D1650" s="1" t="s">
        <v>2817</v>
      </c>
      <c r="E1650" t="s">
        <v>27</v>
      </c>
      <c r="F1650" s="10" t="s">
        <v>9</v>
      </c>
      <c r="G1650" t="s">
        <v>2849</v>
      </c>
      <c r="H1650" t="s">
        <v>55</v>
      </c>
      <c r="I1650" t="s">
        <v>577</v>
      </c>
      <c r="K1650" s="2"/>
      <c r="M1650" s="2"/>
    </row>
    <row r="1651" spans="1:13">
      <c r="A1651" t="s">
        <v>28</v>
      </c>
      <c r="B1651">
        <f ca="1">IF(OR(changes[[#This Row],[Type]]="Checklist",changes[[#This Row],[Type]]="checklist-flat"),1+IF(changes[[#This Row],[Type of change]] = "Edit",COUNTIFS($I$4:changes[[#This Row],[Name]],changes[[#This Row],[Name]], $E$4:changes[[#This Row],[Type of change]], "Edit")),B1650)</f>
        <v>3</v>
      </c>
      <c r="C1651" s="16">
        <v>44719</v>
      </c>
      <c r="D1651" s="1" t="s">
        <v>2817</v>
      </c>
      <c r="E1651" t="s">
        <v>15</v>
      </c>
      <c r="F1651" s="10" t="s">
        <v>9</v>
      </c>
      <c r="G1651" t="s">
        <v>1993</v>
      </c>
      <c r="H1651" t="s">
        <v>478</v>
      </c>
      <c r="I1651" t="s">
        <v>1993</v>
      </c>
      <c r="K1651" s="2" t="s">
        <v>6</v>
      </c>
      <c r="L1651" t="s">
        <v>2851</v>
      </c>
      <c r="M1651" s="2"/>
    </row>
    <row r="1652" spans="1:13">
      <c r="A1652" t="s">
        <v>28</v>
      </c>
      <c r="B1652">
        <f ca="1">IF(OR(changes[[#This Row],[Type]]="Checklist",changes[[#This Row],[Type]]="checklist-flat"),1+IF(changes[[#This Row],[Type of change]] = "Edit",COUNTIFS($I$4:changes[[#This Row],[Name]],changes[[#This Row],[Name]], $E$4:changes[[#This Row],[Type of change]], "Edit")),B1651)</f>
        <v>3</v>
      </c>
      <c r="C1652" s="16">
        <v>44719</v>
      </c>
      <c r="D1652" s="16" t="s">
        <v>2817</v>
      </c>
      <c r="E1652" s="16" t="s">
        <v>15</v>
      </c>
      <c r="F1652" s="16" t="s">
        <v>9</v>
      </c>
      <c r="G1652" s="16" t="s">
        <v>1993</v>
      </c>
      <c r="H1652" s="16" t="s">
        <v>479</v>
      </c>
      <c r="I1652" s="16" t="s">
        <v>1982</v>
      </c>
      <c r="K1652" s="2" t="s">
        <v>6</v>
      </c>
      <c r="L1652" t="s">
        <v>2851</v>
      </c>
      <c r="M1652" s="2"/>
    </row>
    <row r="1653" spans="1:13">
      <c r="A1653" t="s">
        <v>28</v>
      </c>
      <c r="B1653">
        <f ca="1">IF(OR(changes[[#This Row],[Type]]="Checklist",changes[[#This Row],[Type]]="checklist-flat"),1+IF(changes[[#This Row],[Type of change]] = "Edit",COUNTIFS($I$4:changes[[#This Row],[Name]],changes[[#This Row],[Name]], $E$4:changes[[#This Row],[Type of change]], "Edit")),B1652)</f>
        <v>3</v>
      </c>
      <c r="C1653" s="16">
        <v>44719</v>
      </c>
      <c r="D1653" s="16" t="s">
        <v>2817</v>
      </c>
      <c r="E1653" s="16" t="s">
        <v>15</v>
      </c>
      <c r="F1653" s="16" t="s">
        <v>9</v>
      </c>
      <c r="G1653" s="16" t="s">
        <v>1993</v>
      </c>
      <c r="H1653" s="16" t="s">
        <v>55</v>
      </c>
      <c r="I1653" s="16" t="s">
        <v>2452</v>
      </c>
      <c r="K1653" s="2" t="s">
        <v>6</v>
      </c>
      <c r="L1653" t="s">
        <v>2851</v>
      </c>
      <c r="M1653" s="2"/>
    </row>
    <row r="1654" spans="1:13">
      <c r="A1654" t="s">
        <v>28</v>
      </c>
      <c r="B1654">
        <f ca="1">IF(OR(changes[[#This Row],[Type]]="Checklist",changes[[#This Row],[Type]]="checklist-flat"),1+IF(changes[[#This Row],[Type of change]] = "Edit",COUNTIFS($I$4:changes[[#This Row],[Name]],changes[[#This Row],[Name]], $E$4:changes[[#This Row],[Type of change]], "Edit")),B1653)</f>
        <v>3</v>
      </c>
      <c r="C1654" s="16">
        <v>44719</v>
      </c>
      <c r="D1654" s="16" t="s">
        <v>2817</v>
      </c>
      <c r="E1654" s="16" t="s">
        <v>15</v>
      </c>
      <c r="F1654" s="16" t="s">
        <v>9</v>
      </c>
      <c r="G1654" s="16" t="s">
        <v>1993</v>
      </c>
      <c r="H1654" s="16" t="s">
        <v>55</v>
      </c>
      <c r="I1654" s="16" t="s">
        <v>1995</v>
      </c>
      <c r="K1654" s="2" t="s">
        <v>6</v>
      </c>
      <c r="L1654" t="s">
        <v>2851</v>
      </c>
      <c r="M1654" s="2"/>
    </row>
    <row r="1655" spans="1:13">
      <c r="A1655" t="s">
        <v>28</v>
      </c>
      <c r="B1655">
        <f ca="1">IF(OR(changes[[#This Row],[Type]]="Checklist",changes[[#This Row],[Type]]="checklist-flat"),1+IF(changes[[#This Row],[Type of change]] = "Edit",COUNTIFS($I$4:changes[[#This Row],[Name]],changes[[#This Row],[Name]], $E$4:changes[[#This Row],[Type of change]], "Edit")),B1654)</f>
        <v>3</v>
      </c>
      <c r="C1655" s="16">
        <v>44719</v>
      </c>
      <c r="D1655" s="16" t="s">
        <v>2817</v>
      </c>
      <c r="E1655" s="16" t="s">
        <v>15</v>
      </c>
      <c r="F1655" s="16" t="s">
        <v>9</v>
      </c>
      <c r="G1655" s="16" t="s">
        <v>1993</v>
      </c>
      <c r="H1655" s="16" t="s">
        <v>55</v>
      </c>
      <c r="I1655" s="16" t="s">
        <v>1994</v>
      </c>
      <c r="K1655" s="2" t="s">
        <v>6</v>
      </c>
      <c r="L1655" t="s">
        <v>2851</v>
      </c>
      <c r="M1655" s="2" t="s">
        <v>2852</v>
      </c>
    </row>
    <row r="1656" spans="1:13">
      <c r="A1656" t="s">
        <v>28</v>
      </c>
      <c r="B1656">
        <f ca="1">IF(OR(changes[[#This Row],[Type]]="Checklist",changes[[#This Row],[Type]]="checklist-flat"),1+IF(changes[[#This Row],[Type of change]] = "Edit",COUNTIFS($I$4:changes[[#This Row],[Name]],changes[[#This Row],[Name]], $E$4:changes[[#This Row],[Type of change]], "Edit")),B1655)</f>
        <v>3</v>
      </c>
      <c r="C1656" s="16">
        <v>44719</v>
      </c>
      <c r="D1656" s="16" t="s">
        <v>2817</v>
      </c>
      <c r="E1656" s="16" t="s">
        <v>15</v>
      </c>
      <c r="F1656" s="16" t="s">
        <v>9</v>
      </c>
      <c r="G1656" s="16" t="s">
        <v>1993</v>
      </c>
      <c r="H1656" s="16" t="s">
        <v>479</v>
      </c>
      <c r="I1656" s="16" t="s">
        <v>1625</v>
      </c>
      <c r="K1656" s="2" t="s">
        <v>6</v>
      </c>
      <c r="L1656" t="s">
        <v>2851</v>
      </c>
      <c r="M1656" s="2"/>
    </row>
    <row r="1657" spans="1:13">
      <c r="A1657" t="s">
        <v>28</v>
      </c>
      <c r="B1657">
        <f ca="1">IF(OR(changes[[#This Row],[Type]]="Checklist",changes[[#This Row],[Type]]="checklist-flat"),1+IF(changes[[#This Row],[Type of change]] = "Edit",COUNTIFS($I$4:changes[[#This Row],[Name]],changes[[#This Row],[Name]], $E$4:changes[[#This Row],[Type of change]], "Edit")),B1656)</f>
        <v>3</v>
      </c>
      <c r="C1657" s="16">
        <v>44719</v>
      </c>
      <c r="D1657" s="16" t="s">
        <v>2817</v>
      </c>
      <c r="E1657" s="16" t="s">
        <v>15</v>
      </c>
      <c r="F1657" s="16" t="s">
        <v>9</v>
      </c>
      <c r="G1657" s="16" t="s">
        <v>1993</v>
      </c>
      <c r="H1657" s="16" t="s">
        <v>55</v>
      </c>
      <c r="I1657" s="16" t="s">
        <v>1996</v>
      </c>
      <c r="K1657" s="2" t="s">
        <v>6</v>
      </c>
      <c r="L1657" t="s">
        <v>2851</v>
      </c>
      <c r="M1657" s="2"/>
    </row>
    <row r="1658" spans="1:13">
      <c r="A1658" t="s">
        <v>28</v>
      </c>
      <c r="B1658">
        <f ca="1">IF(OR(changes[[#This Row],[Type]]="Checklist",changes[[#This Row],[Type]]="checklist-flat"),1+IF(changes[[#This Row],[Type of change]] = "Edit",COUNTIFS($I$4:changes[[#This Row],[Name]],changes[[#This Row],[Name]], $E$4:changes[[#This Row],[Type of change]], "Edit")),B1657)</f>
        <v>3</v>
      </c>
      <c r="C1658" s="16">
        <v>44719</v>
      </c>
      <c r="D1658" s="16" t="s">
        <v>2817</v>
      </c>
      <c r="E1658" s="16" t="s">
        <v>15</v>
      </c>
      <c r="F1658" s="16" t="s">
        <v>9</v>
      </c>
      <c r="G1658" s="16" t="s">
        <v>1993</v>
      </c>
      <c r="H1658" s="16" t="s">
        <v>55</v>
      </c>
      <c r="I1658" s="16" t="s">
        <v>1997</v>
      </c>
      <c r="K1658" s="2" t="s">
        <v>6</v>
      </c>
      <c r="L1658" t="s">
        <v>2851</v>
      </c>
      <c r="M1658" s="2"/>
    </row>
    <row r="1659" spans="1:13">
      <c r="A1659" t="s">
        <v>28</v>
      </c>
      <c r="B1659">
        <f ca="1">IF(OR(changes[[#This Row],[Type]]="Checklist",changes[[#This Row],[Type]]="checklist-flat"),1+IF(changes[[#This Row],[Type of change]] = "Edit",COUNTIFS($I$4:changes[[#This Row],[Name]],changes[[#This Row],[Name]], $E$4:changes[[#This Row],[Type of change]], "Edit")),B1658)</f>
        <v>3</v>
      </c>
      <c r="C1659" s="16">
        <v>44719</v>
      </c>
      <c r="D1659" s="16" t="s">
        <v>2817</v>
      </c>
      <c r="E1659" s="16" t="s">
        <v>15</v>
      </c>
      <c r="F1659" s="16" t="s">
        <v>9</v>
      </c>
      <c r="G1659" s="16" t="s">
        <v>1993</v>
      </c>
      <c r="H1659" s="16" t="s">
        <v>55</v>
      </c>
      <c r="I1659" s="16" t="s">
        <v>1998</v>
      </c>
      <c r="K1659" s="2" t="s">
        <v>6</v>
      </c>
      <c r="L1659" t="s">
        <v>2851</v>
      </c>
      <c r="M1659" s="2"/>
    </row>
    <row r="1660" spans="1:13">
      <c r="A1660" t="s">
        <v>28</v>
      </c>
      <c r="B1660">
        <f ca="1">IF(OR(changes[[#This Row],[Type]]="Checklist",changes[[#This Row],[Type]]="checklist-flat"),1+IF(changes[[#This Row],[Type of change]] = "Edit",COUNTIFS($I$4:changes[[#This Row],[Name]],changes[[#This Row],[Name]], $E$4:changes[[#This Row],[Type of change]], "Edit")),B1659)</f>
        <v>3</v>
      </c>
      <c r="C1660" s="16">
        <v>44719</v>
      </c>
      <c r="D1660" s="16" t="s">
        <v>2817</v>
      </c>
      <c r="E1660" s="16" t="s">
        <v>15</v>
      </c>
      <c r="F1660" s="16" t="s">
        <v>9</v>
      </c>
      <c r="G1660" s="16" t="s">
        <v>1993</v>
      </c>
      <c r="H1660" s="16" t="s">
        <v>55</v>
      </c>
      <c r="I1660" s="16" t="s">
        <v>1999</v>
      </c>
      <c r="K1660" s="2" t="s">
        <v>6</v>
      </c>
      <c r="L1660" t="s">
        <v>2851</v>
      </c>
      <c r="M1660" s="2"/>
    </row>
    <row r="1661" spans="1:13">
      <c r="A1661" t="s">
        <v>28</v>
      </c>
      <c r="B1661">
        <f ca="1">IF(OR(changes[[#This Row],[Type]]="Checklist",changes[[#This Row],[Type]]="checklist-flat"),1+IF(changes[[#This Row],[Type of change]] = "Edit",COUNTIFS($I$4:changes[[#This Row],[Name]],changes[[#This Row],[Name]], $E$4:changes[[#This Row],[Type of change]], "Edit")),B1660)</f>
        <v>2</v>
      </c>
      <c r="C1661" s="16">
        <v>44719</v>
      </c>
      <c r="D1661" s="16" t="s">
        <v>2817</v>
      </c>
      <c r="E1661" s="16" t="s">
        <v>15</v>
      </c>
      <c r="F1661" s="16" t="s">
        <v>9</v>
      </c>
      <c r="G1661" t="s">
        <v>1990</v>
      </c>
      <c r="H1661" t="s">
        <v>478</v>
      </c>
      <c r="I1661" t="s">
        <v>1990</v>
      </c>
      <c r="K1661" s="2" t="s">
        <v>6</v>
      </c>
      <c r="L1661" t="s">
        <v>2851</v>
      </c>
      <c r="M1661" s="2"/>
    </row>
    <row r="1662" spans="1:13">
      <c r="A1662" t="s">
        <v>28</v>
      </c>
      <c r="B1662">
        <f ca="1">IF(OR(changes[[#This Row],[Type]]="Checklist",changes[[#This Row],[Type]]="checklist-flat"),1+IF(changes[[#This Row],[Type of change]] = "Edit",COUNTIFS($I$4:changes[[#This Row],[Name]],changes[[#This Row],[Name]], $E$4:changes[[#This Row],[Type of change]], "Edit")),B1661)</f>
        <v>2</v>
      </c>
      <c r="C1662" s="16">
        <v>44719</v>
      </c>
      <c r="D1662" s="16" t="s">
        <v>2817</v>
      </c>
      <c r="E1662" s="16" t="s">
        <v>15</v>
      </c>
      <c r="F1662" s="16" t="s">
        <v>9</v>
      </c>
      <c r="G1662" t="s">
        <v>1990</v>
      </c>
      <c r="H1662" t="s">
        <v>479</v>
      </c>
      <c r="I1662" t="s">
        <v>1652</v>
      </c>
      <c r="K1662" s="2" t="s">
        <v>6</v>
      </c>
      <c r="L1662" t="s">
        <v>2851</v>
      </c>
      <c r="M1662" s="2"/>
    </row>
    <row r="1663" spans="1:13">
      <c r="A1663" t="s">
        <v>28</v>
      </c>
      <c r="B1663">
        <f ca="1">IF(OR(changes[[#This Row],[Type]]="Checklist",changes[[#This Row],[Type]]="checklist-flat"),1+IF(changes[[#This Row],[Type of change]] = "Edit",COUNTIFS($I$4:changes[[#This Row],[Name]],changes[[#This Row],[Name]], $E$4:changes[[#This Row],[Type of change]], "Edit")),B1662)</f>
        <v>2</v>
      </c>
      <c r="C1663" s="16">
        <v>44719</v>
      </c>
      <c r="D1663" s="16" t="s">
        <v>2817</v>
      </c>
      <c r="E1663" s="16" t="s">
        <v>15</v>
      </c>
      <c r="F1663" s="16" t="s">
        <v>9</v>
      </c>
      <c r="G1663" t="s">
        <v>1990</v>
      </c>
      <c r="H1663" t="s">
        <v>55</v>
      </c>
      <c r="I1663" t="s">
        <v>1875</v>
      </c>
      <c r="K1663" s="2" t="s">
        <v>6</v>
      </c>
      <c r="L1663" t="s">
        <v>2851</v>
      </c>
      <c r="M1663" s="2"/>
    </row>
    <row r="1664" spans="1:13">
      <c r="A1664" t="s">
        <v>28</v>
      </c>
      <c r="B1664">
        <f ca="1">IF(OR(changes[[#This Row],[Type]]="Checklist",changes[[#This Row],[Type]]="checklist-flat"),1+IF(changes[[#This Row],[Type of change]] = "Edit",COUNTIFS($I$4:changes[[#This Row],[Name]],changes[[#This Row],[Name]], $E$4:changes[[#This Row],[Type of change]], "Edit")),B1663)</f>
        <v>2</v>
      </c>
      <c r="C1664" s="16">
        <v>44719</v>
      </c>
      <c r="D1664" s="16" t="s">
        <v>2817</v>
      </c>
      <c r="E1664" s="16" t="s">
        <v>15</v>
      </c>
      <c r="F1664" s="16" t="s">
        <v>9</v>
      </c>
      <c r="G1664" t="s">
        <v>1990</v>
      </c>
      <c r="H1664" t="s">
        <v>55</v>
      </c>
      <c r="I1664" t="s">
        <v>1876</v>
      </c>
      <c r="K1664" s="2" t="s">
        <v>6</v>
      </c>
      <c r="L1664" t="s">
        <v>2851</v>
      </c>
      <c r="M1664" s="2"/>
    </row>
    <row r="1665" spans="1:13">
      <c r="A1665" t="s">
        <v>28</v>
      </c>
      <c r="B1665">
        <f ca="1">IF(OR(changes[[#This Row],[Type]]="Checklist",changes[[#This Row],[Type]]="checklist-flat"),1+IF(changes[[#This Row],[Type of change]] = "Edit",COUNTIFS($I$4:changes[[#This Row],[Name]],changes[[#This Row],[Name]], $E$4:changes[[#This Row],[Type of change]], "Edit")),B1664)</f>
        <v>2</v>
      </c>
      <c r="C1665" s="16">
        <v>44719</v>
      </c>
      <c r="D1665" s="16" t="s">
        <v>2817</v>
      </c>
      <c r="E1665" s="16" t="s">
        <v>15</v>
      </c>
      <c r="F1665" s="16" t="s">
        <v>9</v>
      </c>
      <c r="G1665" t="s">
        <v>1990</v>
      </c>
      <c r="H1665" t="s">
        <v>479</v>
      </c>
      <c r="I1665" t="s">
        <v>1877</v>
      </c>
      <c r="K1665" s="2" t="s">
        <v>6</v>
      </c>
      <c r="L1665" t="s">
        <v>2851</v>
      </c>
      <c r="M1665" s="2"/>
    </row>
    <row r="1666" spans="1:13">
      <c r="A1666" t="s">
        <v>28</v>
      </c>
      <c r="B1666">
        <f ca="1">IF(OR(changes[[#This Row],[Type]]="Checklist",changes[[#This Row],[Type]]="checklist-flat"),1+IF(changes[[#This Row],[Type of change]] = "Edit",COUNTIFS($I$4:changes[[#This Row],[Name]],changes[[#This Row],[Name]], $E$4:changes[[#This Row],[Type of change]], "Edit")),B1665)</f>
        <v>2</v>
      </c>
      <c r="C1666" s="16">
        <v>44719</v>
      </c>
      <c r="D1666" s="16" t="s">
        <v>2817</v>
      </c>
      <c r="E1666" s="16" t="s">
        <v>15</v>
      </c>
      <c r="F1666" s="16" t="s">
        <v>9</v>
      </c>
      <c r="G1666" t="s">
        <v>1990</v>
      </c>
      <c r="H1666" t="s">
        <v>55</v>
      </c>
      <c r="I1666" t="s">
        <v>1878</v>
      </c>
      <c r="K1666" s="2" t="s">
        <v>6</v>
      </c>
      <c r="L1666" t="s">
        <v>2851</v>
      </c>
      <c r="M1666" s="2"/>
    </row>
    <row r="1667" spans="1:13">
      <c r="A1667" t="s">
        <v>28</v>
      </c>
      <c r="B1667">
        <f ca="1">IF(OR(changes[[#This Row],[Type]]="Checklist",changes[[#This Row],[Type]]="checklist-flat"),1+IF(changes[[#This Row],[Type of change]] = "Edit",COUNTIFS($I$4:changes[[#This Row],[Name]],changes[[#This Row],[Name]], $E$4:changes[[#This Row],[Type of change]], "Edit")),B1666)</f>
        <v>2</v>
      </c>
      <c r="C1667" s="16">
        <v>44719</v>
      </c>
      <c r="D1667" s="16" t="s">
        <v>2817</v>
      </c>
      <c r="E1667" s="16" t="s">
        <v>15</v>
      </c>
      <c r="F1667" s="16" t="s">
        <v>9</v>
      </c>
      <c r="G1667" t="s">
        <v>1990</v>
      </c>
      <c r="H1667" t="s">
        <v>55</v>
      </c>
      <c r="I1667" t="s">
        <v>1879</v>
      </c>
      <c r="K1667" s="2" t="s">
        <v>6</v>
      </c>
      <c r="L1667" t="s">
        <v>2851</v>
      </c>
      <c r="M1667" s="2"/>
    </row>
    <row r="1668" spans="1:13">
      <c r="A1668" t="s">
        <v>28</v>
      </c>
      <c r="B1668">
        <f ca="1">IF(OR(changes[[#This Row],[Type]]="Checklist",changes[[#This Row],[Type]]="checklist-flat"),1+IF(changes[[#This Row],[Type of change]] = "Edit",COUNTIFS($I$4:changes[[#This Row],[Name]],changes[[#This Row],[Name]], $E$4:changes[[#This Row],[Type of change]], "Edit")),B1667)</f>
        <v>2</v>
      </c>
      <c r="C1668" s="16">
        <v>44719</v>
      </c>
      <c r="D1668" s="16" t="s">
        <v>2817</v>
      </c>
      <c r="E1668" s="16" t="s">
        <v>15</v>
      </c>
      <c r="F1668" s="16" t="s">
        <v>9</v>
      </c>
      <c r="G1668" t="s">
        <v>1990</v>
      </c>
      <c r="H1668" t="s">
        <v>55</v>
      </c>
      <c r="I1668" t="s">
        <v>1880</v>
      </c>
      <c r="K1668" s="2" t="s">
        <v>6</v>
      </c>
      <c r="L1668" t="s">
        <v>2851</v>
      </c>
      <c r="M1668" s="2"/>
    </row>
    <row r="1669" spans="1:13">
      <c r="A1669" t="s">
        <v>28</v>
      </c>
      <c r="B1669">
        <f ca="1">IF(OR(changes[[#This Row],[Type]]="Checklist",changes[[#This Row],[Type]]="checklist-flat"),1+IF(changes[[#This Row],[Type of change]] = "Edit",COUNTIFS($I$4:changes[[#This Row],[Name]],changes[[#This Row],[Name]], $E$4:changes[[#This Row],[Type of change]], "Edit")),B1668)</f>
        <v>2</v>
      </c>
      <c r="C1669" s="16">
        <v>44719</v>
      </c>
      <c r="D1669" s="16" t="s">
        <v>2817</v>
      </c>
      <c r="E1669" s="16" t="s">
        <v>15</v>
      </c>
      <c r="F1669" s="16" t="s">
        <v>9</v>
      </c>
      <c r="G1669" t="s">
        <v>1990</v>
      </c>
      <c r="H1669" t="s">
        <v>55</v>
      </c>
      <c r="I1669" t="s">
        <v>2853</v>
      </c>
      <c r="K1669" s="2" t="s">
        <v>6</v>
      </c>
      <c r="L1669" t="s">
        <v>2851</v>
      </c>
      <c r="M1669" s="2"/>
    </row>
    <row r="1670" spans="1:13">
      <c r="A1670" t="s">
        <v>28</v>
      </c>
      <c r="B1670">
        <f ca="1">IF(OR(changes[[#This Row],[Type]]="Checklist",changes[[#This Row],[Type]]="checklist-flat"),1+IF(changes[[#This Row],[Type of change]] = "Edit",COUNTIFS($I$4:changes[[#This Row],[Name]],changes[[#This Row],[Name]], $E$4:changes[[#This Row],[Type of change]], "Edit")),B1669)</f>
        <v>2</v>
      </c>
      <c r="C1670" s="16">
        <v>44719</v>
      </c>
      <c r="D1670" s="16" t="s">
        <v>2817</v>
      </c>
      <c r="E1670" s="16" t="s">
        <v>15</v>
      </c>
      <c r="F1670" s="16" t="s">
        <v>9</v>
      </c>
      <c r="G1670" t="s">
        <v>1990</v>
      </c>
      <c r="H1670" t="s">
        <v>55</v>
      </c>
      <c r="I1670" t="s">
        <v>1882</v>
      </c>
      <c r="K1670" s="2" t="s">
        <v>6</v>
      </c>
      <c r="L1670" t="s">
        <v>2851</v>
      </c>
      <c r="M1670" s="2"/>
    </row>
    <row r="1671" spans="1:13">
      <c r="A1671" t="s">
        <v>28</v>
      </c>
      <c r="B1671">
        <f ca="1">IF(OR(changes[[#This Row],[Type]]="Checklist",changes[[#This Row],[Type]]="checklist-flat"),1+IF(changes[[#This Row],[Type of change]] = "Edit",COUNTIFS($I$4:changes[[#This Row],[Name]],changes[[#This Row],[Name]], $E$4:changes[[#This Row],[Type of change]], "Edit")),B1670)</f>
        <v>2</v>
      </c>
      <c r="C1671" s="16">
        <v>44719</v>
      </c>
      <c r="D1671" s="16" t="s">
        <v>2817</v>
      </c>
      <c r="E1671" s="16" t="s">
        <v>15</v>
      </c>
      <c r="F1671" s="16" t="s">
        <v>9</v>
      </c>
      <c r="G1671" t="s">
        <v>1990</v>
      </c>
      <c r="H1671" t="s">
        <v>55</v>
      </c>
      <c r="I1671" t="s">
        <v>1679</v>
      </c>
      <c r="K1671" s="2" t="s">
        <v>6</v>
      </c>
      <c r="L1671" t="s">
        <v>2851</v>
      </c>
      <c r="M1671" s="2"/>
    </row>
    <row r="1672" spans="1:13">
      <c r="A1672" t="s">
        <v>28</v>
      </c>
      <c r="B1672">
        <f ca="1">IF(OR(changes[[#This Row],[Type]]="Checklist",changes[[#This Row],[Type]]="checklist-flat"),1+IF(changes[[#This Row],[Type of change]] = "Edit",COUNTIFS($I$4:changes[[#This Row],[Name]],changes[[#This Row],[Name]], $E$4:changes[[#This Row],[Type of change]], "Edit")),B1671)</f>
        <v>2</v>
      </c>
      <c r="C1672" s="16">
        <v>44719</v>
      </c>
      <c r="D1672" s="16" t="s">
        <v>2817</v>
      </c>
      <c r="E1672" s="16" t="s">
        <v>15</v>
      </c>
      <c r="F1672" s="16" t="s">
        <v>9</v>
      </c>
      <c r="G1672" t="s">
        <v>1990</v>
      </c>
      <c r="H1672" t="s">
        <v>479</v>
      </c>
      <c r="I1672" t="s">
        <v>1991</v>
      </c>
      <c r="K1672" s="2" t="s">
        <v>6</v>
      </c>
      <c r="L1672" t="s">
        <v>2851</v>
      </c>
      <c r="M1672" s="2"/>
    </row>
    <row r="1673" spans="1:13">
      <c r="A1673" t="s">
        <v>28</v>
      </c>
      <c r="B1673">
        <f ca="1">IF(OR(changes[[#This Row],[Type]]="Checklist",changes[[#This Row],[Type]]="checklist-flat"),1+IF(changes[[#This Row],[Type of change]] = "Edit",COUNTIFS($I$4:changes[[#This Row],[Name]],changes[[#This Row],[Name]], $E$4:changes[[#This Row],[Type of change]], "Edit")),B1672)</f>
        <v>2</v>
      </c>
      <c r="C1673" s="16">
        <v>44719</v>
      </c>
      <c r="D1673" s="16" t="s">
        <v>2817</v>
      </c>
      <c r="E1673" s="16" t="s">
        <v>15</v>
      </c>
      <c r="F1673" s="16" t="s">
        <v>9</v>
      </c>
      <c r="G1673" t="s">
        <v>1990</v>
      </c>
      <c r="H1673" t="s">
        <v>55</v>
      </c>
      <c r="I1673" t="s">
        <v>1992</v>
      </c>
      <c r="K1673" s="2" t="s">
        <v>6</v>
      </c>
      <c r="L1673" t="s">
        <v>2851</v>
      </c>
      <c r="M1673" s="2" t="s">
        <v>2854</v>
      </c>
    </row>
    <row r="1674" spans="1:13">
      <c r="A1674" t="s">
        <v>28</v>
      </c>
      <c r="B1674">
        <f ca="1">IF(OR(changes[[#This Row],[Type]]="Checklist",changes[[#This Row],[Type]]="checklist-flat"),1+IF(changes[[#This Row],[Type of change]] = "Edit",COUNTIFS($I$4:changes[[#This Row],[Name]],changes[[#This Row],[Name]], $E$4:changes[[#This Row],[Type of change]], "Edit")),B1673)</f>
        <v>2</v>
      </c>
      <c r="C1674" s="16">
        <v>44719</v>
      </c>
      <c r="D1674" s="16" t="s">
        <v>2817</v>
      </c>
      <c r="E1674" s="16" t="s">
        <v>15</v>
      </c>
      <c r="F1674" s="16" t="s">
        <v>9</v>
      </c>
      <c r="G1674" t="s">
        <v>1990</v>
      </c>
      <c r="H1674" t="s">
        <v>55</v>
      </c>
      <c r="I1674" t="s">
        <v>1685</v>
      </c>
      <c r="K1674" s="2" t="s">
        <v>6</v>
      </c>
      <c r="L1674" t="s">
        <v>2851</v>
      </c>
      <c r="M1674" s="2"/>
    </row>
    <row r="1675" spans="1:13">
      <c r="A1675" t="s">
        <v>28</v>
      </c>
      <c r="B1675">
        <f ca="1">IF(OR(changes[[#This Row],[Type]]="Checklist",changes[[#This Row],[Type]]="checklist-flat"),1+IF(changes[[#This Row],[Type of change]] = "Edit",COUNTIFS($I$4:changes[[#This Row],[Name]],changes[[#This Row],[Name]], $E$4:changes[[#This Row],[Type of change]], "Edit")),B1674)</f>
        <v>2</v>
      </c>
      <c r="C1675" s="16">
        <v>44719</v>
      </c>
      <c r="D1675" s="16" t="s">
        <v>2817</v>
      </c>
      <c r="E1675" s="16" t="s">
        <v>15</v>
      </c>
      <c r="F1675" s="16" t="s">
        <v>9</v>
      </c>
      <c r="G1675" t="s">
        <v>1990</v>
      </c>
      <c r="H1675" t="s">
        <v>99</v>
      </c>
      <c r="I1675" t="s">
        <v>1686</v>
      </c>
      <c r="K1675" s="2" t="s">
        <v>6</v>
      </c>
      <c r="L1675" t="s">
        <v>2851</v>
      </c>
      <c r="M1675" s="2"/>
    </row>
    <row r="1676" spans="1:13">
      <c r="A1676" t="s">
        <v>28</v>
      </c>
      <c r="B1676">
        <f ca="1">IF(OR(changes[[#This Row],[Type]]="Checklist",changes[[#This Row],[Type]]="checklist-flat"),1+IF(changes[[#This Row],[Type of change]] = "Edit",COUNTIFS($I$4:changes[[#This Row],[Name]],changes[[#This Row],[Name]], $E$4:changes[[#This Row],[Type of change]], "Edit")),B1675)</f>
        <v>2</v>
      </c>
      <c r="C1676" s="16">
        <v>44719</v>
      </c>
      <c r="D1676" s="16" t="s">
        <v>2817</v>
      </c>
      <c r="E1676" s="16" t="s">
        <v>15</v>
      </c>
      <c r="F1676" s="16" t="s">
        <v>9</v>
      </c>
      <c r="G1676" t="s">
        <v>1990</v>
      </c>
      <c r="H1676" t="s">
        <v>99</v>
      </c>
      <c r="I1676" t="s">
        <v>1687</v>
      </c>
      <c r="K1676" s="2" t="s">
        <v>6</v>
      </c>
      <c r="L1676" t="s">
        <v>2851</v>
      </c>
      <c r="M1676" s="2"/>
    </row>
    <row r="1677" spans="1:13">
      <c r="A1677" t="s">
        <v>28</v>
      </c>
      <c r="B1677">
        <f ca="1">IF(OR(changes[[#This Row],[Type]]="Checklist",changes[[#This Row],[Type]]="checklist-flat"),1+IF(changes[[#This Row],[Type of change]] = "Edit",COUNTIFS($I$4:changes[[#This Row],[Name]],changes[[#This Row],[Name]], $E$4:changes[[#This Row],[Type of change]], "Edit")),B1676)</f>
        <v>2</v>
      </c>
      <c r="C1677" s="16">
        <v>44719</v>
      </c>
      <c r="D1677" s="16" t="s">
        <v>2817</v>
      </c>
      <c r="E1677" s="16" t="s">
        <v>15</v>
      </c>
      <c r="F1677" s="16" t="s">
        <v>9</v>
      </c>
      <c r="G1677" t="s">
        <v>1990</v>
      </c>
      <c r="H1677" t="s">
        <v>99</v>
      </c>
      <c r="I1677" t="s">
        <v>1688</v>
      </c>
      <c r="K1677" s="2" t="s">
        <v>6</v>
      </c>
      <c r="L1677" t="s">
        <v>2851</v>
      </c>
      <c r="M1677" s="2"/>
    </row>
    <row r="1678" spans="1:13">
      <c r="A1678" t="s">
        <v>28</v>
      </c>
      <c r="B1678">
        <f ca="1">IF(OR(changes[[#This Row],[Type]]="Checklist",changes[[#This Row],[Type]]="checklist-flat"),1+IF(changes[[#This Row],[Type of change]] = "Edit",COUNTIFS($I$4:changes[[#This Row],[Name]],changes[[#This Row],[Name]], $E$4:changes[[#This Row],[Type of change]], "Edit")),B1677)</f>
        <v>2</v>
      </c>
      <c r="C1678" s="16">
        <v>44719</v>
      </c>
      <c r="D1678" s="16" t="s">
        <v>2817</v>
      </c>
      <c r="E1678" s="16" t="s">
        <v>15</v>
      </c>
      <c r="F1678" s="16" t="s">
        <v>9</v>
      </c>
      <c r="G1678" t="s">
        <v>1990</v>
      </c>
      <c r="H1678" t="s">
        <v>99</v>
      </c>
      <c r="I1678" t="s">
        <v>1689</v>
      </c>
      <c r="K1678" s="2" t="s">
        <v>6</v>
      </c>
      <c r="L1678" t="s">
        <v>2851</v>
      </c>
      <c r="M1678" s="2"/>
    </row>
    <row r="1679" spans="1:13">
      <c r="A1679" t="s">
        <v>28</v>
      </c>
      <c r="B1679">
        <f ca="1">IF(OR(changes[[#This Row],[Type]]="Checklist",changes[[#This Row],[Type]]="checklist-flat"),1+IF(changes[[#This Row],[Type of change]] = "Edit",COUNTIFS($I$4:changes[[#This Row],[Name]],changes[[#This Row],[Name]], $E$4:changes[[#This Row],[Type of change]], "Edit")),B1678)</f>
        <v>2</v>
      </c>
      <c r="C1679" s="16">
        <v>44719</v>
      </c>
      <c r="D1679" s="16" t="s">
        <v>2817</v>
      </c>
      <c r="E1679" s="16" t="s">
        <v>15</v>
      </c>
      <c r="F1679" s="16" t="s">
        <v>9</v>
      </c>
      <c r="G1679" t="s">
        <v>1990</v>
      </c>
      <c r="H1679" t="s">
        <v>55</v>
      </c>
      <c r="I1679" t="s">
        <v>1690</v>
      </c>
      <c r="K1679" s="2" t="s">
        <v>6</v>
      </c>
      <c r="L1679" t="s">
        <v>2851</v>
      </c>
      <c r="M1679" s="2"/>
    </row>
    <row r="1680" spans="1:13">
      <c r="A1680" t="s">
        <v>28</v>
      </c>
      <c r="B1680">
        <f ca="1">IF(OR(changes[[#This Row],[Type]]="Checklist",changes[[#This Row],[Type]]="checklist-flat"),1+IF(changes[[#This Row],[Type of change]] = "Edit",COUNTIFS($I$4:changes[[#This Row],[Name]],changes[[#This Row],[Name]], $E$4:changes[[#This Row],[Type of change]], "Edit")),B1679)</f>
        <v>2</v>
      </c>
      <c r="C1680" s="16">
        <v>44719</v>
      </c>
      <c r="D1680" s="16" t="s">
        <v>2817</v>
      </c>
      <c r="E1680" s="16" t="s">
        <v>15</v>
      </c>
      <c r="F1680" s="16" t="s">
        <v>9</v>
      </c>
      <c r="G1680" t="s">
        <v>1990</v>
      </c>
      <c r="H1680" t="s">
        <v>55</v>
      </c>
      <c r="I1680" t="s">
        <v>1691</v>
      </c>
      <c r="K1680" s="2" t="s">
        <v>6</v>
      </c>
      <c r="L1680" t="s">
        <v>2851</v>
      </c>
      <c r="M1680" s="2"/>
    </row>
    <row r="1681" spans="1:13">
      <c r="A1681" t="s">
        <v>28</v>
      </c>
      <c r="B1681">
        <f ca="1">IF(OR(changes[[#This Row],[Type]]="Checklist",changes[[#This Row],[Type]]="checklist-flat"),1+IF(changes[[#This Row],[Type of change]] = "Edit",COUNTIFS($I$4:changes[[#This Row],[Name]],changes[[#This Row],[Name]], $E$4:changes[[#This Row],[Type of change]], "Edit")),B1680)</f>
        <v>2</v>
      </c>
      <c r="C1681" s="16">
        <v>44719</v>
      </c>
      <c r="D1681" s="16" t="s">
        <v>2817</v>
      </c>
      <c r="E1681" s="16" t="s">
        <v>15</v>
      </c>
      <c r="F1681" s="16" t="s">
        <v>9</v>
      </c>
      <c r="G1681" t="s">
        <v>1990</v>
      </c>
      <c r="H1681" t="s">
        <v>99</v>
      </c>
      <c r="I1681" t="s">
        <v>1692</v>
      </c>
      <c r="K1681" s="2" t="s">
        <v>6</v>
      </c>
      <c r="L1681" t="s">
        <v>2851</v>
      </c>
      <c r="M1681" s="2"/>
    </row>
    <row r="1682" spans="1:13">
      <c r="A1682" t="s">
        <v>28</v>
      </c>
      <c r="B1682">
        <f ca="1">IF(OR(changes[[#This Row],[Type]]="Checklist",changes[[#This Row],[Type]]="checklist-flat"),1+IF(changes[[#This Row],[Type of change]] = "Edit",COUNTIFS($I$4:changes[[#This Row],[Name]],changes[[#This Row],[Name]], $E$4:changes[[#This Row],[Type of change]], "Edit")),B1681)</f>
        <v>2</v>
      </c>
      <c r="C1682" s="16">
        <v>44719</v>
      </c>
      <c r="D1682" s="16" t="s">
        <v>2817</v>
      </c>
      <c r="E1682" s="16" t="s">
        <v>15</v>
      </c>
      <c r="F1682" s="16" t="s">
        <v>9</v>
      </c>
      <c r="G1682" t="s">
        <v>1990</v>
      </c>
      <c r="H1682" t="s">
        <v>55</v>
      </c>
      <c r="I1682" t="s">
        <v>1690</v>
      </c>
      <c r="K1682" s="2" t="s">
        <v>6</v>
      </c>
      <c r="L1682" t="s">
        <v>2851</v>
      </c>
      <c r="M1682" s="2"/>
    </row>
    <row r="1683" spans="1:13">
      <c r="A1683" t="s">
        <v>28</v>
      </c>
      <c r="B1683">
        <f ca="1">IF(OR(changes[[#This Row],[Type]]="Checklist",changes[[#This Row],[Type]]="checklist-flat"),1+IF(changes[[#This Row],[Type of change]] = "Edit",COUNTIFS($I$4:changes[[#This Row],[Name]],changes[[#This Row],[Name]], $E$4:changes[[#This Row],[Type of change]], "Edit")),B1682)</f>
        <v>2</v>
      </c>
      <c r="C1683" s="16">
        <v>44722</v>
      </c>
      <c r="D1683" s="16" t="s">
        <v>2817</v>
      </c>
      <c r="E1683" t="s">
        <v>15</v>
      </c>
      <c r="F1683" s="10" t="s">
        <v>9</v>
      </c>
      <c r="G1683" t="s">
        <v>1896</v>
      </c>
      <c r="H1683" t="s">
        <v>47</v>
      </c>
      <c r="I1683" t="s">
        <v>1896</v>
      </c>
      <c r="K1683" s="2" t="s">
        <v>6</v>
      </c>
      <c r="L1683" t="s">
        <v>2855</v>
      </c>
      <c r="M1683" s="2"/>
    </row>
    <row r="1684" spans="1:13">
      <c r="A1684" t="s">
        <v>28</v>
      </c>
      <c r="B1684">
        <f ca="1">IF(OR(changes[[#This Row],[Type]]="Checklist",changes[[#This Row],[Type]]="checklist-flat"),1+IF(changes[[#This Row],[Type of change]] = "Edit",COUNTIFS($I$4:changes[[#This Row],[Name]],changes[[#This Row],[Name]], $E$4:changes[[#This Row],[Type of change]], "Edit")),B1683)</f>
        <v>2</v>
      </c>
      <c r="C1684" s="16">
        <v>44722</v>
      </c>
      <c r="D1684" s="16" t="s">
        <v>2817</v>
      </c>
      <c r="E1684" t="s">
        <v>15</v>
      </c>
      <c r="F1684" s="10" t="s">
        <v>9</v>
      </c>
      <c r="G1684" t="s">
        <v>1896</v>
      </c>
      <c r="H1684" t="s">
        <v>479</v>
      </c>
      <c r="I1684" t="s">
        <v>1897</v>
      </c>
      <c r="K1684" s="2" t="s">
        <v>6</v>
      </c>
      <c r="L1684" t="s">
        <v>2855</v>
      </c>
      <c r="M1684" s="2"/>
    </row>
    <row r="1685" spans="1:13">
      <c r="A1685" t="s">
        <v>28</v>
      </c>
      <c r="B1685">
        <f ca="1">IF(OR(changes[[#This Row],[Type]]="Checklist",changes[[#This Row],[Type]]="checklist-flat"),1+IF(changes[[#This Row],[Type of change]] = "Edit",COUNTIFS($I$4:changes[[#This Row],[Name]],changes[[#This Row],[Name]], $E$4:changes[[#This Row],[Type of change]], "Edit")),B1684)</f>
        <v>2</v>
      </c>
      <c r="C1685" s="16">
        <v>44722</v>
      </c>
      <c r="D1685" s="16" t="s">
        <v>2817</v>
      </c>
      <c r="E1685" t="s">
        <v>15</v>
      </c>
      <c r="F1685" s="10" t="s">
        <v>9</v>
      </c>
      <c r="G1685" t="s">
        <v>1896</v>
      </c>
      <c r="H1685" t="s">
        <v>55</v>
      </c>
      <c r="I1685" t="s">
        <v>1484</v>
      </c>
      <c r="K1685" s="2" t="s">
        <v>6</v>
      </c>
      <c r="L1685" t="s">
        <v>2855</v>
      </c>
      <c r="M1685" s="2"/>
    </row>
    <row r="1686" spans="1:13">
      <c r="A1686" t="s">
        <v>28</v>
      </c>
      <c r="B1686">
        <f ca="1">IF(OR(changes[[#This Row],[Type]]="Checklist",changes[[#This Row],[Type]]="checklist-flat"),1+IF(changes[[#This Row],[Type of change]] = "Edit",COUNTIFS($I$4:changes[[#This Row],[Name]],changes[[#This Row],[Name]], $E$4:changes[[#This Row],[Type of change]], "Edit")),B1685)</f>
        <v>2</v>
      </c>
      <c r="C1686" s="16">
        <v>44722</v>
      </c>
      <c r="D1686" s="16" t="s">
        <v>2817</v>
      </c>
      <c r="E1686" t="s">
        <v>15</v>
      </c>
      <c r="F1686" s="10" t="s">
        <v>9</v>
      </c>
      <c r="G1686" t="s">
        <v>1896</v>
      </c>
      <c r="H1686" t="s">
        <v>55</v>
      </c>
      <c r="I1686" t="s">
        <v>1898</v>
      </c>
      <c r="K1686" s="2" t="s">
        <v>6</v>
      </c>
      <c r="L1686" t="s">
        <v>2855</v>
      </c>
      <c r="M1686" s="2"/>
    </row>
    <row r="1687" spans="1:13">
      <c r="A1687" t="s">
        <v>28</v>
      </c>
      <c r="B1687">
        <f ca="1">IF(OR(changes[[#This Row],[Type]]="Checklist",changes[[#This Row],[Type]]="checklist-flat"),1+IF(changes[[#This Row],[Type of change]] = "Edit",COUNTIFS($I$4:changes[[#This Row],[Name]],changes[[#This Row],[Name]], $E$4:changes[[#This Row],[Type of change]], "Edit")),B1686)</f>
        <v>2</v>
      </c>
      <c r="C1687" s="16">
        <v>44722</v>
      </c>
      <c r="D1687" s="16" t="s">
        <v>2817</v>
      </c>
      <c r="E1687" t="s">
        <v>15</v>
      </c>
      <c r="F1687" s="10" t="s">
        <v>9</v>
      </c>
      <c r="G1687" t="s">
        <v>1896</v>
      </c>
      <c r="H1687" t="s">
        <v>55</v>
      </c>
      <c r="I1687" t="s">
        <v>1899</v>
      </c>
      <c r="K1687" s="2" t="s">
        <v>6</v>
      </c>
      <c r="L1687" t="s">
        <v>2855</v>
      </c>
      <c r="M1687" s="2"/>
    </row>
    <row r="1688" spans="1:13">
      <c r="A1688" t="s">
        <v>28</v>
      </c>
      <c r="B1688">
        <f ca="1">IF(OR(changes[[#This Row],[Type]]="Checklist",changes[[#This Row],[Type]]="checklist-flat"),1+IF(changes[[#This Row],[Type of change]] = "Edit",COUNTIFS($I$4:changes[[#This Row],[Name]],changes[[#This Row],[Name]], $E$4:changes[[#This Row],[Type of change]], "Edit")),B1687)</f>
        <v>2</v>
      </c>
      <c r="C1688" s="16">
        <v>44722</v>
      </c>
      <c r="D1688" s="16" t="s">
        <v>2817</v>
      </c>
      <c r="E1688" t="s">
        <v>15</v>
      </c>
      <c r="F1688" s="10" t="s">
        <v>9</v>
      </c>
      <c r="G1688" t="s">
        <v>1896</v>
      </c>
      <c r="H1688" t="s">
        <v>55</v>
      </c>
      <c r="I1688" t="s">
        <v>2482</v>
      </c>
      <c r="K1688" s="2" t="s">
        <v>6</v>
      </c>
      <c r="L1688" t="s">
        <v>2855</v>
      </c>
      <c r="M1688" s="2"/>
    </row>
    <row r="1689" spans="1:13">
      <c r="A1689" t="s">
        <v>28</v>
      </c>
      <c r="B1689">
        <f ca="1">IF(OR(changes[[#This Row],[Type]]="Checklist",changes[[#This Row],[Type]]="checklist-flat"),1+IF(changes[[#This Row],[Type of change]] = "Edit",COUNTIFS($I$4:changes[[#This Row],[Name]],changes[[#This Row],[Name]], $E$4:changes[[#This Row],[Type of change]], "Edit")),B1688)</f>
        <v>2</v>
      </c>
      <c r="C1689" s="16">
        <v>44722</v>
      </c>
      <c r="D1689" s="16" t="s">
        <v>2817</v>
      </c>
      <c r="E1689" t="s">
        <v>15</v>
      </c>
      <c r="F1689" s="10" t="s">
        <v>9</v>
      </c>
      <c r="G1689" t="s">
        <v>1896</v>
      </c>
      <c r="H1689" t="s">
        <v>724</v>
      </c>
      <c r="I1689" t="s">
        <v>1901</v>
      </c>
      <c r="K1689" s="2" t="s">
        <v>6</v>
      </c>
      <c r="L1689" t="s">
        <v>2855</v>
      </c>
      <c r="M1689" s="2"/>
    </row>
    <row r="1690" spans="1:13">
      <c r="A1690" t="s">
        <v>28</v>
      </c>
      <c r="B1690">
        <f ca="1">IF(OR(changes[[#This Row],[Type]]="Checklist",changes[[#This Row],[Type]]="checklist-flat"),1+IF(changes[[#This Row],[Type of change]] = "Edit",COUNTIFS($I$4:changes[[#This Row],[Name]],changes[[#This Row],[Name]], $E$4:changes[[#This Row],[Type of change]], "Edit")),B1689)</f>
        <v>2</v>
      </c>
      <c r="C1690" s="16">
        <v>44722</v>
      </c>
      <c r="D1690" s="16" t="s">
        <v>2817</v>
      </c>
      <c r="E1690" t="s">
        <v>15</v>
      </c>
      <c r="F1690" s="10" t="s">
        <v>9</v>
      </c>
      <c r="G1690" t="s">
        <v>1896</v>
      </c>
      <c r="H1690" t="s">
        <v>55</v>
      </c>
      <c r="I1690" t="s">
        <v>1902</v>
      </c>
      <c r="K1690" s="2" t="s">
        <v>6</v>
      </c>
      <c r="L1690" t="s">
        <v>2855</v>
      </c>
      <c r="M1690" s="2"/>
    </row>
    <row r="1691" spans="1:13">
      <c r="A1691" t="s">
        <v>28</v>
      </c>
      <c r="B1691">
        <f ca="1">IF(OR(changes[[#This Row],[Type]]="Checklist",changes[[#This Row],[Type]]="checklist-flat"),1+IF(changes[[#This Row],[Type of change]] = "Edit",COUNTIFS($I$4:changes[[#This Row],[Name]],changes[[#This Row],[Name]], $E$4:changes[[#This Row],[Type of change]], "Edit")),B1690)</f>
        <v>2</v>
      </c>
      <c r="C1691" s="16">
        <v>44722</v>
      </c>
      <c r="D1691" s="16" t="s">
        <v>2817</v>
      </c>
      <c r="E1691" t="s">
        <v>15</v>
      </c>
      <c r="F1691" s="10" t="s">
        <v>9</v>
      </c>
      <c r="G1691" t="s">
        <v>1896</v>
      </c>
      <c r="H1691" t="s">
        <v>55</v>
      </c>
      <c r="I1691" t="s">
        <v>1903</v>
      </c>
      <c r="K1691" s="2" t="s">
        <v>6</v>
      </c>
      <c r="L1691" t="s">
        <v>2855</v>
      </c>
      <c r="M1691" s="2"/>
    </row>
    <row r="1692" spans="1:13">
      <c r="A1692" t="s">
        <v>28</v>
      </c>
      <c r="B1692">
        <f ca="1">IF(OR(changes[[#This Row],[Type]]="Checklist",changes[[#This Row],[Type]]="checklist-flat"),1+IF(changes[[#This Row],[Type of change]] = "Edit",COUNTIFS($I$4:changes[[#This Row],[Name]],changes[[#This Row],[Name]], $E$4:changes[[#This Row],[Type of change]], "Edit")),B1691)</f>
        <v>2</v>
      </c>
      <c r="C1692" s="16">
        <v>44722</v>
      </c>
      <c r="D1692" s="16" t="s">
        <v>2817</v>
      </c>
      <c r="E1692" t="s">
        <v>15</v>
      </c>
      <c r="F1692" s="10" t="s">
        <v>9</v>
      </c>
      <c r="G1692" t="s">
        <v>1896</v>
      </c>
      <c r="H1692" t="s">
        <v>55</v>
      </c>
      <c r="I1692" t="s">
        <v>1904</v>
      </c>
      <c r="K1692" s="2" t="s">
        <v>6</v>
      </c>
      <c r="L1692" t="s">
        <v>2855</v>
      </c>
      <c r="M1692" s="2" t="s">
        <v>2856</v>
      </c>
    </row>
    <row r="1693" spans="1:13">
      <c r="A1693" t="s">
        <v>28</v>
      </c>
      <c r="B1693">
        <f ca="1">IF(OR(changes[[#This Row],[Type]]="Checklist",changes[[#This Row],[Type]]="checklist-flat"),1+IF(changes[[#This Row],[Type of change]] = "Edit",COUNTIFS($I$4:changes[[#This Row],[Name]],changes[[#This Row],[Name]], $E$4:changes[[#This Row],[Type of change]], "Edit")),B1692)</f>
        <v>2</v>
      </c>
      <c r="C1693" s="16">
        <v>44722</v>
      </c>
      <c r="D1693" s="16" t="s">
        <v>2817</v>
      </c>
      <c r="E1693" t="s">
        <v>15</v>
      </c>
      <c r="F1693" s="10" t="s">
        <v>9</v>
      </c>
      <c r="G1693" t="s">
        <v>1896</v>
      </c>
      <c r="H1693" t="s">
        <v>479</v>
      </c>
      <c r="I1693" t="s">
        <v>1905</v>
      </c>
      <c r="K1693" s="2" t="s">
        <v>6</v>
      </c>
      <c r="L1693" t="s">
        <v>2855</v>
      </c>
      <c r="M1693" s="2"/>
    </row>
    <row r="1694" spans="1:13">
      <c r="A1694" t="s">
        <v>28</v>
      </c>
      <c r="B1694">
        <f ca="1">IF(OR(changes[[#This Row],[Type]]="Checklist",changes[[#This Row],[Type]]="checklist-flat"),1+IF(changes[[#This Row],[Type of change]] = "Edit",COUNTIFS($I$4:changes[[#This Row],[Name]],changes[[#This Row],[Name]], $E$4:changes[[#This Row],[Type of change]], "Edit")),B1693)</f>
        <v>2</v>
      </c>
      <c r="C1694" s="16">
        <v>44722</v>
      </c>
      <c r="D1694" s="16" t="s">
        <v>2817</v>
      </c>
      <c r="E1694" t="s">
        <v>15</v>
      </c>
      <c r="F1694" s="10" t="s">
        <v>9</v>
      </c>
      <c r="G1694" t="s">
        <v>1896</v>
      </c>
      <c r="H1694" t="s">
        <v>55</v>
      </c>
      <c r="I1694" t="s">
        <v>1484</v>
      </c>
      <c r="K1694" s="2" t="s">
        <v>6</v>
      </c>
      <c r="L1694" t="s">
        <v>2855</v>
      </c>
      <c r="M1694" s="2"/>
    </row>
    <row r="1695" spans="1:13">
      <c r="A1695" t="s">
        <v>28</v>
      </c>
      <c r="B1695">
        <f ca="1">IF(OR(changes[[#This Row],[Type]]="Checklist",changes[[#This Row],[Type]]="checklist-flat"),1+IF(changes[[#This Row],[Type of change]] = "Edit",COUNTIFS($I$4:changes[[#This Row],[Name]],changes[[#This Row],[Name]], $E$4:changes[[#This Row],[Type of change]], "Edit")),B1694)</f>
        <v>2</v>
      </c>
      <c r="C1695" s="16">
        <v>44722</v>
      </c>
      <c r="D1695" s="16" t="s">
        <v>2817</v>
      </c>
      <c r="E1695" t="s">
        <v>15</v>
      </c>
      <c r="F1695" s="10" t="s">
        <v>9</v>
      </c>
      <c r="G1695" t="s">
        <v>1896</v>
      </c>
      <c r="H1695" t="s">
        <v>55</v>
      </c>
      <c r="I1695" t="s">
        <v>1906</v>
      </c>
      <c r="K1695" s="2" t="s">
        <v>6</v>
      </c>
      <c r="L1695" t="s">
        <v>2855</v>
      </c>
      <c r="M1695" s="2"/>
    </row>
    <row r="1696" spans="1:13">
      <c r="A1696" t="s">
        <v>28</v>
      </c>
      <c r="B1696">
        <f ca="1">IF(OR(changes[[#This Row],[Type]]="Checklist",changes[[#This Row],[Type]]="checklist-flat"),1+IF(changes[[#This Row],[Type of change]] = "Edit",COUNTIFS($I$4:changes[[#This Row],[Name]],changes[[#This Row],[Name]], $E$4:changes[[#This Row],[Type of change]], "Edit")),B1695)</f>
        <v>2</v>
      </c>
      <c r="C1696" s="16">
        <v>44722</v>
      </c>
      <c r="D1696" s="16" t="s">
        <v>2817</v>
      </c>
      <c r="E1696" t="s">
        <v>15</v>
      </c>
      <c r="F1696" s="10" t="s">
        <v>9</v>
      </c>
      <c r="G1696" t="s">
        <v>1896</v>
      </c>
      <c r="H1696" t="s">
        <v>55</v>
      </c>
      <c r="I1696" t="s">
        <v>1907</v>
      </c>
      <c r="K1696" s="2" t="s">
        <v>6</v>
      </c>
      <c r="L1696" t="s">
        <v>2855</v>
      </c>
      <c r="M1696" s="2"/>
    </row>
    <row r="1697" spans="1:13">
      <c r="A1697" t="s">
        <v>28</v>
      </c>
      <c r="B1697">
        <f ca="1">IF(OR(changes[[#This Row],[Type]]="Checklist",changes[[#This Row],[Type]]="checklist-flat"),1+IF(changes[[#This Row],[Type of change]] = "Edit",COUNTIFS($I$4:changes[[#This Row],[Name]],changes[[#This Row],[Name]], $E$4:changes[[#This Row],[Type of change]], "Edit")),B1696)</f>
        <v>2</v>
      </c>
      <c r="C1697" s="16">
        <v>44722</v>
      </c>
      <c r="D1697" s="16" t="s">
        <v>2817</v>
      </c>
      <c r="E1697" t="s">
        <v>15</v>
      </c>
      <c r="F1697" s="10" t="s">
        <v>9</v>
      </c>
      <c r="G1697" t="s">
        <v>1896</v>
      </c>
      <c r="H1697" t="s">
        <v>55</v>
      </c>
      <c r="I1697" t="s">
        <v>1908</v>
      </c>
      <c r="K1697" s="2" t="s">
        <v>6</v>
      </c>
      <c r="L1697" t="s">
        <v>2855</v>
      </c>
      <c r="M1697" s="2"/>
    </row>
    <row r="1698" spans="1:13">
      <c r="A1698" t="s">
        <v>28</v>
      </c>
      <c r="B1698">
        <f ca="1">IF(OR(changes[[#This Row],[Type]]="Checklist",changes[[#This Row],[Type]]="checklist-flat"),1+IF(changes[[#This Row],[Type of change]] = "Edit",COUNTIFS($I$4:changes[[#This Row],[Name]],changes[[#This Row],[Name]], $E$4:changes[[#This Row],[Type of change]], "Edit")),B1697)</f>
        <v>2</v>
      </c>
      <c r="C1698" s="16">
        <v>44722</v>
      </c>
      <c r="D1698" s="16" t="s">
        <v>2817</v>
      </c>
      <c r="E1698" t="s">
        <v>15</v>
      </c>
      <c r="F1698" s="10" t="s">
        <v>9</v>
      </c>
      <c r="G1698" t="s">
        <v>1896</v>
      </c>
      <c r="H1698" t="s">
        <v>55</v>
      </c>
      <c r="I1698" t="s">
        <v>1909</v>
      </c>
      <c r="K1698" s="2" t="s">
        <v>6</v>
      </c>
      <c r="L1698" t="s">
        <v>2855</v>
      </c>
      <c r="M1698" s="2"/>
    </row>
    <row r="1699" spans="1:13">
      <c r="A1699" t="s">
        <v>28</v>
      </c>
      <c r="B1699">
        <f ca="1">IF(OR(changes[[#This Row],[Type]]="Checklist",changes[[#This Row],[Type]]="checklist-flat"),1+IF(changes[[#This Row],[Type of change]] = "Edit",COUNTIFS($I$4:changes[[#This Row],[Name]],changes[[#This Row],[Name]], $E$4:changes[[#This Row],[Type of change]], "Edit")),B1698)</f>
        <v>2</v>
      </c>
      <c r="C1699" s="16">
        <v>44722</v>
      </c>
      <c r="D1699" s="16" t="s">
        <v>2817</v>
      </c>
      <c r="E1699" t="s">
        <v>15</v>
      </c>
      <c r="F1699" s="10" t="s">
        <v>9</v>
      </c>
      <c r="G1699" t="s">
        <v>1896</v>
      </c>
      <c r="H1699" t="s">
        <v>55</v>
      </c>
      <c r="I1699" t="s">
        <v>1910</v>
      </c>
      <c r="K1699" s="2" t="s">
        <v>6</v>
      </c>
      <c r="L1699" t="s">
        <v>2855</v>
      </c>
      <c r="M1699" s="2"/>
    </row>
    <row r="1700" spans="1:13">
      <c r="A1700" t="s">
        <v>28</v>
      </c>
      <c r="B1700">
        <f ca="1">IF(OR(changes[[#This Row],[Type]]="Checklist",changes[[#This Row],[Type]]="checklist-flat"),1+IF(changes[[#This Row],[Type of change]] = "Edit",COUNTIFS($I$4:changes[[#This Row],[Name]],changes[[#This Row],[Name]], $E$4:changes[[#This Row],[Type of change]], "Edit")),B1699)</f>
        <v>2</v>
      </c>
      <c r="C1700" s="16">
        <v>44722</v>
      </c>
      <c r="D1700" s="16" t="s">
        <v>2817</v>
      </c>
      <c r="E1700" t="s">
        <v>15</v>
      </c>
      <c r="F1700" s="10" t="s">
        <v>9</v>
      </c>
      <c r="G1700" t="s">
        <v>1896</v>
      </c>
      <c r="H1700" t="s">
        <v>55</v>
      </c>
      <c r="I1700" t="s">
        <v>1911</v>
      </c>
      <c r="K1700" s="2" t="s">
        <v>6</v>
      </c>
      <c r="L1700" t="s">
        <v>2855</v>
      </c>
      <c r="M1700" s="2"/>
    </row>
    <row r="1701" spans="1:13">
      <c r="A1701" t="s">
        <v>28</v>
      </c>
      <c r="B1701">
        <f ca="1">IF(OR(changes[[#This Row],[Type]]="Checklist",changes[[#This Row],[Type]]="checklist-flat"),1+IF(changes[[#This Row],[Type of change]] = "Edit",COUNTIFS($I$4:changes[[#This Row],[Name]],changes[[#This Row],[Name]], $E$4:changes[[#This Row],[Type of change]], "Edit")),B1700)</f>
        <v>2</v>
      </c>
      <c r="C1701" s="16">
        <v>44722</v>
      </c>
      <c r="D1701" s="16" t="s">
        <v>2817</v>
      </c>
      <c r="E1701" t="s">
        <v>15</v>
      </c>
      <c r="F1701" s="10" t="s">
        <v>9</v>
      </c>
      <c r="G1701" t="s">
        <v>1896</v>
      </c>
      <c r="H1701" t="s">
        <v>55</v>
      </c>
      <c r="I1701" t="s">
        <v>1904</v>
      </c>
      <c r="K1701" s="2" t="s">
        <v>6</v>
      </c>
      <c r="L1701" t="s">
        <v>2855</v>
      </c>
      <c r="M1701" s="2" t="s">
        <v>2856</v>
      </c>
    </row>
    <row r="1702" spans="1:13">
      <c r="A1702" t="s">
        <v>28</v>
      </c>
      <c r="B1702">
        <f ca="1">IF(OR(changes[[#This Row],[Type]]="Checklist",changes[[#This Row],[Type]]="checklist-flat"),1+IF(changes[[#This Row],[Type of change]] = "Edit",COUNTIFS($I$4:changes[[#This Row],[Name]],changes[[#This Row],[Name]], $E$4:changes[[#This Row],[Type of change]], "Edit")),B1701)</f>
        <v>2</v>
      </c>
      <c r="C1702" s="16">
        <v>44722</v>
      </c>
      <c r="D1702" s="16" t="s">
        <v>2817</v>
      </c>
      <c r="E1702" t="s">
        <v>15</v>
      </c>
      <c r="F1702" s="10" t="s">
        <v>9</v>
      </c>
      <c r="G1702" t="s">
        <v>1896</v>
      </c>
      <c r="H1702" t="s">
        <v>479</v>
      </c>
      <c r="I1702" t="s">
        <v>1912</v>
      </c>
      <c r="K1702" s="2" t="s">
        <v>6</v>
      </c>
      <c r="L1702" t="s">
        <v>2855</v>
      </c>
      <c r="M1702" s="2"/>
    </row>
    <row r="1703" spans="1:13">
      <c r="A1703" t="s">
        <v>28</v>
      </c>
      <c r="B1703">
        <f ca="1">IF(OR(changes[[#This Row],[Type]]="Checklist",changes[[#This Row],[Type]]="checklist-flat"),1+IF(changes[[#This Row],[Type of change]] = "Edit",COUNTIFS($I$4:changes[[#This Row],[Name]],changes[[#This Row],[Name]], $E$4:changes[[#This Row],[Type of change]], "Edit")),B1702)</f>
        <v>2</v>
      </c>
      <c r="C1703" s="16">
        <v>44722</v>
      </c>
      <c r="D1703" s="16" t="s">
        <v>2817</v>
      </c>
      <c r="E1703" t="s">
        <v>15</v>
      </c>
      <c r="F1703" s="10" t="s">
        <v>9</v>
      </c>
      <c r="G1703" t="s">
        <v>1896</v>
      </c>
      <c r="H1703" t="s">
        <v>55</v>
      </c>
      <c r="I1703" t="s">
        <v>1913</v>
      </c>
      <c r="K1703" s="2" t="s">
        <v>6</v>
      </c>
      <c r="L1703" t="s">
        <v>2855</v>
      </c>
      <c r="M1703" s="2"/>
    </row>
    <row r="1704" spans="1:13">
      <c r="A1704" t="s">
        <v>28</v>
      </c>
      <c r="B1704">
        <f ca="1">IF(OR(changes[[#This Row],[Type]]="Checklist",changes[[#This Row],[Type]]="checklist-flat"),1+IF(changes[[#This Row],[Type of change]] = "Edit",COUNTIFS($I$4:changes[[#This Row],[Name]],changes[[#This Row],[Name]], $E$4:changes[[#This Row],[Type of change]], "Edit")),B1703)</f>
        <v>2</v>
      </c>
      <c r="C1704" s="16">
        <v>44722</v>
      </c>
      <c r="D1704" s="16" t="s">
        <v>2817</v>
      </c>
      <c r="E1704" t="s">
        <v>15</v>
      </c>
      <c r="F1704" s="10" t="s">
        <v>9</v>
      </c>
      <c r="G1704" t="s">
        <v>1896</v>
      </c>
      <c r="H1704" t="s">
        <v>55</v>
      </c>
      <c r="I1704" t="s">
        <v>1914</v>
      </c>
      <c r="K1704" s="2" t="s">
        <v>6</v>
      </c>
      <c r="L1704" t="s">
        <v>2855</v>
      </c>
      <c r="M1704" s="2"/>
    </row>
    <row r="1705" spans="1:13">
      <c r="A1705" t="s">
        <v>28</v>
      </c>
      <c r="B1705">
        <f ca="1">IF(OR(changes[[#This Row],[Type]]="Checklist",changes[[#This Row],[Type]]="checklist-flat"),1+IF(changes[[#This Row],[Type of change]] = "Edit",COUNTIFS($I$4:changes[[#This Row],[Name]],changes[[#This Row],[Name]], $E$4:changes[[#This Row],[Type of change]], "Edit")),B1704)</f>
        <v>1</v>
      </c>
      <c r="C1705" s="16">
        <v>44732</v>
      </c>
      <c r="D1705" s="1" t="s">
        <v>2509</v>
      </c>
      <c r="E1705" t="s">
        <v>27</v>
      </c>
      <c r="F1705" s="10" t="s">
        <v>52</v>
      </c>
      <c r="G1705" t="s">
        <v>1635</v>
      </c>
      <c r="H1705" t="s">
        <v>54</v>
      </c>
      <c r="I1705" t="s">
        <v>1635</v>
      </c>
      <c r="K1705" s="2"/>
      <c r="M1705" s="2"/>
    </row>
    <row r="1706" spans="1:13">
      <c r="A1706" t="s">
        <v>28</v>
      </c>
      <c r="B1706">
        <f ca="1">IF(OR(changes[[#This Row],[Type]]="Checklist",changes[[#This Row],[Type]]="checklist-flat"),1+IF(changes[[#This Row],[Type of change]] = "Edit",COUNTIFS($I$4:changes[[#This Row],[Name]],changes[[#This Row],[Name]], $E$4:changes[[#This Row],[Type of change]], "Edit")),B1705)</f>
        <v>1</v>
      </c>
      <c r="C1706" s="16">
        <v>44732</v>
      </c>
      <c r="D1706" s="1" t="s">
        <v>2509</v>
      </c>
      <c r="E1706" t="s">
        <v>27</v>
      </c>
      <c r="F1706" s="10" t="s">
        <v>52</v>
      </c>
      <c r="G1706" t="s">
        <v>1635</v>
      </c>
      <c r="H1706" t="s">
        <v>55</v>
      </c>
      <c r="I1706" t="s">
        <v>62</v>
      </c>
      <c r="K1706" s="2"/>
      <c r="M1706" s="2"/>
    </row>
    <row r="1707" spans="1:13">
      <c r="A1707" t="s">
        <v>28</v>
      </c>
      <c r="B1707">
        <f ca="1">IF(OR(changes[[#This Row],[Type]]="Checklist",changes[[#This Row],[Type]]="checklist-flat"),1+IF(changes[[#This Row],[Type of change]] = "Edit",COUNTIFS($I$4:changes[[#This Row],[Name]],changes[[#This Row],[Name]], $E$4:changes[[#This Row],[Type of change]], "Edit")),B1706)</f>
        <v>1</v>
      </c>
      <c r="C1707" s="16">
        <v>44732</v>
      </c>
      <c r="D1707" s="1" t="s">
        <v>2509</v>
      </c>
      <c r="E1707" t="s">
        <v>27</v>
      </c>
      <c r="F1707" s="10" t="s">
        <v>52</v>
      </c>
      <c r="G1707" t="s">
        <v>1635</v>
      </c>
      <c r="H1707" t="s">
        <v>55</v>
      </c>
      <c r="I1707" t="s">
        <v>63</v>
      </c>
      <c r="K1707" s="2"/>
      <c r="M1707" s="2"/>
    </row>
    <row r="1708" spans="1:13">
      <c r="A1708" t="s">
        <v>28</v>
      </c>
      <c r="B1708">
        <f ca="1">IF(OR(changes[[#This Row],[Type]]="Checklist",changes[[#This Row],[Type]]="checklist-flat"),1+IF(changes[[#This Row],[Type of change]] = "Edit",COUNTIFS($I$4:changes[[#This Row],[Name]],changes[[#This Row],[Name]], $E$4:changes[[#This Row],[Type of change]], "Edit")),B1707)</f>
        <v>1</v>
      </c>
      <c r="C1708" s="16">
        <v>44732</v>
      </c>
      <c r="D1708" s="1" t="s">
        <v>2509</v>
      </c>
      <c r="E1708" t="s">
        <v>27</v>
      </c>
      <c r="F1708" s="10" t="s">
        <v>52</v>
      </c>
      <c r="G1708" t="s">
        <v>1635</v>
      </c>
      <c r="H1708" t="s">
        <v>55</v>
      </c>
      <c r="I1708" t="s">
        <v>1636</v>
      </c>
      <c r="K1708" s="2"/>
      <c r="M1708" s="2"/>
    </row>
    <row r="1709" spans="1:13">
      <c r="A1709" t="s">
        <v>28</v>
      </c>
      <c r="B1709">
        <f ca="1">IF(OR(changes[[#This Row],[Type]]="Checklist",changes[[#This Row],[Type]]="checklist-flat"),1+IF(changes[[#This Row],[Type of change]] = "Edit",COUNTIFS($I$4:changes[[#This Row],[Name]],changes[[#This Row],[Name]], $E$4:changes[[#This Row],[Type of change]], "Edit")),B1708)</f>
        <v>1</v>
      </c>
      <c r="C1709" s="16">
        <v>44732</v>
      </c>
      <c r="D1709" s="1" t="s">
        <v>2509</v>
      </c>
      <c r="E1709" t="s">
        <v>27</v>
      </c>
      <c r="F1709" s="10" t="s">
        <v>52</v>
      </c>
      <c r="G1709" s="10" t="s">
        <v>1635</v>
      </c>
      <c r="H1709" t="s">
        <v>64</v>
      </c>
      <c r="I1709" t="s">
        <v>65</v>
      </c>
      <c r="K1709" s="2"/>
      <c r="M1709" s="2"/>
    </row>
    <row r="1710" spans="1:13">
      <c r="A1710" t="s">
        <v>28</v>
      </c>
      <c r="B1710">
        <f ca="1">IF(OR(changes[[#This Row],[Type]]="Checklist",changes[[#This Row],[Type]]="checklist-flat"),1+IF(changes[[#This Row],[Type of change]] = "Edit",COUNTIFS($I$4:changes[[#This Row],[Name]],changes[[#This Row],[Name]], $E$4:changes[[#This Row],[Type of change]], "Edit")),B1709)</f>
        <v>1</v>
      </c>
      <c r="C1710" s="16">
        <v>44732</v>
      </c>
      <c r="D1710" s="1" t="s">
        <v>2509</v>
      </c>
      <c r="E1710" t="s">
        <v>27</v>
      </c>
      <c r="F1710" s="10" t="s">
        <v>52</v>
      </c>
      <c r="G1710" s="10" t="s">
        <v>1635</v>
      </c>
      <c r="H1710" t="s">
        <v>55</v>
      </c>
      <c r="I1710" t="s">
        <v>1637</v>
      </c>
      <c r="K1710" s="2"/>
      <c r="M1710" s="2"/>
    </row>
    <row r="1711" spans="1:13">
      <c r="A1711" t="s">
        <v>28</v>
      </c>
      <c r="B1711">
        <f ca="1">IF(OR(changes[[#This Row],[Type]]="Checklist",changes[[#This Row],[Type]]="checklist-flat"),1+IF(changes[[#This Row],[Type of change]] = "Edit",COUNTIFS($I$4:changes[[#This Row],[Name]],changes[[#This Row],[Name]], $E$4:changes[[#This Row],[Type of change]], "Edit")),B1710)</f>
        <v>2</v>
      </c>
      <c r="C1711" s="16">
        <v>44732</v>
      </c>
      <c r="D1711" s="1" t="s">
        <v>2857</v>
      </c>
      <c r="E1711" t="s">
        <v>15</v>
      </c>
      <c r="F1711" s="10" t="s">
        <v>52</v>
      </c>
      <c r="G1711" s="10" t="s">
        <v>53</v>
      </c>
      <c r="H1711" t="s">
        <v>54</v>
      </c>
      <c r="I1711" t="s">
        <v>53</v>
      </c>
      <c r="K1711" s="2"/>
      <c r="M1711" s="2" t="s">
        <v>2858</v>
      </c>
    </row>
    <row r="1712" spans="1:13">
      <c r="A1712" t="s">
        <v>28</v>
      </c>
      <c r="B1712">
        <f ca="1">IF(OR(changes[[#This Row],[Type]]="Checklist",changes[[#This Row],[Type]]="checklist-flat"),1+IF(changes[[#This Row],[Type of change]] = "Edit",COUNTIFS($I$4:changes[[#This Row],[Name]],changes[[#This Row],[Name]], $E$4:changes[[#This Row],[Type of change]], "Edit")),B1711)</f>
        <v>2</v>
      </c>
      <c r="C1712" s="16">
        <v>44732</v>
      </c>
      <c r="D1712" s="1" t="s">
        <v>2857</v>
      </c>
      <c r="E1712" t="s">
        <v>15</v>
      </c>
      <c r="F1712" s="10" t="s">
        <v>52</v>
      </c>
      <c r="G1712" s="10" t="s">
        <v>53</v>
      </c>
      <c r="H1712" t="s">
        <v>55</v>
      </c>
      <c r="I1712" s="20" t="s">
        <v>56</v>
      </c>
      <c r="K1712" s="2"/>
      <c r="M1712" s="2"/>
    </row>
    <row r="1713" spans="1:13">
      <c r="A1713" t="s">
        <v>28</v>
      </c>
      <c r="B1713">
        <f ca="1">IF(OR(changes[[#This Row],[Type]]="Checklist",changes[[#This Row],[Type]]="checklist-flat"),1+IF(changes[[#This Row],[Type of change]] = "Edit",COUNTIFS($I$4:changes[[#This Row],[Name]],changes[[#This Row],[Name]], $E$4:changes[[#This Row],[Type of change]], "Edit")),B1712)</f>
        <v>2</v>
      </c>
      <c r="C1713" s="16">
        <v>44732</v>
      </c>
      <c r="D1713" s="1" t="s">
        <v>2857</v>
      </c>
      <c r="E1713" t="s">
        <v>15</v>
      </c>
      <c r="F1713" s="10" t="s">
        <v>52</v>
      </c>
      <c r="G1713" s="10" t="s">
        <v>53</v>
      </c>
      <c r="H1713" t="s">
        <v>55</v>
      </c>
      <c r="I1713" t="s">
        <v>57</v>
      </c>
      <c r="K1713" s="2"/>
      <c r="M1713" s="2"/>
    </row>
    <row r="1714" spans="1:13">
      <c r="A1714" t="s">
        <v>28</v>
      </c>
      <c r="B1714">
        <f ca="1">IF(OR(changes[[#This Row],[Type]]="Checklist",changes[[#This Row],[Type]]="checklist-flat"),1+IF(changes[[#This Row],[Type of change]] = "Edit",COUNTIFS($I$4:changes[[#This Row],[Name]],changes[[#This Row],[Name]], $E$4:changes[[#This Row],[Type of change]], "Edit")),B1713)</f>
        <v>2</v>
      </c>
      <c r="C1714" s="16">
        <v>44732</v>
      </c>
      <c r="D1714" s="1" t="s">
        <v>2857</v>
      </c>
      <c r="E1714" t="s">
        <v>15</v>
      </c>
      <c r="F1714" s="10" t="s">
        <v>52</v>
      </c>
      <c r="G1714" s="10" t="s">
        <v>53</v>
      </c>
      <c r="H1714" t="s">
        <v>55</v>
      </c>
      <c r="I1714" t="s">
        <v>58</v>
      </c>
      <c r="K1714" s="2"/>
      <c r="M1714" s="2"/>
    </row>
    <row r="1715" spans="1:13">
      <c r="A1715" t="s">
        <v>28</v>
      </c>
      <c r="B1715">
        <f ca="1">IF(OR(changes[[#This Row],[Type]]="Checklist",changes[[#This Row],[Type]]="checklist-flat"),1+IF(changes[[#This Row],[Type of change]] = "Edit",COUNTIFS($I$4:changes[[#This Row],[Name]],changes[[#This Row],[Name]], $E$4:changes[[#This Row],[Type of change]], "Edit")),B1714)</f>
        <v>2</v>
      </c>
      <c r="C1715" s="16">
        <v>44732</v>
      </c>
      <c r="D1715" s="1" t="s">
        <v>2857</v>
      </c>
      <c r="E1715" t="s">
        <v>15</v>
      </c>
      <c r="F1715" s="10" t="s">
        <v>52</v>
      </c>
      <c r="G1715" s="10" t="s">
        <v>53</v>
      </c>
      <c r="H1715" t="s">
        <v>55</v>
      </c>
      <c r="I1715" t="s">
        <v>59</v>
      </c>
      <c r="K1715" s="2"/>
      <c r="M1715" s="2"/>
    </row>
    <row r="1716" spans="1:13">
      <c r="A1716" t="s">
        <v>28</v>
      </c>
      <c r="B1716">
        <f ca="1">IF(OR(changes[[#This Row],[Type]]="Checklist",changes[[#This Row],[Type]]="checklist-flat"),1+IF(changes[[#This Row],[Type of change]] = "Edit",COUNTIFS($I$4:changes[[#This Row],[Name]],changes[[#This Row],[Name]], $E$4:changes[[#This Row],[Type of change]], "Edit")),B1715)</f>
        <v>2</v>
      </c>
      <c r="C1716" s="16">
        <v>44732</v>
      </c>
      <c r="D1716" s="1" t="s">
        <v>2857</v>
      </c>
      <c r="E1716" t="s">
        <v>15</v>
      </c>
      <c r="F1716" s="10" t="s">
        <v>52</v>
      </c>
      <c r="G1716" s="10" t="s">
        <v>53</v>
      </c>
      <c r="H1716" t="s">
        <v>55</v>
      </c>
      <c r="I1716" t="s">
        <v>60</v>
      </c>
      <c r="K1716" s="2"/>
      <c r="M1716" s="2"/>
    </row>
    <row r="1717" spans="1:13">
      <c r="A1717" t="s">
        <v>28</v>
      </c>
      <c r="B1717">
        <f ca="1">IF(OR(changes[[#This Row],[Type]]="Checklist",changes[[#This Row],[Type]]="checklist-flat"),1+IF(changes[[#This Row],[Type of change]] = "Edit",COUNTIFS($I$4:changes[[#This Row],[Name]],changes[[#This Row],[Name]], $E$4:changes[[#This Row],[Type of change]], "Edit")),B1716)</f>
        <v>2</v>
      </c>
      <c r="C1717" s="16">
        <v>44732</v>
      </c>
      <c r="D1717" s="1" t="s">
        <v>2817</v>
      </c>
      <c r="E1717" t="s">
        <v>15</v>
      </c>
      <c r="F1717" s="10" t="s">
        <v>9</v>
      </c>
      <c r="G1717" s="10" t="s">
        <v>1757</v>
      </c>
      <c r="H1717" t="s">
        <v>54</v>
      </c>
      <c r="I1717" t="s">
        <v>1757</v>
      </c>
      <c r="K1717" s="2" t="s">
        <v>6</v>
      </c>
      <c r="L1717" t="s">
        <v>2855</v>
      </c>
      <c r="M1717" s="2"/>
    </row>
    <row r="1718" spans="1:13">
      <c r="A1718" t="s">
        <v>28</v>
      </c>
      <c r="B1718">
        <f ca="1">IF(OR(changes[[#This Row],[Type]]="Checklist",changes[[#This Row],[Type]]="checklist-flat"),1+IF(changes[[#This Row],[Type of change]] = "Edit",COUNTIFS($I$4:changes[[#This Row],[Name]],changes[[#This Row],[Name]], $E$4:changes[[#This Row],[Type of change]], "Edit")),B1717)</f>
        <v>2</v>
      </c>
      <c r="C1718" s="16">
        <v>44732</v>
      </c>
      <c r="D1718" s="1" t="s">
        <v>2817</v>
      </c>
      <c r="E1718" t="s">
        <v>15</v>
      </c>
      <c r="F1718" s="10" t="s">
        <v>9</v>
      </c>
      <c r="G1718" s="10" t="s">
        <v>1757</v>
      </c>
      <c r="H1718" t="s">
        <v>55</v>
      </c>
      <c r="I1718" t="s">
        <v>1758</v>
      </c>
      <c r="K1718" s="2" t="s">
        <v>6</v>
      </c>
      <c r="L1718" t="s">
        <v>2855</v>
      </c>
      <c r="M1718" s="2"/>
    </row>
    <row r="1719" spans="1:13">
      <c r="A1719" t="s">
        <v>28</v>
      </c>
      <c r="B1719">
        <f ca="1">IF(OR(changes[[#This Row],[Type]]="Checklist",changes[[#This Row],[Type]]="checklist-flat"),1+IF(changes[[#This Row],[Type of change]] = "Edit",COUNTIFS($I$4:changes[[#This Row],[Name]],changes[[#This Row],[Name]], $E$4:changes[[#This Row],[Type of change]], "Edit")),B1718)</f>
        <v>2</v>
      </c>
      <c r="C1719" s="16">
        <v>44732</v>
      </c>
      <c r="D1719" s="1" t="s">
        <v>2817</v>
      </c>
      <c r="E1719" t="s">
        <v>15</v>
      </c>
      <c r="F1719" s="10" t="s">
        <v>9</v>
      </c>
      <c r="G1719" s="10" t="s">
        <v>1757</v>
      </c>
      <c r="H1719" t="s">
        <v>214</v>
      </c>
      <c r="I1719" t="s">
        <v>569</v>
      </c>
      <c r="K1719" s="2" t="s">
        <v>6</v>
      </c>
      <c r="L1719" t="s">
        <v>2855</v>
      </c>
      <c r="M1719" s="2"/>
    </row>
    <row r="1720" spans="1:13">
      <c r="A1720" t="s">
        <v>28</v>
      </c>
      <c r="B1720">
        <f ca="1">IF(OR(changes[[#This Row],[Type]]="Checklist",changes[[#This Row],[Type]]="checklist-flat"),1+IF(changes[[#This Row],[Type of change]] = "Edit",COUNTIFS($I$4:changes[[#This Row],[Name]],changes[[#This Row],[Name]], $E$4:changes[[#This Row],[Type of change]], "Edit")),B1719)</f>
        <v>2</v>
      </c>
      <c r="C1720" s="16">
        <v>44732</v>
      </c>
      <c r="D1720" s="1" t="s">
        <v>2817</v>
      </c>
      <c r="E1720" t="s">
        <v>15</v>
      </c>
      <c r="F1720" s="10" t="s">
        <v>9</v>
      </c>
      <c r="G1720" s="10" t="s">
        <v>1757</v>
      </c>
      <c r="H1720" t="s">
        <v>55</v>
      </c>
      <c r="I1720" t="s">
        <v>1759</v>
      </c>
      <c r="K1720" s="2" t="s">
        <v>6</v>
      </c>
      <c r="L1720" t="s">
        <v>2855</v>
      </c>
      <c r="M1720" s="2"/>
    </row>
    <row r="1721" spans="1:13">
      <c r="A1721" t="s">
        <v>28</v>
      </c>
      <c r="B1721">
        <f ca="1">IF(OR(changes[[#This Row],[Type]]="Checklist",changes[[#This Row],[Type]]="checklist-flat"),1+IF(changes[[#This Row],[Type of change]] = "Edit",COUNTIFS($I$4:changes[[#This Row],[Name]],changes[[#This Row],[Name]], $E$4:changes[[#This Row],[Type of change]], "Edit")),B1720)</f>
        <v>2</v>
      </c>
      <c r="C1721" s="16">
        <v>44732</v>
      </c>
      <c r="D1721" s="1" t="s">
        <v>2817</v>
      </c>
      <c r="E1721" t="s">
        <v>15</v>
      </c>
      <c r="F1721" s="10" t="s">
        <v>9</v>
      </c>
      <c r="G1721" s="10" t="s">
        <v>1757</v>
      </c>
      <c r="H1721" t="s">
        <v>55</v>
      </c>
      <c r="I1721" t="s">
        <v>1760</v>
      </c>
      <c r="K1721" s="2" t="s">
        <v>6</v>
      </c>
      <c r="L1721" t="s">
        <v>2855</v>
      </c>
      <c r="M1721" s="2"/>
    </row>
    <row r="1722" spans="1:13">
      <c r="A1722" t="s">
        <v>28</v>
      </c>
      <c r="B1722">
        <f ca="1">IF(OR(changes[[#This Row],[Type]]="Checklist",changes[[#This Row],[Type]]="checklist-flat"),1+IF(changes[[#This Row],[Type of change]] = "Edit",COUNTIFS($I$4:changes[[#This Row],[Name]],changes[[#This Row],[Name]], $E$4:changes[[#This Row],[Type of change]], "Edit")),B1721)</f>
        <v>2</v>
      </c>
      <c r="C1722" s="16">
        <v>44732</v>
      </c>
      <c r="D1722" s="1" t="s">
        <v>2817</v>
      </c>
      <c r="E1722" t="s">
        <v>15</v>
      </c>
      <c r="F1722" s="10" t="s">
        <v>9</v>
      </c>
      <c r="G1722" s="10" t="s">
        <v>1757</v>
      </c>
      <c r="H1722" t="s">
        <v>55</v>
      </c>
      <c r="I1722" t="s">
        <v>1761</v>
      </c>
      <c r="K1722" s="2" t="s">
        <v>6</v>
      </c>
      <c r="L1722" t="s">
        <v>2855</v>
      </c>
      <c r="M1722" s="2"/>
    </row>
    <row r="1723" spans="1:13">
      <c r="A1723" t="s">
        <v>28</v>
      </c>
      <c r="B1723">
        <f ca="1">IF(OR(changes[[#This Row],[Type]]="Checklist",changes[[#This Row],[Type]]="checklist-flat"),1+IF(changes[[#This Row],[Type of change]] = "Edit",COUNTIFS($I$4:changes[[#This Row],[Name]],changes[[#This Row],[Name]], $E$4:changes[[#This Row],[Type of change]], "Edit")),B1722)</f>
        <v>2</v>
      </c>
      <c r="C1723" s="16">
        <v>44732</v>
      </c>
      <c r="D1723" s="1" t="s">
        <v>2817</v>
      </c>
      <c r="E1723" t="s">
        <v>15</v>
      </c>
      <c r="F1723" s="10" t="s">
        <v>9</v>
      </c>
      <c r="G1723" s="10" t="s">
        <v>1757</v>
      </c>
      <c r="H1723" t="s">
        <v>55</v>
      </c>
      <c r="I1723" t="s">
        <v>1762</v>
      </c>
      <c r="K1723" s="2" t="s">
        <v>6</v>
      </c>
      <c r="L1723" t="s">
        <v>2855</v>
      </c>
      <c r="M1723" s="2" t="s">
        <v>2859</v>
      </c>
    </row>
    <row r="1724" spans="1:13">
      <c r="A1724" t="s">
        <v>28</v>
      </c>
      <c r="B1724">
        <f ca="1">IF(OR(changes[[#This Row],[Type]]="Checklist",changes[[#This Row],[Type]]="checklist-flat"),1+IF(changes[[#This Row],[Type of change]] = "Edit",COUNTIFS($I$4:changes[[#This Row],[Name]],changes[[#This Row],[Name]], $E$4:changes[[#This Row],[Type of change]], "Edit")),B1723)</f>
        <v>2</v>
      </c>
      <c r="C1724" s="16">
        <v>44732</v>
      </c>
      <c r="D1724" s="1" t="s">
        <v>2817</v>
      </c>
      <c r="E1724" t="s">
        <v>15</v>
      </c>
      <c r="F1724" s="10" t="s">
        <v>9</v>
      </c>
      <c r="G1724" s="10" t="s">
        <v>1757</v>
      </c>
      <c r="H1724" t="s">
        <v>55</v>
      </c>
      <c r="I1724" t="s">
        <v>1763</v>
      </c>
      <c r="K1724" s="2" t="s">
        <v>6</v>
      </c>
      <c r="L1724" t="s">
        <v>2855</v>
      </c>
      <c r="M1724" s="2"/>
    </row>
    <row r="1725" spans="1:13">
      <c r="A1725" t="s">
        <v>28</v>
      </c>
      <c r="B1725">
        <f ca="1">IF(OR(changes[[#This Row],[Type]]="Checklist",changes[[#This Row],[Type]]="checklist-flat"),1+IF(changes[[#This Row],[Type of change]] = "Edit",COUNTIFS($I$4:changes[[#This Row],[Name]],changes[[#This Row],[Name]], $E$4:changes[[#This Row],[Type of change]], "Edit")),B1724)</f>
        <v>2</v>
      </c>
      <c r="C1725" s="16">
        <v>44732</v>
      </c>
      <c r="D1725" s="1" t="s">
        <v>2817</v>
      </c>
      <c r="E1725" t="s">
        <v>15</v>
      </c>
      <c r="F1725" s="10" t="s">
        <v>9</v>
      </c>
      <c r="G1725" s="10" t="s">
        <v>1757</v>
      </c>
      <c r="H1725" t="s">
        <v>214</v>
      </c>
      <c r="I1725" t="s">
        <v>1764</v>
      </c>
      <c r="K1725" s="2" t="s">
        <v>6</v>
      </c>
      <c r="L1725" t="s">
        <v>2855</v>
      </c>
      <c r="M1725" s="2"/>
    </row>
    <row r="1726" spans="1:13">
      <c r="A1726" t="s">
        <v>28</v>
      </c>
      <c r="B1726">
        <f ca="1">IF(OR(changes[[#This Row],[Type]]="Checklist",changes[[#This Row],[Type]]="checklist-flat"),1+IF(changes[[#This Row],[Type of change]] = "Edit",COUNTIFS($I$4:changes[[#This Row],[Name]],changes[[#This Row],[Name]], $E$4:changes[[#This Row],[Type of change]], "Edit")),B1725)</f>
        <v>2</v>
      </c>
      <c r="C1726" s="16">
        <v>44732</v>
      </c>
      <c r="D1726" s="1" t="s">
        <v>2817</v>
      </c>
      <c r="E1726" t="s">
        <v>15</v>
      </c>
      <c r="F1726" s="10" t="s">
        <v>9</v>
      </c>
      <c r="G1726" s="10" t="s">
        <v>1757</v>
      </c>
      <c r="H1726" t="s">
        <v>55</v>
      </c>
      <c r="I1726" t="s">
        <v>1765</v>
      </c>
      <c r="K1726" s="2" t="s">
        <v>6</v>
      </c>
      <c r="L1726" t="s">
        <v>2855</v>
      </c>
      <c r="M1726" s="2"/>
    </row>
    <row r="1727" spans="1:13">
      <c r="A1727" t="s">
        <v>28</v>
      </c>
      <c r="B1727">
        <f ca="1">IF(OR(changes[[#This Row],[Type]]="Checklist",changes[[#This Row],[Type]]="checklist-flat"),1+IF(changes[[#This Row],[Type of change]] = "Edit",COUNTIFS($I$4:changes[[#This Row],[Name]],changes[[#This Row],[Name]], $E$4:changes[[#This Row],[Type of change]], "Edit")),B1726)</f>
        <v>2</v>
      </c>
      <c r="C1727" s="16">
        <v>44732</v>
      </c>
      <c r="D1727" s="1" t="s">
        <v>2817</v>
      </c>
      <c r="E1727" t="s">
        <v>15</v>
      </c>
      <c r="F1727" s="10" t="s">
        <v>9</v>
      </c>
      <c r="G1727" s="10" t="s">
        <v>1757</v>
      </c>
      <c r="H1727" t="s">
        <v>214</v>
      </c>
      <c r="I1727" t="s">
        <v>1766</v>
      </c>
      <c r="K1727" s="2" t="s">
        <v>6</v>
      </c>
      <c r="L1727" t="s">
        <v>2855</v>
      </c>
      <c r="M1727" s="2"/>
    </row>
    <row r="1728" spans="1:13">
      <c r="A1728" t="s">
        <v>28</v>
      </c>
      <c r="B1728">
        <f ca="1">IF(OR(changes[[#This Row],[Type]]="Checklist",changes[[#This Row],[Type]]="checklist-flat"),1+IF(changes[[#This Row],[Type of change]] = "Edit",COUNTIFS($I$4:changes[[#This Row],[Name]],changes[[#This Row],[Name]], $E$4:changes[[#This Row],[Type of change]], "Edit")),B1727)</f>
        <v>2</v>
      </c>
      <c r="C1728" s="16">
        <v>44732</v>
      </c>
      <c r="D1728" s="1" t="s">
        <v>2817</v>
      </c>
      <c r="E1728" t="s">
        <v>15</v>
      </c>
      <c r="F1728" s="10" t="s">
        <v>9</v>
      </c>
      <c r="G1728" s="10" t="s">
        <v>1757</v>
      </c>
      <c r="H1728" t="s">
        <v>55</v>
      </c>
      <c r="I1728" t="s">
        <v>1767</v>
      </c>
      <c r="K1728" s="2" t="s">
        <v>6</v>
      </c>
      <c r="L1728" t="s">
        <v>2855</v>
      </c>
      <c r="M1728" s="2"/>
    </row>
    <row r="1729" spans="1:13">
      <c r="A1729" t="s">
        <v>28</v>
      </c>
      <c r="B1729">
        <f ca="1">IF(OR(changes[[#This Row],[Type]]="Checklist",changes[[#This Row],[Type]]="checklist-flat"),1+IF(changes[[#This Row],[Type of change]] = "Edit",COUNTIFS($I$4:changes[[#This Row],[Name]],changes[[#This Row],[Name]], $E$4:changes[[#This Row],[Type of change]], "Edit")),B1728)</f>
        <v>2</v>
      </c>
      <c r="C1729" s="16">
        <v>44740</v>
      </c>
      <c r="D1729" s="1" t="s">
        <v>2817</v>
      </c>
      <c r="E1729" t="s">
        <v>15</v>
      </c>
      <c r="F1729" s="10" t="s">
        <v>9</v>
      </c>
      <c r="G1729" t="s">
        <v>2860</v>
      </c>
      <c r="H1729" t="s">
        <v>54</v>
      </c>
      <c r="I1729" t="s">
        <v>2861</v>
      </c>
      <c r="K1729" s="2" t="s">
        <v>6</v>
      </c>
      <c r="L1729" t="s">
        <v>2862</v>
      </c>
      <c r="M1729" s="2" t="s">
        <v>2863</v>
      </c>
    </row>
    <row r="1730" spans="1:13">
      <c r="A1730" t="s">
        <v>28</v>
      </c>
      <c r="B1730">
        <f ca="1">IF(OR(changes[[#This Row],[Type]]="Checklist",changes[[#This Row],[Type]]="checklist-flat"),1+IF(changes[[#This Row],[Type of change]] = "Edit",COUNTIFS($I$4:changes[[#This Row],[Name]],changes[[#This Row],[Name]], $E$4:changes[[#This Row],[Type of change]], "Edit")),B1729)</f>
        <v>2</v>
      </c>
      <c r="C1730" s="16">
        <v>44740</v>
      </c>
      <c r="D1730" s="1" t="s">
        <v>2817</v>
      </c>
      <c r="E1730" t="s">
        <v>15</v>
      </c>
      <c r="F1730" s="10" t="s">
        <v>9</v>
      </c>
      <c r="G1730" t="s">
        <v>2860</v>
      </c>
      <c r="H1730" t="s">
        <v>55</v>
      </c>
      <c r="I1730" t="s">
        <v>1484</v>
      </c>
      <c r="K1730" s="2" t="s">
        <v>6</v>
      </c>
      <c r="L1730" t="s">
        <v>2862</v>
      </c>
      <c r="M1730" s="2"/>
    </row>
    <row r="1731" spans="1:13">
      <c r="A1731" t="s">
        <v>28</v>
      </c>
      <c r="B1731">
        <f ca="1">IF(OR(changes[[#This Row],[Type]]="Checklist",changes[[#This Row],[Type]]="checklist-flat"),1+IF(changes[[#This Row],[Type of change]] = "Edit",COUNTIFS($I$4:changes[[#This Row],[Name]],changes[[#This Row],[Name]], $E$4:changes[[#This Row],[Type of change]], "Edit")),B1730)</f>
        <v>2</v>
      </c>
      <c r="C1731" s="16">
        <v>44740</v>
      </c>
      <c r="D1731" s="1" t="s">
        <v>2817</v>
      </c>
      <c r="E1731" t="s">
        <v>15</v>
      </c>
      <c r="F1731" s="10" t="s">
        <v>9</v>
      </c>
      <c r="G1731" t="s">
        <v>2860</v>
      </c>
      <c r="H1731" t="s">
        <v>55</v>
      </c>
      <c r="I1731" t="s">
        <v>1936</v>
      </c>
      <c r="K1731" s="2" t="s">
        <v>6</v>
      </c>
      <c r="L1731" t="s">
        <v>2862</v>
      </c>
      <c r="M1731" s="2"/>
    </row>
    <row r="1732" spans="1:13">
      <c r="A1732" t="s">
        <v>28</v>
      </c>
      <c r="B1732">
        <f ca="1">IF(OR(changes[[#This Row],[Type]]="Checklist",changes[[#This Row],[Type]]="checklist-flat"),1+IF(changes[[#This Row],[Type of change]] = "Edit",COUNTIFS($I$4:changes[[#This Row],[Name]],changes[[#This Row],[Name]], $E$4:changes[[#This Row],[Type of change]], "Edit")),B1731)</f>
        <v>2</v>
      </c>
      <c r="C1732" s="16">
        <v>44740</v>
      </c>
      <c r="D1732" s="1" t="s">
        <v>2817</v>
      </c>
      <c r="E1732" t="s">
        <v>15</v>
      </c>
      <c r="F1732" s="10" t="s">
        <v>9</v>
      </c>
      <c r="G1732" t="s">
        <v>2860</v>
      </c>
      <c r="H1732" t="s">
        <v>55</v>
      </c>
      <c r="I1732" t="s">
        <v>1880</v>
      </c>
      <c r="K1732" s="2" t="s">
        <v>6</v>
      </c>
      <c r="L1732" t="s">
        <v>2862</v>
      </c>
      <c r="M1732" s="2"/>
    </row>
    <row r="1733" spans="1:13">
      <c r="A1733" t="s">
        <v>28</v>
      </c>
      <c r="B1733">
        <f ca="1">IF(OR(changes[[#This Row],[Type]]="Checklist",changes[[#This Row],[Type]]="checklist-flat"),1+IF(changes[[#This Row],[Type of change]] = "Edit",COUNTIFS($I$4:changes[[#This Row],[Name]],changes[[#This Row],[Name]], $E$4:changes[[#This Row],[Type of change]], "Edit")),B1732)</f>
        <v>2</v>
      </c>
      <c r="C1733" s="16">
        <v>44740</v>
      </c>
      <c r="D1733" s="1" t="s">
        <v>2817</v>
      </c>
      <c r="E1733" t="s">
        <v>15</v>
      </c>
      <c r="F1733" s="10" t="s">
        <v>9</v>
      </c>
      <c r="G1733" t="s">
        <v>2860</v>
      </c>
      <c r="H1733" t="s">
        <v>55</v>
      </c>
      <c r="I1733" t="s">
        <v>1937</v>
      </c>
      <c r="K1733" s="2" t="s">
        <v>6</v>
      </c>
      <c r="L1733" t="s">
        <v>2862</v>
      </c>
      <c r="M1733" s="2"/>
    </row>
    <row r="1734" spans="1:13">
      <c r="A1734" t="s">
        <v>28</v>
      </c>
      <c r="B1734">
        <f ca="1">IF(OR(changes[[#This Row],[Type]]="Checklist",changes[[#This Row],[Type]]="checklist-flat"),1+IF(changes[[#This Row],[Type of change]] = "Edit",COUNTIFS($I$4:changes[[#This Row],[Name]],changes[[#This Row],[Name]], $E$4:changes[[#This Row],[Type of change]], "Edit")),B1733)</f>
        <v>2</v>
      </c>
      <c r="C1734" s="16">
        <v>44740</v>
      </c>
      <c r="D1734" s="1" t="s">
        <v>2817</v>
      </c>
      <c r="E1734" t="s">
        <v>15</v>
      </c>
      <c r="F1734" s="10" t="s">
        <v>9</v>
      </c>
      <c r="G1734" t="s">
        <v>2860</v>
      </c>
      <c r="H1734" t="s">
        <v>55</v>
      </c>
      <c r="I1734" t="s">
        <v>1938</v>
      </c>
      <c r="K1734" s="2" t="s">
        <v>6</v>
      </c>
      <c r="L1734" t="s">
        <v>2862</v>
      </c>
      <c r="M1734" s="2"/>
    </row>
    <row r="1735" spans="1:13">
      <c r="A1735" t="s">
        <v>28</v>
      </c>
      <c r="B1735">
        <f ca="1">IF(OR(changes[[#This Row],[Type]]="Checklist",changes[[#This Row],[Type]]="checklist-flat"),1+IF(changes[[#This Row],[Type of change]] = "Edit",COUNTIFS($I$4:changes[[#This Row],[Name]],changes[[#This Row],[Name]], $E$4:changes[[#This Row],[Type of change]], "Edit")),B1734)</f>
        <v>1</v>
      </c>
      <c r="C1735" s="16">
        <v>44742</v>
      </c>
      <c r="D1735" s="1" t="s">
        <v>2857</v>
      </c>
      <c r="E1735" t="s">
        <v>27</v>
      </c>
      <c r="F1735" s="10" t="s">
        <v>9</v>
      </c>
      <c r="G1735" t="s">
        <v>1832</v>
      </c>
      <c r="H1735" t="s">
        <v>54</v>
      </c>
      <c r="I1735" t="s">
        <v>1832</v>
      </c>
      <c r="K1735" s="2" t="s">
        <v>6</v>
      </c>
      <c r="L1735" t="s">
        <v>2864</v>
      </c>
      <c r="M1735" s="2" t="s">
        <v>2865</v>
      </c>
    </row>
    <row r="1736" spans="1:13">
      <c r="A1736" t="s">
        <v>28</v>
      </c>
      <c r="B1736">
        <f ca="1">IF(OR(changes[[#This Row],[Type]]="Checklist",changes[[#This Row],[Type]]="checklist-flat"),1+IF(changes[[#This Row],[Type of change]] = "Edit",COUNTIFS($I$4:changes[[#This Row],[Name]],changes[[#This Row],[Name]], $E$4:changes[[#This Row],[Type of change]], "Edit")),B1735)</f>
        <v>1</v>
      </c>
      <c r="C1736" s="16">
        <v>44742</v>
      </c>
      <c r="D1736" s="1" t="s">
        <v>2857</v>
      </c>
      <c r="E1736" t="s">
        <v>27</v>
      </c>
      <c r="F1736" s="10" t="s">
        <v>9</v>
      </c>
      <c r="G1736" t="s">
        <v>1832</v>
      </c>
      <c r="H1736" t="s">
        <v>55</v>
      </c>
      <c r="I1736" t="s">
        <v>954</v>
      </c>
      <c r="K1736" s="2" t="s">
        <v>6</v>
      </c>
      <c r="L1736" t="s">
        <v>2864</v>
      </c>
      <c r="M1736" s="2"/>
    </row>
    <row r="1737" spans="1:13">
      <c r="A1737" t="s">
        <v>28</v>
      </c>
      <c r="B1737">
        <f ca="1">IF(OR(changes[[#This Row],[Type]]="Checklist",changes[[#This Row],[Type]]="checklist-flat"),1+IF(changes[[#This Row],[Type of change]] = "Edit",COUNTIFS($I$4:changes[[#This Row],[Name]],changes[[#This Row],[Name]], $E$4:changes[[#This Row],[Type of change]], "Edit")),B1736)</f>
        <v>1</v>
      </c>
      <c r="C1737" s="16">
        <v>44742</v>
      </c>
      <c r="D1737" s="1" t="s">
        <v>2857</v>
      </c>
      <c r="E1737" t="s">
        <v>27</v>
      </c>
      <c r="F1737" s="10" t="s">
        <v>9</v>
      </c>
      <c r="G1737" t="s">
        <v>1832</v>
      </c>
      <c r="H1737" t="s">
        <v>55</v>
      </c>
      <c r="I1737" t="s">
        <v>1833</v>
      </c>
      <c r="K1737" s="2" t="s">
        <v>6</v>
      </c>
      <c r="L1737" t="s">
        <v>2864</v>
      </c>
      <c r="M1737" s="2"/>
    </row>
    <row r="1738" spans="1:13">
      <c r="A1738" t="s">
        <v>28</v>
      </c>
      <c r="B1738">
        <f ca="1">IF(OR(changes[[#This Row],[Type]]="Checklist",changes[[#This Row],[Type]]="checklist-flat"),1+IF(changes[[#This Row],[Type of change]] = "Edit",COUNTIFS($I$4:changes[[#This Row],[Name]],changes[[#This Row],[Name]], $E$4:changes[[#This Row],[Type of change]], "Edit")),B1737)</f>
        <v>1</v>
      </c>
      <c r="C1738" s="16">
        <v>44742</v>
      </c>
      <c r="D1738" s="1" t="s">
        <v>2857</v>
      </c>
      <c r="E1738" t="s">
        <v>27</v>
      </c>
      <c r="F1738" s="10" t="s">
        <v>9</v>
      </c>
      <c r="G1738" t="s">
        <v>1832</v>
      </c>
      <c r="H1738" t="s">
        <v>55</v>
      </c>
      <c r="I1738" t="s">
        <v>953</v>
      </c>
      <c r="K1738" s="2" t="s">
        <v>6</v>
      </c>
      <c r="L1738" t="s">
        <v>2864</v>
      </c>
      <c r="M1738" s="2"/>
    </row>
    <row r="1739" spans="1:13">
      <c r="A1739" t="s">
        <v>28</v>
      </c>
      <c r="B1739">
        <f ca="1">IF(OR(changes[[#This Row],[Type]]="Checklist",changes[[#This Row],[Type]]="checklist-flat"),1+IF(changes[[#This Row],[Type of change]] = "Edit",COUNTIFS($I$4:changes[[#This Row],[Name]],changes[[#This Row],[Name]], $E$4:changes[[#This Row],[Type of change]], "Edit")),B1738)</f>
        <v>1</v>
      </c>
      <c r="C1739" s="16">
        <v>44742</v>
      </c>
      <c r="D1739" s="1" t="s">
        <v>2857</v>
      </c>
      <c r="E1739" t="s">
        <v>27</v>
      </c>
      <c r="F1739" s="10" t="s">
        <v>9</v>
      </c>
      <c r="G1739" t="s">
        <v>1832</v>
      </c>
      <c r="H1739" t="s">
        <v>55</v>
      </c>
      <c r="I1739" t="s">
        <v>1834</v>
      </c>
      <c r="K1739" s="2" t="s">
        <v>6</v>
      </c>
      <c r="L1739" t="s">
        <v>2864</v>
      </c>
      <c r="M1739" s="2"/>
    </row>
    <row r="1740" spans="1:13">
      <c r="A1740" t="s">
        <v>28</v>
      </c>
      <c r="B1740">
        <f ca="1">IF(OR(changes[[#This Row],[Type]]="Checklist",changes[[#This Row],[Type]]="checklist-flat"),1+IF(changes[[#This Row],[Type of change]] = "Edit",COUNTIFS($I$4:changes[[#This Row],[Name]],changes[[#This Row],[Name]], $E$4:changes[[#This Row],[Type of change]], "Edit")),B1739)</f>
        <v>1</v>
      </c>
      <c r="C1740" s="16">
        <v>44742</v>
      </c>
      <c r="D1740" s="1" t="s">
        <v>2857</v>
      </c>
      <c r="E1740" t="s">
        <v>27</v>
      </c>
      <c r="F1740" s="10" t="s">
        <v>52</v>
      </c>
      <c r="G1740" t="s">
        <v>224</v>
      </c>
      <c r="H1740" t="s">
        <v>54</v>
      </c>
      <c r="I1740" t="s">
        <v>224</v>
      </c>
      <c r="K1740" s="2" t="s">
        <v>6</v>
      </c>
      <c r="M1740" s="2"/>
    </row>
    <row r="1741" spans="1:13">
      <c r="A1741" t="s">
        <v>28</v>
      </c>
      <c r="B1741">
        <f ca="1">IF(OR(changes[[#This Row],[Type]]="Checklist",changes[[#This Row],[Type]]="checklist-flat"),1+IF(changes[[#This Row],[Type of change]] = "Edit",COUNTIFS($I$4:changes[[#This Row],[Name]],changes[[#This Row],[Name]], $E$4:changes[[#This Row],[Type of change]], "Edit")),B1740)</f>
        <v>1</v>
      </c>
      <c r="C1741" s="16">
        <v>44742</v>
      </c>
      <c r="D1741" s="1" t="s">
        <v>2857</v>
      </c>
      <c r="E1741" t="s">
        <v>27</v>
      </c>
      <c r="F1741" s="10" t="s">
        <v>52</v>
      </c>
      <c r="G1741" t="s">
        <v>224</v>
      </c>
      <c r="H1741" t="s">
        <v>55</v>
      </c>
      <c r="I1741" t="s">
        <v>185</v>
      </c>
      <c r="K1741" s="2" t="s">
        <v>6</v>
      </c>
      <c r="M1741" s="2"/>
    </row>
    <row r="1742" spans="1:13">
      <c r="A1742" t="s">
        <v>28</v>
      </c>
      <c r="B1742">
        <f ca="1">IF(OR(changes[[#This Row],[Type]]="Checklist",changes[[#This Row],[Type]]="checklist-flat"),1+IF(changes[[#This Row],[Type of change]] = "Edit",COUNTIFS($I$4:changes[[#This Row],[Name]],changes[[#This Row],[Name]], $E$4:changes[[#This Row],[Type of change]], "Edit")),B1741)</f>
        <v>1</v>
      </c>
      <c r="C1742" s="16">
        <v>44742</v>
      </c>
      <c r="D1742" s="1" t="s">
        <v>2857</v>
      </c>
      <c r="E1742" t="s">
        <v>27</v>
      </c>
      <c r="F1742" s="10" t="s">
        <v>52</v>
      </c>
      <c r="G1742" t="s">
        <v>224</v>
      </c>
      <c r="H1742" t="s">
        <v>55</v>
      </c>
      <c r="I1742" t="s">
        <v>225</v>
      </c>
      <c r="K1742" s="2" t="s">
        <v>6</v>
      </c>
      <c r="M1742" s="2"/>
    </row>
    <row r="1743" spans="1:13">
      <c r="A1743" t="s">
        <v>28</v>
      </c>
      <c r="B1743">
        <f ca="1">IF(OR(changes[[#This Row],[Type]]="Checklist",changes[[#This Row],[Type]]="checklist-flat"),1+IF(changes[[#This Row],[Type of change]] = "Edit",COUNTIFS($I$4:changes[[#This Row],[Name]],changes[[#This Row],[Name]], $E$4:changes[[#This Row],[Type of change]], "Edit")),B1742)</f>
        <v>1</v>
      </c>
      <c r="C1743" s="16">
        <v>44742</v>
      </c>
      <c r="D1743" s="1" t="s">
        <v>2857</v>
      </c>
      <c r="E1743" t="s">
        <v>27</v>
      </c>
      <c r="F1743" s="10" t="s">
        <v>52</v>
      </c>
      <c r="G1743" t="s">
        <v>224</v>
      </c>
      <c r="H1743" t="s">
        <v>55</v>
      </c>
      <c r="I1743" t="s">
        <v>226</v>
      </c>
      <c r="K1743" s="2" t="s">
        <v>6</v>
      </c>
      <c r="M1743" s="2"/>
    </row>
    <row r="1744" spans="1:13">
      <c r="A1744" t="s">
        <v>28</v>
      </c>
      <c r="B1744">
        <f ca="1">IF(OR(changes[[#This Row],[Type]]="Checklist",changes[[#This Row],[Type]]="checklist-flat"),1+IF(changes[[#This Row],[Type of change]] = "Edit",COUNTIFS($I$4:changes[[#This Row],[Name]],changes[[#This Row],[Name]], $E$4:changes[[#This Row],[Type of change]], "Edit")),B1743)</f>
        <v>1</v>
      </c>
      <c r="C1744" s="16">
        <v>44742</v>
      </c>
      <c r="D1744" s="1" t="s">
        <v>2857</v>
      </c>
      <c r="E1744" t="s">
        <v>27</v>
      </c>
      <c r="F1744" s="10" t="s">
        <v>52</v>
      </c>
      <c r="G1744" t="s">
        <v>224</v>
      </c>
      <c r="H1744" t="s">
        <v>55</v>
      </c>
      <c r="I1744" t="s">
        <v>227</v>
      </c>
      <c r="K1744" s="2" t="s">
        <v>6</v>
      </c>
      <c r="M1744" s="2"/>
    </row>
    <row r="1745" spans="1:13">
      <c r="A1745" t="s">
        <v>28</v>
      </c>
      <c r="B1745">
        <f ca="1">IF(OR(changes[[#This Row],[Type]]="Checklist",changes[[#This Row],[Type]]="checklist-flat"),1+IF(changes[[#This Row],[Type of change]] = "Edit",COUNTIFS($I$4:changes[[#This Row],[Name]],changes[[#This Row],[Name]], $E$4:changes[[#This Row],[Type of change]], "Edit")),B1744)</f>
        <v>1</v>
      </c>
      <c r="C1745" s="16">
        <v>44742</v>
      </c>
      <c r="D1745" s="1" t="s">
        <v>2857</v>
      </c>
      <c r="E1745" t="s">
        <v>27</v>
      </c>
      <c r="F1745" s="10" t="s">
        <v>52</v>
      </c>
      <c r="G1745" t="s">
        <v>224</v>
      </c>
      <c r="H1745" t="s">
        <v>55</v>
      </c>
      <c r="I1745" t="s">
        <v>228</v>
      </c>
      <c r="K1745" s="2" t="s">
        <v>6</v>
      </c>
      <c r="M1745" s="2"/>
    </row>
    <row r="1746" spans="1:13">
      <c r="A1746" t="s">
        <v>28</v>
      </c>
      <c r="B1746">
        <f ca="1">IF(OR(changes[[#This Row],[Type]]="Checklist",changes[[#This Row],[Type]]="checklist-flat"),1+IF(changes[[#This Row],[Type of change]] = "Edit",COUNTIFS($I$4:changes[[#This Row],[Name]],changes[[#This Row],[Name]], $E$4:changes[[#This Row],[Type of change]], "Edit")),B1745)</f>
        <v>1</v>
      </c>
      <c r="C1746" s="16">
        <v>44742</v>
      </c>
      <c r="D1746" s="1" t="s">
        <v>2857</v>
      </c>
      <c r="E1746" t="s">
        <v>27</v>
      </c>
      <c r="F1746" s="10" t="s">
        <v>52</v>
      </c>
      <c r="G1746" t="s">
        <v>224</v>
      </c>
      <c r="H1746" t="s">
        <v>55</v>
      </c>
      <c r="I1746" t="s">
        <v>229</v>
      </c>
      <c r="K1746" s="2" t="s">
        <v>6</v>
      </c>
      <c r="M1746" s="2"/>
    </row>
    <row r="1747" spans="1:13">
      <c r="A1747" t="s">
        <v>28</v>
      </c>
      <c r="B1747">
        <f ca="1">IF(OR(changes[[#This Row],[Type]]="Checklist",changes[[#This Row],[Type]]="checklist-flat"),1+IF(changes[[#This Row],[Type of change]] = "Edit",COUNTIFS($I$4:changes[[#This Row],[Name]],changes[[#This Row],[Name]], $E$4:changes[[#This Row],[Type of change]], "Edit")),B1746)</f>
        <v>2</v>
      </c>
      <c r="C1747" s="16">
        <v>44767</v>
      </c>
      <c r="D1747" s="1" t="s">
        <v>2866</v>
      </c>
      <c r="E1747" t="s">
        <v>15</v>
      </c>
      <c r="F1747" s="10" t="s">
        <v>9</v>
      </c>
      <c r="G1747" t="s">
        <v>2615</v>
      </c>
      <c r="H1747" t="s">
        <v>478</v>
      </c>
      <c r="I1747" t="s">
        <v>2615</v>
      </c>
      <c r="K1747" s="2" t="s">
        <v>6</v>
      </c>
      <c r="L1747" t="s">
        <v>2867</v>
      </c>
      <c r="M1747" s="2" t="s">
        <v>2868</v>
      </c>
    </row>
    <row r="1748" spans="1:13">
      <c r="A1748" t="s">
        <v>28</v>
      </c>
      <c r="B1748">
        <f ca="1">IF(OR(changes[[#This Row],[Type]]="Checklist",changes[[#This Row],[Type]]="checklist-flat"),1+IF(changes[[#This Row],[Type of change]] = "Edit",COUNTIFS($I$4:changes[[#This Row],[Name]],changes[[#This Row],[Name]], $E$4:changes[[#This Row],[Type of change]], "Edit")),B1747)</f>
        <v>2</v>
      </c>
      <c r="C1748" s="16">
        <v>44767</v>
      </c>
      <c r="D1748" s="1" t="s">
        <v>2866</v>
      </c>
      <c r="E1748" t="s">
        <v>15</v>
      </c>
      <c r="F1748" s="10" t="s">
        <v>9</v>
      </c>
      <c r="G1748" t="s">
        <v>2615</v>
      </c>
      <c r="H1748" t="s">
        <v>479</v>
      </c>
      <c r="I1748" t="s">
        <v>1176</v>
      </c>
      <c r="K1748" s="2" t="s">
        <v>6</v>
      </c>
      <c r="L1748" t="s">
        <v>2867</v>
      </c>
      <c r="M1748" s="2"/>
    </row>
    <row r="1749" spans="1:13">
      <c r="A1749" t="s">
        <v>28</v>
      </c>
      <c r="B1749">
        <f ca="1">IF(OR(changes[[#This Row],[Type]]="Checklist",changes[[#This Row],[Type]]="checklist-flat"),1+IF(changes[[#This Row],[Type of change]] = "Edit",COUNTIFS($I$4:changes[[#This Row],[Name]],changes[[#This Row],[Name]], $E$4:changes[[#This Row],[Type of change]], "Edit")),B1748)</f>
        <v>2</v>
      </c>
      <c r="C1749" s="16">
        <v>44767</v>
      </c>
      <c r="D1749" s="1" t="s">
        <v>2866</v>
      </c>
      <c r="E1749" t="s">
        <v>15</v>
      </c>
      <c r="F1749" s="10" t="s">
        <v>9</v>
      </c>
      <c r="G1749" t="s">
        <v>2615</v>
      </c>
      <c r="H1749" t="s">
        <v>55</v>
      </c>
      <c r="I1749" t="s">
        <v>1177</v>
      </c>
      <c r="K1749" s="2" t="s">
        <v>6</v>
      </c>
      <c r="L1749" t="s">
        <v>2867</v>
      </c>
      <c r="M1749" s="2"/>
    </row>
    <row r="1750" spans="1:13">
      <c r="A1750" t="s">
        <v>28</v>
      </c>
      <c r="B1750">
        <f ca="1">IF(OR(changes[[#This Row],[Type]]="Checklist",changes[[#This Row],[Type]]="checklist-flat"),1+IF(changes[[#This Row],[Type of change]] = "Edit",COUNTIFS($I$4:changes[[#This Row],[Name]],changes[[#This Row],[Name]], $E$4:changes[[#This Row],[Type of change]], "Edit")),B1749)</f>
        <v>2</v>
      </c>
      <c r="C1750" s="16">
        <v>44767</v>
      </c>
      <c r="D1750" s="1" t="s">
        <v>2866</v>
      </c>
      <c r="E1750" t="s">
        <v>15</v>
      </c>
      <c r="F1750" s="10" t="s">
        <v>9</v>
      </c>
      <c r="G1750" t="s">
        <v>2615</v>
      </c>
      <c r="H1750" t="s">
        <v>55</v>
      </c>
      <c r="I1750" t="s">
        <v>1178</v>
      </c>
      <c r="K1750" s="2" t="s">
        <v>6</v>
      </c>
      <c r="L1750" t="s">
        <v>2867</v>
      </c>
      <c r="M1750" s="2"/>
    </row>
    <row r="1751" spans="1:13">
      <c r="A1751" t="s">
        <v>28</v>
      </c>
      <c r="B1751">
        <f ca="1">IF(OR(changes[[#This Row],[Type]]="Checklist",changes[[#This Row],[Type]]="checklist-flat"),1+IF(changes[[#This Row],[Type of change]] = "Edit",COUNTIFS($I$4:changes[[#This Row],[Name]],changes[[#This Row],[Name]], $E$4:changes[[#This Row],[Type of change]], "Edit")),B1750)</f>
        <v>2</v>
      </c>
      <c r="C1751" s="16">
        <v>44767</v>
      </c>
      <c r="D1751" s="1" t="s">
        <v>2866</v>
      </c>
      <c r="E1751" t="s">
        <v>15</v>
      </c>
      <c r="F1751" s="10" t="s">
        <v>9</v>
      </c>
      <c r="G1751" t="s">
        <v>2615</v>
      </c>
      <c r="H1751" t="s">
        <v>269</v>
      </c>
      <c r="I1751" t="s">
        <v>1179</v>
      </c>
      <c r="K1751" s="2" t="s">
        <v>6</v>
      </c>
      <c r="L1751" t="s">
        <v>2867</v>
      </c>
      <c r="M1751" s="2"/>
    </row>
    <row r="1752" spans="1:13">
      <c r="A1752" t="s">
        <v>28</v>
      </c>
      <c r="B1752">
        <f ca="1">IF(OR(changes[[#This Row],[Type]]="Checklist",changes[[#This Row],[Type]]="checklist-flat"),1+IF(changes[[#This Row],[Type of change]] = "Edit",COUNTIFS($I$4:changes[[#This Row],[Name]],changes[[#This Row],[Name]], $E$4:changes[[#This Row],[Type of change]], "Edit")),B1751)</f>
        <v>2</v>
      </c>
      <c r="C1752" s="16">
        <v>44767</v>
      </c>
      <c r="D1752" s="1" t="s">
        <v>2866</v>
      </c>
      <c r="E1752" t="s">
        <v>15</v>
      </c>
      <c r="F1752" s="10" t="s">
        <v>9</v>
      </c>
      <c r="G1752" t="s">
        <v>2615</v>
      </c>
      <c r="H1752" t="s">
        <v>269</v>
      </c>
      <c r="I1752" t="s">
        <v>1180</v>
      </c>
      <c r="K1752" s="2" t="s">
        <v>6</v>
      </c>
      <c r="L1752" t="s">
        <v>2867</v>
      </c>
      <c r="M1752" s="2"/>
    </row>
    <row r="1753" spans="1:13">
      <c r="A1753" t="s">
        <v>28</v>
      </c>
      <c r="B1753">
        <f ca="1">IF(OR(changes[[#This Row],[Type]]="Checklist",changes[[#This Row],[Type]]="checklist-flat"),1+IF(changes[[#This Row],[Type of change]] = "Edit",COUNTIFS($I$4:changes[[#This Row],[Name]],changes[[#This Row],[Name]], $E$4:changes[[#This Row],[Type of change]], "Edit")),B1752)</f>
        <v>2</v>
      </c>
      <c r="C1753" s="16">
        <v>44767</v>
      </c>
      <c r="D1753" s="1" t="s">
        <v>2866</v>
      </c>
      <c r="E1753" t="s">
        <v>15</v>
      </c>
      <c r="F1753" s="10" t="s">
        <v>9</v>
      </c>
      <c r="G1753" t="s">
        <v>2615</v>
      </c>
      <c r="H1753" t="s">
        <v>269</v>
      </c>
      <c r="I1753" t="s">
        <v>1181</v>
      </c>
      <c r="K1753" s="2" t="s">
        <v>6</v>
      </c>
      <c r="L1753" t="s">
        <v>2867</v>
      </c>
      <c r="M1753" s="2"/>
    </row>
    <row r="1754" spans="1:13">
      <c r="A1754" t="s">
        <v>28</v>
      </c>
      <c r="B1754">
        <f ca="1">IF(OR(changes[[#This Row],[Type]]="Checklist",changes[[#This Row],[Type]]="checklist-flat"),1+IF(changes[[#This Row],[Type of change]] = "Edit",COUNTIFS($I$4:changes[[#This Row],[Name]],changes[[#This Row],[Name]], $E$4:changes[[#This Row],[Type of change]], "Edit")),B1753)</f>
        <v>2</v>
      </c>
      <c r="C1754" s="16">
        <v>44767</v>
      </c>
      <c r="D1754" s="1" t="s">
        <v>2866</v>
      </c>
      <c r="E1754" t="s">
        <v>15</v>
      </c>
      <c r="F1754" s="10" t="s">
        <v>9</v>
      </c>
      <c r="G1754" t="s">
        <v>2615</v>
      </c>
      <c r="H1754" t="s">
        <v>269</v>
      </c>
      <c r="I1754" t="s">
        <v>1182</v>
      </c>
      <c r="K1754" s="2" t="s">
        <v>6</v>
      </c>
      <c r="L1754" t="s">
        <v>2867</v>
      </c>
      <c r="M1754" s="2"/>
    </row>
    <row r="1755" spans="1:13">
      <c r="A1755" t="s">
        <v>28</v>
      </c>
      <c r="B1755">
        <f ca="1">IF(OR(changes[[#This Row],[Type]]="Checklist",changes[[#This Row],[Type]]="checklist-flat"),1+IF(changes[[#This Row],[Type of change]] = "Edit",COUNTIFS($I$4:changes[[#This Row],[Name]],changes[[#This Row],[Name]], $E$4:changes[[#This Row],[Type of change]], "Edit")),B1754)</f>
        <v>2</v>
      </c>
      <c r="C1755" s="16">
        <v>44767</v>
      </c>
      <c r="D1755" s="1" t="s">
        <v>2866</v>
      </c>
      <c r="E1755" t="s">
        <v>15</v>
      </c>
      <c r="F1755" s="10" t="s">
        <v>9</v>
      </c>
      <c r="G1755" t="s">
        <v>2615</v>
      </c>
      <c r="H1755" t="s">
        <v>269</v>
      </c>
      <c r="I1755" t="s">
        <v>1183</v>
      </c>
      <c r="K1755" s="2" t="s">
        <v>6</v>
      </c>
      <c r="L1755" t="s">
        <v>2867</v>
      </c>
      <c r="M1755" s="2"/>
    </row>
    <row r="1756" spans="1:13">
      <c r="A1756" t="s">
        <v>28</v>
      </c>
      <c r="B1756">
        <f ca="1">IF(OR(changes[[#This Row],[Type]]="Checklist",changes[[#This Row],[Type]]="checklist-flat"),1+IF(changes[[#This Row],[Type of change]] = "Edit",COUNTIFS($I$4:changes[[#This Row],[Name]],changes[[#This Row],[Name]], $E$4:changes[[#This Row],[Type of change]], "Edit")),B1755)</f>
        <v>2</v>
      </c>
      <c r="C1756" s="16">
        <v>44767</v>
      </c>
      <c r="D1756" s="1" t="s">
        <v>2866</v>
      </c>
      <c r="E1756" t="s">
        <v>15</v>
      </c>
      <c r="F1756" s="10" t="s">
        <v>9</v>
      </c>
      <c r="G1756" t="s">
        <v>2615</v>
      </c>
      <c r="H1756" t="s">
        <v>1184</v>
      </c>
      <c r="I1756" t="s">
        <v>1185</v>
      </c>
      <c r="K1756" s="2" t="s">
        <v>6</v>
      </c>
      <c r="L1756" t="s">
        <v>2867</v>
      </c>
      <c r="M1756" s="2"/>
    </row>
    <row r="1757" spans="1:13">
      <c r="A1757" t="s">
        <v>28</v>
      </c>
      <c r="B1757">
        <f ca="1">IF(OR(changes[[#This Row],[Type]]="Checklist",changes[[#This Row],[Type]]="checklist-flat"),1+IF(changes[[#This Row],[Type of change]] = "Edit",COUNTIFS($I$4:changes[[#This Row],[Name]],changes[[#This Row],[Name]], $E$4:changes[[#This Row],[Type of change]], "Edit")),B1756)</f>
        <v>2</v>
      </c>
      <c r="C1757" s="16">
        <v>44767</v>
      </c>
      <c r="D1757" s="1" t="s">
        <v>2866</v>
      </c>
      <c r="E1757" t="s">
        <v>15</v>
      </c>
      <c r="F1757" s="10" t="s">
        <v>9</v>
      </c>
      <c r="G1757" t="s">
        <v>2615</v>
      </c>
      <c r="H1757" t="s">
        <v>269</v>
      </c>
      <c r="I1757" t="s">
        <v>1186</v>
      </c>
      <c r="K1757" s="2" t="s">
        <v>6</v>
      </c>
      <c r="L1757" t="s">
        <v>2867</v>
      </c>
      <c r="M1757" s="2"/>
    </row>
    <row r="1758" spans="1:13">
      <c r="A1758" t="s">
        <v>28</v>
      </c>
      <c r="B1758">
        <f ca="1">IF(OR(changes[[#This Row],[Type]]="Checklist",changes[[#This Row],[Type]]="checklist-flat"),1+IF(changes[[#This Row],[Type of change]] = "Edit",COUNTIFS($I$4:changes[[#This Row],[Name]],changes[[#This Row],[Name]], $E$4:changes[[#This Row],[Type of change]], "Edit")),B1757)</f>
        <v>2</v>
      </c>
      <c r="C1758" s="16">
        <v>44767</v>
      </c>
      <c r="D1758" s="1" t="s">
        <v>2866</v>
      </c>
      <c r="E1758" t="s">
        <v>15</v>
      </c>
      <c r="F1758" s="10" t="s">
        <v>9</v>
      </c>
      <c r="G1758" t="s">
        <v>2615</v>
      </c>
      <c r="H1758" t="s">
        <v>269</v>
      </c>
      <c r="I1758" t="s">
        <v>1187</v>
      </c>
      <c r="K1758" s="2" t="s">
        <v>6</v>
      </c>
      <c r="L1758" t="s">
        <v>2867</v>
      </c>
      <c r="M1758" s="2"/>
    </row>
    <row r="1759" spans="1:13">
      <c r="A1759" t="s">
        <v>28</v>
      </c>
      <c r="B1759">
        <f ca="1">IF(OR(changes[[#This Row],[Type]]="Checklist",changes[[#This Row],[Type]]="checklist-flat"),1+IF(changes[[#This Row],[Type of change]] = "Edit",COUNTIFS($I$4:changes[[#This Row],[Name]],changes[[#This Row],[Name]], $E$4:changes[[#This Row],[Type of change]], "Edit")),B1758)</f>
        <v>2</v>
      </c>
      <c r="C1759" s="16">
        <v>44767</v>
      </c>
      <c r="D1759" s="1" t="s">
        <v>2866</v>
      </c>
      <c r="E1759" t="s">
        <v>15</v>
      </c>
      <c r="F1759" s="10" t="s">
        <v>9</v>
      </c>
      <c r="G1759" t="s">
        <v>2615</v>
      </c>
      <c r="H1759" t="s">
        <v>269</v>
      </c>
      <c r="I1759" t="s">
        <v>1188</v>
      </c>
      <c r="K1759" s="2" t="s">
        <v>6</v>
      </c>
      <c r="L1759" t="s">
        <v>2867</v>
      </c>
      <c r="M1759" s="2"/>
    </row>
    <row r="1760" spans="1:13">
      <c r="A1760" t="s">
        <v>28</v>
      </c>
      <c r="B1760">
        <f ca="1">IF(OR(changes[[#This Row],[Type]]="Checklist",changes[[#This Row],[Type]]="checklist-flat"),1+IF(changes[[#This Row],[Type of change]] = "Edit",COUNTIFS($I$4:changes[[#This Row],[Name]],changes[[#This Row],[Name]], $E$4:changes[[#This Row],[Type of change]], "Edit")),B1759)</f>
        <v>2</v>
      </c>
      <c r="C1760" s="16">
        <v>44767</v>
      </c>
      <c r="D1760" s="1" t="s">
        <v>2866</v>
      </c>
      <c r="E1760" t="s">
        <v>15</v>
      </c>
      <c r="F1760" s="10" t="s">
        <v>9</v>
      </c>
      <c r="G1760" t="s">
        <v>2615</v>
      </c>
      <c r="H1760" t="s">
        <v>269</v>
      </c>
      <c r="I1760" t="s">
        <v>1189</v>
      </c>
      <c r="K1760" s="2" t="s">
        <v>6</v>
      </c>
      <c r="L1760" t="s">
        <v>2867</v>
      </c>
      <c r="M1760" s="2"/>
    </row>
    <row r="1761" spans="1:13">
      <c r="A1761" t="s">
        <v>28</v>
      </c>
      <c r="B1761">
        <f ca="1">IF(OR(changes[[#This Row],[Type]]="Checklist",changes[[#This Row],[Type]]="checklist-flat"),1+IF(changes[[#This Row],[Type of change]] = "Edit",COUNTIFS($I$4:changes[[#This Row],[Name]],changes[[#This Row],[Name]], $E$4:changes[[#This Row],[Type of change]], "Edit")),B1760)</f>
        <v>2</v>
      </c>
      <c r="C1761" s="16">
        <v>44767</v>
      </c>
      <c r="D1761" s="1" t="s">
        <v>2866</v>
      </c>
      <c r="E1761" t="s">
        <v>15</v>
      </c>
      <c r="F1761" s="10" t="s">
        <v>9</v>
      </c>
      <c r="G1761" t="s">
        <v>2615</v>
      </c>
      <c r="H1761" t="s">
        <v>269</v>
      </c>
      <c r="I1761" t="s">
        <v>1190</v>
      </c>
      <c r="K1761" s="2" t="s">
        <v>6</v>
      </c>
      <c r="L1761" t="s">
        <v>2867</v>
      </c>
      <c r="M1761" s="2"/>
    </row>
    <row r="1762" spans="1:13">
      <c r="A1762" t="s">
        <v>28</v>
      </c>
      <c r="B1762">
        <f ca="1">IF(OR(changes[[#This Row],[Type]]="Checklist",changes[[#This Row],[Type]]="checklist-flat"),1+IF(changes[[#This Row],[Type of change]] = "Edit",COUNTIFS($I$4:changes[[#This Row],[Name]],changes[[#This Row],[Name]], $E$4:changes[[#This Row],[Type of change]], "Edit")),B1761)</f>
        <v>2</v>
      </c>
      <c r="C1762" s="16">
        <v>44767</v>
      </c>
      <c r="D1762" s="1" t="s">
        <v>2866</v>
      </c>
      <c r="E1762" t="s">
        <v>15</v>
      </c>
      <c r="F1762" s="10" t="s">
        <v>9</v>
      </c>
      <c r="G1762" t="s">
        <v>2615</v>
      </c>
      <c r="H1762" t="s">
        <v>1184</v>
      </c>
      <c r="I1762" t="s">
        <v>1191</v>
      </c>
      <c r="K1762" s="2" t="s">
        <v>6</v>
      </c>
      <c r="L1762" t="s">
        <v>2867</v>
      </c>
      <c r="M1762" s="2"/>
    </row>
    <row r="1763" spans="1:13">
      <c r="A1763" t="s">
        <v>28</v>
      </c>
      <c r="B1763">
        <f ca="1">IF(OR(changes[[#This Row],[Type]]="Checklist",changes[[#This Row],[Type]]="checklist-flat"),1+IF(changes[[#This Row],[Type of change]] = "Edit",COUNTIFS($I$4:changes[[#This Row],[Name]],changes[[#This Row],[Name]], $E$4:changes[[#This Row],[Type of change]], "Edit")),B1762)</f>
        <v>2</v>
      </c>
      <c r="C1763" s="16">
        <v>44767</v>
      </c>
      <c r="D1763" s="1" t="s">
        <v>2866</v>
      </c>
      <c r="E1763" t="s">
        <v>15</v>
      </c>
      <c r="F1763" s="10" t="s">
        <v>9</v>
      </c>
      <c r="G1763" t="s">
        <v>2615</v>
      </c>
      <c r="H1763" t="s">
        <v>269</v>
      </c>
      <c r="I1763" t="s">
        <v>1192</v>
      </c>
      <c r="K1763" s="2" t="s">
        <v>6</v>
      </c>
      <c r="L1763" t="s">
        <v>2867</v>
      </c>
      <c r="M1763" s="2"/>
    </row>
    <row r="1764" spans="1:13">
      <c r="A1764" t="s">
        <v>28</v>
      </c>
      <c r="B1764">
        <f ca="1">IF(OR(changes[[#This Row],[Type]]="Checklist",changes[[#This Row],[Type]]="checklist-flat"),1+IF(changes[[#This Row],[Type of change]] = "Edit",COUNTIFS($I$4:changes[[#This Row],[Name]],changes[[#This Row],[Name]], $E$4:changes[[#This Row],[Type of change]], "Edit")),B1763)</f>
        <v>2</v>
      </c>
      <c r="C1764" s="16">
        <v>44767</v>
      </c>
      <c r="D1764" s="1" t="s">
        <v>2866</v>
      </c>
      <c r="E1764" t="s">
        <v>15</v>
      </c>
      <c r="F1764" s="10" t="s">
        <v>9</v>
      </c>
      <c r="G1764" t="s">
        <v>2615</v>
      </c>
      <c r="H1764" t="s">
        <v>269</v>
      </c>
      <c r="I1764" t="s">
        <v>1193</v>
      </c>
      <c r="K1764" s="2" t="s">
        <v>6</v>
      </c>
      <c r="L1764" t="s">
        <v>2867</v>
      </c>
      <c r="M1764" s="2"/>
    </row>
    <row r="1765" spans="1:13">
      <c r="A1765" t="s">
        <v>28</v>
      </c>
      <c r="B1765">
        <f ca="1">IF(OR(changes[[#This Row],[Type]]="Checklist",changes[[#This Row],[Type]]="checklist-flat"),1+IF(changes[[#This Row],[Type of change]] = "Edit",COUNTIFS($I$4:changes[[#This Row],[Name]],changes[[#This Row],[Name]], $E$4:changes[[#This Row],[Type of change]], "Edit")),B1764)</f>
        <v>2</v>
      </c>
      <c r="C1765" s="16">
        <v>44767</v>
      </c>
      <c r="D1765" s="1" t="s">
        <v>2866</v>
      </c>
      <c r="E1765" t="s">
        <v>15</v>
      </c>
      <c r="F1765" s="10" t="s">
        <v>9</v>
      </c>
      <c r="G1765" t="s">
        <v>2615</v>
      </c>
      <c r="H1765" t="s">
        <v>269</v>
      </c>
      <c r="I1765" t="s">
        <v>1194</v>
      </c>
      <c r="K1765" s="2" t="s">
        <v>6</v>
      </c>
      <c r="L1765" t="s">
        <v>2867</v>
      </c>
      <c r="M1765" s="2"/>
    </row>
    <row r="1766" spans="1:13">
      <c r="A1766" t="s">
        <v>28</v>
      </c>
      <c r="B1766">
        <f ca="1">IF(OR(changes[[#This Row],[Type]]="Checklist",changes[[#This Row],[Type]]="checklist-flat"),1+IF(changes[[#This Row],[Type of change]] = "Edit",COUNTIFS($I$4:changes[[#This Row],[Name]],changes[[#This Row],[Name]], $E$4:changes[[#This Row],[Type of change]], "Edit")),B1765)</f>
        <v>2</v>
      </c>
      <c r="C1766" s="16">
        <v>44767</v>
      </c>
      <c r="D1766" s="1" t="s">
        <v>2866</v>
      </c>
      <c r="E1766" t="s">
        <v>15</v>
      </c>
      <c r="F1766" s="10" t="s">
        <v>9</v>
      </c>
      <c r="G1766" t="s">
        <v>2615</v>
      </c>
      <c r="H1766" t="s">
        <v>269</v>
      </c>
      <c r="I1766" t="s">
        <v>1195</v>
      </c>
      <c r="K1766" s="2" t="s">
        <v>6</v>
      </c>
      <c r="L1766" t="s">
        <v>2867</v>
      </c>
      <c r="M1766" s="2"/>
    </row>
    <row r="1767" spans="1:13">
      <c r="A1767" t="s">
        <v>28</v>
      </c>
      <c r="B1767">
        <f ca="1">IF(OR(changes[[#This Row],[Type]]="Checklist",changes[[#This Row],[Type]]="checklist-flat"),1+IF(changes[[#This Row],[Type of change]] = "Edit",COUNTIFS($I$4:changes[[#This Row],[Name]],changes[[#This Row],[Name]], $E$4:changes[[#This Row],[Type of change]], "Edit")),B1766)</f>
        <v>2</v>
      </c>
      <c r="C1767" s="16">
        <v>44767</v>
      </c>
      <c r="D1767" s="1" t="s">
        <v>2866</v>
      </c>
      <c r="E1767" t="s">
        <v>15</v>
      </c>
      <c r="F1767" s="10" t="s">
        <v>9</v>
      </c>
      <c r="G1767" t="s">
        <v>2615</v>
      </c>
      <c r="H1767" t="s">
        <v>269</v>
      </c>
      <c r="I1767" t="s">
        <v>1196</v>
      </c>
      <c r="K1767" s="2" t="s">
        <v>6</v>
      </c>
      <c r="L1767" t="s">
        <v>2867</v>
      </c>
      <c r="M1767" s="2"/>
    </row>
    <row r="1768" spans="1:13">
      <c r="A1768" t="s">
        <v>28</v>
      </c>
      <c r="B1768">
        <f ca="1">IF(OR(changes[[#This Row],[Type]]="Checklist",changes[[#This Row],[Type]]="checklist-flat"),1+IF(changes[[#This Row],[Type of change]] = "Edit",COUNTIFS($I$4:changes[[#This Row],[Name]],changes[[#This Row],[Name]], $E$4:changes[[#This Row],[Type of change]], "Edit")),B1767)</f>
        <v>2</v>
      </c>
      <c r="C1768" s="16">
        <v>44767</v>
      </c>
      <c r="D1768" s="1" t="s">
        <v>2866</v>
      </c>
      <c r="E1768" t="s">
        <v>15</v>
      </c>
      <c r="F1768" s="10" t="s">
        <v>9</v>
      </c>
      <c r="G1768" t="s">
        <v>2615</v>
      </c>
      <c r="H1768" t="s">
        <v>269</v>
      </c>
      <c r="I1768" t="s">
        <v>1197</v>
      </c>
      <c r="K1768" s="2" t="s">
        <v>6</v>
      </c>
      <c r="L1768" t="s">
        <v>2867</v>
      </c>
      <c r="M1768" s="2"/>
    </row>
    <row r="1769" spans="1:13">
      <c r="A1769" t="s">
        <v>28</v>
      </c>
      <c r="B1769">
        <f ca="1">IF(OR(changes[[#This Row],[Type]]="Checklist",changes[[#This Row],[Type]]="checklist-flat"),1+IF(changes[[#This Row],[Type of change]] = "Edit",COUNTIFS($I$4:changes[[#This Row],[Name]],changes[[#This Row],[Name]], $E$4:changes[[#This Row],[Type of change]], "Edit")),B1768)</f>
        <v>2</v>
      </c>
      <c r="C1769" s="16">
        <v>44767</v>
      </c>
      <c r="D1769" s="1" t="s">
        <v>2866</v>
      </c>
      <c r="E1769" t="s">
        <v>15</v>
      </c>
      <c r="F1769" s="10" t="s">
        <v>9</v>
      </c>
      <c r="G1769" t="s">
        <v>2615</v>
      </c>
      <c r="H1769" t="s">
        <v>1184</v>
      </c>
      <c r="I1769" t="s">
        <v>1198</v>
      </c>
      <c r="K1769" s="2" t="s">
        <v>6</v>
      </c>
      <c r="L1769" t="s">
        <v>2867</v>
      </c>
      <c r="M1769" s="2"/>
    </row>
    <row r="1770" spans="1:13">
      <c r="A1770" t="s">
        <v>28</v>
      </c>
      <c r="B1770">
        <f ca="1">IF(OR(changes[[#This Row],[Type]]="Checklist",changes[[#This Row],[Type]]="checklist-flat"),1+IF(changes[[#This Row],[Type of change]] = "Edit",COUNTIFS($I$4:changes[[#This Row],[Name]],changes[[#This Row],[Name]], $E$4:changes[[#This Row],[Type of change]], "Edit")),B1769)</f>
        <v>2</v>
      </c>
      <c r="C1770" s="16">
        <v>44767</v>
      </c>
      <c r="D1770" s="1" t="s">
        <v>2866</v>
      </c>
      <c r="E1770" t="s">
        <v>15</v>
      </c>
      <c r="F1770" s="10" t="s">
        <v>9</v>
      </c>
      <c r="G1770" t="s">
        <v>2615</v>
      </c>
      <c r="H1770" t="s">
        <v>269</v>
      </c>
      <c r="I1770" t="s">
        <v>1199</v>
      </c>
      <c r="K1770" s="2" t="s">
        <v>6</v>
      </c>
      <c r="L1770" t="s">
        <v>2867</v>
      </c>
      <c r="M1770" s="2"/>
    </row>
    <row r="1771" spans="1:13">
      <c r="A1771" t="s">
        <v>28</v>
      </c>
      <c r="B1771">
        <f ca="1">IF(OR(changes[[#This Row],[Type]]="Checklist",changes[[#This Row],[Type]]="checklist-flat"),1+IF(changes[[#This Row],[Type of change]] = "Edit",COUNTIFS($I$4:changes[[#This Row],[Name]],changes[[#This Row],[Name]], $E$4:changes[[#This Row],[Type of change]], "Edit")),B1770)</f>
        <v>2</v>
      </c>
      <c r="C1771" s="16">
        <v>44767</v>
      </c>
      <c r="D1771" s="1" t="s">
        <v>2866</v>
      </c>
      <c r="E1771" t="s">
        <v>15</v>
      </c>
      <c r="F1771" s="10" t="s">
        <v>9</v>
      </c>
      <c r="G1771" t="s">
        <v>2615</v>
      </c>
      <c r="H1771" t="s">
        <v>269</v>
      </c>
      <c r="I1771" t="s">
        <v>1200</v>
      </c>
      <c r="K1771" s="2" t="s">
        <v>6</v>
      </c>
      <c r="L1771" t="s">
        <v>2867</v>
      </c>
      <c r="M1771" s="2"/>
    </row>
    <row r="1772" spans="1:13">
      <c r="A1772" t="s">
        <v>28</v>
      </c>
      <c r="B1772">
        <f ca="1">IF(OR(changes[[#This Row],[Type]]="Checklist",changes[[#This Row],[Type]]="checklist-flat"),1+IF(changes[[#This Row],[Type of change]] = "Edit",COUNTIFS($I$4:changes[[#This Row],[Name]],changes[[#This Row],[Name]], $E$4:changes[[#This Row],[Type of change]], "Edit")),B1771)</f>
        <v>2</v>
      </c>
      <c r="C1772" s="16">
        <v>44767</v>
      </c>
      <c r="D1772" s="1" t="s">
        <v>2866</v>
      </c>
      <c r="E1772" t="s">
        <v>15</v>
      </c>
      <c r="F1772" s="10" t="s">
        <v>9</v>
      </c>
      <c r="G1772" t="s">
        <v>2615</v>
      </c>
      <c r="H1772" t="s">
        <v>269</v>
      </c>
      <c r="I1772" t="s">
        <v>1201</v>
      </c>
      <c r="K1772" s="2" t="s">
        <v>6</v>
      </c>
      <c r="L1772" t="s">
        <v>2867</v>
      </c>
      <c r="M1772" s="2"/>
    </row>
    <row r="1773" spans="1:13">
      <c r="A1773" t="s">
        <v>28</v>
      </c>
      <c r="B1773">
        <f ca="1">IF(OR(changes[[#This Row],[Type]]="Checklist",changes[[#This Row],[Type]]="checklist-flat"),1+IF(changes[[#This Row],[Type of change]] = "Edit",COUNTIFS($I$4:changes[[#This Row],[Name]],changes[[#This Row],[Name]], $E$4:changes[[#This Row],[Type of change]], "Edit")),B1772)</f>
        <v>2</v>
      </c>
      <c r="C1773" s="16">
        <v>44767</v>
      </c>
      <c r="D1773" s="1" t="s">
        <v>2866</v>
      </c>
      <c r="E1773" t="s">
        <v>15</v>
      </c>
      <c r="F1773" s="10" t="s">
        <v>9</v>
      </c>
      <c r="G1773" t="s">
        <v>2615</v>
      </c>
      <c r="H1773" t="s">
        <v>269</v>
      </c>
      <c r="I1773" t="s">
        <v>1202</v>
      </c>
      <c r="K1773" s="2" t="s">
        <v>6</v>
      </c>
      <c r="L1773" t="s">
        <v>2867</v>
      </c>
      <c r="M1773" s="2"/>
    </row>
    <row r="1774" spans="1:13">
      <c r="A1774" t="s">
        <v>28</v>
      </c>
      <c r="B1774">
        <f ca="1">IF(OR(changes[[#This Row],[Type]]="Checklist",changes[[#This Row],[Type]]="checklist-flat"),1+IF(changes[[#This Row],[Type of change]] = "Edit",COUNTIFS($I$4:changes[[#This Row],[Name]],changes[[#This Row],[Name]], $E$4:changes[[#This Row],[Type of change]], "Edit")),B1773)</f>
        <v>2</v>
      </c>
      <c r="C1774" s="16">
        <v>44767</v>
      </c>
      <c r="D1774" s="1" t="s">
        <v>2866</v>
      </c>
      <c r="E1774" t="s">
        <v>15</v>
      </c>
      <c r="F1774" s="10" t="s">
        <v>9</v>
      </c>
      <c r="G1774" t="s">
        <v>2615</v>
      </c>
      <c r="H1774" t="s">
        <v>269</v>
      </c>
      <c r="I1774" t="s">
        <v>1203</v>
      </c>
      <c r="K1774" s="2" t="s">
        <v>6</v>
      </c>
      <c r="L1774" t="s">
        <v>2867</v>
      </c>
      <c r="M1774" s="2"/>
    </row>
    <row r="1775" spans="1:13">
      <c r="A1775" t="s">
        <v>28</v>
      </c>
      <c r="B1775">
        <f ca="1">IF(OR(changes[[#This Row],[Type]]="Checklist",changes[[#This Row],[Type]]="checklist-flat"),1+IF(changes[[#This Row],[Type of change]] = "Edit",COUNTIFS($I$4:changes[[#This Row],[Name]],changes[[#This Row],[Name]], $E$4:changes[[#This Row],[Type of change]], "Edit")),B1774)</f>
        <v>2</v>
      </c>
      <c r="C1775" s="16">
        <v>44767</v>
      </c>
      <c r="D1775" s="1" t="s">
        <v>2866</v>
      </c>
      <c r="E1775" t="s">
        <v>15</v>
      </c>
      <c r="F1775" s="10" t="s">
        <v>9</v>
      </c>
      <c r="G1775" t="s">
        <v>2615</v>
      </c>
      <c r="H1775" t="s">
        <v>269</v>
      </c>
      <c r="I1775" t="s">
        <v>1204</v>
      </c>
      <c r="K1775" s="2" t="s">
        <v>6</v>
      </c>
      <c r="L1775" t="s">
        <v>2867</v>
      </c>
      <c r="M1775" s="2"/>
    </row>
    <row r="1776" spans="1:13">
      <c r="A1776" t="s">
        <v>28</v>
      </c>
      <c r="B1776">
        <f ca="1">IF(OR(changes[[#This Row],[Type]]="Checklist",changes[[#This Row],[Type]]="checklist-flat"),1+IF(changes[[#This Row],[Type of change]] = "Edit",COUNTIFS($I$4:changes[[#This Row],[Name]],changes[[#This Row],[Name]], $E$4:changes[[#This Row],[Type of change]], "Edit")),B1775)</f>
        <v>2</v>
      </c>
      <c r="C1776" s="16">
        <v>44767</v>
      </c>
      <c r="D1776" s="1" t="s">
        <v>2866</v>
      </c>
      <c r="E1776" t="s">
        <v>15</v>
      </c>
      <c r="F1776" s="10" t="s">
        <v>9</v>
      </c>
      <c r="G1776" t="s">
        <v>2615</v>
      </c>
      <c r="H1776" t="s">
        <v>269</v>
      </c>
      <c r="I1776" t="s">
        <v>1205</v>
      </c>
      <c r="K1776" s="2" t="s">
        <v>6</v>
      </c>
      <c r="L1776" t="s">
        <v>2867</v>
      </c>
      <c r="M1776" s="2"/>
    </row>
    <row r="1777" spans="1:13">
      <c r="A1777" t="s">
        <v>28</v>
      </c>
      <c r="B1777">
        <f ca="1">IF(OR(changes[[#This Row],[Type]]="Checklist",changes[[#This Row],[Type]]="checklist-flat"),1+IF(changes[[#This Row],[Type of change]] = "Edit",COUNTIFS($I$4:changes[[#This Row],[Name]],changes[[#This Row],[Name]], $E$4:changes[[#This Row],[Type of change]], "Edit")),B1776)</f>
        <v>2</v>
      </c>
      <c r="C1777" s="16">
        <v>44767</v>
      </c>
      <c r="D1777" s="1" t="s">
        <v>2866</v>
      </c>
      <c r="E1777" t="s">
        <v>15</v>
      </c>
      <c r="F1777" s="10" t="s">
        <v>9</v>
      </c>
      <c r="G1777" t="s">
        <v>2615</v>
      </c>
      <c r="H1777" t="s">
        <v>64</v>
      </c>
      <c r="I1777" t="s">
        <v>1142</v>
      </c>
      <c r="K1777" s="2" t="s">
        <v>6</v>
      </c>
      <c r="L1777" t="s">
        <v>2867</v>
      </c>
      <c r="M1777" s="2"/>
    </row>
    <row r="1778" spans="1:13">
      <c r="A1778" t="s">
        <v>28</v>
      </c>
      <c r="B1778">
        <f ca="1">IF(OR(changes[[#This Row],[Type]]="Checklist",changes[[#This Row],[Type]]="checklist-flat"),1+IF(changes[[#This Row],[Type of change]] = "Edit",COUNTIFS($I$4:changes[[#This Row],[Name]],changes[[#This Row],[Name]], $E$4:changes[[#This Row],[Type of change]], "Edit")),B1777)</f>
        <v>3</v>
      </c>
      <c r="C1778" s="16">
        <v>44767</v>
      </c>
      <c r="D1778" s="1" t="s">
        <v>2869</v>
      </c>
      <c r="E1778" t="s">
        <v>15</v>
      </c>
      <c r="F1778" s="10" t="s">
        <v>9</v>
      </c>
      <c r="G1778" t="s">
        <v>417</v>
      </c>
      <c r="H1778" t="s">
        <v>54</v>
      </c>
      <c r="I1778" t="s">
        <v>417</v>
      </c>
      <c r="K1778" s="2" t="s">
        <v>6</v>
      </c>
      <c r="M1778" s="2"/>
    </row>
    <row r="1779" spans="1:13">
      <c r="A1779" t="s">
        <v>28</v>
      </c>
      <c r="B1779">
        <f ca="1">IF(OR(changes[[#This Row],[Type]]="Checklist",changes[[#This Row],[Type]]="checklist-flat"),1+IF(changes[[#This Row],[Type of change]] = "Edit",COUNTIFS($I$4:changes[[#This Row],[Name]],changes[[#This Row],[Name]], $E$4:changes[[#This Row],[Type of change]], "Edit")),B1778)</f>
        <v>3</v>
      </c>
      <c r="C1779" s="16">
        <v>44767</v>
      </c>
      <c r="D1779" s="1" t="s">
        <v>2869</v>
      </c>
      <c r="E1779" t="s">
        <v>15</v>
      </c>
      <c r="F1779" s="10" t="s">
        <v>9</v>
      </c>
      <c r="G1779" t="s">
        <v>417</v>
      </c>
      <c r="H1779" t="s">
        <v>55</v>
      </c>
      <c r="I1779" t="s">
        <v>418</v>
      </c>
      <c r="K1779" s="2" t="s">
        <v>6</v>
      </c>
      <c r="M1779" s="2"/>
    </row>
    <row r="1780" spans="1:13">
      <c r="A1780" t="s">
        <v>28</v>
      </c>
      <c r="B1780">
        <f ca="1">IF(OR(changes[[#This Row],[Type]]="Checklist",changes[[#This Row],[Type]]="checklist-flat"),1+IF(changes[[#This Row],[Type of change]] = "Edit",COUNTIFS($I$4:changes[[#This Row],[Name]],changes[[#This Row],[Name]], $E$4:changes[[#This Row],[Type of change]], "Edit")),B1779)</f>
        <v>3</v>
      </c>
      <c r="C1780" s="16">
        <v>44767</v>
      </c>
      <c r="D1780" s="1" t="s">
        <v>2869</v>
      </c>
      <c r="E1780" t="s">
        <v>15</v>
      </c>
      <c r="F1780" s="10" t="s">
        <v>9</v>
      </c>
      <c r="G1780" t="s">
        <v>417</v>
      </c>
      <c r="H1780" t="s">
        <v>99</v>
      </c>
      <c r="I1780" t="s">
        <v>419</v>
      </c>
      <c r="K1780" s="2" t="s">
        <v>6</v>
      </c>
      <c r="M1780" s="2"/>
    </row>
    <row r="1781" spans="1:13">
      <c r="A1781" t="s">
        <v>28</v>
      </c>
      <c r="B1781">
        <f ca="1">IF(OR(changes[[#This Row],[Type]]="Checklist",changes[[#This Row],[Type]]="checklist-flat"),1+IF(changes[[#This Row],[Type of change]] = "Edit",COUNTIFS($I$4:changes[[#This Row],[Name]],changes[[#This Row],[Name]], $E$4:changes[[#This Row],[Type of change]], "Edit")),B1780)</f>
        <v>3</v>
      </c>
      <c r="C1781" s="16">
        <v>44767</v>
      </c>
      <c r="D1781" s="1" t="s">
        <v>2869</v>
      </c>
      <c r="E1781" t="s">
        <v>15</v>
      </c>
      <c r="F1781" s="10" t="s">
        <v>9</v>
      </c>
      <c r="G1781" t="s">
        <v>417</v>
      </c>
      <c r="H1781" t="s">
        <v>420</v>
      </c>
      <c r="I1781" t="s">
        <v>421</v>
      </c>
      <c r="K1781" s="2" t="s">
        <v>6</v>
      </c>
      <c r="M1781" s="2"/>
    </row>
    <row r="1782" spans="1:13">
      <c r="A1782" t="s">
        <v>28</v>
      </c>
      <c r="B1782">
        <f ca="1">IF(OR(changes[[#This Row],[Type]]="Checklist",changes[[#This Row],[Type]]="checklist-flat"),1+IF(changes[[#This Row],[Type of change]] = "Edit",COUNTIFS($I$4:changes[[#This Row],[Name]],changes[[#This Row],[Name]], $E$4:changes[[#This Row],[Type of change]], "Edit")),B1781)</f>
        <v>3</v>
      </c>
      <c r="C1782" s="16">
        <v>44767</v>
      </c>
      <c r="D1782" s="1" t="s">
        <v>2869</v>
      </c>
      <c r="E1782" t="s">
        <v>15</v>
      </c>
      <c r="F1782" s="10" t="s">
        <v>9</v>
      </c>
      <c r="G1782" t="s">
        <v>417</v>
      </c>
      <c r="H1782" t="s">
        <v>64</v>
      </c>
      <c r="I1782" t="s">
        <v>422</v>
      </c>
      <c r="K1782" s="2" t="s">
        <v>6</v>
      </c>
      <c r="M1782" s="2"/>
    </row>
    <row r="1783" spans="1:13">
      <c r="A1783" t="s">
        <v>28</v>
      </c>
      <c r="B1783">
        <f ca="1">IF(OR(changes[[#This Row],[Type]]="Checklist",changes[[#This Row],[Type]]="checklist-flat"),1+IF(changes[[#This Row],[Type of change]] = "Edit",COUNTIFS($I$4:changes[[#This Row],[Name]],changes[[#This Row],[Name]], $E$4:changes[[#This Row],[Type of change]], "Edit")),B1782)</f>
        <v>1</v>
      </c>
      <c r="C1783" s="16">
        <v>44777</v>
      </c>
      <c r="D1783" s="1" t="s">
        <v>2843</v>
      </c>
      <c r="E1783" t="s">
        <v>27</v>
      </c>
      <c r="F1783" s="10" t="s">
        <v>52</v>
      </c>
      <c r="G1783" t="s">
        <v>1641</v>
      </c>
      <c r="H1783" t="s">
        <v>54</v>
      </c>
      <c r="I1783" t="s">
        <v>1641</v>
      </c>
      <c r="K1783" s="2" t="s">
        <v>6</v>
      </c>
      <c r="M1783" s="2"/>
    </row>
    <row r="1784" spans="1:13">
      <c r="A1784" t="s">
        <v>28</v>
      </c>
      <c r="B1784">
        <f ca="1">IF(OR(changes[[#This Row],[Type]]="Checklist",changes[[#This Row],[Type]]="checklist-flat"),1+IF(changes[[#This Row],[Type of change]] = "Edit",COUNTIFS($I$4:changes[[#This Row],[Name]],changes[[#This Row],[Name]], $E$4:changes[[#This Row],[Type of change]], "Edit")),B1783)</f>
        <v>1</v>
      </c>
      <c r="C1784" s="16">
        <v>44777</v>
      </c>
      <c r="D1784" s="1" t="s">
        <v>2843</v>
      </c>
      <c r="E1784" t="s">
        <v>27</v>
      </c>
      <c r="F1784" s="10" t="s">
        <v>52</v>
      </c>
      <c r="G1784" t="s">
        <v>1645</v>
      </c>
      <c r="H1784" t="s">
        <v>55</v>
      </c>
      <c r="I1784" t="s">
        <v>62</v>
      </c>
      <c r="K1784" s="2" t="s">
        <v>6</v>
      </c>
      <c r="M1784" s="2"/>
    </row>
    <row r="1785" spans="1:13">
      <c r="A1785" t="s">
        <v>28</v>
      </c>
      <c r="B1785">
        <f ca="1">IF(OR(changes[[#This Row],[Type]]="Checklist",changes[[#This Row],[Type]]="checklist-flat"),1+IF(changes[[#This Row],[Type of change]] = "Edit",COUNTIFS($I$4:changes[[#This Row],[Name]],changes[[#This Row],[Name]], $E$4:changes[[#This Row],[Type of change]], "Edit")),B1784)</f>
        <v>1</v>
      </c>
      <c r="C1785" s="16">
        <v>44777</v>
      </c>
      <c r="D1785" s="1" t="s">
        <v>2843</v>
      </c>
      <c r="E1785" t="s">
        <v>27</v>
      </c>
      <c r="F1785" s="10" t="s">
        <v>52</v>
      </c>
      <c r="G1785" t="s">
        <v>1645</v>
      </c>
      <c r="H1785" t="s">
        <v>55</v>
      </c>
      <c r="I1785" t="s">
        <v>63</v>
      </c>
      <c r="K1785" s="2" t="s">
        <v>6</v>
      </c>
      <c r="M1785" s="2"/>
    </row>
    <row r="1786" spans="1:13">
      <c r="A1786" t="s">
        <v>28</v>
      </c>
      <c r="B1786">
        <f ca="1">IF(OR(changes[[#This Row],[Type]]="Checklist",changes[[#This Row],[Type]]="checklist-flat"),1+IF(changes[[#This Row],[Type of change]] = "Edit",COUNTIFS($I$4:changes[[#This Row],[Name]],changes[[#This Row],[Name]], $E$4:changes[[#This Row],[Type of change]], "Edit")),B1785)</f>
        <v>1</v>
      </c>
      <c r="C1786" s="16">
        <v>44777</v>
      </c>
      <c r="D1786" s="1" t="s">
        <v>2843</v>
      </c>
      <c r="E1786" t="s">
        <v>27</v>
      </c>
      <c r="F1786" s="10" t="s">
        <v>52</v>
      </c>
      <c r="G1786" t="s">
        <v>1645</v>
      </c>
      <c r="H1786" t="s">
        <v>64</v>
      </c>
      <c r="I1786" t="s">
        <v>65</v>
      </c>
      <c r="K1786" s="2" t="s">
        <v>6</v>
      </c>
      <c r="M1786" s="2"/>
    </row>
    <row r="1787" spans="1:13">
      <c r="A1787" t="s">
        <v>28</v>
      </c>
      <c r="B1787">
        <f ca="1">IF(OR(changes[[#This Row],[Type]]="Checklist",changes[[#This Row],[Type]]="checklist-flat"),1+IF(changes[[#This Row],[Type of change]] = "Edit",COUNTIFS($I$4:changes[[#This Row],[Name]],changes[[#This Row],[Name]], $E$4:changes[[#This Row],[Type of change]], "Edit")),B1786)</f>
        <v>1</v>
      </c>
      <c r="C1787" s="16">
        <v>44777</v>
      </c>
      <c r="D1787" s="1" t="s">
        <v>2843</v>
      </c>
      <c r="E1787" t="s">
        <v>27</v>
      </c>
      <c r="F1787" s="10" t="s">
        <v>52</v>
      </c>
      <c r="G1787" t="s">
        <v>1645</v>
      </c>
      <c r="H1787" t="s">
        <v>55</v>
      </c>
      <c r="I1787" t="s">
        <v>1642</v>
      </c>
      <c r="K1787" s="2" t="s">
        <v>6</v>
      </c>
      <c r="M1787" s="2"/>
    </row>
    <row r="1788" spans="1:13">
      <c r="A1788" t="s">
        <v>28</v>
      </c>
      <c r="B1788">
        <f ca="1">IF(OR(changes[[#This Row],[Type]]="Checklist",changes[[#This Row],[Type]]="checklist-flat"),1+IF(changes[[#This Row],[Type of change]] = "Edit",COUNTIFS($I$4:changes[[#This Row],[Name]],changes[[#This Row],[Name]], $E$4:changes[[#This Row],[Type of change]], "Edit")),B1787)</f>
        <v>1</v>
      </c>
      <c r="C1788" s="16">
        <v>44784</v>
      </c>
      <c r="D1788" s="1" t="s">
        <v>2866</v>
      </c>
      <c r="E1788" t="s">
        <v>10</v>
      </c>
      <c r="F1788" s="10" t="s">
        <v>52</v>
      </c>
      <c r="G1788" t="s">
        <v>2870</v>
      </c>
      <c r="H1788" t="s">
        <v>54</v>
      </c>
      <c r="I1788" t="s">
        <v>2870</v>
      </c>
      <c r="K1788" s="2" t="s">
        <v>6</v>
      </c>
      <c r="M1788" s="2"/>
    </row>
    <row r="1789" spans="1:13">
      <c r="A1789" t="s">
        <v>28</v>
      </c>
      <c r="B1789">
        <f ca="1">IF(OR(changes[[#This Row],[Type]]="Checklist",changes[[#This Row],[Type]]="checklist-flat"),1+IF(changes[[#This Row],[Type of change]] = "Edit",COUNTIFS($I$4:changes[[#This Row],[Name]],changes[[#This Row],[Name]], $E$4:changes[[#This Row],[Type of change]], "Edit")),B1788)</f>
        <v>1</v>
      </c>
      <c r="C1789" s="16">
        <v>44784</v>
      </c>
      <c r="D1789" s="1" t="s">
        <v>2866</v>
      </c>
      <c r="E1789" t="s">
        <v>10</v>
      </c>
      <c r="F1789" s="10" t="s">
        <v>52</v>
      </c>
      <c r="G1789" t="s">
        <v>2870</v>
      </c>
      <c r="H1789" t="s">
        <v>479</v>
      </c>
      <c r="I1789" t="s">
        <v>2871</v>
      </c>
      <c r="K1789" s="2" t="s">
        <v>6</v>
      </c>
      <c r="M1789" s="2"/>
    </row>
    <row r="1790" spans="1:13">
      <c r="A1790" t="s">
        <v>28</v>
      </c>
      <c r="B1790">
        <f ca="1">IF(OR(changes[[#This Row],[Type]]="Checklist",changes[[#This Row],[Type]]="checklist-flat"),1+IF(changes[[#This Row],[Type of change]] = "Edit",COUNTIFS($I$4:changes[[#This Row],[Name]],changes[[#This Row],[Name]], $E$4:changes[[#This Row],[Type of change]], "Edit")),B1789)</f>
        <v>1</v>
      </c>
      <c r="C1790" s="16">
        <v>44784</v>
      </c>
      <c r="D1790" s="1" t="s">
        <v>2866</v>
      </c>
      <c r="E1790" t="s">
        <v>10</v>
      </c>
      <c r="F1790" s="10" t="s">
        <v>52</v>
      </c>
      <c r="G1790" t="s">
        <v>2870</v>
      </c>
      <c r="H1790" t="s">
        <v>55</v>
      </c>
      <c r="I1790" t="s">
        <v>2872</v>
      </c>
      <c r="K1790" s="2" t="s">
        <v>6</v>
      </c>
      <c r="M1790" s="2"/>
    </row>
    <row r="1791" spans="1:13">
      <c r="A1791" t="s">
        <v>28</v>
      </c>
      <c r="B1791">
        <f ca="1">IF(OR(changes[[#This Row],[Type]]="Checklist",changes[[#This Row],[Type]]="checklist-flat"),1+IF(changes[[#This Row],[Type of change]] = "Edit",COUNTIFS($I$4:changes[[#This Row],[Name]],changes[[#This Row],[Name]], $E$4:changes[[#This Row],[Type of change]], "Edit")),B1790)</f>
        <v>1</v>
      </c>
      <c r="C1791" s="16">
        <v>44784</v>
      </c>
      <c r="D1791" s="1" t="s">
        <v>2866</v>
      </c>
      <c r="E1791" t="s">
        <v>10</v>
      </c>
      <c r="F1791" s="10" t="s">
        <v>52</v>
      </c>
      <c r="G1791" t="s">
        <v>2870</v>
      </c>
      <c r="H1791" t="s">
        <v>55</v>
      </c>
      <c r="I1791" t="s">
        <v>2873</v>
      </c>
      <c r="K1791" s="2" t="s">
        <v>6</v>
      </c>
      <c r="M1791" s="2"/>
    </row>
    <row r="1792" spans="1:13">
      <c r="A1792" t="s">
        <v>28</v>
      </c>
      <c r="B1792">
        <f ca="1">IF(OR(changes[[#This Row],[Type]]="Checklist",changes[[#This Row],[Type]]="checklist-flat"),1+IF(changes[[#This Row],[Type of change]] = "Edit",COUNTIFS($I$4:changes[[#This Row],[Name]],changes[[#This Row],[Name]], $E$4:changes[[#This Row],[Type of change]], "Edit")),B1791)</f>
        <v>1</v>
      </c>
      <c r="C1792" s="16">
        <v>44784</v>
      </c>
      <c r="D1792" s="1" t="s">
        <v>2866</v>
      </c>
      <c r="E1792" t="s">
        <v>10</v>
      </c>
      <c r="F1792" s="10" t="s">
        <v>52</v>
      </c>
      <c r="G1792" t="s">
        <v>2870</v>
      </c>
      <c r="H1792" t="s">
        <v>55</v>
      </c>
      <c r="I1792" t="s">
        <v>2874</v>
      </c>
      <c r="K1792" s="2" t="s">
        <v>6</v>
      </c>
      <c r="M1792" s="2"/>
    </row>
    <row r="1793" spans="1:13">
      <c r="A1793" t="s">
        <v>28</v>
      </c>
      <c r="B1793">
        <f ca="1">IF(OR(changes[[#This Row],[Type]]="Checklist",changes[[#This Row],[Type]]="checklist-flat"),1+IF(changes[[#This Row],[Type of change]] = "Edit",COUNTIFS($I$4:changes[[#This Row],[Name]],changes[[#This Row],[Name]], $E$4:changes[[#This Row],[Type of change]], "Edit")),B1792)</f>
        <v>1</v>
      </c>
      <c r="C1793" s="16">
        <v>44784</v>
      </c>
      <c r="D1793" s="1" t="s">
        <v>2866</v>
      </c>
      <c r="E1793" t="s">
        <v>10</v>
      </c>
      <c r="F1793" s="10" t="s">
        <v>52</v>
      </c>
      <c r="G1793" t="s">
        <v>2870</v>
      </c>
      <c r="H1793" t="s">
        <v>55</v>
      </c>
      <c r="I1793" t="s">
        <v>2875</v>
      </c>
      <c r="K1793" s="2" t="s">
        <v>6</v>
      </c>
      <c r="M1793" s="2"/>
    </row>
    <row r="1794" spans="1:13">
      <c r="A1794" t="s">
        <v>28</v>
      </c>
      <c r="B1794">
        <f ca="1">IF(OR(changes[[#This Row],[Type]]="Checklist",changes[[#This Row],[Type]]="checklist-flat"),1+IF(changes[[#This Row],[Type of change]] = "Edit",COUNTIFS($I$4:changes[[#This Row],[Name]],changes[[#This Row],[Name]], $E$4:changes[[#This Row],[Type of change]], "Edit")),B1793)</f>
        <v>1</v>
      </c>
      <c r="C1794" s="16">
        <v>44784</v>
      </c>
      <c r="D1794" s="1" t="s">
        <v>2866</v>
      </c>
      <c r="E1794" t="s">
        <v>10</v>
      </c>
      <c r="F1794" s="10" t="s">
        <v>52</v>
      </c>
      <c r="G1794" t="s">
        <v>2870</v>
      </c>
      <c r="H1794" t="s">
        <v>55</v>
      </c>
      <c r="I1794" t="s">
        <v>2876</v>
      </c>
      <c r="K1794" s="2" t="s">
        <v>6</v>
      </c>
      <c r="M1794" s="2"/>
    </row>
    <row r="1795" spans="1:13">
      <c r="A1795" t="s">
        <v>28</v>
      </c>
      <c r="B1795">
        <f ca="1">IF(OR(changes[[#This Row],[Type]]="Checklist",changes[[#This Row],[Type]]="checklist-flat"),1+IF(changes[[#This Row],[Type of change]] = "Edit",COUNTIFS($I$4:changes[[#This Row],[Name]],changes[[#This Row],[Name]], $E$4:changes[[#This Row],[Type of change]], "Edit")),B1794)</f>
        <v>1</v>
      </c>
      <c r="C1795" s="16">
        <v>44784</v>
      </c>
      <c r="D1795" s="1" t="s">
        <v>2866</v>
      </c>
      <c r="E1795" t="s">
        <v>10</v>
      </c>
      <c r="F1795" s="10" t="s">
        <v>52</v>
      </c>
      <c r="G1795" t="s">
        <v>2870</v>
      </c>
      <c r="H1795" t="s">
        <v>55</v>
      </c>
      <c r="I1795" t="s">
        <v>2877</v>
      </c>
      <c r="K1795" s="2" t="s">
        <v>6</v>
      </c>
      <c r="M1795" s="2"/>
    </row>
    <row r="1796" spans="1:13">
      <c r="A1796" t="s">
        <v>28</v>
      </c>
      <c r="B1796">
        <f ca="1">IF(OR(changes[[#This Row],[Type]]="Checklist",changes[[#This Row],[Type]]="checklist-flat"),1+IF(changes[[#This Row],[Type of change]] = "Edit",COUNTIFS($I$4:changes[[#This Row],[Name]],changes[[#This Row],[Name]], $E$4:changes[[#This Row],[Type of change]], "Edit")),B1795)</f>
        <v>1</v>
      </c>
      <c r="C1796" s="16">
        <v>44784</v>
      </c>
      <c r="D1796" s="1" t="s">
        <v>2866</v>
      </c>
      <c r="E1796" t="s">
        <v>10</v>
      </c>
      <c r="F1796" s="10" t="s">
        <v>52</v>
      </c>
      <c r="G1796" t="s">
        <v>2870</v>
      </c>
      <c r="H1796" t="s">
        <v>55</v>
      </c>
      <c r="I1796" t="s">
        <v>2878</v>
      </c>
      <c r="K1796" s="2" t="s">
        <v>6</v>
      </c>
      <c r="M1796" s="2"/>
    </row>
    <row r="1797" spans="1:13">
      <c r="A1797" t="s">
        <v>28</v>
      </c>
      <c r="B1797">
        <f ca="1">IF(OR(changes[[#This Row],[Type]]="Checklist",changes[[#This Row],[Type]]="checklist-flat"),1+IF(changes[[#This Row],[Type of change]] = "Edit",COUNTIFS($I$4:changes[[#This Row],[Name]],changes[[#This Row],[Name]], $E$4:changes[[#This Row],[Type of change]], "Edit")),B1796)</f>
        <v>1</v>
      </c>
      <c r="C1797" s="16">
        <v>44784</v>
      </c>
      <c r="D1797" s="1" t="s">
        <v>2866</v>
      </c>
      <c r="E1797" t="s">
        <v>10</v>
      </c>
      <c r="F1797" s="10" t="s">
        <v>52</v>
      </c>
      <c r="G1797" t="s">
        <v>2870</v>
      </c>
      <c r="H1797" t="s">
        <v>55</v>
      </c>
      <c r="I1797" t="s">
        <v>2879</v>
      </c>
      <c r="K1797" s="2" t="s">
        <v>6</v>
      </c>
      <c r="M1797" s="2"/>
    </row>
    <row r="1798" spans="1:13">
      <c r="A1798" t="s">
        <v>28</v>
      </c>
      <c r="B1798">
        <f ca="1">IF(OR(changes[[#This Row],[Type]]="Checklist",changes[[#This Row],[Type]]="checklist-flat"),1+IF(changes[[#This Row],[Type of change]] = "Edit",COUNTIFS($I$4:changes[[#This Row],[Name]],changes[[#This Row],[Name]], $E$4:changes[[#This Row],[Type of change]], "Edit")),B1797)</f>
        <v>1</v>
      </c>
      <c r="C1798" s="16">
        <v>44784</v>
      </c>
      <c r="D1798" s="1" t="s">
        <v>2866</v>
      </c>
      <c r="E1798" t="s">
        <v>10</v>
      </c>
      <c r="F1798" s="10" t="s">
        <v>52</v>
      </c>
      <c r="G1798" t="s">
        <v>2870</v>
      </c>
      <c r="H1798" t="s">
        <v>55</v>
      </c>
      <c r="I1798" t="s">
        <v>2880</v>
      </c>
      <c r="K1798" s="2" t="s">
        <v>6</v>
      </c>
      <c r="M1798" s="2"/>
    </row>
    <row r="1799" spans="1:13">
      <c r="A1799" t="s">
        <v>28</v>
      </c>
      <c r="B1799">
        <f ca="1">IF(OR(changes[[#This Row],[Type]]="Checklist",changes[[#This Row],[Type]]="checklist-flat"),1+IF(changes[[#This Row],[Type of change]] = "Edit",COUNTIFS($I$4:changes[[#This Row],[Name]],changes[[#This Row],[Name]], $E$4:changes[[#This Row],[Type of change]], "Edit")),B1798)</f>
        <v>1</v>
      </c>
      <c r="C1799" s="16">
        <v>44784</v>
      </c>
      <c r="D1799" s="1" t="s">
        <v>2866</v>
      </c>
      <c r="E1799" t="s">
        <v>10</v>
      </c>
      <c r="F1799" s="10" t="s">
        <v>52</v>
      </c>
      <c r="G1799" t="s">
        <v>2870</v>
      </c>
      <c r="H1799" t="s">
        <v>55</v>
      </c>
      <c r="I1799" t="s">
        <v>2881</v>
      </c>
      <c r="K1799" s="2" t="s">
        <v>6</v>
      </c>
      <c r="M1799" s="2"/>
    </row>
    <row r="1800" spans="1:13">
      <c r="A1800" t="s">
        <v>28</v>
      </c>
      <c r="B1800">
        <f ca="1">IF(OR(changes[[#This Row],[Type]]="Checklist",changes[[#This Row],[Type]]="checklist-flat"),1+IF(changes[[#This Row],[Type of change]] = "Edit",COUNTIFS($I$4:changes[[#This Row],[Name]],changes[[#This Row],[Name]], $E$4:changes[[#This Row],[Type of change]], "Edit")),B1799)</f>
        <v>1</v>
      </c>
      <c r="C1800" s="16">
        <v>44784</v>
      </c>
      <c r="D1800" s="1" t="s">
        <v>2866</v>
      </c>
      <c r="E1800" t="s">
        <v>10</v>
      </c>
      <c r="F1800" s="10" t="s">
        <v>52</v>
      </c>
      <c r="G1800" t="s">
        <v>2870</v>
      </c>
      <c r="H1800" t="s">
        <v>479</v>
      </c>
      <c r="I1800" t="s">
        <v>2882</v>
      </c>
      <c r="K1800" s="2" t="s">
        <v>6</v>
      </c>
      <c r="M1800" s="2"/>
    </row>
    <row r="1801" spans="1:13">
      <c r="A1801" t="s">
        <v>28</v>
      </c>
      <c r="B1801">
        <f ca="1">IF(OR(changes[[#This Row],[Type]]="Checklist",changes[[#This Row],[Type]]="checklist-flat"),1+IF(changes[[#This Row],[Type of change]] = "Edit",COUNTIFS($I$4:changes[[#This Row],[Name]],changes[[#This Row],[Name]], $E$4:changes[[#This Row],[Type of change]], "Edit")),B1800)</f>
        <v>1</v>
      </c>
      <c r="C1801" s="16">
        <v>44784</v>
      </c>
      <c r="D1801" s="1" t="s">
        <v>2866</v>
      </c>
      <c r="E1801" t="s">
        <v>10</v>
      </c>
      <c r="F1801" s="10" t="s">
        <v>52</v>
      </c>
      <c r="G1801" t="s">
        <v>2870</v>
      </c>
      <c r="H1801" t="s">
        <v>55</v>
      </c>
      <c r="I1801" t="s">
        <v>2883</v>
      </c>
      <c r="K1801" s="2" t="s">
        <v>6</v>
      </c>
      <c r="M1801" s="2"/>
    </row>
    <row r="1802" spans="1:13">
      <c r="A1802" t="s">
        <v>28</v>
      </c>
      <c r="B1802">
        <f ca="1">IF(OR(changes[[#This Row],[Type]]="Checklist",changes[[#This Row],[Type]]="checklist-flat"),1+IF(changes[[#This Row],[Type of change]] = "Edit",COUNTIFS($I$4:changes[[#This Row],[Name]],changes[[#This Row],[Name]], $E$4:changes[[#This Row],[Type of change]], "Edit")),B1801)</f>
        <v>1</v>
      </c>
      <c r="C1802" s="16">
        <v>44784</v>
      </c>
      <c r="D1802" s="1" t="s">
        <v>2866</v>
      </c>
      <c r="E1802" t="s">
        <v>10</v>
      </c>
      <c r="F1802" s="10" t="s">
        <v>52</v>
      </c>
      <c r="G1802" t="s">
        <v>2870</v>
      </c>
      <c r="H1802" t="s">
        <v>55</v>
      </c>
      <c r="I1802" t="s">
        <v>2884</v>
      </c>
      <c r="K1802" s="2" t="s">
        <v>6</v>
      </c>
      <c r="M1802" s="2"/>
    </row>
    <row r="1803" spans="1:13">
      <c r="A1803" t="s">
        <v>28</v>
      </c>
      <c r="B1803">
        <f ca="1">IF(OR(changes[[#This Row],[Type]]="Checklist",changes[[#This Row],[Type]]="checklist-flat"),1+IF(changes[[#This Row],[Type of change]] = "Edit",COUNTIFS($I$4:changes[[#This Row],[Name]],changes[[#This Row],[Name]], $E$4:changes[[#This Row],[Type of change]], "Edit")),B1802)</f>
        <v>1</v>
      </c>
      <c r="C1803" s="16">
        <v>44784</v>
      </c>
      <c r="D1803" s="1" t="s">
        <v>2866</v>
      </c>
      <c r="E1803" t="s">
        <v>10</v>
      </c>
      <c r="F1803" s="10" t="s">
        <v>52</v>
      </c>
      <c r="G1803" t="s">
        <v>2870</v>
      </c>
      <c r="H1803" t="s">
        <v>55</v>
      </c>
      <c r="I1803" t="s">
        <v>2885</v>
      </c>
      <c r="K1803" s="2" t="s">
        <v>6</v>
      </c>
      <c r="M1803" s="2"/>
    </row>
    <row r="1804" spans="1:13">
      <c r="A1804" t="s">
        <v>28</v>
      </c>
      <c r="B1804">
        <f ca="1">IF(OR(changes[[#This Row],[Type]]="Checklist",changes[[#This Row],[Type]]="checklist-flat"),1+IF(changes[[#This Row],[Type of change]] = "Edit",COUNTIFS($I$4:changes[[#This Row],[Name]],changes[[#This Row],[Name]], $E$4:changes[[#This Row],[Type of change]], "Edit")),B1803)</f>
        <v>1</v>
      </c>
      <c r="C1804" s="16">
        <v>44784</v>
      </c>
      <c r="D1804" s="1" t="s">
        <v>2866</v>
      </c>
      <c r="E1804" t="s">
        <v>10</v>
      </c>
      <c r="F1804" s="10" t="s">
        <v>52</v>
      </c>
      <c r="G1804" t="s">
        <v>2870</v>
      </c>
      <c r="H1804" t="s">
        <v>55</v>
      </c>
      <c r="I1804" t="s">
        <v>2886</v>
      </c>
      <c r="K1804" s="2" t="s">
        <v>6</v>
      </c>
      <c r="M1804" s="2"/>
    </row>
    <row r="1805" spans="1:13">
      <c r="A1805" t="s">
        <v>28</v>
      </c>
      <c r="B1805">
        <f ca="1">IF(OR(changes[[#This Row],[Type]]="Checklist",changes[[#This Row],[Type]]="checklist-flat"),1+IF(changes[[#This Row],[Type of change]] = "Edit",COUNTIFS($I$4:changes[[#This Row],[Name]],changes[[#This Row],[Name]], $E$4:changes[[#This Row],[Type of change]], "Edit")),B1804)</f>
        <v>1</v>
      </c>
      <c r="C1805" s="16">
        <v>44784</v>
      </c>
      <c r="D1805" s="1" t="s">
        <v>2866</v>
      </c>
      <c r="E1805" t="s">
        <v>10</v>
      </c>
      <c r="F1805" s="10" t="s">
        <v>52</v>
      </c>
      <c r="G1805" t="s">
        <v>2870</v>
      </c>
      <c r="H1805" t="s">
        <v>479</v>
      </c>
      <c r="I1805" t="s">
        <v>2887</v>
      </c>
      <c r="K1805" s="2" t="s">
        <v>6</v>
      </c>
      <c r="M1805" s="2"/>
    </row>
    <row r="1806" spans="1:13">
      <c r="A1806" t="s">
        <v>28</v>
      </c>
      <c r="B1806">
        <f ca="1">IF(OR(changes[[#This Row],[Type]]="Checklist",changes[[#This Row],[Type]]="checklist-flat"),1+IF(changes[[#This Row],[Type of change]] = "Edit",COUNTIFS($I$4:changes[[#This Row],[Name]],changes[[#This Row],[Name]], $E$4:changes[[#This Row],[Type of change]], "Edit")),B1805)</f>
        <v>1</v>
      </c>
      <c r="C1806" s="16">
        <v>44784</v>
      </c>
      <c r="D1806" s="1" t="s">
        <v>2866</v>
      </c>
      <c r="E1806" t="s">
        <v>10</v>
      </c>
      <c r="F1806" s="10" t="s">
        <v>52</v>
      </c>
      <c r="G1806" t="s">
        <v>2870</v>
      </c>
      <c r="H1806" t="s">
        <v>55</v>
      </c>
      <c r="I1806" t="s">
        <v>2888</v>
      </c>
      <c r="K1806" s="2" t="s">
        <v>6</v>
      </c>
      <c r="M1806" s="2"/>
    </row>
    <row r="1807" spans="1:13">
      <c r="A1807" t="s">
        <v>28</v>
      </c>
      <c r="B1807">
        <f ca="1">IF(OR(changes[[#This Row],[Type]]="Checklist",changes[[#This Row],[Type]]="checklist-flat"),1+IF(changes[[#This Row],[Type of change]] = "Edit",COUNTIFS($I$4:changes[[#This Row],[Name]],changes[[#This Row],[Name]], $E$4:changes[[#This Row],[Type of change]], "Edit")),B1806)</f>
        <v>1</v>
      </c>
      <c r="C1807" s="16">
        <v>44784</v>
      </c>
      <c r="D1807" s="1" t="s">
        <v>2866</v>
      </c>
      <c r="E1807" t="s">
        <v>10</v>
      </c>
      <c r="F1807" s="10" t="s">
        <v>52</v>
      </c>
      <c r="G1807" t="s">
        <v>2870</v>
      </c>
      <c r="H1807" t="s">
        <v>55</v>
      </c>
      <c r="I1807" t="s">
        <v>2889</v>
      </c>
      <c r="K1807" s="2" t="s">
        <v>6</v>
      </c>
      <c r="M1807" s="2"/>
    </row>
    <row r="1808" spans="1:13">
      <c r="A1808" t="s">
        <v>28</v>
      </c>
      <c r="B1808">
        <f ca="1">IF(OR(changes[[#This Row],[Type]]="Checklist",changes[[#This Row],[Type]]="checklist-flat"),1+IF(changes[[#This Row],[Type of change]] = "Edit",COUNTIFS($I$4:changes[[#This Row],[Name]],changes[[#This Row],[Name]], $E$4:changes[[#This Row],[Type of change]], "Edit")),B1807)</f>
        <v>1</v>
      </c>
      <c r="C1808" s="16">
        <v>44784</v>
      </c>
      <c r="D1808" s="1" t="s">
        <v>2866</v>
      </c>
      <c r="E1808" t="s">
        <v>10</v>
      </c>
      <c r="F1808" s="10" t="s">
        <v>52</v>
      </c>
      <c r="G1808" t="s">
        <v>2870</v>
      </c>
      <c r="H1808" t="s">
        <v>55</v>
      </c>
      <c r="I1808" t="s">
        <v>2890</v>
      </c>
      <c r="K1808" s="2" t="s">
        <v>6</v>
      </c>
      <c r="M1808" s="2"/>
    </row>
    <row r="1809" spans="1:13">
      <c r="A1809" t="s">
        <v>28</v>
      </c>
      <c r="B1809">
        <f ca="1">IF(OR(changes[[#This Row],[Type]]="Checklist",changes[[#This Row],[Type]]="checklist-flat"),1+IF(changes[[#This Row],[Type of change]] = "Edit",COUNTIFS($I$4:changes[[#This Row],[Name]],changes[[#This Row],[Name]], $E$4:changes[[#This Row],[Type of change]], "Edit")),B1808)</f>
        <v>1</v>
      </c>
      <c r="C1809" s="16">
        <v>44784</v>
      </c>
      <c r="D1809" s="1" t="s">
        <v>2866</v>
      </c>
      <c r="E1809" t="s">
        <v>10</v>
      </c>
      <c r="F1809" s="10" t="s">
        <v>52</v>
      </c>
      <c r="G1809" t="s">
        <v>2870</v>
      </c>
      <c r="H1809" t="s">
        <v>479</v>
      </c>
      <c r="I1809" t="s">
        <v>2891</v>
      </c>
      <c r="K1809" s="2" t="s">
        <v>6</v>
      </c>
      <c r="M1809" s="2"/>
    </row>
    <row r="1810" spans="1:13">
      <c r="A1810" t="s">
        <v>28</v>
      </c>
      <c r="B1810">
        <f ca="1">IF(OR(changes[[#This Row],[Type]]="Checklist",changes[[#This Row],[Type]]="checklist-flat"),1+IF(changes[[#This Row],[Type of change]] = "Edit",COUNTIFS($I$4:changes[[#This Row],[Name]],changes[[#This Row],[Name]], $E$4:changes[[#This Row],[Type of change]], "Edit")),B1809)</f>
        <v>1</v>
      </c>
      <c r="C1810" s="16">
        <v>44784</v>
      </c>
      <c r="D1810" s="1" t="s">
        <v>2866</v>
      </c>
      <c r="E1810" t="s">
        <v>10</v>
      </c>
      <c r="F1810" s="10" t="s">
        <v>52</v>
      </c>
      <c r="G1810" t="s">
        <v>2870</v>
      </c>
      <c r="H1810" t="s">
        <v>55</v>
      </c>
      <c r="I1810" t="s">
        <v>2892</v>
      </c>
      <c r="K1810" s="2" t="s">
        <v>6</v>
      </c>
      <c r="M1810" s="2"/>
    </row>
    <row r="1811" spans="1:13">
      <c r="A1811" t="s">
        <v>28</v>
      </c>
      <c r="B1811">
        <f ca="1">IF(OR(changes[[#This Row],[Type]]="Checklist",changes[[#This Row],[Type]]="checklist-flat"),1+IF(changes[[#This Row],[Type of change]] = "Edit",COUNTIFS($I$4:changes[[#This Row],[Name]],changes[[#This Row],[Name]], $E$4:changes[[#This Row],[Type of change]], "Edit")),B1810)</f>
        <v>1</v>
      </c>
      <c r="C1811" s="16">
        <v>44784</v>
      </c>
      <c r="D1811" s="1" t="s">
        <v>2866</v>
      </c>
      <c r="E1811" t="s">
        <v>10</v>
      </c>
      <c r="F1811" s="10" t="s">
        <v>52</v>
      </c>
      <c r="G1811" t="s">
        <v>2870</v>
      </c>
      <c r="H1811" t="s">
        <v>55</v>
      </c>
      <c r="I1811" t="s">
        <v>2893</v>
      </c>
      <c r="K1811" s="2" t="s">
        <v>6</v>
      </c>
      <c r="M1811" s="2"/>
    </row>
    <row r="1812" spans="1:13">
      <c r="A1812" t="s">
        <v>28</v>
      </c>
      <c r="B1812">
        <f ca="1">IF(OR(changes[[#This Row],[Type]]="Checklist",changes[[#This Row],[Type]]="checklist-flat"),1+IF(changes[[#This Row],[Type of change]] = "Edit",COUNTIFS($I$4:changes[[#This Row],[Name]],changes[[#This Row],[Name]], $E$4:changes[[#This Row],[Type of change]], "Edit")),B1811)</f>
        <v>1</v>
      </c>
      <c r="C1812" s="16">
        <v>44784</v>
      </c>
      <c r="D1812" s="1" t="s">
        <v>2866</v>
      </c>
      <c r="E1812" t="s">
        <v>10</v>
      </c>
      <c r="F1812" s="10" t="s">
        <v>52</v>
      </c>
      <c r="G1812" s="10" t="s">
        <v>2870</v>
      </c>
      <c r="H1812" t="s">
        <v>64</v>
      </c>
      <c r="I1812" t="s">
        <v>65</v>
      </c>
      <c r="K1812" s="2" t="s">
        <v>6</v>
      </c>
      <c r="M1812" s="2"/>
    </row>
    <row r="1813" spans="1:13">
      <c r="A1813" t="s">
        <v>28</v>
      </c>
      <c r="B1813">
        <f ca="1">IF(OR(changes[[#This Row],[Type]]="Checklist",changes[[#This Row],[Type]]="checklist-flat"),1+IF(changes[[#This Row],[Type of change]] = "Edit",COUNTIFS($I$4:changes[[#This Row],[Name]],changes[[#This Row],[Name]], $E$4:changes[[#This Row],[Type of change]], "Edit")),B1812)</f>
        <v>1</v>
      </c>
      <c r="C1813" s="16">
        <v>44785</v>
      </c>
      <c r="D1813" s="1" t="s">
        <v>2450</v>
      </c>
      <c r="E1813" t="s">
        <v>27</v>
      </c>
      <c r="F1813" s="10" t="s">
        <v>918</v>
      </c>
      <c r="G1813" t="s">
        <v>957</v>
      </c>
      <c r="H1813" t="s">
        <v>478</v>
      </c>
      <c r="I1813" t="s">
        <v>957</v>
      </c>
      <c r="K1813" s="2" t="s">
        <v>6</v>
      </c>
      <c r="M1813" s="2"/>
    </row>
    <row r="1814" spans="1:13">
      <c r="A1814" t="s">
        <v>28</v>
      </c>
      <c r="B1814">
        <f ca="1">IF(OR(changes[[#This Row],[Type]]="Checklist",changes[[#This Row],[Type]]="checklist-flat"),1+IF(changes[[#This Row],[Type of change]] = "Edit",COUNTIFS($I$4:changes[[#This Row],[Name]],changes[[#This Row],[Name]], $E$4:changes[[#This Row],[Type of change]], "Edit")),B1813)</f>
        <v>1</v>
      </c>
      <c r="C1814" s="16">
        <v>44785</v>
      </c>
      <c r="D1814" s="1" t="s">
        <v>2450</v>
      </c>
      <c r="E1814" t="s">
        <v>27</v>
      </c>
      <c r="F1814" s="10" t="s">
        <v>918</v>
      </c>
      <c r="G1814" t="s">
        <v>957</v>
      </c>
      <c r="H1814" t="s">
        <v>479</v>
      </c>
      <c r="I1814" t="s">
        <v>958</v>
      </c>
      <c r="K1814" s="2" t="s">
        <v>6</v>
      </c>
      <c r="M1814" s="2"/>
    </row>
    <row r="1815" spans="1:13">
      <c r="A1815" t="s">
        <v>28</v>
      </c>
      <c r="B1815">
        <f ca="1">IF(OR(changes[[#This Row],[Type]]="Checklist",changes[[#This Row],[Type]]="checklist-flat"),1+IF(changes[[#This Row],[Type of change]] = "Edit",COUNTIFS($I$4:changes[[#This Row],[Name]],changes[[#This Row],[Name]], $E$4:changes[[#This Row],[Type of change]], "Edit")),B1814)</f>
        <v>1</v>
      </c>
      <c r="C1815" s="16">
        <v>44785</v>
      </c>
      <c r="D1815" s="1" t="s">
        <v>2450</v>
      </c>
      <c r="E1815" t="s">
        <v>27</v>
      </c>
      <c r="F1815" s="10" t="s">
        <v>918</v>
      </c>
      <c r="G1815" t="s">
        <v>957</v>
      </c>
      <c r="H1815" t="s">
        <v>55</v>
      </c>
      <c r="I1815" t="s">
        <v>959</v>
      </c>
      <c r="K1815" s="2" t="s">
        <v>6</v>
      </c>
      <c r="M1815" s="2"/>
    </row>
    <row r="1816" spans="1:13">
      <c r="A1816" t="s">
        <v>28</v>
      </c>
      <c r="B1816">
        <f ca="1">IF(OR(changes[[#This Row],[Type]]="Checklist",changes[[#This Row],[Type]]="checklist-flat"),1+IF(changes[[#This Row],[Type of change]] = "Edit",COUNTIFS($I$4:changes[[#This Row],[Name]],changes[[#This Row],[Name]], $E$4:changes[[#This Row],[Type of change]], "Edit")),B1815)</f>
        <v>1</v>
      </c>
      <c r="C1816" s="16">
        <v>44785</v>
      </c>
      <c r="D1816" s="1" t="s">
        <v>2450</v>
      </c>
      <c r="E1816" t="s">
        <v>27</v>
      </c>
      <c r="F1816" s="10" t="s">
        <v>918</v>
      </c>
      <c r="G1816" t="s">
        <v>957</v>
      </c>
      <c r="H1816" t="s">
        <v>214</v>
      </c>
      <c r="I1816" t="s">
        <v>960</v>
      </c>
      <c r="K1816" s="2" t="s">
        <v>6</v>
      </c>
      <c r="M1816" s="2"/>
    </row>
    <row r="1817" spans="1:13">
      <c r="A1817" t="s">
        <v>28</v>
      </c>
      <c r="B1817">
        <f ca="1">IF(OR(changes[[#This Row],[Type]]="Checklist",changes[[#This Row],[Type]]="checklist-flat"),1+IF(changes[[#This Row],[Type of change]] = "Edit",COUNTIFS($I$4:changes[[#This Row],[Name]],changes[[#This Row],[Name]], $E$4:changes[[#This Row],[Type of change]], "Edit")),B1816)</f>
        <v>1</v>
      </c>
      <c r="C1817" s="16">
        <v>44785</v>
      </c>
      <c r="D1817" s="1" t="s">
        <v>2450</v>
      </c>
      <c r="E1817" t="s">
        <v>27</v>
      </c>
      <c r="F1817" s="10" t="s">
        <v>918</v>
      </c>
      <c r="G1817" t="s">
        <v>957</v>
      </c>
      <c r="H1817" t="s">
        <v>214</v>
      </c>
      <c r="I1817" t="s">
        <v>961</v>
      </c>
      <c r="K1817" s="2" t="s">
        <v>6</v>
      </c>
      <c r="M1817" s="2"/>
    </row>
    <row r="1818" spans="1:13">
      <c r="A1818" t="s">
        <v>28</v>
      </c>
      <c r="B1818">
        <f ca="1">IF(OR(changes[[#This Row],[Type]]="Checklist",changes[[#This Row],[Type]]="checklist-flat"),1+IF(changes[[#This Row],[Type of change]] = "Edit",COUNTIFS($I$4:changes[[#This Row],[Name]],changes[[#This Row],[Name]], $E$4:changes[[#This Row],[Type of change]], "Edit")),B1817)</f>
        <v>1</v>
      </c>
      <c r="C1818" s="16">
        <v>44785</v>
      </c>
      <c r="D1818" s="1" t="s">
        <v>2450</v>
      </c>
      <c r="E1818" t="s">
        <v>27</v>
      </c>
      <c r="F1818" s="10" t="s">
        <v>918</v>
      </c>
      <c r="G1818" t="s">
        <v>957</v>
      </c>
      <c r="H1818" t="s">
        <v>214</v>
      </c>
      <c r="I1818" t="s">
        <v>2894</v>
      </c>
      <c r="K1818" s="2" t="s">
        <v>6</v>
      </c>
      <c r="M1818" s="2"/>
    </row>
    <row r="1819" spans="1:13">
      <c r="A1819" t="s">
        <v>28</v>
      </c>
      <c r="B1819">
        <f ca="1">IF(OR(changes[[#This Row],[Type]]="Checklist",changes[[#This Row],[Type]]="checklist-flat"),1+IF(changes[[#This Row],[Type of change]] = "Edit",COUNTIFS($I$4:changes[[#This Row],[Name]],changes[[#This Row],[Name]], $E$4:changes[[#This Row],[Type of change]], "Edit")),B1818)</f>
        <v>1</v>
      </c>
      <c r="C1819" s="16">
        <v>44785</v>
      </c>
      <c r="D1819" s="1" t="s">
        <v>2450</v>
      </c>
      <c r="E1819" t="s">
        <v>27</v>
      </c>
      <c r="F1819" s="10" t="s">
        <v>918</v>
      </c>
      <c r="G1819" t="s">
        <v>957</v>
      </c>
      <c r="H1819" t="s">
        <v>214</v>
      </c>
      <c r="I1819" t="s">
        <v>963</v>
      </c>
      <c r="K1819" s="2" t="s">
        <v>6</v>
      </c>
      <c r="M1819" s="2"/>
    </row>
    <row r="1820" spans="1:13">
      <c r="A1820" t="s">
        <v>28</v>
      </c>
      <c r="B1820">
        <f ca="1">IF(OR(changes[[#This Row],[Type]]="Checklist",changes[[#This Row],[Type]]="checklist-flat"),1+IF(changes[[#This Row],[Type of change]] = "Edit",COUNTIFS($I$4:changes[[#This Row],[Name]],changes[[#This Row],[Name]], $E$4:changes[[#This Row],[Type of change]], "Edit")),B1819)</f>
        <v>1</v>
      </c>
      <c r="C1820" s="16">
        <v>44785</v>
      </c>
      <c r="D1820" s="1" t="s">
        <v>2450</v>
      </c>
      <c r="E1820" t="s">
        <v>27</v>
      </c>
      <c r="F1820" s="10" t="s">
        <v>918</v>
      </c>
      <c r="G1820" t="s">
        <v>957</v>
      </c>
      <c r="H1820" t="s">
        <v>214</v>
      </c>
      <c r="I1820" t="s">
        <v>2895</v>
      </c>
      <c r="K1820" s="2" t="s">
        <v>6</v>
      </c>
      <c r="M1820" s="2"/>
    </row>
    <row r="1821" spans="1:13">
      <c r="A1821" t="s">
        <v>28</v>
      </c>
      <c r="B1821">
        <f ca="1">IF(OR(changes[[#This Row],[Type]]="Checklist",changes[[#This Row],[Type]]="checklist-flat"),1+IF(changes[[#This Row],[Type of change]] = "Edit",COUNTIFS($I$4:changes[[#This Row],[Name]],changes[[#This Row],[Name]], $E$4:changes[[#This Row],[Type of change]], "Edit")),B1820)</f>
        <v>1</v>
      </c>
      <c r="C1821" s="16">
        <v>44785</v>
      </c>
      <c r="D1821" s="1" t="s">
        <v>2450</v>
      </c>
      <c r="E1821" t="s">
        <v>27</v>
      </c>
      <c r="F1821" s="10" t="s">
        <v>918</v>
      </c>
      <c r="G1821" t="s">
        <v>957</v>
      </c>
      <c r="H1821" t="s">
        <v>437</v>
      </c>
      <c r="I1821" t="s">
        <v>965</v>
      </c>
      <c r="J1821" t="s">
        <v>510</v>
      </c>
      <c r="K1821" s="2" t="s">
        <v>6</v>
      </c>
      <c r="M1821" s="2"/>
    </row>
    <row r="1822" spans="1:13">
      <c r="A1822" t="s">
        <v>28</v>
      </c>
      <c r="B1822">
        <f ca="1">IF(OR(changes[[#This Row],[Type]]="Checklist",changes[[#This Row],[Type]]="checklist-flat"),1+IF(changes[[#This Row],[Type of change]] = "Edit",COUNTIFS($I$4:changes[[#This Row],[Name]],changes[[#This Row],[Name]], $E$4:changes[[#This Row],[Type of change]], "Edit")),B1821)</f>
        <v>1</v>
      </c>
      <c r="C1822" s="16">
        <v>44785</v>
      </c>
      <c r="D1822" s="1" t="s">
        <v>2450</v>
      </c>
      <c r="E1822" t="s">
        <v>27</v>
      </c>
      <c r="F1822" s="10" t="s">
        <v>918</v>
      </c>
      <c r="G1822" t="s">
        <v>957</v>
      </c>
      <c r="H1822" t="s">
        <v>420</v>
      </c>
      <c r="I1822" t="s">
        <v>966</v>
      </c>
      <c r="K1822" s="2" t="s">
        <v>6</v>
      </c>
      <c r="M1822" s="2"/>
    </row>
    <row r="1823" spans="1:13">
      <c r="A1823" t="s">
        <v>28</v>
      </c>
      <c r="B1823">
        <f ca="1">IF(OR(changes[[#This Row],[Type]]="Checklist",changes[[#This Row],[Type]]="checklist-flat"),1+IF(changes[[#This Row],[Type of change]] = "Edit",COUNTIFS($I$4:changes[[#This Row],[Name]],changes[[#This Row],[Name]], $E$4:changes[[#This Row],[Type of change]], "Edit")),B1822)</f>
        <v>1</v>
      </c>
      <c r="C1823" s="16">
        <v>44785</v>
      </c>
      <c r="D1823" s="1" t="s">
        <v>2450</v>
      </c>
      <c r="E1823" t="s">
        <v>27</v>
      </c>
      <c r="F1823" s="10" t="s">
        <v>918</v>
      </c>
      <c r="G1823" t="s">
        <v>957</v>
      </c>
      <c r="H1823" t="s">
        <v>420</v>
      </c>
      <c r="I1823" t="s">
        <v>967</v>
      </c>
      <c r="K1823" s="2" t="s">
        <v>6</v>
      </c>
      <c r="M1823" s="2"/>
    </row>
    <row r="1824" spans="1:13">
      <c r="A1824" t="s">
        <v>28</v>
      </c>
      <c r="B1824">
        <f ca="1">IF(OR(changes[[#This Row],[Type]]="Checklist",changes[[#This Row],[Type]]="checklist-flat"),1+IF(changes[[#This Row],[Type of change]] = "Edit",COUNTIFS($I$4:changes[[#This Row],[Name]],changes[[#This Row],[Name]], $E$4:changes[[#This Row],[Type of change]], "Edit")),B1823)</f>
        <v>1</v>
      </c>
      <c r="C1824" s="16">
        <v>44785</v>
      </c>
      <c r="D1824" s="1" t="s">
        <v>2450</v>
      </c>
      <c r="E1824" t="s">
        <v>27</v>
      </c>
      <c r="F1824" s="10" t="s">
        <v>918</v>
      </c>
      <c r="G1824" t="s">
        <v>957</v>
      </c>
      <c r="H1824" t="s">
        <v>479</v>
      </c>
      <c r="I1824" t="s">
        <v>968</v>
      </c>
      <c r="K1824" s="2" t="s">
        <v>6</v>
      </c>
      <c r="M1824" s="2"/>
    </row>
    <row r="1825" spans="1:13">
      <c r="A1825" t="s">
        <v>28</v>
      </c>
      <c r="B1825">
        <f ca="1">IF(OR(changes[[#This Row],[Type]]="Checklist",changes[[#This Row],[Type]]="checklist-flat"),1+IF(changes[[#This Row],[Type of change]] = "Edit",COUNTIFS($I$4:changes[[#This Row],[Name]],changes[[#This Row],[Name]], $E$4:changes[[#This Row],[Type of change]], "Edit")),B1824)</f>
        <v>1</v>
      </c>
      <c r="C1825" s="16">
        <v>44785</v>
      </c>
      <c r="D1825" s="1" t="s">
        <v>2450</v>
      </c>
      <c r="E1825" t="s">
        <v>27</v>
      </c>
      <c r="F1825" s="10" t="s">
        <v>918</v>
      </c>
      <c r="G1825" t="s">
        <v>957</v>
      </c>
      <c r="H1825" t="s">
        <v>55</v>
      </c>
      <c r="I1825" t="s">
        <v>969</v>
      </c>
      <c r="K1825" s="2" t="s">
        <v>6</v>
      </c>
      <c r="M1825" s="2"/>
    </row>
    <row r="1826" spans="1:13">
      <c r="A1826" t="s">
        <v>28</v>
      </c>
      <c r="B1826">
        <f ca="1">IF(OR(changes[[#This Row],[Type]]="Checklist",changes[[#This Row],[Type]]="checklist-flat"),1+IF(changes[[#This Row],[Type of change]] = "Edit",COUNTIFS($I$4:changes[[#This Row],[Name]],changes[[#This Row],[Name]], $E$4:changes[[#This Row],[Type of change]], "Edit")),B1825)</f>
        <v>1</v>
      </c>
      <c r="C1826" s="16">
        <v>44785</v>
      </c>
      <c r="D1826" s="1" t="s">
        <v>2450</v>
      </c>
      <c r="E1826" t="s">
        <v>27</v>
      </c>
      <c r="F1826" s="10" t="s">
        <v>918</v>
      </c>
      <c r="G1826" t="s">
        <v>957</v>
      </c>
      <c r="H1826" t="s">
        <v>55</v>
      </c>
      <c r="I1826" t="s">
        <v>930</v>
      </c>
      <c r="K1826" s="2" t="s">
        <v>6</v>
      </c>
      <c r="M1826" s="2"/>
    </row>
    <row r="1827" spans="1:13">
      <c r="A1827" t="s">
        <v>28</v>
      </c>
      <c r="B1827">
        <f ca="1">IF(OR(changes[[#This Row],[Type]]="Checklist",changes[[#This Row],[Type]]="checklist-flat"),1+IF(changes[[#This Row],[Type of change]] = "Edit",COUNTIFS($I$4:changes[[#This Row],[Name]],changes[[#This Row],[Name]], $E$4:changes[[#This Row],[Type of change]], "Edit")),B1826)</f>
        <v>1</v>
      </c>
      <c r="C1827" s="16">
        <v>44785</v>
      </c>
      <c r="D1827" s="1" t="s">
        <v>2450</v>
      </c>
      <c r="E1827" t="s">
        <v>27</v>
      </c>
      <c r="F1827" s="10" t="s">
        <v>918</v>
      </c>
      <c r="G1827" t="s">
        <v>957</v>
      </c>
      <c r="H1827" t="s">
        <v>479</v>
      </c>
      <c r="I1827" t="s">
        <v>970</v>
      </c>
      <c r="K1827" s="2" t="s">
        <v>6</v>
      </c>
      <c r="M1827" s="2"/>
    </row>
    <row r="1828" spans="1:13">
      <c r="A1828" t="s">
        <v>28</v>
      </c>
      <c r="B1828">
        <f ca="1">IF(OR(changes[[#This Row],[Type]]="Checklist",changes[[#This Row],[Type]]="checklist-flat"),1+IF(changes[[#This Row],[Type of change]] = "Edit",COUNTIFS($I$4:changes[[#This Row],[Name]],changes[[#This Row],[Name]], $E$4:changes[[#This Row],[Type of change]], "Edit")),B1827)</f>
        <v>1</v>
      </c>
      <c r="C1828" s="16">
        <v>44785</v>
      </c>
      <c r="D1828" s="1" t="s">
        <v>2450</v>
      </c>
      <c r="E1828" t="s">
        <v>27</v>
      </c>
      <c r="F1828" s="10" t="s">
        <v>918</v>
      </c>
      <c r="G1828" t="s">
        <v>957</v>
      </c>
      <c r="H1828" t="s">
        <v>55</v>
      </c>
      <c r="I1828" t="s">
        <v>971</v>
      </c>
      <c r="K1828" s="2" t="s">
        <v>6</v>
      </c>
      <c r="M1828" s="2"/>
    </row>
    <row r="1829" spans="1:13">
      <c r="A1829" t="s">
        <v>28</v>
      </c>
      <c r="B1829">
        <f ca="1">IF(OR(changes[[#This Row],[Type]]="Checklist",changes[[#This Row],[Type]]="checklist-flat"),1+IF(changes[[#This Row],[Type of change]] = "Edit",COUNTIFS($I$4:changes[[#This Row],[Name]],changes[[#This Row],[Name]], $E$4:changes[[#This Row],[Type of change]], "Edit")),B1828)</f>
        <v>1</v>
      </c>
      <c r="C1829" s="16">
        <v>44785</v>
      </c>
      <c r="D1829" s="1" t="s">
        <v>2450</v>
      </c>
      <c r="E1829" t="s">
        <v>27</v>
      </c>
      <c r="F1829" s="10" t="s">
        <v>918</v>
      </c>
      <c r="G1829" t="s">
        <v>957</v>
      </c>
      <c r="H1829" t="s">
        <v>64</v>
      </c>
      <c r="I1829" t="s">
        <v>972</v>
      </c>
      <c r="K1829" s="2" t="s">
        <v>6</v>
      </c>
      <c r="M1829" s="2"/>
    </row>
    <row r="1830" spans="1:13">
      <c r="A1830" t="s">
        <v>28</v>
      </c>
      <c r="B1830">
        <f ca="1">IF(OR(changes[[#This Row],[Type]]="Checklist",changes[[#This Row],[Type]]="checklist-flat"),1+IF(changes[[#This Row],[Type of change]] = "Edit",COUNTIFS($I$4:changes[[#This Row],[Name]],changes[[#This Row],[Name]], $E$4:changes[[#This Row],[Type of change]], "Edit")),B1829)</f>
        <v>1</v>
      </c>
      <c r="C1830" s="16">
        <v>44785</v>
      </c>
      <c r="D1830" s="1" t="s">
        <v>2450</v>
      </c>
      <c r="E1830" t="s">
        <v>27</v>
      </c>
      <c r="F1830" s="10" t="s">
        <v>918</v>
      </c>
      <c r="G1830" t="s">
        <v>957</v>
      </c>
      <c r="H1830" t="s">
        <v>214</v>
      </c>
      <c r="I1830" t="s">
        <v>931</v>
      </c>
      <c r="K1830" s="2" t="s">
        <v>6</v>
      </c>
      <c r="M1830" s="2"/>
    </row>
    <row r="1831" spans="1:13">
      <c r="A1831" t="s">
        <v>28</v>
      </c>
      <c r="B1831">
        <f ca="1">IF(OR(changes[[#This Row],[Type]]="Checklist",changes[[#This Row],[Type]]="checklist-flat"),1+IF(changes[[#This Row],[Type of change]] = "Edit",COUNTIFS($I$4:changes[[#This Row],[Name]],changes[[#This Row],[Name]], $E$4:changes[[#This Row],[Type of change]], "Edit")),B1830)</f>
        <v>1</v>
      </c>
      <c r="C1831" s="16">
        <v>44785</v>
      </c>
      <c r="D1831" s="1" t="s">
        <v>2450</v>
      </c>
      <c r="E1831" t="s">
        <v>27</v>
      </c>
      <c r="F1831" s="10" t="s">
        <v>918</v>
      </c>
      <c r="G1831" t="s">
        <v>949</v>
      </c>
      <c r="H1831" t="s">
        <v>478</v>
      </c>
      <c r="I1831" t="s">
        <v>949</v>
      </c>
      <c r="K1831" s="2" t="s">
        <v>6</v>
      </c>
      <c r="M1831" s="2"/>
    </row>
    <row r="1832" spans="1:13">
      <c r="A1832" t="s">
        <v>28</v>
      </c>
      <c r="B1832">
        <f ca="1">IF(OR(changes[[#This Row],[Type]]="Checklist",changes[[#This Row],[Type]]="checklist-flat"),1+IF(changes[[#This Row],[Type of change]] = "Edit",COUNTIFS($I$4:changes[[#This Row],[Name]],changes[[#This Row],[Name]], $E$4:changes[[#This Row],[Type of change]], "Edit")),B1831)</f>
        <v>1</v>
      </c>
      <c r="C1832" s="16">
        <v>44785</v>
      </c>
      <c r="D1832" s="1" t="s">
        <v>2450</v>
      </c>
      <c r="E1832" t="s">
        <v>27</v>
      </c>
      <c r="F1832" s="10" t="s">
        <v>918</v>
      </c>
      <c r="G1832" t="s">
        <v>949</v>
      </c>
      <c r="H1832" t="s">
        <v>55</v>
      </c>
      <c r="I1832" t="s">
        <v>950</v>
      </c>
      <c r="K1832" s="2" t="s">
        <v>6</v>
      </c>
      <c r="M1832" s="2"/>
    </row>
    <row r="1833" spans="1:13">
      <c r="A1833" t="s">
        <v>28</v>
      </c>
      <c r="B1833">
        <f ca="1">IF(OR(changes[[#This Row],[Type]]="Checklist",changes[[#This Row],[Type]]="checklist-flat"),1+IF(changes[[#This Row],[Type of change]] = "Edit",COUNTIFS($I$4:changes[[#This Row],[Name]],changes[[#This Row],[Name]], $E$4:changes[[#This Row],[Type of change]], "Edit")),B1832)</f>
        <v>1</v>
      </c>
      <c r="C1833" s="16">
        <v>44785</v>
      </c>
      <c r="D1833" s="1" t="s">
        <v>2450</v>
      </c>
      <c r="E1833" t="s">
        <v>27</v>
      </c>
      <c r="F1833" s="10" t="s">
        <v>918</v>
      </c>
      <c r="G1833" t="s">
        <v>949</v>
      </c>
      <c r="H1833" t="s">
        <v>951</v>
      </c>
      <c r="I1833" t="s">
        <v>952</v>
      </c>
      <c r="K1833" s="2" t="s">
        <v>6</v>
      </c>
      <c r="M1833" s="2"/>
    </row>
    <row r="1834" spans="1:13" ht="15.75">
      <c r="A1834" t="s">
        <v>28</v>
      </c>
      <c r="B1834">
        <f ca="1">IF(OR(changes[[#This Row],[Type]]="Checklist",changes[[#This Row],[Type]]="checklist-flat"),1+IF(changes[[#This Row],[Type of change]] = "Edit",COUNTIFS($I$4:changes[[#This Row],[Name]],changes[[#This Row],[Name]], $E$4:changes[[#This Row],[Type of change]], "Edit")),B1833)</f>
        <v>1</v>
      </c>
      <c r="C1834" s="16">
        <v>44785</v>
      </c>
      <c r="D1834" s="1" t="s">
        <v>2450</v>
      </c>
      <c r="E1834" t="s">
        <v>27</v>
      </c>
      <c r="F1834" s="10" t="s">
        <v>918</v>
      </c>
      <c r="G1834" t="s">
        <v>949</v>
      </c>
      <c r="H1834" t="s">
        <v>951</v>
      </c>
      <c r="I1834" s="21" t="s">
        <v>953</v>
      </c>
      <c r="J1834" s="22"/>
      <c r="K1834" s="2" t="s">
        <v>6</v>
      </c>
      <c r="M1834" s="2"/>
    </row>
    <row r="1835" spans="1:13" ht="15.75">
      <c r="A1835" t="s">
        <v>28</v>
      </c>
      <c r="B1835">
        <f ca="1">IF(OR(changes[[#This Row],[Type]]="Checklist",changes[[#This Row],[Type]]="checklist-flat"),1+IF(changes[[#This Row],[Type of change]] = "Edit",COUNTIFS($I$4:changes[[#This Row],[Name]],changes[[#This Row],[Name]], $E$4:changes[[#This Row],[Type of change]], "Edit")),B1834)</f>
        <v>1</v>
      </c>
      <c r="C1835" s="16">
        <v>44785</v>
      </c>
      <c r="D1835" s="1" t="s">
        <v>2450</v>
      </c>
      <c r="E1835" t="s">
        <v>27</v>
      </c>
      <c r="F1835" s="10" t="s">
        <v>918</v>
      </c>
      <c r="G1835" t="s">
        <v>949</v>
      </c>
      <c r="H1835" t="s">
        <v>951</v>
      </c>
      <c r="I1835" s="21" t="s">
        <v>954</v>
      </c>
      <c r="J1835" s="22"/>
      <c r="K1835" s="2" t="s">
        <v>6</v>
      </c>
      <c r="M1835" s="2"/>
    </row>
    <row r="1836" spans="1:13" ht="15.75">
      <c r="A1836" t="s">
        <v>28</v>
      </c>
      <c r="B1836">
        <f ca="1">IF(OR(changes[[#This Row],[Type]]="Checklist",changes[[#This Row],[Type]]="checklist-flat"),1+IF(changes[[#This Row],[Type of change]] = "Edit",COUNTIFS($I$4:changes[[#This Row],[Name]],changes[[#This Row],[Name]], $E$4:changes[[#This Row],[Type of change]], "Edit")),B1835)</f>
        <v>1</v>
      </c>
      <c r="C1836" s="16">
        <v>44785</v>
      </c>
      <c r="D1836" s="1" t="s">
        <v>2450</v>
      </c>
      <c r="E1836" t="s">
        <v>27</v>
      </c>
      <c r="F1836" s="10" t="s">
        <v>918</v>
      </c>
      <c r="G1836" t="s">
        <v>949</v>
      </c>
      <c r="H1836" t="s">
        <v>951</v>
      </c>
      <c r="I1836" s="21" t="s">
        <v>955</v>
      </c>
      <c r="J1836" s="22"/>
      <c r="K1836" s="2" t="s">
        <v>6</v>
      </c>
      <c r="M1836" s="2"/>
    </row>
    <row r="1837" spans="1:13">
      <c r="A1837" t="s">
        <v>28</v>
      </c>
      <c r="B1837">
        <f ca="1">IF(OR(changes[[#This Row],[Type]]="Checklist",changes[[#This Row],[Type]]="checklist-flat"),1+IF(changes[[#This Row],[Type of change]] = "Edit",COUNTIFS($I$4:changes[[#This Row],[Name]],changes[[#This Row],[Name]], $E$4:changes[[#This Row],[Type of change]], "Edit")),B1836)</f>
        <v>1</v>
      </c>
      <c r="C1837" s="16">
        <v>44785</v>
      </c>
      <c r="D1837" s="1" t="s">
        <v>2450</v>
      </c>
      <c r="E1837" t="s">
        <v>27</v>
      </c>
      <c r="F1837" s="10" t="s">
        <v>918</v>
      </c>
      <c r="G1837" t="s">
        <v>949</v>
      </c>
      <c r="H1837" t="s">
        <v>55</v>
      </c>
      <c r="I1837" t="s">
        <v>956</v>
      </c>
      <c r="K1837" s="2" t="s">
        <v>6</v>
      </c>
      <c r="M1837" s="2"/>
    </row>
    <row r="1838" spans="1:13">
      <c r="A1838" t="s">
        <v>28</v>
      </c>
      <c r="B1838">
        <f ca="1">IF(OR(changes[[#This Row],[Type]]="Checklist",changes[[#This Row],[Type]]="checklist-flat"),1+IF(changes[[#This Row],[Type of change]] = "Edit",COUNTIFS($I$4:changes[[#This Row],[Name]],changes[[#This Row],[Name]], $E$4:changes[[#This Row],[Type of change]], "Edit")),B1837)</f>
        <v>1</v>
      </c>
      <c r="C1838" s="16">
        <v>44785</v>
      </c>
      <c r="D1838" s="1" t="s">
        <v>2450</v>
      </c>
      <c r="E1838" t="s">
        <v>27</v>
      </c>
      <c r="F1838" s="10" t="s">
        <v>918</v>
      </c>
      <c r="G1838" t="s">
        <v>973</v>
      </c>
      <c r="H1838" t="s">
        <v>478</v>
      </c>
      <c r="I1838" t="s">
        <v>973</v>
      </c>
      <c r="K1838" s="2" t="s">
        <v>6</v>
      </c>
      <c r="M1838" s="2"/>
    </row>
    <row r="1839" spans="1:13">
      <c r="A1839" t="s">
        <v>28</v>
      </c>
      <c r="B1839">
        <f ca="1">IF(OR(changes[[#This Row],[Type]]="Checklist",changes[[#This Row],[Type]]="checklist-flat"),1+IF(changes[[#This Row],[Type of change]] = "Edit",COUNTIFS($I$4:changes[[#This Row],[Name]],changes[[#This Row],[Name]], $E$4:changes[[#This Row],[Type of change]], "Edit")),B1838)</f>
        <v>1</v>
      </c>
      <c r="C1839" s="16">
        <v>44785</v>
      </c>
      <c r="D1839" s="1" t="s">
        <v>2450</v>
      </c>
      <c r="E1839" t="s">
        <v>27</v>
      </c>
      <c r="F1839" s="10" t="s">
        <v>918</v>
      </c>
      <c r="G1839" t="s">
        <v>973</v>
      </c>
      <c r="H1839" t="s">
        <v>55</v>
      </c>
      <c r="I1839" t="s">
        <v>974</v>
      </c>
      <c r="K1839" s="2" t="s">
        <v>6</v>
      </c>
      <c r="M1839" s="2"/>
    </row>
    <row r="1840" spans="1:13">
      <c r="A1840" t="s">
        <v>28</v>
      </c>
      <c r="B1840">
        <f ca="1">IF(OR(changes[[#This Row],[Type]]="Checklist",changes[[#This Row],[Type]]="checklist-flat"),1+IF(changes[[#This Row],[Type of change]] = "Edit",COUNTIFS($I$4:changes[[#This Row],[Name]],changes[[#This Row],[Name]], $E$4:changes[[#This Row],[Type of change]], "Edit")),B1839)</f>
        <v>1</v>
      </c>
      <c r="C1840" s="16">
        <v>44785</v>
      </c>
      <c r="D1840" s="1" t="s">
        <v>2450</v>
      </c>
      <c r="E1840" t="s">
        <v>27</v>
      </c>
      <c r="F1840" s="10" t="s">
        <v>918</v>
      </c>
      <c r="G1840" t="s">
        <v>973</v>
      </c>
      <c r="H1840" t="s">
        <v>214</v>
      </c>
      <c r="I1840" t="s">
        <v>936</v>
      </c>
      <c r="K1840" s="2" t="s">
        <v>6</v>
      </c>
      <c r="M1840" s="2"/>
    </row>
    <row r="1841" spans="1:13">
      <c r="A1841" t="s">
        <v>28</v>
      </c>
      <c r="B1841">
        <f ca="1">IF(OR(changes[[#This Row],[Type]]="Checklist",changes[[#This Row],[Type]]="checklist-flat"),1+IF(changes[[#This Row],[Type of change]] = "Edit",COUNTIFS($I$4:changes[[#This Row],[Name]],changes[[#This Row],[Name]], $E$4:changes[[#This Row],[Type of change]], "Edit")),B1840)</f>
        <v>1</v>
      </c>
      <c r="C1841" s="16">
        <v>44785</v>
      </c>
      <c r="D1841" s="1" t="s">
        <v>2450</v>
      </c>
      <c r="E1841" t="s">
        <v>27</v>
      </c>
      <c r="F1841" s="10" t="s">
        <v>918</v>
      </c>
      <c r="G1841" t="s">
        <v>973</v>
      </c>
      <c r="H1841" t="s">
        <v>214</v>
      </c>
      <c r="I1841" t="s">
        <v>975</v>
      </c>
      <c r="K1841" s="2" t="s">
        <v>6</v>
      </c>
      <c r="M1841" s="2"/>
    </row>
    <row r="1842" spans="1:13">
      <c r="A1842" t="s">
        <v>28</v>
      </c>
      <c r="B1842">
        <f ca="1">IF(OR(changes[[#This Row],[Type]]="Checklist",changes[[#This Row],[Type]]="checklist-flat"),1+IF(changes[[#This Row],[Type of change]] = "Edit",COUNTIFS($I$4:changes[[#This Row],[Name]],changes[[#This Row],[Name]], $E$4:changes[[#This Row],[Type of change]], "Edit")),B1841)</f>
        <v>1</v>
      </c>
      <c r="C1842" s="16">
        <v>44785</v>
      </c>
      <c r="D1842" s="1" t="s">
        <v>2450</v>
      </c>
      <c r="E1842" t="s">
        <v>27</v>
      </c>
      <c r="F1842" s="10" t="s">
        <v>918</v>
      </c>
      <c r="G1842" t="s">
        <v>973</v>
      </c>
      <c r="H1842" t="s">
        <v>214</v>
      </c>
      <c r="I1842" t="s">
        <v>938</v>
      </c>
      <c r="K1842" s="2" t="s">
        <v>6</v>
      </c>
      <c r="M1842" s="2"/>
    </row>
    <row r="1843" spans="1:13">
      <c r="A1843" t="s">
        <v>28</v>
      </c>
      <c r="B1843">
        <f ca="1">IF(OR(changes[[#This Row],[Type]]="Checklist",changes[[#This Row],[Type]]="checklist-flat"),1+IF(changes[[#This Row],[Type of change]] = "Edit",COUNTIFS($I$4:changes[[#This Row],[Name]],changes[[#This Row],[Name]], $E$4:changes[[#This Row],[Type of change]], "Edit")),B1842)</f>
        <v>1</v>
      </c>
      <c r="C1843" s="16">
        <v>44785</v>
      </c>
      <c r="D1843" s="1" t="s">
        <v>2450</v>
      </c>
      <c r="E1843" t="s">
        <v>27</v>
      </c>
      <c r="F1843" s="10" t="s">
        <v>918</v>
      </c>
      <c r="G1843" t="s">
        <v>973</v>
      </c>
      <c r="H1843" t="s">
        <v>64</v>
      </c>
      <c r="I1843" t="s">
        <v>976</v>
      </c>
      <c r="K1843" s="2" t="s">
        <v>6</v>
      </c>
      <c r="M1843" s="2"/>
    </row>
    <row r="1844" spans="1:13">
      <c r="A1844" t="s">
        <v>28</v>
      </c>
      <c r="B1844">
        <f ca="1">IF(OR(changes[[#This Row],[Type]]="Checklist",changes[[#This Row],[Type]]="checklist-flat"),1+IF(changes[[#This Row],[Type of change]] = "Edit",COUNTIFS($I$4:changes[[#This Row],[Name]],changes[[#This Row],[Name]], $E$4:changes[[#This Row],[Type of change]], "Edit")),B1843)</f>
        <v>1</v>
      </c>
      <c r="C1844" s="16">
        <v>44785</v>
      </c>
      <c r="D1844" s="1" t="s">
        <v>2450</v>
      </c>
      <c r="E1844" t="s">
        <v>27</v>
      </c>
      <c r="F1844" s="10" t="s">
        <v>918</v>
      </c>
      <c r="G1844" t="s">
        <v>995</v>
      </c>
      <c r="H1844" t="s">
        <v>478</v>
      </c>
      <c r="I1844" t="s">
        <v>995</v>
      </c>
      <c r="K1844" s="2" t="s">
        <v>6</v>
      </c>
      <c r="M1844" s="2"/>
    </row>
    <row r="1845" spans="1:13">
      <c r="A1845" t="s">
        <v>28</v>
      </c>
      <c r="B1845">
        <f ca="1">IF(OR(changes[[#This Row],[Type]]="Checklist",changes[[#This Row],[Type]]="checklist-flat"),1+IF(changes[[#This Row],[Type of change]] = "Edit",COUNTIFS($I$4:changes[[#This Row],[Name]],changes[[#This Row],[Name]], $E$4:changes[[#This Row],[Type of change]], "Edit")),B1844)</f>
        <v>1</v>
      </c>
      <c r="C1845" s="16">
        <v>44785</v>
      </c>
      <c r="D1845" s="1" t="s">
        <v>2450</v>
      </c>
      <c r="E1845" t="s">
        <v>27</v>
      </c>
      <c r="F1845" s="10" t="s">
        <v>918</v>
      </c>
      <c r="G1845" t="s">
        <v>995</v>
      </c>
      <c r="H1845" t="s">
        <v>479</v>
      </c>
      <c r="I1845" t="s">
        <v>920</v>
      </c>
      <c r="K1845" s="2" t="s">
        <v>6</v>
      </c>
      <c r="M1845" s="2"/>
    </row>
    <row r="1846" spans="1:13">
      <c r="A1846" t="s">
        <v>28</v>
      </c>
      <c r="B1846">
        <f ca="1">IF(OR(changes[[#This Row],[Type]]="Checklist",changes[[#This Row],[Type]]="checklist-flat"),1+IF(changes[[#This Row],[Type of change]] = "Edit",COUNTIFS($I$4:changes[[#This Row],[Name]],changes[[#This Row],[Name]], $E$4:changes[[#This Row],[Type of change]], "Edit")),B1845)</f>
        <v>1</v>
      </c>
      <c r="C1846" s="16">
        <v>44785</v>
      </c>
      <c r="D1846" s="1" t="s">
        <v>2450</v>
      </c>
      <c r="E1846" t="s">
        <v>27</v>
      </c>
      <c r="F1846" s="10" t="s">
        <v>918</v>
      </c>
      <c r="G1846" t="s">
        <v>995</v>
      </c>
      <c r="H1846" t="s">
        <v>55</v>
      </c>
      <c r="I1846" t="s">
        <v>996</v>
      </c>
      <c r="K1846" s="2" t="s">
        <v>6</v>
      </c>
      <c r="M1846" s="2"/>
    </row>
    <row r="1847" spans="1:13">
      <c r="A1847" t="s">
        <v>28</v>
      </c>
      <c r="B1847">
        <f ca="1">IF(OR(changes[[#This Row],[Type]]="Checklist",changes[[#This Row],[Type]]="checklist-flat"),1+IF(changes[[#This Row],[Type of change]] = "Edit",COUNTIFS($I$4:changes[[#This Row],[Name]],changes[[#This Row],[Name]], $E$4:changes[[#This Row],[Type of change]], "Edit")),B1846)</f>
        <v>1</v>
      </c>
      <c r="C1847" s="16">
        <v>44785</v>
      </c>
      <c r="D1847" s="1" t="s">
        <v>2450</v>
      </c>
      <c r="E1847" t="s">
        <v>27</v>
      </c>
      <c r="F1847" s="10" t="s">
        <v>918</v>
      </c>
      <c r="G1847" t="s">
        <v>995</v>
      </c>
      <c r="H1847" t="s">
        <v>214</v>
      </c>
      <c r="I1847" t="s">
        <v>997</v>
      </c>
      <c r="K1847" s="2" t="s">
        <v>6</v>
      </c>
      <c r="M1847" s="2"/>
    </row>
    <row r="1848" spans="1:13">
      <c r="A1848" t="s">
        <v>28</v>
      </c>
      <c r="B1848">
        <f ca="1">IF(OR(changes[[#This Row],[Type]]="Checklist",changes[[#This Row],[Type]]="checklist-flat"),1+IF(changes[[#This Row],[Type of change]] = "Edit",COUNTIFS($I$4:changes[[#This Row],[Name]],changes[[#This Row],[Name]], $E$4:changes[[#This Row],[Type of change]], "Edit")),B1847)</f>
        <v>1</v>
      </c>
      <c r="C1848" s="16">
        <v>44785</v>
      </c>
      <c r="D1848" s="1" t="s">
        <v>2450</v>
      </c>
      <c r="E1848" t="s">
        <v>27</v>
      </c>
      <c r="F1848" s="10" t="s">
        <v>918</v>
      </c>
      <c r="G1848" t="s">
        <v>995</v>
      </c>
      <c r="H1848" t="s">
        <v>214</v>
      </c>
      <c r="I1848" t="s">
        <v>998</v>
      </c>
      <c r="K1848" s="2" t="s">
        <v>6</v>
      </c>
      <c r="M1848" s="2"/>
    </row>
    <row r="1849" spans="1:13">
      <c r="A1849" t="s">
        <v>28</v>
      </c>
      <c r="B1849">
        <f ca="1">IF(OR(changes[[#This Row],[Type]]="Checklist",changes[[#This Row],[Type]]="checklist-flat"),1+IF(changes[[#This Row],[Type of change]] = "Edit",COUNTIFS($I$4:changes[[#This Row],[Name]],changes[[#This Row],[Name]], $E$4:changes[[#This Row],[Type of change]], "Edit")),B1848)</f>
        <v>1</v>
      </c>
      <c r="C1849" s="16">
        <v>44785</v>
      </c>
      <c r="D1849" s="1" t="s">
        <v>2450</v>
      </c>
      <c r="E1849" t="s">
        <v>27</v>
      </c>
      <c r="F1849" s="10" t="s">
        <v>918</v>
      </c>
      <c r="G1849" t="s">
        <v>995</v>
      </c>
      <c r="H1849" t="s">
        <v>214</v>
      </c>
      <c r="I1849" t="s">
        <v>571</v>
      </c>
      <c r="K1849" s="2" t="s">
        <v>6</v>
      </c>
      <c r="M1849" s="2"/>
    </row>
    <row r="1850" spans="1:13">
      <c r="A1850" t="s">
        <v>28</v>
      </c>
      <c r="B1850">
        <f ca="1">IF(OR(changes[[#This Row],[Type]]="Checklist",changes[[#This Row],[Type]]="checklist-flat"),1+IF(changes[[#This Row],[Type of change]] = "Edit",COUNTIFS($I$4:changes[[#This Row],[Name]],changes[[#This Row],[Name]], $E$4:changes[[#This Row],[Type of change]], "Edit")),B1849)</f>
        <v>1</v>
      </c>
      <c r="C1850" s="16">
        <v>44785</v>
      </c>
      <c r="D1850" s="1" t="s">
        <v>2450</v>
      </c>
      <c r="E1850" t="s">
        <v>27</v>
      </c>
      <c r="F1850" s="10" t="s">
        <v>918</v>
      </c>
      <c r="G1850" t="s">
        <v>995</v>
      </c>
      <c r="H1850" t="s">
        <v>214</v>
      </c>
      <c r="I1850" t="s">
        <v>999</v>
      </c>
      <c r="K1850" s="2" t="s">
        <v>6</v>
      </c>
      <c r="M1850" s="2"/>
    </row>
    <row r="1851" spans="1:13">
      <c r="A1851" t="s">
        <v>28</v>
      </c>
      <c r="B1851">
        <f ca="1">IF(OR(changes[[#This Row],[Type]]="Checklist",changes[[#This Row],[Type]]="checklist-flat"),1+IF(changes[[#This Row],[Type of change]] = "Edit",COUNTIFS($I$4:changes[[#This Row],[Name]],changes[[#This Row],[Name]], $E$4:changes[[#This Row],[Type of change]], "Edit")),B1850)</f>
        <v>1</v>
      </c>
      <c r="C1851" s="16">
        <v>44785</v>
      </c>
      <c r="D1851" s="1" t="s">
        <v>2450</v>
      </c>
      <c r="E1851" t="s">
        <v>27</v>
      </c>
      <c r="F1851" s="10" t="s">
        <v>918</v>
      </c>
      <c r="G1851" t="s">
        <v>995</v>
      </c>
      <c r="H1851" t="s">
        <v>214</v>
      </c>
      <c r="I1851" t="s">
        <v>1000</v>
      </c>
      <c r="K1851" s="2" t="s">
        <v>6</v>
      </c>
      <c r="M1851" s="2"/>
    </row>
    <row r="1852" spans="1:13">
      <c r="A1852" t="s">
        <v>28</v>
      </c>
      <c r="B1852">
        <f ca="1">IF(OR(changes[[#This Row],[Type]]="Checklist",changes[[#This Row],[Type]]="checklist-flat"),1+IF(changes[[#This Row],[Type of change]] = "Edit",COUNTIFS($I$4:changes[[#This Row],[Name]],changes[[#This Row],[Name]], $E$4:changes[[#This Row],[Type of change]], "Edit")),B1851)</f>
        <v>1</v>
      </c>
      <c r="C1852" s="16">
        <v>44785</v>
      </c>
      <c r="D1852" s="1" t="s">
        <v>2450</v>
      </c>
      <c r="E1852" t="s">
        <v>27</v>
      </c>
      <c r="F1852" s="10" t="s">
        <v>918</v>
      </c>
      <c r="G1852" t="s">
        <v>995</v>
      </c>
      <c r="H1852" t="s">
        <v>214</v>
      </c>
      <c r="I1852" t="s">
        <v>1001</v>
      </c>
      <c r="K1852" s="2" t="s">
        <v>6</v>
      </c>
      <c r="M1852" s="2"/>
    </row>
    <row r="1853" spans="1:13">
      <c r="A1853" t="s">
        <v>28</v>
      </c>
      <c r="B1853">
        <f ca="1">IF(OR(changes[[#This Row],[Type]]="Checklist",changes[[#This Row],[Type]]="checklist-flat"),1+IF(changes[[#This Row],[Type of change]] = "Edit",COUNTIFS($I$4:changes[[#This Row],[Name]],changes[[#This Row],[Name]], $E$4:changes[[#This Row],[Type of change]], "Edit")),B1852)</f>
        <v>1</v>
      </c>
      <c r="C1853" s="16">
        <v>44785</v>
      </c>
      <c r="D1853" s="1" t="s">
        <v>2450</v>
      </c>
      <c r="E1853" t="s">
        <v>27</v>
      </c>
      <c r="F1853" s="10" t="s">
        <v>918</v>
      </c>
      <c r="G1853" t="s">
        <v>995</v>
      </c>
      <c r="H1853" t="s">
        <v>214</v>
      </c>
      <c r="I1853" t="s">
        <v>1002</v>
      </c>
      <c r="K1853" s="2" t="s">
        <v>6</v>
      </c>
      <c r="M1853" s="2"/>
    </row>
    <row r="1854" spans="1:13">
      <c r="A1854" t="s">
        <v>28</v>
      </c>
      <c r="B1854">
        <f ca="1">IF(OR(changes[[#This Row],[Type]]="Checklist",changes[[#This Row],[Type]]="checklist-flat"),1+IF(changes[[#This Row],[Type of change]] = "Edit",COUNTIFS($I$4:changes[[#This Row],[Name]],changes[[#This Row],[Name]], $E$4:changes[[#This Row],[Type of change]], "Edit")),B1853)</f>
        <v>1</v>
      </c>
      <c r="C1854" s="16">
        <v>44785</v>
      </c>
      <c r="D1854" s="1" t="s">
        <v>2450</v>
      </c>
      <c r="E1854" t="s">
        <v>27</v>
      </c>
      <c r="F1854" s="10" t="s">
        <v>918</v>
      </c>
      <c r="G1854" t="s">
        <v>995</v>
      </c>
      <c r="H1854" t="s">
        <v>214</v>
      </c>
      <c r="I1854" t="s">
        <v>1003</v>
      </c>
      <c r="K1854" s="2" t="s">
        <v>6</v>
      </c>
      <c r="M1854" s="2"/>
    </row>
    <row r="1855" spans="1:13">
      <c r="A1855" t="s">
        <v>28</v>
      </c>
      <c r="B1855">
        <f ca="1">IF(OR(changes[[#This Row],[Type]]="Checklist",changes[[#This Row],[Type]]="checklist-flat"),1+IF(changes[[#This Row],[Type of change]] = "Edit",COUNTIFS($I$4:changes[[#This Row],[Name]],changes[[#This Row],[Name]], $E$4:changes[[#This Row],[Type of change]], "Edit")),B1854)</f>
        <v>1</v>
      </c>
      <c r="C1855" s="16">
        <v>44785</v>
      </c>
      <c r="D1855" s="1" t="s">
        <v>2450</v>
      </c>
      <c r="E1855" t="s">
        <v>27</v>
      </c>
      <c r="F1855" s="10" t="s">
        <v>918</v>
      </c>
      <c r="G1855" t="s">
        <v>995</v>
      </c>
      <c r="H1855" t="s">
        <v>55</v>
      </c>
      <c r="I1855" t="s">
        <v>1004</v>
      </c>
      <c r="K1855" s="2" t="s">
        <v>6</v>
      </c>
      <c r="M1855" s="2"/>
    </row>
    <row r="1856" spans="1:13">
      <c r="A1856" t="s">
        <v>28</v>
      </c>
      <c r="B1856">
        <f ca="1">IF(OR(changes[[#This Row],[Type]]="Checklist",changes[[#This Row],[Type]]="checklist-flat"),1+IF(changes[[#This Row],[Type of change]] = "Edit",COUNTIFS($I$4:changes[[#This Row],[Name]],changes[[#This Row],[Name]], $E$4:changes[[#This Row],[Type of change]], "Edit")),B1855)</f>
        <v>1</v>
      </c>
      <c r="C1856" s="16">
        <v>44785</v>
      </c>
      <c r="D1856" s="1" t="s">
        <v>2450</v>
      </c>
      <c r="E1856" t="s">
        <v>27</v>
      </c>
      <c r="F1856" s="10" t="s">
        <v>918</v>
      </c>
      <c r="G1856" t="s">
        <v>995</v>
      </c>
      <c r="H1856" t="s">
        <v>479</v>
      </c>
      <c r="I1856" t="s">
        <v>1005</v>
      </c>
      <c r="K1856" s="2" t="s">
        <v>6</v>
      </c>
      <c r="M1856" s="2"/>
    </row>
    <row r="1857" spans="1:13">
      <c r="A1857" t="s">
        <v>28</v>
      </c>
      <c r="B1857">
        <f ca="1">IF(OR(changes[[#This Row],[Type]]="Checklist",changes[[#This Row],[Type]]="checklist-flat"),1+IF(changes[[#This Row],[Type of change]] = "Edit",COUNTIFS($I$4:changes[[#This Row],[Name]],changes[[#This Row],[Name]], $E$4:changes[[#This Row],[Type of change]], "Edit")),B1856)</f>
        <v>1</v>
      </c>
      <c r="C1857" s="16">
        <v>44785</v>
      </c>
      <c r="D1857" s="1" t="s">
        <v>2450</v>
      </c>
      <c r="E1857" t="s">
        <v>27</v>
      </c>
      <c r="F1857" s="10" t="s">
        <v>918</v>
      </c>
      <c r="G1857" t="s">
        <v>995</v>
      </c>
      <c r="H1857" t="s">
        <v>55</v>
      </c>
      <c r="I1857" t="s">
        <v>1006</v>
      </c>
      <c r="K1857" s="2" t="s">
        <v>6</v>
      </c>
      <c r="M1857" s="2"/>
    </row>
    <row r="1858" spans="1:13">
      <c r="A1858" t="s">
        <v>28</v>
      </c>
      <c r="B1858">
        <f ca="1">IF(OR(changes[[#This Row],[Type]]="Checklist",changes[[#This Row],[Type]]="checklist-flat"),1+IF(changes[[#This Row],[Type of change]] = "Edit",COUNTIFS($I$4:changes[[#This Row],[Name]],changes[[#This Row],[Name]], $E$4:changes[[#This Row],[Type of change]], "Edit")),B1857)</f>
        <v>1</v>
      </c>
      <c r="C1858" s="16">
        <v>44785</v>
      </c>
      <c r="D1858" s="1" t="s">
        <v>2450</v>
      </c>
      <c r="E1858" t="s">
        <v>27</v>
      </c>
      <c r="F1858" s="10" t="s">
        <v>918</v>
      </c>
      <c r="G1858" t="s">
        <v>995</v>
      </c>
      <c r="H1858" t="s">
        <v>951</v>
      </c>
      <c r="I1858" t="s">
        <v>1007</v>
      </c>
      <c r="K1858" s="2" t="s">
        <v>6</v>
      </c>
      <c r="M1858" s="2"/>
    </row>
    <row r="1859" spans="1:13">
      <c r="A1859" t="s">
        <v>28</v>
      </c>
      <c r="B1859">
        <f ca="1">IF(OR(changes[[#This Row],[Type]]="Checklist",changes[[#This Row],[Type]]="checklist-flat"),1+IF(changes[[#This Row],[Type of change]] = "Edit",COUNTIFS($I$4:changes[[#This Row],[Name]],changes[[#This Row],[Name]], $E$4:changes[[#This Row],[Type of change]], "Edit")),B1858)</f>
        <v>1</v>
      </c>
      <c r="C1859" s="16">
        <v>44785</v>
      </c>
      <c r="D1859" s="1" t="s">
        <v>2450</v>
      </c>
      <c r="E1859" t="s">
        <v>27</v>
      </c>
      <c r="F1859" s="10" t="s">
        <v>918</v>
      </c>
      <c r="G1859" t="s">
        <v>995</v>
      </c>
      <c r="H1859" t="s">
        <v>951</v>
      </c>
      <c r="I1859" t="s">
        <v>1008</v>
      </c>
      <c r="K1859" s="2" t="s">
        <v>6</v>
      </c>
      <c r="M1859" s="2"/>
    </row>
    <row r="1860" spans="1:13">
      <c r="A1860" t="s">
        <v>28</v>
      </c>
      <c r="B1860">
        <f ca="1">IF(OR(changes[[#This Row],[Type]]="Checklist",changes[[#This Row],[Type]]="checklist-flat"),1+IF(changes[[#This Row],[Type of change]] = "Edit",COUNTIFS($I$4:changes[[#This Row],[Name]],changes[[#This Row],[Name]], $E$4:changes[[#This Row],[Type of change]], "Edit")),B1859)</f>
        <v>1</v>
      </c>
      <c r="C1860" s="16">
        <v>44785</v>
      </c>
      <c r="D1860" s="1" t="s">
        <v>2450</v>
      </c>
      <c r="E1860" t="s">
        <v>27</v>
      </c>
      <c r="F1860" s="10" t="s">
        <v>918</v>
      </c>
      <c r="G1860" t="s">
        <v>995</v>
      </c>
      <c r="H1860" t="s">
        <v>951</v>
      </c>
      <c r="I1860" t="s">
        <v>1009</v>
      </c>
      <c r="K1860" s="2" t="s">
        <v>6</v>
      </c>
      <c r="M1860" s="2"/>
    </row>
    <row r="1861" spans="1:13">
      <c r="A1861" t="s">
        <v>28</v>
      </c>
      <c r="B1861">
        <f ca="1">IF(OR(changes[[#This Row],[Type]]="Checklist",changes[[#This Row],[Type]]="checklist-flat"),1+IF(changes[[#This Row],[Type of change]] = "Edit",COUNTIFS($I$4:changes[[#This Row],[Name]],changes[[#This Row],[Name]], $E$4:changes[[#This Row],[Type of change]], "Edit")),B1860)</f>
        <v>1</v>
      </c>
      <c r="C1861" s="16">
        <v>44785</v>
      </c>
      <c r="D1861" s="1" t="s">
        <v>2450</v>
      </c>
      <c r="E1861" t="s">
        <v>27</v>
      </c>
      <c r="F1861" s="10" t="s">
        <v>918</v>
      </c>
      <c r="G1861" t="s">
        <v>995</v>
      </c>
      <c r="H1861" t="s">
        <v>214</v>
      </c>
      <c r="I1861" t="s">
        <v>1010</v>
      </c>
      <c r="K1861" s="2" t="s">
        <v>6</v>
      </c>
      <c r="M1861" s="2"/>
    </row>
    <row r="1862" spans="1:13">
      <c r="A1862" t="s">
        <v>28</v>
      </c>
      <c r="B1862">
        <f ca="1">IF(OR(changes[[#This Row],[Type]]="Checklist",changes[[#This Row],[Type]]="checklist-flat"),1+IF(changes[[#This Row],[Type of change]] = "Edit",COUNTIFS($I$4:changes[[#This Row],[Name]],changes[[#This Row],[Name]], $E$4:changes[[#This Row],[Type of change]], "Edit")),B1861)</f>
        <v>1</v>
      </c>
      <c r="C1862" s="16">
        <v>44785</v>
      </c>
      <c r="D1862" s="1" t="s">
        <v>2450</v>
      </c>
      <c r="E1862" t="s">
        <v>27</v>
      </c>
      <c r="F1862" s="10" t="s">
        <v>918</v>
      </c>
      <c r="G1862" t="s">
        <v>995</v>
      </c>
      <c r="H1862" t="s">
        <v>214</v>
      </c>
      <c r="I1862" t="s">
        <v>1011</v>
      </c>
      <c r="K1862" s="2" t="s">
        <v>6</v>
      </c>
      <c r="M1862" s="2"/>
    </row>
    <row r="1863" spans="1:13">
      <c r="A1863" t="s">
        <v>28</v>
      </c>
      <c r="B1863">
        <f ca="1">IF(OR(changes[[#This Row],[Type]]="Checklist",changes[[#This Row],[Type]]="checklist-flat"),1+IF(changes[[#This Row],[Type of change]] = "Edit",COUNTIFS($I$4:changes[[#This Row],[Name]],changes[[#This Row],[Name]], $E$4:changes[[#This Row],[Type of change]], "Edit")),B1862)</f>
        <v>1</v>
      </c>
      <c r="C1863" s="16">
        <v>44785</v>
      </c>
      <c r="D1863" s="1" t="s">
        <v>2450</v>
      </c>
      <c r="E1863" t="s">
        <v>27</v>
      </c>
      <c r="F1863" s="10" t="s">
        <v>918</v>
      </c>
      <c r="G1863" t="s">
        <v>995</v>
      </c>
      <c r="H1863" t="s">
        <v>214</v>
      </c>
      <c r="I1863" t="s">
        <v>1012</v>
      </c>
      <c r="K1863" s="2" t="s">
        <v>6</v>
      </c>
      <c r="M1863" s="2"/>
    </row>
    <row r="1864" spans="1:13">
      <c r="A1864" t="s">
        <v>28</v>
      </c>
      <c r="B1864">
        <f ca="1">IF(OR(changes[[#This Row],[Type]]="Checklist",changes[[#This Row],[Type]]="checklist-flat"),1+IF(changes[[#This Row],[Type of change]] = "Edit",COUNTIFS($I$4:changes[[#This Row],[Name]],changes[[#This Row],[Name]], $E$4:changes[[#This Row],[Type of change]], "Edit")),B1863)</f>
        <v>1</v>
      </c>
      <c r="C1864" s="16">
        <v>44785</v>
      </c>
      <c r="D1864" s="1" t="s">
        <v>2450</v>
      </c>
      <c r="E1864" t="s">
        <v>27</v>
      </c>
      <c r="F1864" s="10" t="s">
        <v>918</v>
      </c>
      <c r="G1864" t="s">
        <v>995</v>
      </c>
      <c r="H1864" t="s">
        <v>479</v>
      </c>
      <c r="I1864" t="s">
        <v>1013</v>
      </c>
      <c r="K1864" s="2" t="s">
        <v>6</v>
      </c>
      <c r="M1864" s="2"/>
    </row>
    <row r="1865" spans="1:13">
      <c r="A1865" t="s">
        <v>28</v>
      </c>
      <c r="B1865">
        <f ca="1">IF(OR(changes[[#This Row],[Type]]="Checklist",changes[[#This Row],[Type]]="checklist-flat"),1+IF(changes[[#This Row],[Type of change]] = "Edit",COUNTIFS($I$4:changes[[#This Row],[Name]],changes[[#This Row],[Name]], $E$4:changes[[#This Row],[Type of change]], "Edit")),B1864)</f>
        <v>1</v>
      </c>
      <c r="C1865" s="16">
        <v>44785</v>
      </c>
      <c r="D1865" s="1" t="s">
        <v>2450</v>
      </c>
      <c r="E1865" t="s">
        <v>27</v>
      </c>
      <c r="F1865" s="10" t="s">
        <v>918</v>
      </c>
      <c r="G1865" t="s">
        <v>995</v>
      </c>
      <c r="H1865" t="s">
        <v>55</v>
      </c>
      <c r="I1865" t="s">
        <v>921</v>
      </c>
      <c r="K1865" s="2" t="s">
        <v>6</v>
      </c>
      <c r="M1865" s="2"/>
    </row>
    <row r="1866" spans="1:13">
      <c r="A1866" t="s">
        <v>28</v>
      </c>
      <c r="B1866">
        <f ca="1">IF(OR(changes[[#This Row],[Type]]="Checklist",changes[[#This Row],[Type]]="checklist-flat"),1+IF(changes[[#This Row],[Type of change]] = "Edit",COUNTIFS($I$4:changes[[#This Row],[Name]],changes[[#This Row],[Name]], $E$4:changes[[#This Row],[Type of change]], "Edit")),B1865)</f>
        <v>1</v>
      </c>
      <c r="C1866" s="16">
        <v>44785</v>
      </c>
      <c r="D1866" s="1" t="s">
        <v>2450</v>
      </c>
      <c r="E1866" t="s">
        <v>27</v>
      </c>
      <c r="F1866" s="10" t="s">
        <v>918</v>
      </c>
      <c r="G1866" t="s">
        <v>995</v>
      </c>
      <c r="H1866" t="s">
        <v>214</v>
      </c>
      <c r="I1866" t="s">
        <v>1014</v>
      </c>
      <c r="K1866" s="2" t="s">
        <v>6</v>
      </c>
      <c r="M1866" s="2"/>
    </row>
    <row r="1867" spans="1:13">
      <c r="A1867" t="s">
        <v>28</v>
      </c>
      <c r="B1867">
        <f ca="1">IF(OR(changes[[#This Row],[Type]]="Checklist",changes[[#This Row],[Type]]="checklist-flat"),1+IF(changes[[#This Row],[Type of change]] = "Edit",COUNTIFS($I$4:changes[[#This Row],[Name]],changes[[#This Row],[Name]], $E$4:changes[[#This Row],[Type of change]], "Edit")),B1866)</f>
        <v>1</v>
      </c>
      <c r="C1867" s="16">
        <v>44785</v>
      </c>
      <c r="D1867" s="1" t="s">
        <v>2450</v>
      </c>
      <c r="E1867" t="s">
        <v>27</v>
      </c>
      <c r="F1867" s="10" t="s">
        <v>918</v>
      </c>
      <c r="G1867" t="s">
        <v>995</v>
      </c>
      <c r="H1867" t="s">
        <v>437</v>
      </c>
      <c r="I1867" t="s">
        <v>1015</v>
      </c>
      <c r="J1867" t="s">
        <v>1016</v>
      </c>
      <c r="K1867" s="2" t="s">
        <v>6</v>
      </c>
      <c r="M1867" s="2"/>
    </row>
    <row r="1868" spans="1:13">
      <c r="A1868" t="s">
        <v>28</v>
      </c>
      <c r="B1868">
        <f ca="1">IF(OR(changes[[#This Row],[Type]]="Checklist",changes[[#This Row],[Type]]="checklist-flat"),1+IF(changes[[#This Row],[Type of change]] = "Edit",COUNTIFS($I$4:changes[[#This Row],[Name]],changes[[#This Row],[Name]], $E$4:changes[[#This Row],[Type of change]], "Edit")),B1867)</f>
        <v>1</v>
      </c>
      <c r="C1868" s="16">
        <v>44785</v>
      </c>
      <c r="D1868" s="1" t="s">
        <v>2450</v>
      </c>
      <c r="E1868" t="s">
        <v>27</v>
      </c>
      <c r="F1868" s="10" t="s">
        <v>918</v>
      </c>
      <c r="G1868" t="s">
        <v>995</v>
      </c>
      <c r="H1868" t="s">
        <v>214</v>
      </c>
      <c r="I1868" t="s">
        <v>1017</v>
      </c>
      <c r="K1868" s="2" t="s">
        <v>6</v>
      </c>
      <c r="M1868" s="2"/>
    </row>
    <row r="1869" spans="1:13">
      <c r="A1869" t="s">
        <v>28</v>
      </c>
      <c r="B1869">
        <f ca="1">IF(OR(changes[[#This Row],[Type]]="Checklist",changes[[#This Row],[Type]]="checklist-flat"),1+IF(changes[[#This Row],[Type of change]] = "Edit",COUNTIFS($I$4:changes[[#This Row],[Name]],changes[[#This Row],[Name]], $E$4:changes[[#This Row],[Type of change]], "Edit")),B1868)</f>
        <v>1</v>
      </c>
      <c r="C1869" s="16">
        <v>44785</v>
      </c>
      <c r="D1869" s="1" t="s">
        <v>2450</v>
      </c>
      <c r="E1869" t="s">
        <v>27</v>
      </c>
      <c r="F1869" s="10" t="s">
        <v>918</v>
      </c>
      <c r="G1869" t="s">
        <v>995</v>
      </c>
      <c r="H1869" t="s">
        <v>214</v>
      </c>
      <c r="I1869" t="s">
        <v>1018</v>
      </c>
      <c r="K1869" s="2" t="s">
        <v>6</v>
      </c>
      <c r="M1869" s="2"/>
    </row>
    <row r="1870" spans="1:13">
      <c r="A1870" t="s">
        <v>28</v>
      </c>
      <c r="B1870">
        <f ca="1">IF(OR(changes[[#This Row],[Type]]="Checklist",changes[[#This Row],[Type]]="checklist-flat"),1+IF(changes[[#This Row],[Type of change]] = "Edit",COUNTIFS($I$4:changes[[#This Row],[Name]],changes[[#This Row],[Name]], $E$4:changes[[#This Row],[Type of change]], "Edit")),B1869)</f>
        <v>1</v>
      </c>
      <c r="C1870" s="16">
        <v>44785</v>
      </c>
      <c r="D1870" s="1" t="s">
        <v>2450</v>
      </c>
      <c r="E1870" t="s">
        <v>27</v>
      </c>
      <c r="F1870" s="10" t="s">
        <v>918</v>
      </c>
      <c r="G1870" t="s">
        <v>995</v>
      </c>
      <c r="H1870" t="s">
        <v>55</v>
      </c>
      <c r="I1870" t="s">
        <v>1019</v>
      </c>
      <c r="K1870" s="2" t="s">
        <v>6</v>
      </c>
      <c r="M1870" s="2"/>
    </row>
    <row r="1871" spans="1:13">
      <c r="A1871" t="s">
        <v>28</v>
      </c>
      <c r="B1871">
        <f ca="1">IF(OR(changes[[#This Row],[Type]]="Checklist",changes[[#This Row],[Type]]="checklist-flat"),1+IF(changes[[#This Row],[Type of change]] = "Edit",COUNTIFS($I$4:changes[[#This Row],[Name]],changes[[#This Row],[Name]], $E$4:changes[[#This Row],[Type of change]], "Edit")),B1870)</f>
        <v>1</v>
      </c>
      <c r="C1871" s="16">
        <v>44785</v>
      </c>
      <c r="D1871" s="1" t="s">
        <v>2450</v>
      </c>
      <c r="E1871" t="s">
        <v>27</v>
      </c>
      <c r="F1871" s="10" t="s">
        <v>918</v>
      </c>
      <c r="G1871" t="s">
        <v>995</v>
      </c>
      <c r="H1871" t="s">
        <v>55</v>
      </c>
      <c r="I1871" t="s">
        <v>1020</v>
      </c>
      <c r="K1871" s="2" t="s">
        <v>6</v>
      </c>
      <c r="M1871" s="2"/>
    </row>
    <row r="1872" spans="1:13">
      <c r="A1872" t="s">
        <v>28</v>
      </c>
      <c r="B1872">
        <f ca="1">IF(OR(changes[[#This Row],[Type]]="Checklist",changes[[#This Row],[Type]]="checklist-flat"),1+IF(changes[[#This Row],[Type of change]] = "Edit",COUNTIFS($I$4:changes[[#This Row],[Name]],changes[[#This Row],[Name]], $E$4:changes[[#This Row],[Type of change]], "Edit")),B1871)</f>
        <v>1</v>
      </c>
      <c r="C1872" s="16">
        <v>44785</v>
      </c>
      <c r="D1872" s="1" t="s">
        <v>2450</v>
      </c>
      <c r="E1872" t="s">
        <v>27</v>
      </c>
      <c r="F1872" s="10" t="s">
        <v>918</v>
      </c>
      <c r="G1872" t="s">
        <v>995</v>
      </c>
      <c r="H1872" t="s">
        <v>420</v>
      </c>
      <c r="I1872" t="s">
        <v>1021</v>
      </c>
      <c r="K1872" s="2" t="s">
        <v>6</v>
      </c>
      <c r="M1872" s="2"/>
    </row>
    <row r="1873" spans="1:13">
      <c r="A1873" t="s">
        <v>28</v>
      </c>
      <c r="B1873">
        <f ca="1">IF(OR(changes[[#This Row],[Type]]="Checklist",changes[[#This Row],[Type]]="checklist-flat"),1+IF(changes[[#This Row],[Type of change]] = "Edit",COUNTIFS($I$4:changes[[#This Row],[Name]],changes[[#This Row],[Name]], $E$4:changes[[#This Row],[Type of change]], "Edit")),B1872)</f>
        <v>1</v>
      </c>
      <c r="C1873" s="16">
        <v>44785</v>
      </c>
      <c r="D1873" s="1" t="s">
        <v>2450</v>
      </c>
      <c r="E1873" t="s">
        <v>27</v>
      </c>
      <c r="F1873" s="10" t="s">
        <v>918</v>
      </c>
      <c r="G1873" t="s">
        <v>995</v>
      </c>
      <c r="H1873" t="s">
        <v>420</v>
      </c>
      <c r="I1873" t="s">
        <v>1022</v>
      </c>
      <c r="K1873" s="2" t="s">
        <v>6</v>
      </c>
      <c r="M1873" s="2"/>
    </row>
    <row r="1874" spans="1:13">
      <c r="A1874" t="s">
        <v>28</v>
      </c>
      <c r="B1874">
        <f ca="1">IF(OR(changes[[#This Row],[Type]]="Checklist",changes[[#This Row],[Type]]="checklist-flat"),1+IF(changes[[#This Row],[Type of change]] = "Edit",COUNTIFS($I$4:changes[[#This Row],[Name]],changes[[#This Row],[Name]], $E$4:changes[[#This Row],[Type of change]], "Edit")),B1873)</f>
        <v>1</v>
      </c>
      <c r="C1874" s="16">
        <v>44785</v>
      </c>
      <c r="D1874" s="1" t="s">
        <v>2450</v>
      </c>
      <c r="E1874" t="s">
        <v>27</v>
      </c>
      <c r="F1874" s="10" t="s">
        <v>918</v>
      </c>
      <c r="G1874" t="s">
        <v>995</v>
      </c>
      <c r="H1874" t="s">
        <v>214</v>
      </c>
      <c r="I1874" t="s">
        <v>1023</v>
      </c>
      <c r="K1874" s="2" t="s">
        <v>6</v>
      </c>
      <c r="M1874" s="2"/>
    </row>
    <row r="1875" spans="1:13">
      <c r="A1875" t="s">
        <v>28</v>
      </c>
      <c r="B1875">
        <f ca="1">IF(OR(changes[[#This Row],[Type]]="Checklist",changes[[#This Row],[Type]]="checklist-flat"),1+IF(changes[[#This Row],[Type of change]] = "Edit",COUNTIFS($I$4:changes[[#This Row],[Name]],changes[[#This Row],[Name]], $E$4:changes[[#This Row],[Type of change]], "Edit")),B1874)</f>
        <v>1</v>
      </c>
      <c r="C1875" s="16">
        <v>44785</v>
      </c>
      <c r="D1875" s="1" t="s">
        <v>2450</v>
      </c>
      <c r="E1875" t="s">
        <v>27</v>
      </c>
      <c r="F1875" s="10" t="s">
        <v>918</v>
      </c>
      <c r="G1875" t="s">
        <v>995</v>
      </c>
      <c r="H1875" t="s">
        <v>214</v>
      </c>
      <c r="I1875" t="s">
        <v>1024</v>
      </c>
      <c r="K1875" s="2" t="s">
        <v>6</v>
      </c>
      <c r="M1875" s="2"/>
    </row>
    <row r="1876" spans="1:13">
      <c r="A1876" t="s">
        <v>28</v>
      </c>
      <c r="B1876">
        <f ca="1">IF(OR(changes[[#This Row],[Type]]="Checklist",changes[[#This Row],[Type]]="checklist-flat"),1+IF(changes[[#This Row],[Type of change]] = "Edit",COUNTIFS($I$4:changes[[#This Row],[Name]],changes[[#This Row],[Name]], $E$4:changes[[#This Row],[Type of change]], "Edit")),B1875)</f>
        <v>1</v>
      </c>
      <c r="C1876" s="16">
        <v>44785</v>
      </c>
      <c r="D1876" s="1" t="s">
        <v>2450</v>
      </c>
      <c r="E1876" t="s">
        <v>27</v>
      </c>
      <c r="F1876" s="10" t="s">
        <v>918</v>
      </c>
      <c r="G1876" t="s">
        <v>995</v>
      </c>
      <c r="H1876" t="s">
        <v>64</v>
      </c>
      <c r="I1876" t="s">
        <v>972</v>
      </c>
      <c r="K1876" s="2" t="s">
        <v>6</v>
      </c>
      <c r="M1876" s="2"/>
    </row>
    <row r="1877" spans="1:13">
      <c r="A1877" t="s">
        <v>28</v>
      </c>
      <c r="B1877">
        <f ca="1">IF(OR(changes[[#This Row],[Type]]="Checklist",changes[[#This Row],[Type]]="checklist-flat"),1+IF(changes[[#This Row],[Type of change]] = "Edit",COUNTIFS($I$4:changes[[#This Row],[Name]],changes[[#This Row],[Name]], $E$4:changes[[#This Row],[Type of change]], "Edit")),B1876)</f>
        <v>1</v>
      </c>
      <c r="C1877" s="16">
        <v>44785</v>
      </c>
      <c r="D1877" s="1" t="s">
        <v>2450</v>
      </c>
      <c r="E1877" t="s">
        <v>27</v>
      </c>
      <c r="F1877" s="10" t="s">
        <v>918</v>
      </c>
      <c r="G1877" t="s">
        <v>1025</v>
      </c>
      <c r="H1877" t="s">
        <v>478</v>
      </c>
      <c r="I1877" t="s">
        <v>1025</v>
      </c>
      <c r="K1877" s="2" t="s">
        <v>6</v>
      </c>
      <c r="M1877" s="2"/>
    </row>
    <row r="1878" spans="1:13">
      <c r="A1878" t="s">
        <v>28</v>
      </c>
      <c r="B1878">
        <f ca="1">IF(OR(changes[[#This Row],[Type]]="Checklist",changes[[#This Row],[Type]]="checklist-flat"),1+IF(changes[[#This Row],[Type of change]] = "Edit",COUNTIFS($I$4:changes[[#This Row],[Name]],changes[[#This Row],[Name]], $E$4:changes[[#This Row],[Type of change]], "Edit")),B1877)</f>
        <v>1</v>
      </c>
      <c r="C1878" s="16">
        <v>44785</v>
      </c>
      <c r="D1878" s="1" t="s">
        <v>2450</v>
      </c>
      <c r="E1878" t="s">
        <v>27</v>
      </c>
      <c r="F1878" s="10" t="s">
        <v>918</v>
      </c>
      <c r="G1878" t="s">
        <v>1025</v>
      </c>
      <c r="H1878" t="s">
        <v>55</v>
      </c>
      <c r="I1878" t="s">
        <v>1026</v>
      </c>
      <c r="K1878" s="2" t="s">
        <v>6</v>
      </c>
      <c r="M1878" s="2"/>
    </row>
    <row r="1879" spans="1:13">
      <c r="A1879" t="s">
        <v>28</v>
      </c>
      <c r="B1879">
        <f ca="1">IF(OR(changes[[#This Row],[Type]]="Checklist",changes[[#This Row],[Type]]="checklist-flat"),1+IF(changes[[#This Row],[Type of change]] = "Edit",COUNTIFS($I$4:changes[[#This Row],[Name]],changes[[#This Row],[Name]], $E$4:changes[[#This Row],[Type of change]], "Edit")),B1878)</f>
        <v>1</v>
      </c>
      <c r="C1879" s="16">
        <v>44785</v>
      </c>
      <c r="D1879" s="1" t="s">
        <v>2450</v>
      </c>
      <c r="E1879" t="s">
        <v>27</v>
      </c>
      <c r="F1879" s="10" t="s">
        <v>918</v>
      </c>
      <c r="G1879" t="s">
        <v>1025</v>
      </c>
      <c r="H1879" t="s">
        <v>214</v>
      </c>
      <c r="I1879" t="s">
        <v>936</v>
      </c>
      <c r="K1879" s="2" t="s">
        <v>6</v>
      </c>
      <c r="M1879" s="2"/>
    </row>
    <row r="1880" spans="1:13">
      <c r="A1880" t="s">
        <v>28</v>
      </c>
      <c r="B1880">
        <f ca="1">IF(OR(changes[[#This Row],[Type]]="Checklist",changes[[#This Row],[Type]]="checklist-flat"),1+IF(changes[[#This Row],[Type of change]] = "Edit",COUNTIFS($I$4:changes[[#This Row],[Name]],changes[[#This Row],[Name]], $E$4:changes[[#This Row],[Type of change]], "Edit")),B1879)</f>
        <v>1</v>
      </c>
      <c r="C1880" s="16">
        <v>44785</v>
      </c>
      <c r="D1880" s="1" t="s">
        <v>2450</v>
      </c>
      <c r="E1880" t="s">
        <v>27</v>
      </c>
      <c r="F1880" s="10" t="s">
        <v>918</v>
      </c>
      <c r="G1880" t="s">
        <v>1025</v>
      </c>
      <c r="H1880" t="s">
        <v>214</v>
      </c>
      <c r="I1880" t="s">
        <v>975</v>
      </c>
      <c r="K1880" s="2" t="s">
        <v>6</v>
      </c>
      <c r="M1880" s="2"/>
    </row>
    <row r="1881" spans="1:13">
      <c r="A1881" t="s">
        <v>28</v>
      </c>
      <c r="B1881">
        <f ca="1">IF(OR(changes[[#This Row],[Type]]="Checklist",changes[[#This Row],[Type]]="checklist-flat"),1+IF(changes[[#This Row],[Type of change]] = "Edit",COUNTIFS($I$4:changes[[#This Row],[Name]],changes[[#This Row],[Name]], $E$4:changes[[#This Row],[Type of change]], "Edit")),B1880)</f>
        <v>1</v>
      </c>
      <c r="C1881" s="16">
        <v>44785</v>
      </c>
      <c r="D1881" s="1" t="s">
        <v>2450</v>
      </c>
      <c r="E1881" t="s">
        <v>27</v>
      </c>
      <c r="F1881" s="10" t="s">
        <v>918</v>
      </c>
      <c r="G1881" t="s">
        <v>1025</v>
      </c>
      <c r="H1881" t="s">
        <v>214</v>
      </c>
      <c r="I1881" t="s">
        <v>938</v>
      </c>
      <c r="K1881" s="2" t="s">
        <v>6</v>
      </c>
      <c r="M1881" s="2"/>
    </row>
    <row r="1882" spans="1:13">
      <c r="A1882" t="s">
        <v>28</v>
      </c>
      <c r="B1882">
        <f ca="1">IF(OR(changes[[#This Row],[Type]]="Checklist",changes[[#This Row],[Type]]="checklist-flat"),1+IF(changes[[#This Row],[Type of change]] = "Edit",COUNTIFS($I$4:changes[[#This Row],[Name]],changes[[#This Row],[Name]], $E$4:changes[[#This Row],[Type of change]], "Edit")),B1881)</f>
        <v>1</v>
      </c>
      <c r="C1882" s="16">
        <v>44785</v>
      </c>
      <c r="D1882" s="1" t="s">
        <v>2450</v>
      </c>
      <c r="E1882" t="s">
        <v>27</v>
      </c>
      <c r="F1882" s="10" t="s">
        <v>918</v>
      </c>
      <c r="G1882" t="s">
        <v>1025</v>
      </c>
      <c r="H1882" t="s">
        <v>64</v>
      </c>
      <c r="I1882" t="s">
        <v>1027</v>
      </c>
      <c r="K1882" s="2" t="s">
        <v>6</v>
      </c>
      <c r="M1882" s="2"/>
    </row>
    <row r="1883" spans="1:13">
      <c r="A1883" t="s">
        <v>28</v>
      </c>
      <c r="B1883">
        <f ca="1">IF(OR(changes[[#This Row],[Type]]="Checklist",changes[[#This Row],[Type]]="checklist-flat"),1+IF(changes[[#This Row],[Type of change]] = "Edit",COUNTIFS($I$4:changes[[#This Row],[Name]],changes[[#This Row],[Name]], $E$4:changes[[#This Row],[Type of change]], "Edit")),B1882)</f>
        <v>1</v>
      </c>
      <c r="C1883" s="16">
        <v>44785</v>
      </c>
      <c r="D1883" s="1" t="s">
        <v>2450</v>
      </c>
      <c r="E1883" t="s">
        <v>27</v>
      </c>
      <c r="F1883" s="10" t="s">
        <v>918</v>
      </c>
      <c r="G1883" t="s">
        <v>1028</v>
      </c>
      <c r="H1883" t="s">
        <v>478</v>
      </c>
      <c r="I1883" t="s">
        <v>1028</v>
      </c>
      <c r="K1883" s="2" t="s">
        <v>6</v>
      </c>
      <c r="M1883" s="2"/>
    </row>
    <row r="1884" spans="1:13">
      <c r="A1884" t="s">
        <v>28</v>
      </c>
      <c r="B1884">
        <f ca="1">IF(OR(changes[[#This Row],[Type]]="Checklist",changes[[#This Row],[Type]]="checklist-flat"),1+IF(changes[[#This Row],[Type of change]] = "Edit",COUNTIFS($I$4:changes[[#This Row],[Name]],changes[[#This Row],[Name]], $E$4:changes[[#This Row],[Type of change]], "Edit")),B1883)</f>
        <v>1</v>
      </c>
      <c r="C1884" s="16">
        <v>44785</v>
      </c>
      <c r="D1884" s="1" t="s">
        <v>2450</v>
      </c>
      <c r="E1884" t="s">
        <v>27</v>
      </c>
      <c r="F1884" s="10" t="s">
        <v>918</v>
      </c>
      <c r="G1884" t="s">
        <v>1028</v>
      </c>
      <c r="H1884" t="s">
        <v>55</v>
      </c>
      <c r="I1884" t="s">
        <v>1029</v>
      </c>
      <c r="K1884" s="2" t="s">
        <v>6</v>
      </c>
      <c r="M1884" s="2"/>
    </row>
    <row r="1885" spans="1:13">
      <c r="A1885" t="s">
        <v>28</v>
      </c>
      <c r="B1885">
        <f ca="1">IF(OR(changes[[#This Row],[Type]]="Checklist",changes[[#This Row],[Type]]="checklist-flat"),1+IF(changes[[#This Row],[Type of change]] = "Edit",COUNTIFS($I$4:changes[[#This Row],[Name]],changes[[#This Row],[Name]], $E$4:changes[[#This Row],[Type of change]], "Edit")),B1884)</f>
        <v>1</v>
      </c>
      <c r="C1885" s="16">
        <v>44785</v>
      </c>
      <c r="D1885" s="1" t="s">
        <v>2450</v>
      </c>
      <c r="E1885" t="s">
        <v>27</v>
      </c>
      <c r="F1885" s="10" t="s">
        <v>918</v>
      </c>
      <c r="G1885" t="s">
        <v>940</v>
      </c>
      <c r="H1885" t="s">
        <v>478</v>
      </c>
      <c r="I1885" t="s">
        <v>940</v>
      </c>
      <c r="K1885" s="2" t="s">
        <v>6</v>
      </c>
      <c r="M1885" s="2"/>
    </row>
    <row r="1886" spans="1:13">
      <c r="A1886" t="s">
        <v>28</v>
      </c>
      <c r="B1886">
        <f ca="1">IF(OR(changes[[#This Row],[Type]]="Checklist",changes[[#This Row],[Type]]="checklist-flat"),1+IF(changes[[#This Row],[Type of change]] = "Edit",COUNTIFS($I$4:changes[[#This Row],[Name]],changes[[#This Row],[Name]], $E$4:changes[[#This Row],[Type of change]], "Edit")),B1885)</f>
        <v>1</v>
      </c>
      <c r="C1886" s="16">
        <v>44785</v>
      </c>
      <c r="D1886" s="1" t="s">
        <v>2450</v>
      </c>
      <c r="E1886" t="s">
        <v>27</v>
      </c>
      <c r="F1886" s="10" t="s">
        <v>918</v>
      </c>
      <c r="G1886" t="s">
        <v>940</v>
      </c>
      <c r="H1886" t="s">
        <v>479</v>
      </c>
      <c r="I1886" t="s">
        <v>941</v>
      </c>
      <c r="K1886" s="2" t="s">
        <v>6</v>
      </c>
      <c r="M1886" s="2"/>
    </row>
    <row r="1887" spans="1:13">
      <c r="A1887" t="s">
        <v>28</v>
      </c>
      <c r="B1887">
        <f ca="1">IF(OR(changes[[#This Row],[Type]]="Checklist",changes[[#This Row],[Type]]="checklist-flat"),1+IF(changes[[#This Row],[Type of change]] = "Edit",COUNTIFS($I$4:changes[[#This Row],[Name]],changes[[#This Row],[Name]], $E$4:changes[[#This Row],[Type of change]], "Edit")),B1886)</f>
        <v>1</v>
      </c>
      <c r="C1887" s="16">
        <v>44785</v>
      </c>
      <c r="D1887" s="1" t="s">
        <v>2450</v>
      </c>
      <c r="E1887" t="s">
        <v>27</v>
      </c>
      <c r="F1887" s="10" t="s">
        <v>918</v>
      </c>
      <c r="G1887" t="s">
        <v>940</v>
      </c>
      <c r="H1887" t="s">
        <v>55</v>
      </c>
      <c r="I1887" t="s">
        <v>942</v>
      </c>
      <c r="K1887" s="2" t="s">
        <v>6</v>
      </c>
      <c r="M1887" s="2"/>
    </row>
    <row r="1888" spans="1:13">
      <c r="A1888" t="s">
        <v>28</v>
      </c>
      <c r="B1888">
        <f ca="1">IF(OR(changes[[#This Row],[Type]]="Checklist",changes[[#This Row],[Type]]="checklist-flat"),1+IF(changes[[#This Row],[Type of change]] = "Edit",COUNTIFS($I$4:changes[[#This Row],[Name]],changes[[#This Row],[Name]], $E$4:changes[[#This Row],[Type of change]], "Edit")),B1887)</f>
        <v>1</v>
      </c>
      <c r="C1888" s="16">
        <v>44785</v>
      </c>
      <c r="D1888" s="1" t="s">
        <v>2450</v>
      </c>
      <c r="E1888" t="s">
        <v>27</v>
      </c>
      <c r="F1888" s="10" t="s">
        <v>918</v>
      </c>
      <c r="G1888" t="s">
        <v>940</v>
      </c>
      <c r="H1888" t="s">
        <v>214</v>
      </c>
      <c r="I1888" t="s">
        <v>922</v>
      </c>
      <c r="K1888" s="2" t="s">
        <v>6</v>
      </c>
      <c r="M1888" s="2"/>
    </row>
    <row r="1889" spans="1:13">
      <c r="A1889" t="s">
        <v>28</v>
      </c>
      <c r="B1889">
        <f ca="1">IF(OR(changes[[#This Row],[Type]]="Checklist",changes[[#This Row],[Type]]="checklist-flat"),1+IF(changes[[#This Row],[Type of change]] = "Edit",COUNTIFS($I$4:changes[[#This Row],[Name]],changes[[#This Row],[Name]], $E$4:changes[[#This Row],[Type of change]], "Edit")),B1888)</f>
        <v>1</v>
      </c>
      <c r="C1889" s="16">
        <v>44785</v>
      </c>
      <c r="D1889" s="1" t="s">
        <v>2450</v>
      </c>
      <c r="E1889" t="s">
        <v>27</v>
      </c>
      <c r="F1889" s="10" t="s">
        <v>918</v>
      </c>
      <c r="G1889" t="s">
        <v>940</v>
      </c>
      <c r="H1889" t="s">
        <v>214</v>
      </c>
      <c r="I1889" t="s">
        <v>923</v>
      </c>
      <c r="K1889" s="2" t="s">
        <v>6</v>
      </c>
      <c r="M1889" s="2"/>
    </row>
    <row r="1890" spans="1:13">
      <c r="A1890" t="s">
        <v>28</v>
      </c>
      <c r="B1890">
        <f ca="1">IF(OR(changes[[#This Row],[Type]]="Checklist",changes[[#This Row],[Type]]="checklist-flat"),1+IF(changes[[#This Row],[Type of change]] = "Edit",COUNTIFS($I$4:changes[[#This Row],[Name]],changes[[#This Row],[Name]], $E$4:changes[[#This Row],[Type of change]], "Edit")),B1889)</f>
        <v>1</v>
      </c>
      <c r="C1890" s="16">
        <v>44785</v>
      </c>
      <c r="D1890" s="1" t="s">
        <v>2450</v>
      </c>
      <c r="E1890" t="s">
        <v>27</v>
      </c>
      <c r="F1890" s="10" t="s">
        <v>918</v>
      </c>
      <c r="G1890" t="s">
        <v>940</v>
      </c>
      <c r="H1890" t="s">
        <v>214</v>
      </c>
      <c r="I1890" t="s">
        <v>924</v>
      </c>
      <c r="K1890" s="2" t="s">
        <v>6</v>
      </c>
      <c r="M1890" s="2"/>
    </row>
    <row r="1891" spans="1:13">
      <c r="A1891" t="s">
        <v>28</v>
      </c>
      <c r="B1891">
        <f ca="1">IF(OR(changes[[#This Row],[Type]]="Checklist",changes[[#This Row],[Type]]="checklist-flat"),1+IF(changes[[#This Row],[Type of change]] = "Edit",COUNTIFS($I$4:changes[[#This Row],[Name]],changes[[#This Row],[Name]], $E$4:changes[[#This Row],[Type of change]], "Edit")),B1890)</f>
        <v>1</v>
      </c>
      <c r="C1891" s="16">
        <v>44785</v>
      </c>
      <c r="D1891" s="1" t="s">
        <v>2450</v>
      </c>
      <c r="E1891" t="s">
        <v>27</v>
      </c>
      <c r="F1891" s="10" t="s">
        <v>918</v>
      </c>
      <c r="G1891" t="s">
        <v>940</v>
      </c>
      <c r="H1891" t="s">
        <v>214</v>
      </c>
      <c r="I1891" t="s">
        <v>925</v>
      </c>
      <c r="K1891" s="2" t="s">
        <v>6</v>
      </c>
      <c r="M1891" s="2"/>
    </row>
    <row r="1892" spans="1:13">
      <c r="A1892" t="s">
        <v>28</v>
      </c>
      <c r="B1892">
        <f ca="1">IF(OR(changes[[#This Row],[Type]]="Checklist",changes[[#This Row],[Type]]="checklist-flat"),1+IF(changes[[#This Row],[Type of change]] = "Edit",COUNTIFS($I$4:changes[[#This Row],[Name]],changes[[#This Row],[Name]], $E$4:changes[[#This Row],[Type of change]], "Edit")),B1891)</f>
        <v>1</v>
      </c>
      <c r="C1892" s="16">
        <v>44785</v>
      </c>
      <c r="D1892" s="1" t="s">
        <v>2450</v>
      </c>
      <c r="E1892" t="s">
        <v>27</v>
      </c>
      <c r="F1892" s="10" t="s">
        <v>918</v>
      </c>
      <c r="G1892" t="s">
        <v>940</v>
      </c>
      <c r="H1892" t="s">
        <v>214</v>
      </c>
      <c r="I1892" t="s">
        <v>943</v>
      </c>
      <c r="K1892" s="2" t="s">
        <v>6</v>
      </c>
      <c r="M1892" s="2"/>
    </row>
    <row r="1893" spans="1:13">
      <c r="A1893" t="s">
        <v>28</v>
      </c>
      <c r="B1893">
        <f ca="1">IF(OR(changes[[#This Row],[Type]]="Checklist",changes[[#This Row],[Type]]="checklist-flat"),1+IF(changes[[#This Row],[Type of change]] = "Edit",COUNTIFS($I$4:changes[[#This Row],[Name]],changes[[#This Row],[Name]], $E$4:changes[[#This Row],[Type of change]], "Edit")),B1892)</f>
        <v>1</v>
      </c>
      <c r="C1893" s="16">
        <v>44785</v>
      </c>
      <c r="D1893" s="1" t="s">
        <v>2450</v>
      </c>
      <c r="E1893" t="s">
        <v>27</v>
      </c>
      <c r="F1893" s="10" t="s">
        <v>918</v>
      </c>
      <c r="G1893" t="s">
        <v>940</v>
      </c>
      <c r="H1893" t="s">
        <v>214</v>
      </c>
      <c r="I1893" t="s">
        <v>927</v>
      </c>
      <c r="K1893" s="2" t="s">
        <v>6</v>
      </c>
      <c r="M1893" s="2"/>
    </row>
    <row r="1894" spans="1:13">
      <c r="A1894" t="s">
        <v>28</v>
      </c>
      <c r="B1894">
        <f ca="1">IF(OR(changes[[#This Row],[Type]]="Checklist",changes[[#This Row],[Type]]="checklist-flat"),1+IF(changes[[#This Row],[Type of change]] = "Edit",COUNTIFS($I$4:changes[[#This Row],[Name]],changes[[#This Row],[Name]], $E$4:changes[[#This Row],[Type of change]], "Edit")),B1893)</f>
        <v>1</v>
      </c>
      <c r="C1894" s="16">
        <v>44785</v>
      </c>
      <c r="D1894" s="1" t="s">
        <v>2450</v>
      </c>
      <c r="E1894" t="s">
        <v>27</v>
      </c>
      <c r="F1894" s="10" t="s">
        <v>918</v>
      </c>
      <c r="G1894" t="s">
        <v>940</v>
      </c>
      <c r="H1894" t="s">
        <v>437</v>
      </c>
      <c r="I1894" t="s">
        <v>571</v>
      </c>
      <c r="J1894" t="s">
        <v>944</v>
      </c>
      <c r="K1894" s="2" t="s">
        <v>6</v>
      </c>
      <c r="M1894" s="2"/>
    </row>
    <row r="1895" spans="1:13">
      <c r="A1895" t="s">
        <v>28</v>
      </c>
      <c r="B1895">
        <f ca="1">IF(OR(changes[[#This Row],[Type]]="Checklist",changes[[#This Row],[Type]]="checklist-flat"),1+IF(changes[[#This Row],[Type of change]] = "Edit",COUNTIFS($I$4:changes[[#This Row],[Name]],changes[[#This Row],[Name]], $E$4:changes[[#This Row],[Type of change]], "Edit")),B1894)</f>
        <v>1</v>
      </c>
      <c r="C1895" s="16">
        <v>44785</v>
      </c>
      <c r="D1895" s="1" t="s">
        <v>2450</v>
      </c>
      <c r="E1895" t="s">
        <v>27</v>
      </c>
      <c r="F1895" s="10" t="s">
        <v>918</v>
      </c>
      <c r="G1895" t="s">
        <v>940</v>
      </c>
      <c r="H1895" t="s">
        <v>55</v>
      </c>
      <c r="I1895" t="s">
        <v>945</v>
      </c>
      <c r="K1895" s="2" t="s">
        <v>6</v>
      </c>
      <c r="M1895" s="2"/>
    </row>
    <row r="1896" spans="1:13">
      <c r="A1896" t="s">
        <v>28</v>
      </c>
      <c r="B1896">
        <f ca="1">IF(OR(changes[[#This Row],[Type]]="Checklist",changes[[#This Row],[Type]]="checklist-flat"),1+IF(changes[[#This Row],[Type of change]] = "Edit",COUNTIFS($I$4:changes[[#This Row],[Name]],changes[[#This Row],[Name]], $E$4:changes[[#This Row],[Type of change]], "Edit")),B1895)</f>
        <v>1</v>
      </c>
      <c r="C1896" s="16">
        <v>44785</v>
      </c>
      <c r="D1896" s="1" t="s">
        <v>2450</v>
      </c>
      <c r="E1896" t="s">
        <v>27</v>
      </c>
      <c r="F1896" s="10" t="s">
        <v>918</v>
      </c>
      <c r="G1896" t="s">
        <v>940</v>
      </c>
      <c r="H1896" t="s">
        <v>55</v>
      </c>
      <c r="I1896" t="s">
        <v>946</v>
      </c>
      <c r="K1896" s="2" t="s">
        <v>6</v>
      </c>
      <c r="M1896" s="2"/>
    </row>
    <row r="1897" spans="1:13">
      <c r="A1897" t="s">
        <v>28</v>
      </c>
      <c r="B1897">
        <f ca="1">IF(OR(changes[[#This Row],[Type]]="Checklist",changes[[#This Row],[Type]]="checklist-flat"),1+IF(changes[[#This Row],[Type of change]] = "Edit",COUNTIFS($I$4:changes[[#This Row],[Name]],changes[[#This Row],[Name]], $E$4:changes[[#This Row],[Type of change]], "Edit")),B1896)</f>
        <v>1</v>
      </c>
      <c r="C1897" s="16">
        <v>44785</v>
      </c>
      <c r="D1897" s="1" t="s">
        <v>2450</v>
      </c>
      <c r="E1897" t="s">
        <v>27</v>
      </c>
      <c r="F1897" s="10" t="s">
        <v>918</v>
      </c>
      <c r="G1897" t="s">
        <v>940</v>
      </c>
      <c r="H1897" t="s">
        <v>420</v>
      </c>
      <c r="I1897" t="s">
        <v>947</v>
      </c>
      <c r="K1897" s="2" t="s">
        <v>6</v>
      </c>
      <c r="M1897" s="2"/>
    </row>
    <row r="1898" spans="1:13">
      <c r="A1898" t="s">
        <v>28</v>
      </c>
      <c r="B1898">
        <f ca="1">IF(OR(changes[[#This Row],[Type]]="Checklist",changes[[#This Row],[Type]]="checklist-flat"),1+IF(changes[[#This Row],[Type of change]] = "Edit",COUNTIFS($I$4:changes[[#This Row],[Name]],changes[[#This Row],[Name]], $E$4:changes[[#This Row],[Type of change]], "Edit")),B1897)</f>
        <v>1</v>
      </c>
      <c r="C1898" s="16">
        <v>44785</v>
      </c>
      <c r="D1898" s="1" t="s">
        <v>2450</v>
      </c>
      <c r="E1898" t="s">
        <v>27</v>
      </c>
      <c r="F1898" s="10" t="s">
        <v>918</v>
      </c>
      <c r="G1898" t="s">
        <v>940</v>
      </c>
      <c r="H1898" t="s">
        <v>420</v>
      </c>
      <c r="I1898" t="s">
        <v>948</v>
      </c>
      <c r="K1898" s="2" t="s">
        <v>6</v>
      </c>
      <c r="M1898" s="2"/>
    </row>
    <row r="1899" spans="1:13">
      <c r="A1899" t="s">
        <v>28</v>
      </c>
      <c r="B1899">
        <f ca="1">IF(OR(changes[[#This Row],[Type]]="Checklist",changes[[#This Row],[Type]]="checklist-flat"),1+IF(changes[[#This Row],[Type of change]] = "Edit",COUNTIFS($I$4:changes[[#This Row],[Name]],changes[[#This Row],[Name]], $E$4:changes[[#This Row],[Type of change]], "Edit")),B1898)</f>
        <v>1</v>
      </c>
      <c r="C1899" s="16">
        <v>44785</v>
      </c>
      <c r="D1899" s="1" t="s">
        <v>2450</v>
      </c>
      <c r="E1899" t="s">
        <v>27</v>
      </c>
      <c r="F1899" s="10" t="s">
        <v>918</v>
      </c>
      <c r="G1899" t="s">
        <v>940</v>
      </c>
      <c r="H1899" t="s">
        <v>479</v>
      </c>
      <c r="I1899" t="s">
        <v>931</v>
      </c>
      <c r="K1899" s="2" t="s">
        <v>6</v>
      </c>
      <c r="M1899" s="2"/>
    </row>
    <row r="1900" spans="1:13">
      <c r="A1900" t="s">
        <v>28</v>
      </c>
      <c r="B1900">
        <f ca="1">IF(OR(changes[[#This Row],[Type]]="Checklist",changes[[#This Row],[Type]]="checklist-flat"),1+IF(changes[[#This Row],[Type of change]] = "Edit",COUNTIFS($I$4:changes[[#This Row],[Name]],changes[[#This Row],[Name]], $E$4:changes[[#This Row],[Type of change]], "Edit")),B1899)</f>
        <v>1</v>
      </c>
      <c r="C1900" s="16">
        <v>44785</v>
      </c>
      <c r="D1900" s="1" t="s">
        <v>2450</v>
      </c>
      <c r="E1900" t="s">
        <v>27</v>
      </c>
      <c r="F1900" s="10" t="s">
        <v>918</v>
      </c>
      <c r="G1900" t="s">
        <v>940</v>
      </c>
      <c r="H1900" t="s">
        <v>55</v>
      </c>
      <c r="I1900" t="s">
        <v>932</v>
      </c>
      <c r="K1900" s="2" t="s">
        <v>6</v>
      </c>
      <c r="M1900" s="2"/>
    </row>
    <row r="1901" spans="1:13">
      <c r="A1901" t="s">
        <v>28</v>
      </c>
      <c r="B1901">
        <f ca="1">IF(OR(changes[[#This Row],[Type]]="Checklist",changes[[#This Row],[Type]]="checklist-flat"),1+IF(changes[[#This Row],[Type of change]] = "Edit",COUNTIFS($I$4:changes[[#This Row],[Name]],changes[[#This Row],[Name]], $E$4:changes[[#This Row],[Type of change]], "Edit")),B1900)</f>
        <v>1</v>
      </c>
      <c r="C1901" s="16">
        <v>44785</v>
      </c>
      <c r="D1901" s="1" t="s">
        <v>2450</v>
      </c>
      <c r="E1901" t="s">
        <v>27</v>
      </c>
      <c r="F1901" s="10" t="s">
        <v>918</v>
      </c>
      <c r="G1901" t="s">
        <v>940</v>
      </c>
      <c r="H1901" t="s">
        <v>64</v>
      </c>
      <c r="I1901" t="s">
        <v>933</v>
      </c>
      <c r="K1901" s="2" t="s">
        <v>6</v>
      </c>
      <c r="M1901" s="2"/>
    </row>
    <row r="1902" spans="1:13">
      <c r="A1902" t="s">
        <v>28</v>
      </c>
      <c r="B1902">
        <f ca="1">IF(OR(changes[[#This Row],[Type]]="Checklist",changes[[#This Row],[Type]]="checklist-flat"),1+IF(changes[[#This Row],[Type of change]] = "Edit",COUNTIFS($I$4:changes[[#This Row],[Name]],changes[[#This Row],[Name]], $E$4:changes[[#This Row],[Type of change]], "Edit")),B1901)</f>
        <v>1</v>
      </c>
      <c r="C1902" s="16">
        <v>44785</v>
      </c>
      <c r="D1902" s="1" t="s">
        <v>2450</v>
      </c>
      <c r="E1902" t="s">
        <v>27</v>
      </c>
      <c r="F1902" s="10" t="s">
        <v>918</v>
      </c>
      <c r="G1902" t="s">
        <v>934</v>
      </c>
      <c r="H1902" t="s">
        <v>478</v>
      </c>
      <c r="I1902" t="s">
        <v>934</v>
      </c>
      <c r="K1902" s="2" t="s">
        <v>6</v>
      </c>
      <c r="M1902" s="2"/>
    </row>
    <row r="1903" spans="1:13">
      <c r="A1903" t="s">
        <v>28</v>
      </c>
      <c r="B1903">
        <f ca="1">IF(OR(changes[[#This Row],[Type]]="Checklist",changes[[#This Row],[Type]]="checklist-flat"),1+IF(changes[[#This Row],[Type of change]] = "Edit",COUNTIFS($I$4:changes[[#This Row],[Name]],changes[[#This Row],[Name]], $E$4:changes[[#This Row],[Type of change]], "Edit")),B1902)</f>
        <v>1</v>
      </c>
      <c r="C1903" s="16">
        <v>44785</v>
      </c>
      <c r="D1903" s="1" t="s">
        <v>2450</v>
      </c>
      <c r="E1903" t="s">
        <v>27</v>
      </c>
      <c r="F1903" s="10" t="s">
        <v>918</v>
      </c>
      <c r="G1903" t="s">
        <v>934</v>
      </c>
      <c r="H1903" t="s">
        <v>55</v>
      </c>
      <c r="I1903" t="s">
        <v>935</v>
      </c>
      <c r="K1903" s="2" t="s">
        <v>6</v>
      </c>
      <c r="M1903" s="2"/>
    </row>
    <row r="1904" spans="1:13">
      <c r="A1904" t="s">
        <v>28</v>
      </c>
      <c r="B1904">
        <f ca="1">IF(OR(changes[[#This Row],[Type]]="Checklist",changes[[#This Row],[Type]]="checklist-flat"),1+IF(changes[[#This Row],[Type of change]] = "Edit",COUNTIFS($I$4:changes[[#This Row],[Name]],changes[[#This Row],[Name]], $E$4:changes[[#This Row],[Type of change]], "Edit")),B1903)</f>
        <v>1</v>
      </c>
      <c r="C1904" s="16">
        <v>44785</v>
      </c>
      <c r="D1904" s="1" t="s">
        <v>2450</v>
      </c>
      <c r="E1904" t="s">
        <v>27</v>
      </c>
      <c r="F1904" s="10" t="s">
        <v>918</v>
      </c>
      <c r="G1904" t="s">
        <v>934</v>
      </c>
      <c r="H1904" t="s">
        <v>214</v>
      </c>
      <c r="I1904" t="s">
        <v>936</v>
      </c>
      <c r="K1904" s="2" t="s">
        <v>6</v>
      </c>
      <c r="M1904" s="2"/>
    </row>
    <row r="1905" spans="1:13">
      <c r="A1905" t="s">
        <v>28</v>
      </c>
      <c r="B1905">
        <f ca="1">IF(OR(changes[[#This Row],[Type]]="Checklist",changes[[#This Row],[Type]]="checklist-flat"),1+IF(changes[[#This Row],[Type of change]] = "Edit",COUNTIFS($I$4:changes[[#This Row],[Name]],changes[[#This Row],[Name]], $E$4:changes[[#This Row],[Type of change]], "Edit")),B1904)</f>
        <v>1</v>
      </c>
      <c r="C1905" s="16">
        <v>44785</v>
      </c>
      <c r="D1905" s="1" t="s">
        <v>2450</v>
      </c>
      <c r="E1905" t="s">
        <v>27</v>
      </c>
      <c r="F1905" s="10" t="s">
        <v>918</v>
      </c>
      <c r="G1905" t="s">
        <v>934</v>
      </c>
      <c r="H1905" t="s">
        <v>214</v>
      </c>
      <c r="I1905" t="s">
        <v>937</v>
      </c>
      <c r="K1905" s="2" t="s">
        <v>6</v>
      </c>
      <c r="M1905" s="2"/>
    </row>
    <row r="1906" spans="1:13">
      <c r="A1906" t="s">
        <v>28</v>
      </c>
      <c r="B1906">
        <f ca="1">IF(OR(changes[[#This Row],[Type]]="Checklist",changes[[#This Row],[Type]]="checklist-flat"),1+IF(changes[[#This Row],[Type of change]] = "Edit",COUNTIFS($I$4:changes[[#This Row],[Name]],changes[[#This Row],[Name]], $E$4:changes[[#This Row],[Type of change]], "Edit")),B1905)</f>
        <v>1</v>
      </c>
      <c r="C1906" s="16">
        <v>44785</v>
      </c>
      <c r="D1906" s="1" t="s">
        <v>2450</v>
      </c>
      <c r="E1906" t="s">
        <v>27</v>
      </c>
      <c r="F1906" s="10" t="s">
        <v>918</v>
      </c>
      <c r="G1906" t="s">
        <v>934</v>
      </c>
      <c r="H1906" t="s">
        <v>214</v>
      </c>
      <c r="I1906" t="s">
        <v>938</v>
      </c>
      <c r="K1906" s="2" t="s">
        <v>6</v>
      </c>
      <c r="M1906" s="2"/>
    </row>
    <row r="1907" spans="1:13">
      <c r="A1907" t="s">
        <v>28</v>
      </c>
      <c r="B1907">
        <f ca="1">IF(OR(changes[[#This Row],[Type]]="Checklist",changes[[#This Row],[Type]]="checklist-flat"),1+IF(changes[[#This Row],[Type of change]] = "Edit",COUNTIFS($I$4:changes[[#This Row],[Name]],changes[[#This Row],[Name]], $E$4:changes[[#This Row],[Type of change]], "Edit")),B1906)</f>
        <v>1</v>
      </c>
      <c r="C1907" s="16">
        <v>44785</v>
      </c>
      <c r="D1907" s="1" t="s">
        <v>2450</v>
      </c>
      <c r="E1907" t="s">
        <v>27</v>
      </c>
      <c r="F1907" s="10" t="s">
        <v>918</v>
      </c>
      <c r="G1907" t="s">
        <v>934</v>
      </c>
      <c r="H1907" t="s">
        <v>64</v>
      </c>
      <c r="I1907" t="s">
        <v>939</v>
      </c>
      <c r="K1907" s="2" t="s">
        <v>6</v>
      </c>
      <c r="M1907" s="2"/>
    </row>
    <row r="1908" spans="1:13">
      <c r="A1908" t="s">
        <v>28</v>
      </c>
      <c r="B1908">
        <f ca="1">IF(OR(changes[[#This Row],[Type]]="Checklist",changes[[#This Row],[Type]]="checklist-flat"),1+IF(changes[[#This Row],[Type of change]] = "Edit",COUNTIFS($I$4:changes[[#This Row],[Name]],changes[[#This Row],[Name]], $E$4:changes[[#This Row],[Type of change]], "Edit")),B1907)</f>
        <v>1</v>
      </c>
      <c r="C1908" s="16">
        <v>44785</v>
      </c>
      <c r="D1908" s="1" t="s">
        <v>2450</v>
      </c>
      <c r="E1908" t="s">
        <v>27</v>
      </c>
      <c r="F1908" s="10" t="s">
        <v>918</v>
      </c>
      <c r="G1908" t="s">
        <v>919</v>
      </c>
      <c r="H1908" t="s">
        <v>478</v>
      </c>
      <c r="I1908" t="s">
        <v>919</v>
      </c>
      <c r="K1908" s="2" t="s">
        <v>6</v>
      </c>
      <c r="M1908" s="2"/>
    </row>
    <row r="1909" spans="1:13">
      <c r="A1909" t="s">
        <v>28</v>
      </c>
      <c r="B1909">
        <f ca="1">IF(OR(changes[[#This Row],[Type]]="Checklist",changes[[#This Row],[Type]]="checklist-flat"),1+IF(changes[[#This Row],[Type of change]] = "Edit",COUNTIFS($I$4:changes[[#This Row],[Name]],changes[[#This Row],[Name]], $E$4:changes[[#This Row],[Type of change]], "Edit")),B1908)</f>
        <v>1</v>
      </c>
      <c r="C1909" s="16">
        <v>44785</v>
      </c>
      <c r="D1909" s="1" t="s">
        <v>2450</v>
      </c>
      <c r="E1909" t="s">
        <v>27</v>
      </c>
      <c r="F1909" s="10" t="s">
        <v>918</v>
      </c>
      <c r="G1909" t="s">
        <v>919</v>
      </c>
      <c r="H1909" t="s">
        <v>479</v>
      </c>
      <c r="I1909" t="s">
        <v>920</v>
      </c>
      <c r="K1909" s="2" t="s">
        <v>6</v>
      </c>
      <c r="M1909" s="2"/>
    </row>
    <row r="1910" spans="1:13">
      <c r="A1910" t="s">
        <v>28</v>
      </c>
      <c r="B1910">
        <f ca="1">IF(OR(changes[[#This Row],[Type]]="Checklist",changes[[#This Row],[Type]]="checklist-flat"),1+IF(changes[[#This Row],[Type of change]] = "Edit",COUNTIFS($I$4:changes[[#This Row],[Name]],changes[[#This Row],[Name]], $E$4:changes[[#This Row],[Type of change]], "Edit")),B1909)</f>
        <v>1</v>
      </c>
      <c r="C1910" s="16">
        <v>44785</v>
      </c>
      <c r="D1910" s="1" t="s">
        <v>2450</v>
      </c>
      <c r="E1910" t="s">
        <v>27</v>
      </c>
      <c r="F1910" s="10" t="s">
        <v>918</v>
      </c>
      <c r="G1910" t="s">
        <v>919</v>
      </c>
      <c r="H1910" t="s">
        <v>55</v>
      </c>
      <c r="I1910" t="s">
        <v>921</v>
      </c>
      <c r="K1910" s="2" t="s">
        <v>6</v>
      </c>
      <c r="M1910" s="2"/>
    </row>
    <row r="1911" spans="1:13">
      <c r="A1911" t="s">
        <v>28</v>
      </c>
      <c r="B1911">
        <f ca="1">IF(OR(changes[[#This Row],[Type]]="Checklist",changes[[#This Row],[Type]]="checklist-flat"),1+IF(changes[[#This Row],[Type of change]] = "Edit",COUNTIFS($I$4:changes[[#This Row],[Name]],changes[[#This Row],[Name]], $E$4:changes[[#This Row],[Type of change]], "Edit")),B1910)</f>
        <v>1</v>
      </c>
      <c r="C1911" s="16">
        <v>44785</v>
      </c>
      <c r="D1911" s="1" t="s">
        <v>2450</v>
      </c>
      <c r="E1911" t="s">
        <v>27</v>
      </c>
      <c r="F1911" s="10" t="s">
        <v>918</v>
      </c>
      <c r="G1911" t="s">
        <v>919</v>
      </c>
      <c r="H1911" t="s">
        <v>214</v>
      </c>
      <c r="I1911" t="s">
        <v>922</v>
      </c>
      <c r="K1911" s="2" t="s">
        <v>6</v>
      </c>
      <c r="M1911" s="2"/>
    </row>
    <row r="1912" spans="1:13">
      <c r="A1912" t="s">
        <v>28</v>
      </c>
      <c r="B1912">
        <f ca="1">IF(OR(changes[[#This Row],[Type]]="Checklist",changes[[#This Row],[Type]]="checklist-flat"),1+IF(changes[[#This Row],[Type of change]] = "Edit",COUNTIFS($I$4:changes[[#This Row],[Name]],changes[[#This Row],[Name]], $E$4:changes[[#This Row],[Type of change]], "Edit")),B1911)</f>
        <v>1</v>
      </c>
      <c r="C1912" s="16">
        <v>44785</v>
      </c>
      <c r="D1912" s="1" t="s">
        <v>2450</v>
      </c>
      <c r="E1912" t="s">
        <v>27</v>
      </c>
      <c r="F1912" s="10" t="s">
        <v>918</v>
      </c>
      <c r="G1912" t="s">
        <v>919</v>
      </c>
      <c r="H1912" t="s">
        <v>214</v>
      </c>
      <c r="I1912" t="s">
        <v>923</v>
      </c>
      <c r="K1912" s="2" t="s">
        <v>6</v>
      </c>
      <c r="M1912" s="2"/>
    </row>
    <row r="1913" spans="1:13">
      <c r="A1913" t="s">
        <v>28</v>
      </c>
      <c r="B1913">
        <f ca="1">IF(OR(changes[[#This Row],[Type]]="Checklist",changes[[#This Row],[Type]]="checklist-flat"),1+IF(changes[[#This Row],[Type of change]] = "Edit",COUNTIFS($I$4:changes[[#This Row],[Name]],changes[[#This Row],[Name]], $E$4:changes[[#This Row],[Type of change]], "Edit")),B1912)</f>
        <v>1</v>
      </c>
      <c r="C1913" s="16">
        <v>44785</v>
      </c>
      <c r="D1913" s="1" t="s">
        <v>2450</v>
      </c>
      <c r="E1913" t="s">
        <v>27</v>
      </c>
      <c r="F1913" s="10" t="s">
        <v>918</v>
      </c>
      <c r="G1913" t="s">
        <v>919</v>
      </c>
      <c r="H1913" t="s">
        <v>214</v>
      </c>
      <c r="I1913" t="s">
        <v>924</v>
      </c>
      <c r="K1913" s="2" t="s">
        <v>6</v>
      </c>
      <c r="M1913" s="2"/>
    </row>
    <row r="1914" spans="1:13">
      <c r="A1914" t="s">
        <v>28</v>
      </c>
      <c r="B1914">
        <f ca="1">IF(OR(changes[[#This Row],[Type]]="Checklist",changes[[#This Row],[Type]]="checklist-flat"),1+IF(changes[[#This Row],[Type of change]] = "Edit",COUNTIFS($I$4:changes[[#This Row],[Name]],changes[[#This Row],[Name]], $E$4:changes[[#This Row],[Type of change]], "Edit")),B1913)</f>
        <v>1</v>
      </c>
      <c r="C1914" s="16">
        <v>44785</v>
      </c>
      <c r="D1914" s="1" t="s">
        <v>2450</v>
      </c>
      <c r="E1914" t="s">
        <v>27</v>
      </c>
      <c r="F1914" s="10" t="s">
        <v>918</v>
      </c>
      <c r="G1914" t="s">
        <v>919</v>
      </c>
      <c r="H1914" t="s">
        <v>214</v>
      </c>
      <c r="I1914" t="s">
        <v>925</v>
      </c>
      <c r="K1914" s="2" t="s">
        <v>6</v>
      </c>
      <c r="M1914" s="2"/>
    </row>
    <row r="1915" spans="1:13">
      <c r="A1915" t="s">
        <v>28</v>
      </c>
      <c r="B1915">
        <f ca="1">IF(OR(changes[[#This Row],[Type]]="Checklist",changes[[#This Row],[Type]]="checklist-flat"),1+IF(changes[[#This Row],[Type of change]] = "Edit",COUNTIFS($I$4:changes[[#This Row],[Name]],changes[[#This Row],[Name]], $E$4:changes[[#This Row],[Type of change]], "Edit")),B1914)</f>
        <v>1</v>
      </c>
      <c r="C1915" s="16">
        <v>44785</v>
      </c>
      <c r="D1915" s="1" t="s">
        <v>2450</v>
      </c>
      <c r="E1915" t="s">
        <v>27</v>
      </c>
      <c r="F1915" s="10" t="s">
        <v>918</v>
      </c>
      <c r="G1915" t="s">
        <v>919</v>
      </c>
      <c r="H1915" t="s">
        <v>214</v>
      </c>
      <c r="I1915" t="s">
        <v>926</v>
      </c>
      <c r="K1915" s="2" t="s">
        <v>6</v>
      </c>
      <c r="M1915" s="2"/>
    </row>
    <row r="1916" spans="1:13">
      <c r="A1916" t="s">
        <v>28</v>
      </c>
      <c r="B1916">
        <f ca="1">IF(OR(changes[[#This Row],[Type]]="Checklist",changes[[#This Row],[Type]]="checklist-flat"),1+IF(changes[[#This Row],[Type of change]] = "Edit",COUNTIFS($I$4:changes[[#This Row],[Name]],changes[[#This Row],[Name]], $E$4:changes[[#This Row],[Type of change]], "Edit")),B1915)</f>
        <v>1</v>
      </c>
      <c r="C1916" s="16">
        <v>44785</v>
      </c>
      <c r="D1916" s="1" t="s">
        <v>2450</v>
      </c>
      <c r="E1916" t="s">
        <v>27</v>
      </c>
      <c r="F1916" s="10" t="s">
        <v>918</v>
      </c>
      <c r="G1916" t="s">
        <v>919</v>
      </c>
      <c r="H1916" t="s">
        <v>214</v>
      </c>
      <c r="I1916" t="s">
        <v>927</v>
      </c>
      <c r="K1916" s="2" t="s">
        <v>6</v>
      </c>
      <c r="M1916" s="2"/>
    </row>
    <row r="1917" spans="1:13">
      <c r="A1917" t="s">
        <v>28</v>
      </c>
      <c r="B1917">
        <f ca="1">IF(OR(changes[[#This Row],[Type]]="Checklist",changes[[#This Row],[Type]]="checklist-flat"),1+IF(changes[[#This Row],[Type of change]] = "Edit",COUNTIFS($I$4:changes[[#This Row],[Name]],changes[[#This Row],[Name]], $E$4:changes[[#This Row],[Type of change]], "Edit")),B1916)</f>
        <v>1</v>
      </c>
      <c r="C1917" s="16">
        <v>44785</v>
      </c>
      <c r="D1917" s="1" t="s">
        <v>2450</v>
      </c>
      <c r="E1917" t="s">
        <v>27</v>
      </c>
      <c r="F1917" s="10" t="s">
        <v>918</v>
      </c>
      <c r="G1917" t="s">
        <v>919</v>
      </c>
      <c r="H1917" t="s">
        <v>214</v>
      </c>
      <c r="I1917" t="s">
        <v>928</v>
      </c>
      <c r="K1917" s="2" t="s">
        <v>6</v>
      </c>
      <c r="M1917" s="2"/>
    </row>
    <row r="1918" spans="1:13">
      <c r="A1918" t="s">
        <v>28</v>
      </c>
      <c r="B1918">
        <f ca="1">IF(OR(changes[[#This Row],[Type]]="Checklist",changes[[#This Row],[Type]]="checklist-flat"),1+IF(changes[[#This Row],[Type of change]] = "Edit",COUNTIFS($I$4:changes[[#This Row],[Name]],changes[[#This Row],[Name]], $E$4:changes[[#This Row],[Type of change]], "Edit")),B1917)</f>
        <v>1</v>
      </c>
      <c r="C1918" s="16">
        <v>44785</v>
      </c>
      <c r="D1918" s="1" t="s">
        <v>2450</v>
      </c>
      <c r="E1918" t="s">
        <v>27</v>
      </c>
      <c r="F1918" s="10" t="s">
        <v>918</v>
      </c>
      <c r="G1918" t="s">
        <v>919</v>
      </c>
      <c r="H1918" t="s">
        <v>55</v>
      </c>
      <c r="I1918" t="s">
        <v>929</v>
      </c>
      <c r="K1918" s="2" t="s">
        <v>6</v>
      </c>
      <c r="M1918" s="2"/>
    </row>
    <row r="1919" spans="1:13">
      <c r="A1919" t="s">
        <v>28</v>
      </c>
      <c r="B1919">
        <f ca="1">IF(OR(changes[[#This Row],[Type]]="Checklist",changes[[#This Row],[Type]]="checklist-flat"),1+IF(changes[[#This Row],[Type of change]] = "Edit",COUNTIFS($I$4:changes[[#This Row],[Name]],changes[[#This Row],[Name]], $E$4:changes[[#This Row],[Type of change]], "Edit")),B1918)</f>
        <v>1</v>
      </c>
      <c r="C1919" s="16">
        <v>44785</v>
      </c>
      <c r="D1919" s="1" t="s">
        <v>2450</v>
      </c>
      <c r="E1919" t="s">
        <v>27</v>
      </c>
      <c r="F1919" s="10" t="s">
        <v>918</v>
      </c>
      <c r="G1919" t="s">
        <v>919</v>
      </c>
      <c r="H1919" t="s">
        <v>55</v>
      </c>
      <c r="I1919" t="s">
        <v>930</v>
      </c>
      <c r="K1919" s="2" t="s">
        <v>6</v>
      </c>
      <c r="M1919" s="2"/>
    </row>
    <row r="1920" spans="1:13">
      <c r="A1920" t="s">
        <v>28</v>
      </c>
      <c r="B1920">
        <f ca="1">IF(OR(changes[[#This Row],[Type]]="Checklist",changes[[#This Row],[Type]]="checklist-flat"),1+IF(changes[[#This Row],[Type of change]] = "Edit",COUNTIFS($I$4:changes[[#This Row],[Name]],changes[[#This Row],[Name]], $E$4:changes[[#This Row],[Type of change]], "Edit")),B1919)</f>
        <v>1</v>
      </c>
      <c r="C1920" s="16">
        <v>44785</v>
      </c>
      <c r="D1920" s="1" t="s">
        <v>2450</v>
      </c>
      <c r="E1920" t="s">
        <v>27</v>
      </c>
      <c r="F1920" s="10" t="s">
        <v>918</v>
      </c>
      <c r="G1920" t="s">
        <v>919</v>
      </c>
      <c r="H1920" t="s">
        <v>479</v>
      </c>
      <c r="I1920" t="s">
        <v>931</v>
      </c>
      <c r="K1920" s="2" t="s">
        <v>6</v>
      </c>
      <c r="M1920" s="2"/>
    </row>
    <row r="1921" spans="1:13">
      <c r="A1921" t="s">
        <v>28</v>
      </c>
      <c r="B1921">
        <f ca="1">IF(OR(changes[[#This Row],[Type]]="Checklist",changes[[#This Row],[Type]]="checklist-flat"),1+IF(changes[[#This Row],[Type of change]] = "Edit",COUNTIFS($I$4:changes[[#This Row],[Name]],changes[[#This Row],[Name]], $E$4:changes[[#This Row],[Type of change]], "Edit")),B1920)</f>
        <v>1</v>
      </c>
      <c r="C1921" s="16">
        <v>44785</v>
      </c>
      <c r="D1921" s="1" t="s">
        <v>2450</v>
      </c>
      <c r="E1921" t="s">
        <v>27</v>
      </c>
      <c r="F1921" s="10" t="s">
        <v>918</v>
      </c>
      <c r="G1921" t="s">
        <v>919</v>
      </c>
      <c r="H1921" t="s">
        <v>55</v>
      </c>
      <c r="I1921" t="s">
        <v>932</v>
      </c>
      <c r="K1921" s="2" t="s">
        <v>6</v>
      </c>
      <c r="M1921" s="2"/>
    </row>
    <row r="1922" spans="1:13">
      <c r="A1922" t="s">
        <v>28</v>
      </c>
      <c r="B1922">
        <f ca="1">IF(OR(changes[[#This Row],[Type]]="Checklist",changes[[#This Row],[Type]]="checklist-flat"),1+IF(changes[[#This Row],[Type of change]] = "Edit",COUNTIFS($I$4:changes[[#This Row],[Name]],changes[[#This Row],[Name]], $E$4:changes[[#This Row],[Type of change]], "Edit")),B1921)</f>
        <v>1</v>
      </c>
      <c r="C1922" s="16">
        <v>44785</v>
      </c>
      <c r="D1922" s="1" t="s">
        <v>2450</v>
      </c>
      <c r="E1922" t="s">
        <v>27</v>
      </c>
      <c r="F1922" s="10" t="s">
        <v>918</v>
      </c>
      <c r="G1922" t="s">
        <v>919</v>
      </c>
      <c r="H1922" t="s">
        <v>64</v>
      </c>
      <c r="I1922" t="s">
        <v>933</v>
      </c>
      <c r="K1922" s="2" t="s">
        <v>6</v>
      </c>
      <c r="M1922" s="2"/>
    </row>
    <row r="1923" spans="1:13">
      <c r="A1923" t="s">
        <v>28</v>
      </c>
      <c r="B1923">
        <f ca="1">IF(OR(changes[[#This Row],[Type]]="Checklist",changes[[#This Row],[Type]]="checklist-flat"),1+IF(changes[[#This Row],[Type of change]] = "Edit",COUNTIFS($I$4:changes[[#This Row],[Name]],changes[[#This Row],[Name]], $E$4:changes[[#This Row],[Type of change]], "Edit")),B1922)</f>
        <v>1</v>
      </c>
      <c r="C1923" s="16">
        <v>44785</v>
      </c>
      <c r="D1923" s="1" t="s">
        <v>2450</v>
      </c>
      <c r="E1923" t="s">
        <v>27</v>
      </c>
      <c r="F1923" s="10" t="s">
        <v>918</v>
      </c>
      <c r="G1923" t="s">
        <v>1033</v>
      </c>
      <c r="H1923" t="s">
        <v>478</v>
      </c>
      <c r="I1923" t="s">
        <v>1033</v>
      </c>
      <c r="K1923" s="2" t="s">
        <v>6</v>
      </c>
      <c r="M1923" s="2"/>
    </row>
    <row r="1924" spans="1:13">
      <c r="A1924" t="s">
        <v>28</v>
      </c>
      <c r="B1924">
        <f ca="1">IF(OR(changes[[#This Row],[Type]]="Checklist",changes[[#This Row],[Type]]="checklist-flat"),1+IF(changes[[#This Row],[Type of change]] = "Edit",COUNTIFS($I$4:changes[[#This Row],[Name]],changes[[#This Row],[Name]], $E$4:changes[[#This Row],[Type of change]], "Edit")),B1923)</f>
        <v>1</v>
      </c>
      <c r="C1924" s="16">
        <v>44785</v>
      </c>
      <c r="D1924" s="1" t="s">
        <v>2450</v>
      </c>
      <c r="E1924" t="s">
        <v>27</v>
      </c>
      <c r="F1924" s="10" t="s">
        <v>918</v>
      </c>
      <c r="G1924" t="s">
        <v>1033</v>
      </c>
      <c r="H1924" t="s">
        <v>479</v>
      </c>
      <c r="I1924" t="s">
        <v>1034</v>
      </c>
      <c r="K1924" s="2" t="s">
        <v>6</v>
      </c>
      <c r="M1924" s="2"/>
    </row>
    <row r="1925" spans="1:13">
      <c r="A1925" t="s">
        <v>28</v>
      </c>
      <c r="B1925">
        <f ca="1">IF(OR(changes[[#This Row],[Type]]="Checklist",changes[[#This Row],[Type]]="checklist-flat"),1+IF(changes[[#This Row],[Type of change]] = "Edit",COUNTIFS($I$4:changes[[#This Row],[Name]],changes[[#This Row],[Name]], $E$4:changes[[#This Row],[Type of change]], "Edit")),B1924)</f>
        <v>1</v>
      </c>
      <c r="C1925" s="16">
        <v>44785</v>
      </c>
      <c r="D1925" s="1" t="s">
        <v>2450</v>
      </c>
      <c r="E1925" t="s">
        <v>27</v>
      </c>
      <c r="F1925" s="10" t="s">
        <v>918</v>
      </c>
      <c r="G1925" t="s">
        <v>1033</v>
      </c>
      <c r="H1925" t="s">
        <v>55</v>
      </c>
      <c r="I1925" t="s">
        <v>959</v>
      </c>
      <c r="K1925" s="2" t="s">
        <v>6</v>
      </c>
      <c r="M1925" s="2"/>
    </row>
    <row r="1926" spans="1:13">
      <c r="A1926" t="s">
        <v>28</v>
      </c>
      <c r="B1926">
        <f ca="1">IF(OR(changes[[#This Row],[Type]]="Checklist",changes[[#This Row],[Type]]="checklist-flat"),1+IF(changes[[#This Row],[Type of change]] = "Edit",COUNTIFS($I$4:changes[[#This Row],[Name]],changes[[#This Row],[Name]], $E$4:changes[[#This Row],[Type of change]], "Edit")),B1925)</f>
        <v>1</v>
      </c>
      <c r="C1926" s="16">
        <v>44785</v>
      </c>
      <c r="D1926" s="1" t="s">
        <v>2450</v>
      </c>
      <c r="E1926" t="s">
        <v>27</v>
      </c>
      <c r="F1926" s="10" t="s">
        <v>918</v>
      </c>
      <c r="G1926" t="s">
        <v>1033</v>
      </c>
      <c r="H1926" t="s">
        <v>214</v>
      </c>
      <c r="I1926" t="s">
        <v>1035</v>
      </c>
      <c r="K1926" s="2" t="s">
        <v>6</v>
      </c>
      <c r="M1926" s="2"/>
    </row>
    <row r="1927" spans="1:13">
      <c r="A1927" t="s">
        <v>28</v>
      </c>
      <c r="B1927">
        <f ca="1">IF(OR(changes[[#This Row],[Type]]="Checklist",changes[[#This Row],[Type]]="checklist-flat"),1+IF(changes[[#This Row],[Type of change]] = "Edit",COUNTIFS($I$4:changes[[#This Row],[Name]],changes[[#This Row],[Name]], $E$4:changes[[#This Row],[Type of change]], "Edit")),B1926)</f>
        <v>1</v>
      </c>
      <c r="C1927" s="16">
        <v>44785</v>
      </c>
      <c r="D1927" s="1" t="s">
        <v>2450</v>
      </c>
      <c r="E1927" t="s">
        <v>27</v>
      </c>
      <c r="F1927" s="10" t="s">
        <v>918</v>
      </c>
      <c r="G1927" t="s">
        <v>1033</v>
      </c>
      <c r="H1927" t="s">
        <v>214</v>
      </c>
      <c r="I1927" t="s">
        <v>1036</v>
      </c>
      <c r="K1927" s="2" t="s">
        <v>6</v>
      </c>
      <c r="M1927" s="2"/>
    </row>
    <row r="1928" spans="1:13">
      <c r="A1928" t="s">
        <v>28</v>
      </c>
      <c r="B1928">
        <f ca="1">IF(OR(changes[[#This Row],[Type]]="Checklist",changes[[#This Row],[Type]]="checklist-flat"),1+IF(changes[[#This Row],[Type of change]] = "Edit",COUNTIFS($I$4:changes[[#This Row],[Name]],changes[[#This Row],[Name]], $E$4:changes[[#This Row],[Type of change]], "Edit")),B1927)</f>
        <v>1</v>
      </c>
      <c r="C1928" s="16">
        <v>44785</v>
      </c>
      <c r="D1928" s="1" t="s">
        <v>2450</v>
      </c>
      <c r="E1928" t="s">
        <v>27</v>
      </c>
      <c r="F1928" s="10" t="s">
        <v>918</v>
      </c>
      <c r="G1928" t="s">
        <v>1033</v>
      </c>
      <c r="H1928" t="s">
        <v>214</v>
      </c>
      <c r="I1928" t="s">
        <v>1037</v>
      </c>
      <c r="K1928" s="2" t="s">
        <v>6</v>
      </c>
      <c r="M1928" s="2"/>
    </row>
    <row r="1929" spans="1:13">
      <c r="A1929" t="s">
        <v>28</v>
      </c>
      <c r="B1929">
        <f ca="1">IF(OR(changes[[#This Row],[Type]]="Checklist",changes[[#This Row],[Type]]="checklist-flat"),1+IF(changes[[#This Row],[Type of change]] = "Edit",COUNTIFS($I$4:changes[[#This Row],[Name]],changes[[#This Row],[Name]], $E$4:changes[[#This Row],[Type of change]], "Edit")),B1928)</f>
        <v>1</v>
      </c>
      <c r="C1929" s="16">
        <v>44785</v>
      </c>
      <c r="D1929" s="1" t="s">
        <v>2450</v>
      </c>
      <c r="E1929" t="s">
        <v>27</v>
      </c>
      <c r="F1929" s="10" t="s">
        <v>918</v>
      </c>
      <c r="G1929" t="s">
        <v>1033</v>
      </c>
      <c r="H1929" t="s">
        <v>214</v>
      </c>
      <c r="I1929" t="s">
        <v>961</v>
      </c>
      <c r="K1929" s="2" t="s">
        <v>6</v>
      </c>
      <c r="M1929" s="2"/>
    </row>
    <row r="1930" spans="1:13">
      <c r="A1930" t="s">
        <v>28</v>
      </c>
      <c r="B1930">
        <f ca="1">IF(OR(changes[[#This Row],[Type]]="Checklist",changes[[#This Row],[Type]]="checklist-flat"),1+IF(changes[[#This Row],[Type of change]] = "Edit",COUNTIFS($I$4:changes[[#This Row],[Name]],changes[[#This Row],[Name]], $E$4:changes[[#This Row],[Type of change]], "Edit")),B1929)</f>
        <v>1</v>
      </c>
      <c r="C1930" s="16">
        <v>44785</v>
      </c>
      <c r="D1930" s="1" t="s">
        <v>2450</v>
      </c>
      <c r="E1930" t="s">
        <v>27</v>
      </c>
      <c r="F1930" s="10" t="s">
        <v>918</v>
      </c>
      <c r="G1930" t="s">
        <v>1033</v>
      </c>
      <c r="H1930" t="s">
        <v>214</v>
      </c>
      <c r="I1930" t="s">
        <v>1038</v>
      </c>
      <c r="K1930" s="2" t="s">
        <v>6</v>
      </c>
      <c r="M1930" s="2"/>
    </row>
    <row r="1931" spans="1:13">
      <c r="A1931" t="s">
        <v>28</v>
      </c>
      <c r="B1931">
        <f ca="1">IF(OR(changes[[#This Row],[Type]]="Checklist",changes[[#This Row],[Type]]="checklist-flat"),1+IF(changes[[#This Row],[Type of change]] = "Edit",COUNTIFS($I$4:changes[[#This Row],[Name]],changes[[#This Row],[Name]], $E$4:changes[[#This Row],[Type of change]], "Edit")),B1930)</f>
        <v>1</v>
      </c>
      <c r="C1931" s="16">
        <v>44785</v>
      </c>
      <c r="D1931" s="1" t="s">
        <v>2450</v>
      </c>
      <c r="E1931" t="s">
        <v>27</v>
      </c>
      <c r="F1931" s="10" t="s">
        <v>918</v>
      </c>
      <c r="G1931" t="s">
        <v>1033</v>
      </c>
      <c r="H1931" t="s">
        <v>214</v>
      </c>
      <c r="I1931" t="s">
        <v>1039</v>
      </c>
      <c r="K1931" s="2" t="s">
        <v>6</v>
      </c>
      <c r="M1931" s="2"/>
    </row>
    <row r="1932" spans="1:13">
      <c r="A1932" t="s">
        <v>28</v>
      </c>
      <c r="B1932">
        <f ca="1">IF(OR(changes[[#This Row],[Type]]="Checklist",changes[[#This Row],[Type]]="checklist-flat"),1+IF(changes[[#This Row],[Type of change]] = "Edit",COUNTIFS($I$4:changes[[#This Row],[Name]],changes[[#This Row],[Name]], $E$4:changes[[#This Row],[Type of change]], "Edit")),B1931)</f>
        <v>1</v>
      </c>
      <c r="C1932" s="16">
        <v>44785</v>
      </c>
      <c r="D1932" s="1" t="s">
        <v>2450</v>
      </c>
      <c r="E1932" t="s">
        <v>27</v>
      </c>
      <c r="F1932" s="10" t="s">
        <v>918</v>
      </c>
      <c r="G1932" t="s">
        <v>1033</v>
      </c>
      <c r="H1932" t="s">
        <v>214</v>
      </c>
      <c r="I1932" t="s">
        <v>963</v>
      </c>
      <c r="K1932" s="2" t="s">
        <v>6</v>
      </c>
      <c r="M1932" s="2"/>
    </row>
    <row r="1933" spans="1:13">
      <c r="A1933" t="s">
        <v>28</v>
      </c>
      <c r="B1933">
        <f ca="1">IF(OR(changes[[#This Row],[Type]]="Checklist",changes[[#This Row],[Type]]="checklist-flat"),1+IF(changes[[#This Row],[Type of change]] = "Edit",COUNTIFS($I$4:changes[[#This Row],[Name]],changes[[#This Row],[Name]], $E$4:changes[[#This Row],[Type of change]], "Edit")),B1932)</f>
        <v>1</v>
      </c>
      <c r="C1933" s="16">
        <v>44785</v>
      </c>
      <c r="D1933" s="1" t="s">
        <v>2450</v>
      </c>
      <c r="E1933" t="s">
        <v>27</v>
      </c>
      <c r="F1933" s="10" t="s">
        <v>918</v>
      </c>
      <c r="G1933" t="s">
        <v>1033</v>
      </c>
      <c r="H1933" t="s">
        <v>214</v>
      </c>
      <c r="I1933" t="s">
        <v>964</v>
      </c>
      <c r="K1933" s="2" t="s">
        <v>6</v>
      </c>
      <c r="M1933" s="2"/>
    </row>
    <row r="1934" spans="1:13">
      <c r="A1934" t="s">
        <v>28</v>
      </c>
      <c r="B1934">
        <f ca="1">IF(OR(changes[[#This Row],[Type]]="Checklist",changes[[#This Row],[Type]]="checklist-flat"),1+IF(changes[[#This Row],[Type of change]] = "Edit",COUNTIFS($I$4:changes[[#This Row],[Name]],changes[[#This Row],[Name]], $E$4:changes[[#This Row],[Type of change]], "Edit")),B1933)</f>
        <v>1</v>
      </c>
      <c r="C1934" s="16">
        <v>44785</v>
      </c>
      <c r="D1934" s="1" t="s">
        <v>2450</v>
      </c>
      <c r="E1934" t="s">
        <v>27</v>
      </c>
      <c r="F1934" s="10" t="s">
        <v>918</v>
      </c>
      <c r="G1934" t="s">
        <v>1033</v>
      </c>
      <c r="H1934" t="s">
        <v>55</v>
      </c>
      <c r="I1934" t="s">
        <v>1040</v>
      </c>
      <c r="K1934" s="2" t="s">
        <v>6</v>
      </c>
      <c r="M1934" s="2"/>
    </row>
    <row r="1935" spans="1:13">
      <c r="A1935" t="s">
        <v>28</v>
      </c>
      <c r="B1935">
        <f ca="1">IF(OR(changes[[#This Row],[Type]]="Checklist",changes[[#This Row],[Type]]="checklist-flat"),1+IF(changes[[#This Row],[Type of change]] = "Edit",COUNTIFS($I$4:changes[[#This Row],[Name]],changes[[#This Row],[Name]], $E$4:changes[[#This Row],[Type of change]], "Edit")),B1934)</f>
        <v>1</v>
      </c>
      <c r="C1935" s="16">
        <v>44785</v>
      </c>
      <c r="D1935" s="1" t="s">
        <v>2450</v>
      </c>
      <c r="E1935" t="s">
        <v>27</v>
      </c>
      <c r="F1935" s="10" t="s">
        <v>918</v>
      </c>
      <c r="G1935" t="s">
        <v>1033</v>
      </c>
      <c r="H1935" t="s">
        <v>55</v>
      </c>
      <c r="I1935" t="s">
        <v>1041</v>
      </c>
      <c r="K1935" s="2" t="s">
        <v>6</v>
      </c>
      <c r="M1935" s="2"/>
    </row>
    <row r="1936" spans="1:13">
      <c r="A1936" t="s">
        <v>28</v>
      </c>
      <c r="B1936">
        <f ca="1">IF(OR(changes[[#This Row],[Type]]="Checklist",changes[[#This Row],[Type]]="checklist-flat"),1+IF(changes[[#This Row],[Type of change]] = "Edit",COUNTIFS($I$4:changes[[#This Row],[Name]],changes[[#This Row],[Name]], $E$4:changes[[#This Row],[Type of change]], "Edit")),B1935)</f>
        <v>1</v>
      </c>
      <c r="C1936" s="16">
        <v>44785</v>
      </c>
      <c r="D1936" s="1" t="s">
        <v>2450</v>
      </c>
      <c r="E1936" t="s">
        <v>27</v>
      </c>
      <c r="F1936" s="10" t="s">
        <v>918</v>
      </c>
      <c r="G1936" t="s">
        <v>1033</v>
      </c>
      <c r="H1936" t="s">
        <v>55</v>
      </c>
      <c r="I1936" t="s">
        <v>969</v>
      </c>
      <c r="K1936" s="2" t="s">
        <v>6</v>
      </c>
      <c r="M1936" s="2"/>
    </row>
    <row r="1937" spans="1:13">
      <c r="A1937" t="s">
        <v>28</v>
      </c>
      <c r="B1937">
        <f ca="1">IF(OR(changes[[#This Row],[Type]]="Checklist",changes[[#This Row],[Type]]="checklist-flat"),1+IF(changes[[#This Row],[Type of change]] = "Edit",COUNTIFS($I$4:changes[[#This Row],[Name]],changes[[#This Row],[Name]], $E$4:changes[[#This Row],[Type of change]], "Edit")),B1936)</f>
        <v>1</v>
      </c>
      <c r="C1937" s="16">
        <v>44785</v>
      </c>
      <c r="D1937" s="1" t="s">
        <v>2450</v>
      </c>
      <c r="E1937" t="s">
        <v>27</v>
      </c>
      <c r="F1937" s="10" t="s">
        <v>918</v>
      </c>
      <c r="G1937" t="s">
        <v>1033</v>
      </c>
      <c r="H1937" t="s">
        <v>214</v>
      </c>
      <c r="I1937" t="s">
        <v>1042</v>
      </c>
      <c r="K1937" s="2" t="s">
        <v>6</v>
      </c>
      <c r="M1937" s="2"/>
    </row>
    <row r="1938" spans="1:13">
      <c r="A1938" t="s">
        <v>28</v>
      </c>
      <c r="B1938">
        <f ca="1">IF(OR(changes[[#This Row],[Type]]="Checklist",changes[[#This Row],[Type]]="checklist-flat"),1+IF(changes[[#This Row],[Type of change]] = "Edit",COUNTIFS($I$4:changes[[#This Row],[Name]],changes[[#This Row],[Name]], $E$4:changes[[#This Row],[Type of change]], "Edit")),B1937)</f>
        <v>1</v>
      </c>
      <c r="C1938" s="16">
        <v>44785</v>
      </c>
      <c r="D1938" s="1" t="s">
        <v>2450</v>
      </c>
      <c r="E1938" t="s">
        <v>27</v>
      </c>
      <c r="F1938" s="10" t="s">
        <v>918</v>
      </c>
      <c r="G1938" t="s">
        <v>1033</v>
      </c>
      <c r="H1938" t="s">
        <v>55</v>
      </c>
      <c r="I1938" t="s">
        <v>930</v>
      </c>
      <c r="K1938" s="2" t="s">
        <v>6</v>
      </c>
      <c r="M1938" s="2"/>
    </row>
    <row r="1939" spans="1:13">
      <c r="A1939" t="s">
        <v>28</v>
      </c>
      <c r="B1939">
        <f ca="1">IF(OR(changes[[#This Row],[Type]]="Checklist",changes[[#This Row],[Type]]="checklist-flat"),1+IF(changes[[#This Row],[Type of change]] = "Edit",COUNTIFS($I$4:changes[[#This Row],[Name]],changes[[#This Row],[Name]], $E$4:changes[[#This Row],[Type of change]], "Edit")),B1938)</f>
        <v>1</v>
      </c>
      <c r="C1939" s="16">
        <v>44785</v>
      </c>
      <c r="D1939" s="1" t="s">
        <v>2450</v>
      </c>
      <c r="E1939" t="s">
        <v>27</v>
      </c>
      <c r="F1939" s="10" t="s">
        <v>918</v>
      </c>
      <c r="G1939" t="s">
        <v>1033</v>
      </c>
      <c r="H1939" t="s">
        <v>420</v>
      </c>
      <c r="I1939" t="s">
        <v>1043</v>
      </c>
      <c r="K1939" s="2" t="s">
        <v>6</v>
      </c>
      <c r="M1939" s="2"/>
    </row>
    <row r="1940" spans="1:13">
      <c r="A1940" t="s">
        <v>28</v>
      </c>
      <c r="B1940">
        <f ca="1">IF(OR(changes[[#This Row],[Type]]="Checklist",changes[[#This Row],[Type]]="checklist-flat"),1+IF(changes[[#This Row],[Type of change]] = "Edit",COUNTIFS($I$4:changes[[#This Row],[Name]],changes[[#This Row],[Name]], $E$4:changes[[#This Row],[Type of change]], "Edit")),B1939)</f>
        <v>1</v>
      </c>
      <c r="C1940" s="16">
        <v>44785</v>
      </c>
      <c r="D1940" s="1" t="s">
        <v>2450</v>
      </c>
      <c r="E1940" t="s">
        <v>27</v>
      </c>
      <c r="F1940" s="10" t="s">
        <v>918</v>
      </c>
      <c r="G1940" t="s">
        <v>1033</v>
      </c>
      <c r="H1940" t="s">
        <v>437</v>
      </c>
      <c r="I1940" t="s">
        <v>965</v>
      </c>
      <c r="J1940" t="s">
        <v>510</v>
      </c>
      <c r="K1940" s="2" t="s">
        <v>6</v>
      </c>
      <c r="M1940" s="2"/>
    </row>
    <row r="1941" spans="1:13">
      <c r="A1941" t="s">
        <v>28</v>
      </c>
      <c r="B1941">
        <f ca="1">IF(OR(changes[[#This Row],[Type]]="Checklist",changes[[#This Row],[Type]]="checklist-flat"),1+IF(changes[[#This Row],[Type of change]] = "Edit",COUNTIFS($I$4:changes[[#This Row],[Name]],changes[[#This Row],[Name]], $E$4:changes[[#This Row],[Type of change]], "Edit")),B1940)</f>
        <v>1</v>
      </c>
      <c r="C1941" s="16">
        <v>44785</v>
      </c>
      <c r="D1941" s="1" t="s">
        <v>2450</v>
      </c>
      <c r="E1941" t="s">
        <v>27</v>
      </c>
      <c r="F1941" s="10" t="s">
        <v>918</v>
      </c>
      <c r="G1941" t="s">
        <v>1033</v>
      </c>
      <c r="H1941" t="s">
        <v>420</v>
      </c>
      <c r="I1941" t="s">
        <v>966</v>
      </c>
      <c r="K1941" s="2" t="s">
        <v>6</v>
      </c>
      <c r="M1941" s="2"/>
    </row>
    <row r="1942" spans="1:13">
      <c r="A1942" t="s">
        <v>28</v>
      </c>
      <c r="B1942">
        <f ca="1">IF(OR(changes[[#This Row],[Type]]="Checklist",changes[[#This Row],[Type]]="checklist-flat"),1+IF(changes[[#This Row],[Type of change]] = "Edit",COUNTIFS($I$4:changes[[#This Row],[Name]],changes[[#This Row],[Name]], $E$4:changes[[#This Row],[Type of change]], "Edit")),B1941)</f>
        <v>1</v>
      </c>
      <c r="C1942" s="16">
        <v>44785</v>
      </c>
      <c r="D1942" s="1" t="s">
        <v>2450</v>
      </c>
      <c r="E1942" t="s">
        <v>27</v>
      </c>
      <c r="F1942" s="10" t="s">
        <v>918</v>
      </c>
      <c r="G1942" t="s">
        <v>1033</v>
      </c>
      <c r="H1942" t="s">
        <v>420</v>
      </c>
      <c r="I1942" t="s">
        <v>967</v>
      </c>
      <c r="K1942" s="2" t="s">
        <v>6</v>
      </c>
      <c r="M1942" s="2"/>
    </row>
    <row r="1943" spans="1:13">
      <c r="A1943" t="s">
        <v>28</v>
      </c>
      <c r="B1943">
        <f ca="1">IF(OR(changes[[#This Row],[Type]]="Checklist",changes[[#This Row],[Type]]="checklist-flat"),1+IF(changes[[#This Row],[Type of change]] = "Edit",COUNTIFS($I$4:changes[[#This Row],[Name]],changes[[#This Row],[Name]], $E$4:changes[[#This Row],[Type of change]], "Edit")),B1942)</f>
        <v>1</v>
      </c>
      <c r="C1943" s="16">
        <v>44785</v>
      </c>
      <c r="D1943" s="1" t="s">
        <v>2450</v>
      </c>
      <c r="E1943" t="s">
        <v>27</v>
      </c>
      <c r="F1943" s="10" t="s">
        <v>918</v>
      </c>
      <c r="G1943" t="s">
        <v>1033</v>
      </c>
      <c r="H1943" t="s">
        <v>55</v>
      </c>
      <c r="I1943" t="s">
        <v>1044</v>
      </c>
      <c r="K1943" s="2" t="s">
        <v>6</v>
      </c>
      <c r="M1943" s="2"/>
    </row>
    <row r="1944" spans="1:13">
      <c r="A1944" t="s">
        <v>28</v>
      </c>
      <c r="B1944">
        <f ca="1">IF(OR(changes[[#This Row],[Type]]="Checklist",changes[[#This Row],[Type]]="checklist-flat"),1+IF(changes[[#This Row],[Type of change]] = "Edit",COUNTIFS($I$4:changes[[#This Row],[Name]],changes[[#This Row],[Name]], $E$4:changes[[#This Row],[Type of change]], "Edit")),B1943)</f>
        <v>1</v>
      </c>
      <c r="C1944" s="16">
        <v>44785</v>
      </c>
      <c r="D1944" s="1" t="s">
        <v>2450</v>
      </c>
      <c r="E1944" t="s">
        <v>27</v>
      </c>
      <c r="F1944" s="10" t="s">
        <v>918</v>
      </c>
      <c r="G1944" t="s">
        <v>1033</v>
      </c>
      <c r="H1944" t="s">
        <v>218</v>
      </c>
      <c r="I1944" t="s">
        <v>1045</v>
      </c>
      <c r="J1944" t="s">
        <v>1046</v>
      </c>
      <c r="K1944" s="2" t="s">
        <v>6</v>
      </c>
      <c r="M1944" s="2"/>
    </row>
    <row r="1945" spans="1:13">
      <c r="A1945" t="s">
        <v>28</v>
      </c>
      <c r="B1945">
        <f ca="1">IF(OR(changes[[#This Row],[Type]]="Checklist",changes[[#This Row],[Type]]="checklist-flat"),1+IF(changes[[#This Row],[Type of change]] = "Edit",COUNTIFS($I$4:changes[[#This Row],[Name]],changes[[#This Row],[Name]], $E$4:changes[[#This Row],[Type of change]], "Edit")),B1944)</f>
        <v>1</v>
      </c>
      <c r="C1945" s="16">
        <v>44785</v>
      </c>
      <c r="D1945" s="1" t="s">
        <v>2450</v>
      </c>
      <c r="E1945" t="s">
        <v>27</v>
      </c>
      <c r="F1945" s="10" t="s">
        <v>918</v>
      </c>
      <c r="G1945" t="s">
        <v>1033</v>
      </c>
      <c r="H1945" t="s">
        <v>1047</v>
      </c>
      <c r="I1945" t="s">
        <v>1022</v>
      </c>
      <c r="K1945" s="2" t="s">
        <v>6</v>
      </c>
      <c r="M1945" s="2"/>
    </row>
    <row r="1946" spans="1:13">
      <c r="A1946" t="s">
        <v>28</v>
      </c>
      <c r="B1946">
        <f ca="1">IF(OR(changes[[#This Row],[Type]]="Checklist",changes[[#This Row],[Type]]="checklist-flat"),1+IF(changes[[#This Row],[Type of change]] = "Edit",COUNTIFS($I$4:changes[[#This Row],[Name]],changes[[#This Row],[Name]], $E$4:changes[[#This Row],[Type of change]], "Edit")),B1945)</f>
        <v>1</v>
      </c>
      <c r="C1946" s="16">
        <v>44785</v>
      </c>
      <c r="D1946" s="1" t="s">
        <v>2450</v>
      </c>
      <c r="E1946" t="s">
        <v>27</v>
      </c>
      <c r="F1946" s="10" t="s">
        <v>918</v>
      </c>
      <c r="G1946" t="s">
        <v>1033</v>
      </c>
      <c r="H1946" t="s">
        <v>55</v>
      </c>
      <c r="I1946" t="s">
        <v>1048</v>
      </c>
      <c r="K1946" s="2" t="s">
        <v>6</v>
      </c>
      <c r="M1946" s="2"/>
    </row>
    <row r="1947" spans="1:13">
      <c r="A1947" t="s">
        <v>28</v>
      </c>
      <c r="B1947">
        <f ca="1">IF(OR(changes[[#This Row],[Type]]="Checklist",changes[[#This Row],[Type]]="checklist-flat"),1+IF(changes[[#This Row],[Type of change]] = "Edit",COUNTIFS($I$4:changes[[#This Row],[Name]],changes[[#This Row],[Name]], $E$4:changes[[#This Row],[Type of change]], "Edit")),B1946)</f>
        <v>1</v>
      </c>
      <c r="C1947" s="16">
        <v>44785</v>
      </c>
      <c r="D1947" s="1" t="s">
        <v>2450</v>
      </c>
      <c r="E1947" t="s">
        <v>27</v>
      </c>
      <c r="F1947" s="10" t="s">
        <v>918</v>
      </c>
      <c r="G1947" t="s">
        <v>1033</v>
      </c>
      <c r="H1947" t="s">
        <v>64</v>
      </c>
      <c r="I1947" t="s">
        <v>933</v>
      </c>
      <c r="K1947" s="2" t="s">
        <v>6</v>
      </c>
      <c r="M1947" s="2"/>
    </row>
    <row r="1948" spans="1:13">
      <c r="A1948" t="s">
        <v>28</v>
      </c>
      <c r="B1948">
        <f ca="1">IF(OR(changes[[#This Row],[Type]]="Checklist",changes[[#This Row],[Type]]="checklist-flat"),1+IF(changes[[#This Row],[Type of change]] = "Edit",COUNTIFS($I$4:changes[[#This Row],[Name]],changes[[#This Row],[Name]], $E$4:changes[[#This Row],[Type of change]], "Edit")),B1947)</f>
        <v>1</v>
      </c>
      <c r="C1948" s="16">
        <v>44785</v>
      </c>
      <c r="D1948" s="1" t="s">
        <v>2450</v>
      </c>
      <c r="E1948" t="s">
        <v>27</v>
      </c>
      <c r="F1948" s="10" t="s">
        <v>918</v>
      </c>
      <c r="G1948" t="s">
        <v>1030</v>
      </c>
      <c r="H1948" t="s">
        <v>478</v>
      </c>
      <c r="I1948" t="s">
        <v>1030</v>
      </c>
      <c r="K1948" s="2" t="s">
        <v>6</v>
      </c>
      <c r="M1948" s="2"/>
    </row>
    <row r="1949" spans="1:13">
      <c r="A1949" t="s">
        <v>28</v>
      </c>
      <c r="B1949">
        <f ca="1">IF(OR(changes[[#This Row],[Type]]="Checklist",changes[[#This Row],[Type]]="checklist-flat"),1+IF(changes[[#This Row],[Type of change]] = "Edit",COUNTIFS($I$4:changes[[#This Row],[Name]],changes[[#This Row],[Name]], $E$4:changes[[#This Row],[Type of change]], "Edit")),B1948)</f>
        <v>1</v>
      </c>
      <c r="C1949" s="16">
        <v>44785</v>
      </c>
      <c r="D1949" s="1" t="s">
        <v>2450</v>
      </c>
      <c r="E1949" t="s">
        <v>27</v>
      </c>
      <c r="F1949" s="10" t="s">
        <v>918</v>
      </c>
      <c r="G1949" t="s">
        <v>1030</v>
      </c>
      <c r="H1949" t="s">
        <v>55</v>
      </c>
      <c r="I1949" t="s">
        <v>1031</v>
      </c>
      <c r="K1949" s="2" t="s">
        <v>6</v>
      </c>
      <c r="M1949" s="2"/>
    </row>
    <row r="1950" spans="1:13">
      <c r="A1950" t="s">
        <v>28</v>
      </c>
      <c r="B1950">
        <f ca="1">IF(OR(changes[[#This Row],[Type]]="Checklist",changes[[#This Row],[Type]]="checklist-flat"),1+IF(changes[[#This Row],[Type of change]] = "Edit",COUNTIFS($I$4:changes[[#This Row],[Name]],changes[[#This Row],[Name]], $E$4:changes[[#This Row],[Type of change]], "Edit")),B1949)</f>
        <v>1</v>
      </c>
      <c r="C1950" s="16">
        <v>44785</v>
      </c>
      <c r="D1950" s="1" t="s">
        <v>2450</v>
      </c>
      <c r="E1950" t="s">
        <v>27</v>
      </c>
      <c r="F1950" s="10" t="s">
        <v>918</v>
      </c>
      <c r="G1950" t="s">
        <v>1030</v>
      </c>
      <c r="H1950" t="s">
        <v>214</v>
      </c>
      <c r="I1950" t="s">
        <v>936</v>
      </c>
      <c r="K1950" s="2" t="s">
        <v>6</v>
      </c>
      <c r="M1950" s="2"/>
    </row>
    <row r="1951" spans="1:13">
      <c r="A1951" t="s">
        <v>28</v>
      </c>
      <c r="B1951">
        <f ca="1">IF(OR(changes[[#This Row],[Type]]="Checklist",changes[[#This Row],[Type]]="checklist-flat"),1+IF(changes[[#This Row],[Type of change]] = "Edit",COUNTIFS($I$4:changes[[#This Row],[Name]],changes[[#This Row],[Name]], $E$4:changes[[#This Row],[Type of change]], "Edit")),B1950)</f>
        <v>1</v>
      </c>
      <c r="C1951" s="16">
        <v>44785</v>
      </c>
      <c r="D1951" s="1" t="s">
        <v>2450</v>
      </c>
      <c r="E1951" t="s">
        <v>27</v>
      </c>
      <c r="F1951" s="10" t="s">
        <v>918</v>
      </c>
      <c r="G1951" t="s">
        <v>1030</v>
      </c>
      <c r="H1951" t="s">
        <v>214</v>
      </c>
      <c r="I1951" t="s">
        <v>975</v>
      </c>
      <c r="K1951" s="2" t="s">
        <v>6</v>
      </c>
      <c r="M1951" s="2"/>
    </row>
    <row r="1952" spans="1:13">
      <c r="A1952" t="s">
        <v>28</v>
      </c>
      <c r="B1952">
        <f ca="1">IF(OR(changes[[#This Row],[Type]]="Checklist",changes[[#This Row],[Type]]="checklist-flat"),1+IF(changes[[#This Row],[Type of change]] = "Edit",COUNTIFS($I$4:changes[[#This Row],[Name]],changes[[#This Row],[Name]], $E$4:changes[[#This Row],[Type of change]], "Edit")),B1951)</f>
        <v>1</v>
      </c>
      <c r="C1952" s="16">
        <v>44785</v>
      </c>
      <c r="D1952" s="1" t="s">
        <v>2450</v>
      </c>
      <c r="E1952" t="s">
        <v>27</v>
      </c>
      <c r="F1952" s="10" t="s">
        <v>918</v>
      </c>
      <c r="G1952" t="s">
        <v>1030</v>
      </c>
      <c r="H1952" t="s">
        <v>214</v>
      </c>
      <c r="I1952" t="s">
        <v>938</v>
      </c>
      <c r="K1952" s="2" t="s">
        <v>6</v>
      </c>
      <c r="M1952" s="2"/>
    </row>
    <row r="1953" spans="1:13">
      <c r="A1953" t="s">
        <v>28</v>
      </c>
      <c r="B1953">
        <f ca="1">IF(OR(changes[[#This Row],[Type]]="Checklist",changes[[#This Row],[Type]]="checklist-flat"),1+IF(changes[[#This Row],[Type of change]] = "Edit",COUNTIFS($I$4:changes[[#This Row],[Name]],changes[[#This Row],[Name]], $E$4:changes[[#This Row],[Type of change]], "Edit")),B1952)</f>
        <v>1</v>
      </c>
      <c r="C1953" s="16">
        <v>44785</v>
      </c>
      <c r="D1953" s="1" t="s">
        <v>2450</v>
      </c>
      <c r="E1953" t="s">
        <v>27</v>
      </c>
      <c r="F1953" s="10" t="s">
        <v>918</v>
      </c>
      <c r="G1953" t="s">
        <v>1030</v>
      </c>
      <c r="H1953" t="s">
        <v>64</v>
      </c>
      <c r="I1953" t="s">
        <v>1032</v>
      </c>
      <c r="K1953" s="2" t="s">
        <v>6</v>
      </c>
      <c r="M1953" s="2"/>
    </row>
    <row r="1954" spans="1:13">
      <c r="A1954" t="s">
        <v>28</v>
      </c>
      <c r="B1954">
        <f ca="1">IF(OR(changes[[#This Row],[Type]]="Checklist",changes[[#This Row],[Type]]="checklist-flat"),1+IF(changes[[#This Row],[Type of change]] = "Edit",COUNTIFS($I$4:changes[[#This Row],[Name]],changes[[#This Row],[Name]], $E$4:changes[[#This Row],[Type of change]], "Edit")),B1953)</f>
        <v>1</v>
      </c>
      <c r="C1954" s="16">
        <v>44785</v>
      </c>
      <c r="D1954" s="1" t="s">
        <v>2450</v>
      </c>
      <c r="E1954" t="s">
        <v>27</v>
      </c>
      <c r="F1954" s="10" t="s">
        <v>918</v>
      </c>
      <c r="G1954" t="s">
        <v>1049</v>
      </c>
      <c r="H1954" t="s">
        <v>478</v>
      </c>
      <c r="I1954" t="s">
        <v>1049</v>
      </c>
      <c r="K1954" s="2" t="s">
        <v>6</v>
      </c>
      <c r="M1954" s="2"/>
    </row>
    <row r="1955" spans="1:13">
      <c r="A1955" t="s">
        <v>28</v>
      </c>
      <c r="B1955">
        <f ca="1">IF(OR(changes[[#This Row],[Type]]="Checklist",changes[[#This Row],[Type]]="checklist-flat"),1+IF(changes[[#This Row],[Type of change]] = "Edit",COUNTIFS($I$4:changes[[#This Row],[Name]],changes[[#This Row],[Name]], $E$4:changes[[#This Row],[Type of change]], "Edit")),B1954)</f>
        <v>1</v>
      </c>
      <c r="C1955" s="16">
        <v>44785</v>
      </c>
      <c r="D1955" s="1" t="s">
        <v>2450</v>
      </c>
      <c r="E1955" t="s">
        <v>27</v>
      </c>
      <c r="F1955" s="10" t="s">
        <v>918</v>
      </c>
      <c r="G1955" t="s">
        <v>1049</v>
      </c>
      <c r="H1955" t="s">
        <v>55</v>
      </c>
      <c r="I1955" t="s">
        <v>959</v>
      </c>
      <c r="K1955" s="2" t="s">
        <v>6</v>
      </c>
      <c r="M1955" s="2"/>
    </row>
    <row r="1956" spans="1:13">
      <c r="A1956" t="s">
        <v>28</v>
      </c>
      <c r="B1956">
        <f ca="1">IF(OR(changes[[#This Row],[Type]]="Checklist",changes[[#This Row],[Type]]="checklist-flat"),1+IF(changes[[#This Row],[Type of change]] = "Edit",COUNTIFS($I$4:changes[[#This Row],[Name]],changes[[#This Row],[Name]], $E$4:changes[[#This Row],[Type of change]], "Edit")),B1955)</f>
        <v>1</v>
      </c>
      <c r="C1956" s="16">
        <v>44785</v>
      </c>
      <c r="D1956" s="1" t="s">
        <v>2450</v>
      </c>
      <c r="E1956" t="s">
        <v>27</v>
      </c>
      <c r="F1956" s="10" t="s">
        <v>918</v>
      </c>
      <c r="G1956" t="s">
        <v>1049</v>
      </c>
      <c r="H1956" t="s">
        <v>214</v>
      </c>
      <c r="I1956" t="s">
        <v>1050</v>
      </c>
      <c r="K1956" s="2" t="s">
        <v>6</v>
      </c>
      <c r="M1956" s="2"/>
    </row>
    <row r="1957" spans="1:13">
      <c r="A1957" t="s">
        <v>28</v>
      </c>
      <c r="B1957">
        <f ca="1">IF(OR(changes[[#This Row],[Type]]="Checklist",changes[[#This Row],[Type]]="checklist-flat"),1+IF(changes[[#This Row],[Type of change]] = "Edit",COUNTIFS($I$4:changes[[#This Row],[Name]],changes[[#This Row],[Name]], $E$4:changes[[#This Row],[Type of change]], "Edit")),B1956)</f>
        <v>1</v>
      </c>
      <c r="C1957" s="16">
        <v>44785</v>
      </c>
      <c r="D1957" s="1" t="s">
        <v>2450</v>
      </c>
      <c r="E1957" t="s">
        <v>27</v>
      </c>
      <c r="F1957" s="10" t="s">
        <v>918</v>
      </c>
      <c r="G1957" t="s">
        <v>1049</v>
      </c>
      <c r="H1957" t="s">
        <v>214</v>
      </c>
      <c r="I1957" t="s">
        <v>1051</v>
      </c>
      <c r="K1957" s="2" t="s">
        <v>6</v>
      </c>
      <c r="M1957" s="2"/>
    </row>
    <row r="1958" spans="1:13">
      <c r="A1958" t="s">
        <v>28</v>
      </c>
      <c r="B1958">
        <f ca="1">IF(OR(changes[[#This Row],[Type]]="Checklist",changes[[#This Row],[Type]]="checklist-flat"),1+IF(changes[[#This Row],[Type of change]] = "Edit",COUNTIFS($I$4:changes[[#This Row],[Name]],changes[[#This Row],[Name]], $E$4:changes[[#This Row],[Type of change]], "Edit")),B1957)</f>
        <v>1</v>
      </c>
      <c r="C1958" s="16">
        <v>44785</v>
      </c>
      <c r="D1958" s="1" t="s">
        <v>2450</v>
      </c>
      <c r="E1958" t="s">
        <v>27</v>
      </c>
      <c r="F1958" s="10" t="s">
        <v>918</v>
      </c>
      <c r="G1958" t="s">
        <v>1049</v>
      </c>
      <c r="H1958" t="s">
        <v>214</v>
      </c>
      <c r="I1958" t="s">
        <v>1052</v>
      </c>
      <c r="K1958" s="2" t="s">
        <v>6</v>
      </c>
      <c r="M1958" s="2"/>
    </row>
    <row r="1959" spans="1:13">
      <c r="A1959" t="s">
        <v>28</v>
      </c>
      <c r="B1959">
        <f ca="1">IF(OR(changes[[#This Row],[Type]]="Checklist",changes[[#This Row],[Type]]="checklist-flat"),1+IF(changes[[#This Row],[Type of change]] = "Edit",COUNTIFS($I$4:changes[[#This Row],[Name]],changes[[#This Row],[Name]], $E$4:changes[[#This Row],[Type of change]], "Edit")),B1958)</f>
        <v>1</v>
      </c>
      <c r="C1959" s="16">
        <v>44785</v>
      </c>
      <c r="D1959" s="1" t="s">
        <v>2450</v>
      </c>
      <c r="E1959" t="s">
        <v>27</v>
      </c>
      <c r="F1959" s="10" t="s">
        <v>918</v>
      </c>
      <c r="G1959" t="s">
        <v>1049</v>
      </c>
      <c r="H1959" t="s">
        <v>55</v>
      </c>
      <c r="I1959" t="s">
        <v>1053</v>
      </c>
      <c r="K1959" s="2" t="s">
        <v>6</v>
      </c>
      <c r="M1959" s="2"/>
    </row>
    <row r="1960" spans="1:13">
      <c r="A1960" t="s">
        <v>28</v>
      </c>
      <c r="B1960">
        <f ca="1">IF(OR(changes[[#This Row],[Type]]="Checklist",changes[[#This Row],[Type]]="checklist-flat"),1+IF(changes[[#This Row],[Type of change]] = "Edit",COUNTIFS($I$4:changes[[#This Row],[Name]],changes[[#This Row],[Name]], $E$4:changes[[#This Row],[Type of change]], "Edit")),B1959)</f>
        <v>1</v>
      </c>
      <c r="C1960" s="16">
        <v>44785</v>
      </c>
      <c r="D1960" s="1" t="s">
        <v>2450</v>
      </c>
      <c r="E1960" t="s">
        <v>27</v>
      </c>
      <c r="F1960" s="10" t="s">
        <v>918</v>
      </c>
      <c r="G1960" t="s">
        <v>1049</v>
      </c>
      <c r="H1960" t="s">
        <v>951</v>
      </c>
      <c r="I1960" t="s">
        <v>1054</v>
      </c>
      <c r="K1960" s="2" t="s">
        <v>6</v>
      </c>
      <c r="M1960" s="2"/>
    </row>
    <row r="1961" spans="1:13">
      <c r="A1961" t="s">
        <v>28</v>
      </c>
      <c r="B1961">
        <f ca="1">IF(OR(changes[[#This Row],[Type]]="Checklist",changes[[#This Row],[Type]]="checklist-flat"),1+IF(changes[[#This Row],[Type of change]] = "Edit",COUNTIFS($I$4:changes[[#This Row],[Name]],changes[[#This Row],[Name]], $E$4:changes[[#This Row],[Type of change]], "Edit")),B1960)</f>
        <v>1</v>
      </c>
      <c r="C1961" s="16">
        <v>44785</v>
      </c>
      <c r="D1961" s="1" t="s">
        <v>2450</v>
      </c>
      <c r="E1961" t="s">
        <v>27</v>
      </c>
      <c r="F1961" s="10" t="s">
        <v>918</v>
      </c>
      <c r="G1961" t="s">
        <v>1049</v>
      </c>
      <c r="H1961" t="s">
        <v>951</v>
      </c>
      <c r="I1961" t="s">
        <v>1055</v>
      </c>
      <c r="J1961" s="22"/>
      <c r="K1961" s="2" t="s">
        <v>6</v>
      </c>
      <c r="M1961" s="2"/>
    </row>
    <row r="1962" spans="1:13">
      <c r="A1962" t="s">
        <v>28</v>
      </c>
      <c r="B1962">
        <f ca="1">IF(OR(changes[[#This Row],[Type]]="Checklist",changes[[#This Row],[Type]]="checklist-flat"),1+IF(changes[[#This Row],[Type of change]] = "Edit",COUNTIFS($I$4:changes[[#This Row],[Name]],changes[[#This Row],[Name]], $E$4:changes[[#This Row],[Type of change]], "Edit")),B1961)</f>
        <v>1</v>
      </c>
      <c r="C1962" s="16">
        <v>44785</v>
      </c>
      <c r="D1962" s="1" t="s">
        <v>2450</v>
      </c>
      <c r="E1962" t="s">
        <v>27</v>
      </c>
      <c r="F1962" s="10" t="s">
        <v>918</v>
      </c>
      <c r="G1962" t="s">
        <v>1049</v>
      </c>
      <c r="H1962" t="s">
        <v>951</v>
      </c>
      <c r="I1962" t="s">
        <v>1056</v>
      </c>
      <c r="J1962" s="22"/>
      <c r="K1962" s="2" t="s">
        <v>6</v>
      </c>
      <c r="M1962" s="2"/>
    </row>
    <row r="1963" spans="1:13">
      <c r="A1963" t="s">
        <v>28</v>
      </c>
      <c r="B1963">
        <f ca="1">IF(OR(changes[[#This Row],[Type]]="Checklist",changes[[#This Row],[Type]]="checklist-flat"),1+IF(changes[[#This Row],[Type of change]] = "Edit",COUNTIFS($I$4:changes[[#This Row],[Name]],changes[[#This Row],[Name]], $E$4:changes[[#This Row],[Type of change]], "Edit")),B1962)</f>
        <v>1</v>
      </c>
      <c r="C1963" s="16">
        <v>44785</v>
      </c>
      <c r="D1963" s="1" t="s">
        <v>2450</v>
      </c>
      <c r="E1963" t="s">
        <v>27</v>
      </c>
      <c r="F1963" s="10" t="s">
        <v>918</v>
      </c>
      <c r="G1963" t="s">
        <v>1049</v>
      </c>
      <c r="H1963" t="s">
        <v>951</v>
      </c>
      <c r="I1963" t="s">
        <v>1057</v>
      </c>
      <c r="J1963" s="22"/>
      <c r="K1963" s="2" t="s">
        <v>6</v>
      </c>
      <c r="M1963" s="2"/>
    </row>
    <row r="1964" spans="1:13">
      <c r="A1964" t="s">
        <v>28</v>
      </c>
      <c r="B1964">
        <f ca="1">IF(OR(changes[[#This Row],[Type]]="Checklist",changes[[#This Row],[Type]]="checklist-flat"),1+IF(changes[[#This Row],[Type of change]] = "Edit",COUNTIFS($I$4:changes[[#This Row],[Name]],changes[[#This Row],[Name]], $E$4:changes[[#This Row],[Type of change]], "Edit")),B1963)</f>
        <v>1</v>
      </c>
      <c r="C1964" s="16">
        <v>44785</v>
      </c>
      <c r="D1964" s="1" t="s">
        <v>2450</v>
      </c>
      <c r="E1964" t="s">
        <v>27</v>
      </c>
      <c r="F1964" s="10" t="s">
        <v>918</v>
      </c>
      <c r="G1964" t="s">
        <v>1049</v>
      </c>
      <c r="H1964" t="s">
        <v>55</v>
      </c>
      <c r="I1964" t="s">
        <v>1058</v>
      </c>
      <c r="K1964" s="2" t="s">
        <v>6</v>
      </c>
      <c r="M1964" s="2"/>
    </row>
    <row r="1965" spans="1:13">
      <c r="A1965" t="s">
        <v>28</v>
      </c>
      <c r="B1965">
        <f ca="1">IF(OR(changes[[#This Row],[Type]]="Checklist",changes[[#This Row],[Type]]="checklist-flat"),1+IF(changes[[#This Row],[Type of change]] = "Edit",COUNTIFS($I$4:changes[[#This Row],[Name]],changes[[#This Row],[Name]], $E$4:changes[[#This Row],[Type of change]], "Edit")),B1964)</f>
        <v>1</v>
      </c>
      <c r="C1965" s="16">
        <v>44785</v>
      </c>
      <c r="D1965" s="1" t="s">
        <v>2450</v>
      </c>
      <c r="E1965" t="s">
        <v>27</v>
      </c>
      <c r="F1965" s="10" t="s">
        <v>918</v>
      </c>
      <c r="G1965" t="s">
        <v>1049</v>
      </c>
      <c r="H1965" t="s">
        <v>951</v>
      </c>
      <c r="I1965" t="s">
        <v>1059</v>
      </c>
      <c r="K1965" s="2" t="s">
        <v>6</v>
      </c>
      <c r="M1965" s="2"/>
    </row>
    <row r="1966" spans="1:13">
      <c r="A1966" t="s">
        <v>28</v>
      </c>
      <c r="B1966">
        <f ca="1">IF(OR(changes[[#This Row],[Type]]="Checklist",changes[[#This Row],[Type]]="checklist-flat"),1+IF(changes[[#This Row],[Type of change]] = "Edit",COUNTIFS($I$4:changes[[#This Row],[Name]],changes[[#This Row],[Name]], $E$4:changes[[#This Row],[Type of change]], "Edit")),B1965)</f>
        <v>1</v>
      </c>
      <c r="C1966" s="16">
        <v>44785</v>
      </c>
      <c r="D1966" s="1" t="s">
        <v>2450</v>
      </c>
      <c r="E1966" t="s">
        <v>27</v>
      </c>
      <c r="F1966" s="10" t="s">
        <v>918</v>
      </c>
      <c r="G1966" t="s">
        <v>1049</v>
      </c>
      <c r="H1966" t="s">
        <v>55</v>
      </c>
      <c r="I1966" t="s">
        <v>1060</v>
      </c>
      <c r="K1966" s="2" t="s">
        <v>6</v>
      </c>
      <c r="M1966" s="2"/>
    </row>
    <row r="1967" spans="1:13">
      <c r="A1967" t="s">
        <v>28</v>
      </c>
      <c r="B1967">
        <f ca="1">IF(OR(changes[[#This Row],[Type]]="Checklist",changes[[#This Row],[Type]]="checklist-flat"),1+IF(changes[[#This Row],[Type of change]] = "Edit",COUNTIFS($I$4:changes[[#This Row],[Name]],changes[[#This Row],[Name]], $E$4:changes[[#This Row],[Type of change]], "Edit")),B1966)</f>
        <v>1</v>
      </c>
      <c r="C1967" s="16">
        <v>44785</v>
      </c>
      <c r="D1967" s="1" t="s">
        <v>2450</v>
      </c>
      <c r="E1967" t="s">
        <v>27</v>
      </c>
      <c r="F1967" s="10" t="s">
        <v>918</v>
      </c>
      <c r="G1967" t="s">
        <v>1049</v>
      </c>
      <c r="H1967" t="s">
        <v>951</v>
      </c>
      <c r="I1967" t="s">
        <v>1061</v>
      </c>
      <c r="K1967" s="2" t="s">
        <v>6</v>
      </c>
      <c r="M1967" s="2"/>
    </row>
    <row r="1968" spans="1:13">
      <c r="A1968" t="s">
        <v>28</v>
      </c>
      <c r="B1968">
        <f ca="1">IF(OR(changes[[#This Row],[Type]]="Checklist",changes[[#This Row],[Type]]="checklist-flat"),1+IF(changes[[#This Row],[Type of change]] = "Edit",COUNTIFS($I$4:changes[[#This Row],[Name]],changes[[#This Row],[Name]], $E$4:changes[[#This Row],[Type of change]], "Edit")),B1967)</f>
        <v>1</v>
      </c>
      <c r="C1968" s="16">
        <v>44785</v>
      </c>
      <c r="D1968" s="1" t="s">
        <v>2450</v>
      </c>
      <c r="E1968" t="s">
        <v>27</v>
      </c>
      <c r="F1968" s="10" t="s">
        <v>918</v>
      </c>
      <c r="G1968" t="s">
        <v>1049</v>
      </c>
      <c r="H1968" t="s">
        <v>951</v>
      </c>
      <c r="I1968" t="s">
        <v>1062</v>
      </c>
      <c r="J1968" s="22"/>
      <c r="K1968" s="2" t="s">
        <v>6</v>
      </c>
      <c r="M1968" s="2"/>
    </row>
    <row r="1969" spans="1:13">
      <c r="A1969" t="s">
        <v>28</v>
      </c>
      <c r="B1969">
        <f ca="1">IF(OR(changes[[#This Row],[Type]]="Checklist",changes[[#This Row],[Type]]="checklist-flat"),1+IF(changes[[#This Row],[Type of change]] = "Edit",COUNTIFS($I$4:changes[[#This Row],[Name]],changes[[#This Row],[Name]], $E$4:changes[[#This Row],[Type of change]], "Edit")),B1968)</f>
        <v>1</v>
      </c>
      <c r="C1969" s="16">
        <v>44785</v>
      </c>
      <c r="D1969" s="1" t="s">
        <v>2450</v>
      </c>
      <c r="E1969" t="s">
        <v>27</v>
      </c>
      <c r="F1969" s="10" t="s">
        <v>918</v>
      </c>
      <c r="G1969" t="s">
        <v>1049</v>
      </c>
      <c r="H1969" t="s">
        <v>951</v>
      </c>
      <c r="I1969" t="s">
        <v>1063</v>
      </c>
      <c r="J1969" s="22"/>
      <c r="K1969" s="2" t="s">
        <v>6</v>
      </c>
      <c r="M1969" s="2"/>
    </row>
    <row r="1970" spans="1:13">
      <c r="A1970" t="s">
        <v>28</v>
      </c>
      <c r="B1970">
        <f ca="1">IF(OR(changes[[#This Row],[Type]]="Checklist",changes[[#This Row],[Type]]="checklist-flat"),1+IF(changes[[#This Row],[Type of change]] = "Edit",COUNTIFS($I$4:changes[[#This Row],[Name]],changes[[#This Row],[Name]], $E$4:changes[[#This Row],[Type of change]], "Edit")),B1969)</f>
        <v>1</v>
      </c>
      <c r="C1970" s="16">
        <v>44785</v>
      </c>
      <c r="D1970" s="1" t="s">
        <v>2450</v>
      </c>
      <c r="E1970" t="s">
        <v>27</v>
      </c>
      <c r="F1970" s="10" t="s">
        <v>918</v>
      </c>
      <c r="G1970" t="s">
        <v>1049</v>
      </c>
      <c r="H1970" t="s">
        <v>951</v>
      </c>
      <c r="I1970" t="s">
        <v>1064</v>
      </c>
      <c r="J1970" s="22"/>
      <c r="K1970" s="2" t="s">
        <v>6</v>
      </c>
      <c r="M1970" s="2"/>
    </row>
    <row r="1971" spans="1:13">
      <c r="A1971" t="s">
        <v>28</v>
      </c>
      <c r="B1971">
        <f ca="1">IF(OR(changes[[#This Row],[Type]]="Checklist",changes[[#This Row],[Type]]="checklist-flat"),1+IF(changes[[#This Row],[Type of change]] = "Edit",COUNTIFS($I$4:changes[[#This Row],[Name]],changes[[#This Row],[Name]], $E$4:changes[[#This Row],[Type of change]], "Edit")),B1970)</f>
        <v>1</v>
      </c>
      <c r="C1971" s="16">
        <v>44785</v>
      </c>
      <c r="D1971" s="1" t="s">
        <v>2450</v>
      </c>
      <c r="E1971" t="s">
        <v>27</v>
      </c>
      <c r="F1971" s="10" t="s">
        <v>918</v>
      </c>
      <c r="G1971" t="s">
        <v>1049</v>
      </c>
      <c r="H1971" t="s">
        <v>951</v>
      </c>
      <c r="I1971" t="s">
        <v>1065</v>
      </c>
      <c r="J1971" s="22"/>
      <c r="K1971" s="2" t="s">
        <v>6</v>
      </c>
      <c r="M1971" s="2"/>
    </row>
    <row r="1972" spans="1:13">
      <c r="A1972" t="s">
        <v>28</v>
      </c>
      <c r="B1972">
        <f ca="1">IF(OR(changes[[#This Row],[Type]]="Checklist",changes[[#This Row],[Type]]="checklist-flat"),1+IF(changes[[#This Row],[Type of change]] = "Edit",COUNTIFS($I$4:changes[[#This Row],[Name]],changes[[#This Row],[Name]], $E$4:changes[[#This Row],[Type of change]], "Edit")),B1971)</f>
        <v>1</v>
      </c>
      <c r="C1972" s="16">
        <v>44785</v>
      </c>
      <c r="D1972" s="1" t="s">
        <v>2450</v>
      </c>
      <c r="E1972" t="s">
        <v>27</v>
      </c>
      <c r="F1972" s="10" t="s">
        <v>918</v>
      </c>
      <c r="G1972" t="s">
        <v>1049</v>
      </c>
      <c r="H1972" t="s">
        <v>55</v>
      </c>
      <c r="I1972" t="s">
        <v>1066</v>
      </c>
      <c r="K1972" s="2" t="s">
        <v>6</v>
      </c>
      <c r="M1972" s="2"/>
    </row>
    <row r="1973" spans="1:13" ht="15.75">
      <c r="A1973" t="s">
        <v>28</v>
      </c>
      <c r="B1973">
        <f ca="1">IF(OR(changes[[#This Row],[Type]]="Checklist",changes[[#This Row],[Type]]="checklist-flat"),1+IF(changes[[#This Row],[Type of change]] = "Edit",COUNTIFS($I$4:changes[[#This Row],[Name]],changes[[#This Row],[Name]], $E$4:changes[[#This Row],[Type of change]], "Edit")),B1972)</f>
        <v>3</v>
      </c>
      <c r="C1973" s="16">
        <v>44799</v>
      </c>
      <c r="D1973" s="1" t="s">
        <v>2450</v>
      </c>
      <c r="E1973" t="s">
        <v>15</v>
      </c>
      <c r="F1973" s="10" t="s">
        <v>9</v>
      </c>
      <c r="G1973" s="21" t="s">
        <v>1853</v>
      </c>
      <c r="H1973" s="19" t="s">
        <v>478</v>
      </c>
      <c r="I1973" s="21" t="s">
        <v>1853</v>
      </c>
      <c r="J1973" s="22"/>
      <c r="K1973" s="2" t="s">
        <v>6</v>
      </c>
      <c r="L1973" t="s">
        <v>2896</v>
      </c>
      <c r="M1973" s="2" t="s">
        <v>2897</v>
      </c>
    </row>
    <row r="1974" spans="1:13" ht="15.75">
      <c r="A1974" t="s">
        <v>28</v>
      </c>
      <c r="B1974">
        <f ca="1">IF(OR(changes[[#This Row],[Type]]="Checklist",changes[[#This Row],[Type]]="checklist-flat"),1+IF(changes[[#This Row],[Type of change]] = "Edit",COUNTIFS($I$4:changes[[#This Row],[Name]],changes[[#This Row],[Name]], $E$4:changes[[#This Row],[Type of change]], "Edit")),B1973)</f>
        <v>3</v>
      </c>
      <c r="C1974" s="16">
        <v>44799</v>
      </c>
      <c r="D1974" s="1" t="s">
        <v>2450</v>
      </c>
      <c r="E1974" t="s">
        <v>15</v>
      </c>
      <c r="F1974" s="10" t="s">
        <v>9</v>
      </c>
      <c r="G1974" s="21" t="s">
        <v>1853</v>
      </c>
      <c r="H1974" s="19" t="s">
        <v>479</v>
      </c>
      <c r="I1974" s="21" t="s">
        <v>1652</v>
      </c>
      <c r="J1974" s="22"/>
      <c r="K1974" s="2" t="s">
        <v>6</v>
      </c>
      <c r="L1974" t="s">
        <v>2896</v>
      </c>
      <c r="M1974" s="2"/>
    </row>
    <row r="1975" spans="1:13" ht="15.75">
      <c r="A1975" t="s">
        <v>28</v>
      </c>
      <c r="B1975">
        <f ca="1">IF(OR(changes[[#This Row],[Type]]="Checklist",changes[[#This Row],[Type]]="checklist-flat"),1+IF(changes[[#This Row],[Type of change]] = "Edit",COUNTIFS($I$4:changes[[#This Row],[Name]],changes[[#This Row],[Name]], $E$4:changes[[#This Row],[Type of change]], "Edit")),B1974)</f>
        <v>3</v>
      </c>
      <c r="C1975" s="16">
        <v>44799</v>
      </c>
      <c r="D1975" s="1" t="s">
        <v>2450</v>
      </c>
      <c r="E1975" t="s">
        <v>15</v>
      </c>
      <c r="F1975" s="10" t="s">
        <v>9</v>
      </c>
      <c r="G1975" s="21" t="s">
        <v>1853</v>
      </c>
      <c r="H1975" s="19" t="s">
        <v>55</v>
      </c>
      <c r="I1975" s="21" t="s">
        <v>1855</v>
      </c>
      <c r="J1975" s="22"/>
      <c r="K1975" s="2" t="s">
        <v>6</v>
      </c>
      <c r="L1975" t="s">
        <v>2896</v>
      </c>
      <c r="M1975" s="2"/>
    </row>
    <row r="1976" spans="1:13" ht="15.75">
      <c r="A1976" t="s">
        <v>28</v>
      </c>
      <c r="B1976">
        <f ca="1">IF(OR(changes[[#This Row],[Type]]="Checklist",changes[[#This Row],[Type]]="checklist-flat"),1+IF(changes[[#This Row],[Type of change]] = "Edit",COUNTIFS($I$4:changes[[#This Row],[Name]],changes[[#This Row],[Name]], $E$4:changes[[#This Row],[Type of change]], "Edit")),B1975)</f>
        <v>3</v>
      </c>
      <c r="C1976" s="16">
        <v>44799</v>
      </c>
      <c r="D1976" s="1" t="s">
        <v>2450</v>
      </c>
      <c r="E1976" t="s">
        <v>15</v>
      </c>
      <c r="F1976" s="10" t="s">
        <v>9</v>
      </c>
      <c r="G1976" s="21" t="s">
        <v>1853</v>
      </c>
      <c r="H1976" s="2" t="s">
        <v>55</v>
      </c>
      <c r="I1976" s="18" t="s">
        <v>1653</v>
      </c>
      <c r="J1976" s="23"/>
      <c r="K1976" s="2" t="s">
        <v>6</v>
      </c>
      <c r="L1976" t="s">
        <v>2896</v>
      </c>
      <c r="M1976" s="2"/>
    </row>
    <row r="1977" spans="1:13" ht="15.75">
      <c r="A1977" t="s">
        <v>28</v>
      </c>
      <c r="B1977">
        <f ca="1">IF(OR(changes[[#This Row],[Type]]="Checklist",changes[[#This Row],[Type]]="checklist-flat"),1+IF(changes[[#This Row],[Type of change]] = "Edit",COUNTIFS($I$4:changes[[#This Row],[Name]],changes[[#This Row],[Name]], $E$4:changes[[#This Row],[Type of change]], "Edit")),B1976)</f>
        <v>3</v>
      </c>
      <c r="C1977" s="16">
        <v>44799</v>
      </c>
      <c r="D1977" s="1" t="s">
        <v>2450</v>
      </c>
      <c r="E1977" t="s">
        <v>15</v>
      </c>
      <c r="F1977" s="10" t="s">
        <v>9</v>
      </c>
      <c r="G1977" s="21" t="s">
        <v>1853</v>
      </c>
      <c r="H1977" s="2" t="s">
        <v>55</v>
      </c>
      <c r="I1977" s="18" t="s">
        <v>1856</v>
      </c>
      <c r="J1977" s="23"/>
      <c r="K1977" s="2" t="s">
        <v>6</v>
      </c>
      <c r="L1977" t="s">
        <v>2896</v>
      </c>
      <c r="M1977" s="2"/>
    </row>
    <row r="1978" spans="1:13" ht="15.75">
      <c r="A1978" t="s">
        <v>28</v>
      </c>
      <c r="B1978">
        <f ca="1">IF(OR(changes[[#This Row],[Type]]="Checklist",changes[[#This Row],[Type]]="checklist-flat"),1+IF(changes[[#This Row],[Type of change]] = "Edit",COUNTIFS($I$4:changes[[#This Row],[Name]],changes[[#This Row],[Name]], $E$4:changes[[#This Row],[Type of change]], "Edit")),B1977)</f>
        <v>3</v>
      </c>
      <c r="C1978" s="16">
        <v>44799</v>
      </c>
      <c r="D1978" s="1" t="s">
        <v>2450</v>
      </c>
      <c r="E1978" t="s">
        <v>15</v>
      </c>
      <c r="F1978" s="10" t="s">
        <v>9</v>
      </c>
      <c r="G1978" s="21" t="s">
        <v>1853</v>
      </c>
      <c r="H1978" s="2" t="s">
        <v>55</v>
      </c>
      <c r="I1978" s="18" t="s">
        <v>1857</v>
      </c>
      <c r="J1978" s="23"/>
      <c r="K1978" s="2" t="s">
        <v>6</v>
      </c>
      <c r="L1978" t="s">
        <v>2896</v>
      </c>
      <c r="M1978" s="2"/>
    </row>
    <row r="1979" spans="1:13" ht="15.75">
      <c r="A1979" t="s">
        <v>28</v>
      </c>
      <c r="B1979">
        <f ca="1">IF(OR(changes[[#This Row],[Type]]="Checklist",changes[[#This Row],[Type]]="checklist-flat"),1+IF(changes[[#This Row],[Type of change]] = "Edit",COUNTIFS($I$4:changes[[#This Row],[Name]],changes[[#This Row],[Name]], $E$4:changes[[#This Row],[Type of change]], "Edit")),B1978)</f>
        <v>3</v>
      </c>
      <c r="C1979" s="16">
        <v>44799</v>
      </c>
      <c r="D1979" s="1" t="s">
        <v>2450</v>
      </c>
      <c r="E1979" t="s">
        <v>15</v>
      </c>
      <c r="F1979" s="10" t="s">
        <v>9</v>
      </c>
      <c r="G1979" s="21" t="s">
        <v>1853</v>
      </c>
      <c r="H1979" s="2" t="s">
        <v>55</v>
      </c>
      <c r="I1979" s="18" t="s">
        <v>2898</v>
      </c>
      <c r="J1979" s="23"/>
      <c r="K1979" s="2" t="s">
        <v>6</v>
      </c>
      <c r="L1979" t="s">
        <v>2896</v>
      </c>
      <c r="M1979" s="2"/>
    </row>
    <row r="1980" spans="1:13" ht="15.75">
      <c r="A1980" t="s">
        <v>28</v>
      </c>
      <c r="B1980">
        <f ca="1">IF(OR(changes[[#This Row],[Type]]="Checklist",changes[[#This Row],[Type]]="checklist-flat"),1+IF(changes[[#This Row],[Type of change]] = "Edit",COUNTIFS($I$4:changes[[#This Row],[Name]],changes[[#This Row],[Name]], $E$4:changes[[#This Row],[Type of change]], "Edit")),B1979)</f>
        <v>3</v>
      </c>
      <c r="C1980" s="16">
        <v>44799</v>
      </c>
      <c r="D1980" s="1" t="s">
        <v>2450</v>
      </c>
      <c r="E1980" t="s">
        <v>15</v>
      </c>
      <c r="F1980" s="10" t="s">
        <v>9</v>
      </c>
      <c r="G1980" s="21" t="s">
        <v>1853</v>
      </c>
      <c r="H1980" s="2" t="s">
        <v>55</v>
      </c>
      <c r="I1980" s="18" t="s">
        <v>1859</v>
      </c>
      <c r="J1980" s="23"/>
      <c r="K1980" s="2" t="s">
        <v>6</v>
      </c>
      <c r="L1980" t="s">
        <v>2896</v>
      </c>
      <c r="M1980" s="2"/>
    </row>
    <row r="1981" spans="1:13" ht="15.75">
      <c r="A1981" t="s">
        <v>28</v>
      </c>
      <c r="B1981">
        <f ca="1">IF(OR(changes[[#This Row],[Type]]="Checklist",changes[[#This Row],[Type]]="checklist-flat"),1+IF(changes[[#This Row],[Type of change]] = "Edit",COUNTIFS($I$4:changes[[#This Row],[Name]],changes[[#This Row],[Name]], $E$4:changes[[#This Row],[Type of change]], "Edit")),B1980)</f>
        <v>3</v>
      </c>
      <c r="C1981" s="16">
        <v>44799</v>
      </c>
      <c r="D1981" s="1" t="s">
        <v>2450</v>
      </c>
      <c r="E1981" t="s">
        <v>15</v>
      </c>
      <c r="F1981" s="10" t="s">
        <v>9</v>
      </c>
      <c r="G1981" s="21" t="s">
        <v>1853</v>
      </c>
      <c r="H1981" s="2" t="s">
        <v>479</v>
      </c>
      <c r="I1981" s="18" t="s">
        <v>1860</v>
      </c>
      <c r="J1981" s="23"/>
      <c r="K1981" s="2" t="s">
        <v>6</v>
      </c>
      <c r="L1981" t="s">
        <v>2896</v>
      </c>
      <c r="M1981" s="2"/>
    </row>
    <row r="1982" spans="1:13" ht="15.75">
      <c r="A1982" t="s">
        <v>28</v>
      </c>
      <c r="B1982">
        <f ca="1">IF(OR(changes[[#This Row],[Type]]="Checklist",changes[[#This Row],[Type]]="checklist-flat"),1+IF(changes[[#This Row],[Type of change]] = "Edit",COUNTIFS($I$4:changes[[#This Row],[Name]],changes[[#This Row],[Name]], $E$4:changes[[#This Row],[Type of change]], "Edit")),B1981)</f>
        <v>3</v>
      </c>
      <c r="C1982" s="16">
        <v>44799</v>
      </c>
      <c r="D1982" s="1" t="s">
        <v>2450</v>
      </c>
      <c r="E1982" t="s">
        <v>15</v>
      </c>
      <c r="F1982" s="10" t="s">
        <v>9</v>
      </c>
      <c r="G1982" s="21" t="s">
        <v>1853</v>
      </c>
      <c r="H1982" s="2" t="s">
        <v>55</v>
      </c>
      <c r="I1982" s="18" t="s">
        <v>1655</v>
      </c>
      <c r="J1982" s="23"/>
      <c r="K1982" s="2" t="s">
        <v>6</v>
      </c>
      <c r="L1982" t="s">
        <v>2896</v>
      </c>
      <c r="M1982" s="2"/>
    </row>
    <row r="1983" spans="1:13" ht="15.75">
      <c r="A1983" t="s">
        <v>28</v>
      </c>
      <c r="B1983">
        <f ca="1">IF(OR(changes[[#This Row],[Type]]="Checklist",changes[[#This Row],[Type]]="checklist-flat"),1+IF(changes[[#This Row],[Type of change]] = "Edit",COUNTIFS($I$4:changes[[#This Row],[Name]],changes[[#This Row],[Name]], $E$4:changes[[#This Row],[Type of change]], "Edit")),B1982)</f>
        <v>3</v>
      </c>
      <c r="C1983" s="16">
        <v>44799</v>
      </c>
      <c r="D1983" s="1" t="s">
        <v>2450</v>
      </c>
      <c r="E1983" t="s">
        <v>15</v>
      </c>
      <c r="F1983" s="10" t="s">
        <v>9</v>
      </c>
      <c r="G1983" s="21" t="s">
        <v>1853</v>
      </c>
      <c r="H1983" s="2" t="s">
        <v>55</v>
      </c>
      <c r="I1983" s="18" t="s">
        <v>1861</v>
      </c>
      <c r="J1983" s="23"/>
      <c r="K1983" s="2" t="s">
        <v>6</v>
      </c>
      <c r="L1983" t="s">
        <v>2896</v>
      </c>
      <c r="M1983" s="2"/>
    </row>
    <row r="1984" spans="1:13" ht="15.75">
      <c r="A1984" t="s">
        <v>28</v>
      </c>
      <c r="B1984">
        <f ca="1">IF(OR(changes[[#This Row],[Type]]="Checklist",changes[[#This Row],[Type]]="checklist-flat"),1+IF(changes[[#This Row],[Type of change]] = "Edit",COUNTIFS($I$4:changes[[#This Row],[Name]],changes[[#This Row],[Name]], $E$4:changes[[#This Row],[Type of change]], "Edit")),B1983)</f>
        <v>3</v>
      </c>
      <c r="C1984" s="16">
        <v>44799</v>
      </c>
      <c r="D1984" s="1" t="s">
        <v>2450</v>
      </c>
      <c r="E1984" t="s">
        <v>15</v>
      </c>
      <c r="F1984" s="10" t="s">
        <v>9</v>
      </c>
      <c r="G1984" s="21" t="s">
        <v>1853</v>
      </c>
      <c r="H1984" s="2" t="s">
        <v>55</v>
      </c>
      <c r="I1984" s="18" t="s">
        <v>1862</v>
      </c>
      <c r="J1984" s="23"/>
      <c r="K1984" s="2" t="s">
        <v>6</v>
      </c>
      <c r="L1984" t="s">
        <v>2896</v>
      </c>
      <c r="M1984" s="2"/>
    </row>
    <row r="1985" spans="1:13" ht="15.75">
      <c r="A1985" t="s">
        <v>28</v>
      </c>
      <c r="B1985">
        <f ca="1">IF(OR(changes[[#This Row],[Type]]="Checklist",changes[[#This Row],[Type]]="checklist-flat"),1+IF(changes[[#This Row],[Type of change]] = "Edit",COUNTIFS($I$4:changes[[#This Row],[Name]],changes[[#This Row],[Name]], $E$4:changes[[#This Row],[Type of change]], "Edit")),B1984)</f>
        <v>3</v>
      </c>
      <c r="C1985" s="16">
        <v>44799</v>
      </c>
      <c r="D1985" s="1" t="s">
        <v>2450</v>
      </c>
      <c r="E1985" t="s">
        <v>15</v>
      </c>
      <c r="F1985" s="10" t="s">
        <v>9</v>
      </c>
      <c r="G1985" s="21" t="s">
        <v>1853</v>
      </c>
      <c r="H1985" s="2" t="s">
        <v>55</v>
      </c>
      <c r="I1985" s="18" t="s">
        <v>1863</v>
      </c>
      <c r="J1985" s="23"/>
      <c r="K1985" s="2" t="s">
        <v>6</v>
      </c>
      <c r="L1985" t="s">
        <v>2896</v>
      </c>
      <c r="M1985" s="2"/>
    </row>
    <row r="1986" spans="1:13" ht="15.75">
      <c r="A1986" t="s">
        <v>28</v>
      </c>
      <c r="B1986">
        <f ca="1">IF(OR(changes[[#This Row],[Type]]="Checklist",changes[[#This Row],[Type]]="checklist-flat"),1+IF(changes[[#This Row],[Type of change]] = "Edit",COUNTIFS($I$4:changes[[#This Row],[Name]],changes[[#This Row],[Name]], $E$4:changes[[#This Row],[Type of change]], "Edit")),B1985)</f>
        <v>3</v>
      </c>
      <c r="C1986" s="16">
        <v>44799</v>
      </c>
      <c r="D1986" s="1" t="s">
        <v>2450</v>
      </c>
      <c r="E1986" t="s">
        <v>15</v>
      </c>
      <c r="F1986" s="10" t="s">
        <v>9</v>
      </c>
      <c r="G1986" s="21" t="s">
        <v>1853</v>
      </c>
      <c r="H1986" s="2" t="s">
        <v>479</v>
      </c>
      <c r="I1986" s="18" t="s">
        <v>1664</v>
      </c>
      <c r="J1986" s="23"/>
      <c r="K1986" s="2" t="s">
        <v>6</v>
      </c>
      <c r="L1986" t="s">
        <v>2896</v>
      </c>
      <c r="M1986" s="2"/>
    </row>
    <row r="1987" spans="1:13" ht="15.75">
      <c r="A1987" t="s">
        <v>28</v>
      </c>
      <c r="B1987">
        <f ca="1">IF(OR(changes[[#This Row],[Type]]="Checklist",changes[[#This Row],[Type]]="checklist-flat"),1+IF(changes[[#This Row],[Type of change]] = "Edit",COUNTIFS($I$4:changes[[#This Row],[Name]],changes[[#This Row],[Name]], $E$4:changes[[#This Row],[Type of change]], "Edit")),B1986)</f>
        <v>3</v>
      </c>
      <c r="C1987" s="16">
        <v>44799</v>
      </c>
      <c r="D1987" s="1" t="s">
        <v>2450</v>
      </c>
      <c r="E1987" t="s">
        <v>15</v>
      </c>
      <c r="F1987" s="10" t="s">
        <v>9</v>
      </c>
      <c r="G1987" s="21" t="s">
        <v>1853</v>
      </c>
      <c r="H1987" s="2" t="s">
        <v>55</v>
      </c>
      <c r="I1987" s="18" t="s">
        <v>1864</v>
      </c>
      <c r="J1987" s="23"/>
      <c r="K1987" s="2" t="s">
        <v>6</v>
      </c>
      <c r="L1987" t="s">
        <v>2896</v>
      </c>
      <c r="M1987" s="2"/>
    </row>
    <row r="1988" spans="1:13" ht="15.75">
      <c r="A1988" t="s">
        <v>28</v>
      </c>
      <c r="B1988">
        <f ca="1">IF(OR(changes[[#This Row],[Type]]="Checklist",changes[[#This Row],[Type]]="checklist-flat"),1+IF(changes[[#This Row],[Type of change]] = "Edit",COUNTIFS($I$4:changes[[#This Row],[Name]],changes[[#This Row],[Name]], $E$4:changes[[#This Row],[Type of change]], "Edit")),B1987)</f>
        <v>3</v>
      </c>
      <c r="C1988" s="16">
        <v>44799</v>
      </c>
      <c r="D1988" s="1" t="s">
        <v>2450</v>
      </c>
      <c r="E1988" t="s">
        <v>15</v>
      </c>
      <c r="F1988" s="10" t="s">
        <v>9</v>
      </c>
      <c r="G1988" s="21" t="s">
        <v>1853</v>
      </c>
      <c r="H1988" s="2" t="s">
        <v>55</v>
      </c>
      <c r="I1988" s="18" t="s">
        <v>1865</v>
      </c>
      <c r="J1988" s="23"/>
      <c r="K1988" s="2" t="s">
        <v>6</v>
      </c>
      <c r="L1988" t="s">
        <v>2896</v>
      </c>
      <c r="M1988" s="2"/>
    </row>
    <row r="1989" spans="1:13" ht="15.75">
      <c r="A1989" t="s">
        <v>28</v>
      </c>
      <c r="B1989">
        <f ca="1">IF(OR(changes[[#This Row],[Type]]="Checklist",changes[[#This Row],[Type]]="checklist-flat"),1+IF(changes[[#This Row],[Type of change]] = "Edit",COUNTIFS($I$4:changes[[#This Row],[Name]],changes[[#This Row],[Name]], $E$4:changes[[#This Row],[Type of change]], "Edit")),B1988)</f>
        <v>3</v>
      </c>
      <c r="C1989" s="16">
        <v>44799</v>
      </c>
      <c r="D1989" s="1" t="s">
        <v>2450</v>
      </c>
      <c r="E1989" t="s">
        <v>15</v>
      </c>
      <c r="F1989" s="10" t="s">
        <v>9</v>
      </c>
      <c r="G1989" s="21" t="s">
        <v>1853</v>
      </c>
      <c r="H1989" s="2" t="s">
        <v>55</v>
      </c>
      <c r="I1989" s="18" t="s">
        <v>2899</v>
      </c>
      <c r="J1989" s="23"/>
      <c r="K1989" s="2" t="s">
        <v>6</v>
      </c>
      <c r="L1989" t="s">
        <v>2896</v>
      </c>
      <c r="M1989" s="2"/>
    </row>
    <row r="1990" spans="1:13" ht="15.75">
      <c r="A1990" t="s">
        <v>28</v>
      </c>
      <c r="B1990">
        <f ca="1">IF(OR(changes[[#This Row],[Type]]="Checklist",changes[[#This Row],[Type]]="checklist-flat"),1+IF(changes[[#This Row],[Type of change]] = "Edit",COUNTIFS($I$4:changes[[#This Row],[Name]],changes[[#This Row],[Name]], $E$4:changes[[#This Row],[Type of change]], "Edit")),B1989)</f>
        <v>3</v>
      </c>
      <c r="C1990" s="16">
        <v>44799</v>
      </c>
      <c r="D1990" s="1" t="s">
        <v>2450</v>
      </c>
      <c r="E1990" t="s">
        <v>15</v>
      </c>
      <c r="F1990" s="10" t="s">
        <v>9</v>
      </c>
      <c r="G1990" s="21" t="s">
        <v>1853</v>
      </c>
      <c r="H1990" s="2" t="s">
        <v>64</v>
      </c>
      <c r="I1990" s="18" t="s">
        <v>94</v>
      </c>
      <c r="J1990" s="23"/>
      <c r="K1990" s="2" t="s">
        <v>6</v>
      </c>
      <c r="L1990" t="s">
        <v>2896</v>
      </c>
      <c r="M1990" s="2"/>
    </row>
    <row r="1991" spans="1:13" ht="15.75">
      <c r="A1991" t="s">
        <v>28</v>
      </c>
      <c r="B1991">
        <f ca="1">IF(OR(changes[[#This Row],[Type]]="Checklist",changes[[#This Row],[Type]]="checklist-flat"),1+IF(changes[[#This Row],[Type of change]] = "Edit",COUNTIFS($I$4:changes[[#This Row],[Name]],changes[[#This Row],[Name]], $E$4:changes[[#This Row],[Type of change]], "Edit")),B1990)</f>
        <v>3</v>
      </c>
      <c r="C1991" s="16">
        <v>44799</v>
      </c>
      <c r="D1991" s="1" t="s">
        <v>2450</v>
      </c>
      <c r="E1991" t="s">
        <v>15</v>
      </c>
      <c r="F1991" s="10" t="s">
        <v>9</v>
      </c>
      <c r="G1991" s="21" t="s">
        <v>1853</v>
      </c>
      <c r="H1991" s="2" t="s">
        <v>479</v>
      </c>
      <c r="I1991" s="18" t="s">
        <v>1668</v>
      </c>
      <c r="J1991" s="23"/>
      <c r="K1991" s="2" t="s">
        <v>6</v>
      </c>
      <c r="L1991" t="s">
        <v>2896</v>
      </c>
      <c r="M1991" s="2"/>
    </row>
    <row r="1992" spans="1:13" ht="15.75">
      <c r="A1992" t="s">
        <v>28</v>
      </c>
      <c r="B1992">
        <f ca="1">IF(OR(changes[[#This Row],[Type]]="Checklist",changes[[#This Row],[Type]]="checklist-flat"),1+IF(changes[[#This Row],[Type of change]] = "Edit",COUNTIFS($I$4:changes[[#This Row],[Name]],changes[[#This Row],[Name]], $E$4:changes[[#This Row],[Type of change]], "Edit")),B1991)</f>
        <v>3</v>
      </c>
      <c r="C1992" s="16">
        <v>44799</v>
      </c>
      <c r="D1992" s="1" t="s">
        <v>2450</v>
      </c>
      <c r="E1992" t="s">
        <v>15</v>
      </c>
      <c r="F1992" s="10" t="s">
        <v>9</v>
      </c>
      <c r="G1992" s="21" t="s">
        <v>1853</v>
      </c>
      <c r="H1992" s="2" t="s">
        <v>55</v>
      </c>
      <c r="I1992" s="18" t="s">
        <v>1868</v>
      </c>
      <c r="J1992" s="23"/>
      <c r="K1992" s="2" t="s">
        <v>6</v>
      </c>
      <c r="L1992" t="s">
        <v>2896</v>
      </c>
      <c r="M1992" s="2"/>
    </row>
    <row r="1993" spans="1:13" ht="15.75">
      <c r="A1993" t="s">
        <v>28</v>
      </c>
      <c r="B1993">
        <f ca="1">IF(OR(changes[[#This Row],[Type]]="Checklist",changes[[#This Row],[Type]]="checklist-flat"),1+IF(changes[[#This Row],[Type of change]] = "Edit",COUNTIFS($I$4:changes[[#This Row],[Name]],changes[[#This Row],[Name]], $E$4:changes[[#This Row],[Type of change]], "Edit")),B1992)</f>
        <v>3</v>
      </c>
      <c r="C1993" s="16">
        <v>44799</v>
      </c>
      <c r="D1993" s="1" t="s">
        <v>2450</v>
      </c>
      <c r="E1993" t="s">
        <v>15</v>
      </c>
      <c r="F1993" s="10" t="s">
        <v>9</v>
      </c>
      <c r="G1993" s="21" t="s">
        <v>1853</v>
      </c>
      <c r="H1993" s="2" t="s">
        <v>55</v>
      </c>
      <c r="I1993" s="18" t="s">
        <v>1869</v>
      </c>
      <c r="J1993" s="23"/>
      <c r="K1993" s="2" t="s">
        <v>6</v>
      </c>
      <c r="L1993" t="s">
        <v>2896</v>
      </c>
      <c r="M1993" s="2"/>
    </row>
    <row r="1994" spans="1:13" ht="15.75">
      <c r="A1994" t="s">
        <v>28</v>
      </c>
      <c r="B1994">
        <f ca="1">IF(OR(changes[[#This Row],[Type]]="Checklist",changes[[#This Row],[Type]]="checklist-flat"),1+IF(changes[[#This Row],[Type of change]] = "Edit",COUNTIFS($I$4:changes[[#This Row],[Name]],changes[[#This Row],[Name]], $E$4:changes[[#This Row],[Type of change]], "Edit")),B1993)</f>
        <v>3</v>
      </c>
      <c r="C1994" s="16">
        <v>44799</v>
      </c>
      <c r="D1994" s="1" t="s">
        <v>2450</v>
      </c>
      <c r="E1994" t="s">
        <v>15</v>
      </c>
      <c r="F1994" s="10" t="s">
        <v>9</v>
      </c>
      <c r="G1994" s="21" t="s">
        <v>1853</v>
      </c>
      <c r="H1994" s="2" t="s">
        <v>55</v>
      </c>
      <c r="I1994" s="18" t="s">
        <v>1870</v>
      </c>
      <c r="J1994" s="23"/>
      <c r="K1994" s="2" t="s">
        <v>6</v>
      </c>
      <c r="L1994" t="s">
        <v>2896</v>
      </c>
      <c r="M1994" s="2"/>
    </row>
    <row r="1995" spans="1:13" ht="15.75">
      <c r="A1995" t="s">
        <v>28</v>
      </c>
      <c r="B1995">
        <f ca="1">IF(OR(changes[[#This Row],[Type]]="Checklist",changes[[#This Row],[Type]]="checklist-flat"),1+IF(changes[[#This Row],[Type of change]] = "Edit",COUNTIFS($I$4:changes[[#This Row],[Name]],changes[[#This Row],[Name]], $E$4:changes[[#This Row],[Type of change]], "Edit")),B1994)</f>
        <v>3</v>
      </c>
      <c r="C1995" s="16">
        <v>44799</v>
      </c>
      <c r="D1995" s="1" t="s">
        <v>2450</v>
      </c>
      <c r="E1995" t="s">
        <v>15</v>
      </c>
      <c r="F1995" s="10" t="s">
        <v>9</v>
      </c>
      <c r="G1995" s="21" t="s">
        <v>1853</v>
      </c>
      <c r="H1995" s="2" t="s">
        <v>55</v>
      </c>
      <c r="I1995" s="18" t="s">
        <v>1871</v>
      </c>
      <c r="J1995" s="23"/>
      <c r="K1995" s="2" t="s">
        <v>6</v>
      </c>
      <c r="L1995" t="s">
        <v>2896</v>
      </c>
      <c r="M1995" s="2"/>
    </row>
    <row r="1996" spans="1:13" ht="15.75">
      <c r="A1996" t="s">
        <v>28</v>
      </c>
      <c r="B1996">
        <f ca="1">IF(OR(changes[[#This Row],[Type]]="Checklist",changes[[#This Row],[Type]]="checklist-flat"),1+IF(changes[[#This Row],[Type of change]] = "Edit",COUNTIFS($I$4:changes[[#This Row],[Name]],changes[[#This Row],[Name]], $E$4:changes[[#This Row],[Type of change]], "Edit")),B1995)</f>
        <v>3</v>
      </c>
      <c r="C1996" s="16">
        <v>44799</v>
      </c>
      <c r="D1996" s="1" t="s">
        <v>2450</v>
      </c>
      <c r="E1996" t="s">
        <v>15</v>
      </c>
      <c r="F1996" s="10" t="s">
        <v>9</v>
      </c>
      <c r="G1996" s="21" t="s">
        <v>1853</v>
      </c>
      <c r="H1996" s="2" t="s">
        <v>55</v>
      </c>
      <c r="I1996" s="18" t="s">
        <v>1872</v>
      </c>
      <c r="J1996" s="23"/>
      <c r="K1996" s="2" t="s">
        <v>6</v>
      </c>
      <c r="L1996" t="s">
        <v>2896</v>
      </c>
      <c r="M1996" s="2"/>
    </row>
    <row r="1997" spans="1:13" ht="15.75">
      <c r="A1997" t="s">
        <v>28</v>
      </c>
      <c r="B1997">
        <f ca="1">IF(OR(changes[[#This Row],[Type]]="Checklist",changes[[#This Row],[Type]]="checklist-flat"),1+IF(changes[[#This Row],[Type of change]] = "Edit",COUNTIFS($I$4:changes[[#This Row],[Name]],changes[[#This Row],[Name]], $E$4:changes[[#This Row],[Type of change]], "Edit")),B1996)</f>
        <v>3</v>
      </c>
      <c r="C1997" s="16">
        <v>44799</v>
      </c>
      <c r="D1997" s="1" t="s">
        <v>2450</v>
      </c>
      <c r="E1997" t="s">
        <v>15</v>
      </c>
      <c r="F1997" s="10" t="s">
        <v>9</v>
      </c>
      <c r="G1997" s="21" t="s">
        <v>1853</v>
      </c>
      <c r="H1997" s="2" t="s">
        <v>55</v>
      </c>
      <c r="I1997" s="18" t="s">
        <v>1672</v>
      </c>
      <c r="J1997" s="23"/>
      <c r="K1997" s="2" t="s">
        <v>6</v>
      </c>
      <c r="L1997" t="s">
        <v>2896</v>
      </c>
      <c r="M1997" s="2"/>
    </row>
    <row r="1998" spans="1:13" ht="15.75">
      <c r="A1998" t="s">
        <v>28</v>
      </c>
      <c r="B1998">
        <f ca="1">IF(OR(changes[[#This Row],[Type]]="Checklist",changes[[#This Row],[Type]]="checklist-flat"),1+IF(changes[[#This Row],[Type of change]] = "Edit",COUNTIFS($I$4:changes[[#This Row],[Name]],changes[[#This Row],[Name]], $E$4:changes[[#This Row],[Type of change]], "Edit")),B1997)</f>
        <v>3</v>
      </c>
      <c r="C1998" s="16">
        <v>44799</v>
      </c>
      <c r="D1998" s="1" t="s">
        <v>2450</v>
      </c>
      <c r="E1998" t="s">
        <v>15</v>
      </c>
      <c r="F1998" s="10" t="s">
        <v>9</v>
      </c>
      <c r="G1998" s="21" t="s">
        <v>1853</v>
      </c>
      <c r="H1998" s="2" t="s">
        <v>55</v>
      </c>
      <c r="I1998" s="18" t="s">
        <v>1873</v>
      </c>
      <c r="J1998" s="23"/>
      <c r="K1998" s="2" t="s">
        <v>6</v>
      </c>
      <c r="L1998" t="s">
        <v>2896</v>
      </c>
      <c r="M1998" s="2"/>
    </row>
    <row r="1999" spans="1:13" ht="15.75">
      <c r="A1999" t="s">
        <v>28</v>
      </c>
      <c r="B1999">
        <f ca="1">IF(OR(changes[[#This Row],[Type]]="Checklist",changes[[#This Row],[Type]]="checklist-flat"),1+IF(changes[[#This Row],[Type of change]] = "Edit",COUNTIFS($I$4:changes[[#This Row],[Name]],changes[[#This Row],[Name]], $E$4:changes[[#This Row],[Type of change]], "Edit")),B1998)</f>
        <v>3</v>
      </c>
      <c r="C1999" s="16">
        <v>44799</v>
      </c>
      <c r="D1999" s="1" t="s">
        <v>2450</v>
      </c>
      <c r="E1999" t="s">
        <v>15</v>
      </c>
      <c r="F1999" s="10" t="s">
        <v>9</v>
      </c>
      <c r="G1999" s="21" t="s">
        <v>1853</v>
      </c>
      <c r="H1999" s="2" t="s">
        <v>55</v>
      </c>
      <c r="I1999" s="18" t="s">
        <v>2900</v>
      </c>
      <c r="J1999" s="23"/>
      <c r="K1999" s="2" t="s">
        <v>6</v>
      </c>
      <c r="L1999" t="s">
        <v>2896</v>
      </c>
      <c r="M1999" s="2"/>
    </row>
    <row r="2000" spans="1:13" ht="15.75">
      <c r="A2000" t="s">
        <v>28</v>
      </c>
      <c r="B2000">
        <f ca="1">IF(OR(changes[[#This Row],[Type]]="Checklist",changes[[#This Row],[Type]]="checklist-flat"),1+IF(changes[[#This Row],[Type of change]] = "Edit",COUNTIFS($I$4:changes[[#This Row],[Name]],changes[[#This Row],[Name]], $E$4:changes[[#This Row],[Type of change]], "Edit")),B1999)</f>
        <v>3</v>
      </c>
      <c r="C2000" s="16">
        <v>44799</v>
      </c>
      <c r="D2000" s="1" t="s">
        <v>2450</v>
      </c>
      <c r="E2000" t="s">
        <v>15</v>
      </c>
      <c r="F2000" s="10" t="s">
        <v>9</v>
      </c>
      <c r="G2000" s="21" t="s">
        <v>1853</v>
      </c>
      <c r="H2000" s="2" t="s">
        <v>64</v>
      </c>
      <c r="I2000" s="18" t="s">
        <v>94</v>
      </c>
      <c r="J2000" s="23"/>
      <c r="K2000" s="2" t="s">
        <v>6</v>
      </c>
      <c r="L2000" t="s">
        <v>2896</v>
      </c>
      <c r="M2000" s="2"/>
    </row>
    <row r="2001" spans="1:13" ht="15.75">
      <c r="A2001" t="s">
        <v>28</v>
      </c>
      <c r="B2001">
        <f ca="1">IF(OR(changes[[#This Row],[Type]]="Checklist",changes[[#This Row],[Type]]="checklist-flat"),1+IF(changes[[#This Row],[Type of change]] = "Edit",COUNTIFS($I$4:changes[[#This Row],[Name]],changes[[#This Row],[Name]], $E$4:changes[[#This Row],[Type of change]], "Edit")),B2000)</f>
        <v>2</v>
      </c>
      <c r="C2001" s="16">
        <v>44799</v>
      </c>
      <c r="D2001" s="1" t="s">
        <v>2450</v>
      </c>
      <c r="E2001" t="s">
        <v>15</v>
      </c>
      <c r="F2001" s="10" t="s">
        <v>52</v>
      </c>
      <c r="G2001" s="21" t="s">
        <v>1651</v>
      </c>
      <c r="H2001" s="19" t="s">
        <v>478</v>
      </c>
      <c r="I2001" s="21" t="s">
        <v>1651</v>
      </c>
      <c r="J2001" s="22"/>
      <c r="K2001" s="2" t="s">
        <v>6</v>
      </c>
      <c r="M2001" s="2" t="s">
        <v>2897</v>
      </c>
    </row>
    <row r="2002" spans="1:13" ht="15.75">
      <c r="A2002" t="s">
        <v>28</v>
      </c>
      <c r="B2002">
        <f ca="1">IF(OR(changes[[#This Row],[Type]]="Checklist",changes[[#This Row],[Type]]="checklist-flat"),1+IF(changes[[#This Row],[Type of change]] = "Edit",COUNTIFS($I$4:changes[[#This Row],[Name]],changes[[#This Row],[Name]], $E$4:changes[[#This Row],[Type of change]], "Edit")),B2001)</f>
        <v>2</v>
      </c>
      <c r="C2002" s="16">
        <v>44799</v>
      </c>
      <c r="D2002" s="1" t="s">
        <v>2450</v>
      </c>
      <c r="E2002" t="s">
        <v>15</v>
      </c>
      <c r="F2002" s="10" t="s">
        <v>52</v>
      </c>
      <c r="G2002" s="21" t="s">
        <v>1651</v>
      </c>
      <c r="H2002" s="2" t="s">
        <v>479</v>
      </c>
      <c r="I2002" s="18" t="s">
        <v>1652</v>
      </c>
      <c r="J2002" s="23"/>
      <c r="K2002" s="2" t="s">
        <v>6</v>
      </c>
      <c r="M2002" s="2"/>
    </row>
    <row r="2003" spans="1:13" ht="15.75">
      <c r="A2003" t="s">
        <v>28</v>
      </c>
      <c r="B2003">
        <f ca="1">IF(OR(changes[[#This Row],[Type]]="Checklist",changes[[#This Row],[Type]]="checklist-flat"),1+IF(changes[[#This Row],[Type of change]] = "Edit",COUNTIFS($I$4:changes[[#This Row],[Name]],changes[[#This Row],[Name]], $E$4:changes[[#This Row],[Type of change]], "Edit")),B2002)</f>
        <v>2</v>
      </c>
      <c r="C2003" s="16">
        <v>44799</v>
      </c>
      <c r="D2003" s="1" t="s">
        <v>2450</v>
      </c>
      <c r="E2003" t="s">
        <v>15</v>
      </c>
      <c r="F2003" s="10" t="s">
        <v>52</v>
      </c>
      <c r="G2003" s="21" t="s">
        <v>1651</v>
      </c>
      <c r="H2003" s="2" t="s">
        <v>55</v>
      </c>
      <c r="I2003" s="18" t="s">
        <v>1653</v>
      </c>
      <c r="J2003" s="23"/>
      <c r="K2003" s="2" t="s">
        <v>6</v>
      </c>
      <c r="M2003" s="2"/>
    </row>
    <row r="2004" spans="1:13" ht="15.75">
      <c r="A2004" t="s">
        <v>28</v>
      </c>
      <c r="B2004">
        <f ca="1">IF(OR(changes[[#This Row],[Type]]="Checklist",changes[[#This Row],[Type]]="checklist-flat"),1+IF(changes[[#This Row],[Type of change]] = "Edit",COUNTIFS($I$4:changes[[#This Row],[Name]],changes[[#This Row],[Name]], $E$4:changes[[#This Row],[Type of change]], "Edit")),B2003)</f>
        <v>2</v>
      </c>
      <c r="C2004" s="16">
        <v>44799</v>
      </c>
      <c r="D2004" s="1" t="s">
        <v>2450</v>
      </c>
      <c r="E2004" t="s">
        <v>15</v>
      </c>
      <c r="F2004" s="10" t="s">
        <v>52</v>
      </c>
      <c r="G2004" s="21" t="s">
        <v>1651</v>
      </c>
      <c r="H2004" s="2" t="s">
        <v>55</v>
      </c>
      <c r="I2004" s="18" t="s">
        <v>1654</v>
      </c>
      <c r="J2004" s="23"/>
      <c r="K2004" s="2" t="s">
        <v>6</v>
      </c>
      <c r="M2004" s="2"/>
    </row>
    <row r="2005" spans="1:13" ht="15.75">
      <c r="A2005" t="s">
        <v>28</v>
      </c>
      <c r="B2005">
        <f ca="1">IF(OR(changes[[#This Row],[Type]]="Checklist",changes[[#This Row],[Type]]="checklist-flat"),1+IF(changes[[#This Row],[Type of change]] = "Edit",COUNTIFS($I$4:changes[[#This Row],[Name]],changes[[#This Row],[Name]], $E$4:changes[[#This Row],[Type of change]], "Edit")),B2004)</f>
        <v>2</v>
      </c>
      <c r="C2005" s="16">
        <v>44799</v>
      </c>
      <c r="D2005" s="1" t="s">
        <v>2450</v>
      </c>
      <c r="E2005" t="s">
        <v>15</v>
      </c>
      <c r="F2005" s="10" t="s">
        <v>52</v>
      </c>
      <c r="G2005" s="21" t="s">
        <v>1651</v>
      </c>
      <c r="H2005" s="2" t="s">
        <v>55</v>
      </c>
      <c r="I2005" s="18" t="s">
        <v>1655</v>
      </c>
      <c r="J2005" s="23"/>
      <c r="K2005" s="2" t="s">
        <v>6</v>
      </c>
      <c r="M2005" s="2"/>
    </row>
    <row r="2006" spans="1:13" ht="15.75">
      <c r="A2006" t="s">
        <v>28</v>
      </c>
      <c r="B2006">
        <f ca="1">IF(OR(changes[[#This Row],[Type]]="Checklist",changes[[#This Row],[Type]]="checklist-flat"),1+IF(changes[[#This Row],[Type of change]] = "Edit",COUNTIFS($I$4:changes[[#This Row],[Name]],changes[[#This Row],[Name]], $E$4:changes[[#This Row],[Type of change]], "Edit")),B2005)</f>
        <v>2</v>
      </c>
      <c r="C2006" s="16">
        <v>44799</v>
      </c>
      <c r="D2006" s="1" t="s">
        <v>2450</v>
      </c>
      <c r="E2006" t="s">
        <v>15</v>
      </c>
      <c r="F2006" s="10" t="s">
        <v>52</v>
      </c>
      <c r="G2006" s="21" t="s">
        <v>1651</v>
      </c>
      <c r="H2006" s="2" t="s">
        <v>55</v>
      </c>
      <c r="I2006" s="18" t="s">
        <v>1656</v>
      </c>
      <c r="J2006" s="23"/>
      <c r="K2006" s="2" t="s">
        <v>6</v>
      </c>
      <c r="M2006" s="2"/>
    </row>
    <row r="2007" spans="1:13" ht="15.75">
      <c r="A2007" t="s">
        <v>28</v>
      </c>
      <c r="B2007">
        <f ca="1">IF(OR(changes[[#This Row],[Type]]="Checklist",changes[[#This Row],[Type]]="checklist-flat"),1+IF(changes[[#This Row],[Type of change]] = "Edit",COUNTIFS($I$4:changes[[#This Row],[Name]],changes[[#This Row],[Name]], $E$4:changes[[#This Row],[Type of change]], "Edit")),B2006)</f>
        <v>2</v>
      </c>
      <c r="C2007" s="16">
        <v>44799</v>
      </c>
      <c r="D2007" s="1" t="s">
        <v>2450</v>
      </c>
      <c r="E2007" t="s">
        <v>15</v>
      </c>
      <c r="F2007" s="10" t="s">
        <v>52</v>
      </c>
      <c r="G2007" s="21" t="s">
        <v>1651</v>
      </c>
      <c r="H2007" s="2" t="s">
        <v>479</v>
      </c>
      <c r="I2007" s="18" t="s">
        <v>1664</v>
      </c>
      <c r="J2007" s="23"/>
      <c r="K2007" s="2" t="s">
        <v>6</v>
      </c>
      <c r="M2007" s="2"/>
    </row>
    <row r="2008" spans="1:13" ht="15.75">
      <c r="A2008" t="s">
        <v>28</v>
      </c>
      <c r="B2008">
        <f ca="1">IF(OR(changes[[#This Row],[Type]]="Checklist",changes[[#This Row],[Type]]="checklist-flat"),1+IF(changes[[#This Row],[Type of change]] = "Edit",COUNTIFS($I$4:changes[[#This Row],[Name]],changes[[#This Row],[Name]], $E$4:changes[[#This Row],[Type of change]], "Edit")),B2007)</f>
        <v>2</v>
      </c>
      <c r="C2008" s="16">
        <v>44799</v>
      </c>
      <c r="D2008" s="1" t="s">
        <v>2450</v>
      </c>
      <c r="E2008" t="s">
        <v>15</v>
      </c>
      <c r="F2008" s="10" t="s">
        <v>52</v>
      </c>
      <c r="G2008" s="21" t="s">
        <v>1651</v>
      </c>
      <c r="H2008" s="2" t="s">
        <v>55</v>
      </c>
      <c r="I2008" s="18" t="s">
        <v>1665</v>
      </c>
      <c r="J2008" s="23"/>
      <c r="K2008" s="2" t="s">
        <v>6</v>
      </c>
      <c r="M2008" s="2"/>
    </row>
    <row r="2009" spans="1:13" ht="15.75">
      <c r="A2009" t="s">
        <v>28</v>
      </c>
      <c r="B2009">
        <f ca="1">IF(OR(changes[[#This Row],[Type]]="Checklist",changes[[#This Row],[Type]]="checklist-flat"),1+IF(changes[[#This Row],[Type of change]] = "Edit",COUNTIFS($I$4:changes[[#This Row],[Name]],changes[[#This Row],[Name]], $E$4:changes[[#This Row],[Type of change]], "Edit")),B2008)</f>
        <v>2</v>
      </c>
      <c r="C2009" s="16">
        <v>44799</v>
      </c>
      <c r="D2009" s="1" t="s">
        <v>2450</v>
      </c>
      <c r="E2009" t="s">
        <v>15</v>
      </c>
      <c r="F2009" s="10" t="s">
        <v>52</v>
      </c>
      <c r="G2009" s="21" t="s">
        <v>1651</v>
      </c>
      <c r="H2009" s="2" t="s">
        <v>55</v>
      </c>
      <c r="I2009" s="18" t="s">
        <v>1666</v>
      </c>
      <c r="J2009" s="23"/>
      <c r="K2009" s="2" t="s">
        <v>6</v>
      </c>
      <c r="M2009" s="2"/>
    </row>
    <row r="2010" spans="1:13" ht="15.75">
      <c r="A2010" t="s">
        <v>28</v>
      </c>
      <c r="B2010">
        <f ca="1">IF(OR(changes[[#This Row],[Type]]="Checklist",changes[[#This Row],[Type]]="checklist-flat"),1+IF(changes[[#This Row],[Type of change]] = "Edit",COUNTIFS($I$4:changes[[#This Row],[Name]],changes[[#This Row],[Name]], $E$4:changes[[#This Row],[Type of change]], "Edit")),B2009)</f>
        <v>2</v>
      </c>
      <c r="C2010" s="16">
        <v>44799</v>
      </c>
      <c r="D2010" s="1" t="s">
        <v>2450</v>
      </c>
      <c r="E2010" t="s">
        <v>15</v>
      </c>
      <c r="F2010" s="10" t="s">
        <v>52</v>
      </c>
      <c r="G2010" s="21" t="s">
        <v>1651</v>
      </c>
      <c r="H2010" s="2" t="s">
        <v>55</v>
      </c>
      <c r="I2010" s="18" t="s">
        <v>1667</v>
      </c>
      <c r="J2010" s="23"/>
      <c r="K2010" s="2" t="s">
        <v>6</v>
      </c>
      <c r="M2010" s="2"/>
    </row>
    <row r="2011" spans="1:13" ht="15.75">
      <c r="A2011" t="s">
        <v>28</v>
      </c>
      <c r="B2011">
        <f ca="1">IF(OR(changes[[#This Row],[Type]]="Checklist",changes[[#This Row],[Type]]="checklist-flat"),1+IF(changes[[#This Row],[Type of change]] = "Edit",COUNTIFS($I$4:changes[[#This Row],[Name]],changes[[#This Row],[Name]], $E$4:changes[[#This Row],[Type of change]], "Edit")),B2010)</f>
        <v>2</v>
      </c>
      <c r="C2011" s="16">
        <v>44799</v>
      </c>
      <c r="D2011" s="1" t="s">
        <v>2450</v>
      </c>
      <c r="E2011" t="s">
        <v>15</v>
      </c>
      <c r="F2011" s="10" t="s">
        <v>52</v>
      </c>
      <c r="G2011" s="21" t="s">
        <v>1651</v>
      </c>
      <c r="H2011" s="2" t="s">
        <v>479</v>
      </c>
      <c r="I2011" s="18" t="s">
        <v>1668</v>
      </c>
      <c r="J2011" s="23"/>
      <c r="K2011" s="2" t="s">
        <v>6</v>
      </c>
      <c r="M2011" s="2"/>
    </row>
    <row r="2012" spans="1:13" ht="15.75">
      <c r="A2012" t="s">
        <v>28</v>
      </c>
      <c r="B2012">
        <f ca="1">IF(OR(changes[[#This Row],[Type]]="Checklist",changes[[#This Row],[Type]]="checklist-flat"),1+IF(changes[[#This Row],[Type of change]] = "Edit",COUNTIFS($I$4:changes[[#This Row],[Name]],changes[[#This Row],[Name]], $E$4:changes[[#This Row],[Type of change]], "Edit")),B2011)</f>
        <v>2</v>
      </c>
      <c r="C2012" s="16">
        <v>44799</v>
      </c>
      <c r="D2012" s="1" t="s">
        <v>2450</v>
      </c>
      <c r="E2012" t="s">
        <v>15</v>
      </c>
      <c r="F2012" s="10" t="s">
        <v>52</v>
      </c>
      <c r="G2012" s="21" t="s">
        <v>1651</v>
      </c>
      <c r="H2012" s="2" t="s">
        <v>55</v>
      </c>
      <c r="I2012" s="18" t="s">
        <v>1669</v>
      </c>
      <c r="J2012" s="23"/>
      <c r="K2012" s="2" t="s">
        <v>6</v>
      </c>
      <c r="M2012" s="2"/>
    </row>
    <row r="2013" spans="1:13" ht="15.75">
      <c r="A2013" t="s">
        <v>28</v>
      </c>
      <c r="B2013">
        <f ca="1">IF(OR(changes[[#This Row],[Type]]="Checklist",changes[[#This Row],[Type]]="checklist-flat"),1+IF(changes[[#This Row],[Type of change]] = "Edit",COUNTIFS($I$4:changes[[#This Row],[Name]],changes[[#This Row],[Name]], $E$4:changes[[#This Row],[Type of change]], "Edit")),B2012)</f>
        <v>2</v>
      </c>
      <c r="C2013" s="16">
        <v>44799</v>
      </c>
      <c r="D2013" s="1" t="s">
        <v>2450</v>
      </c>
      <c r="E2013" t="s">
        <v>15</v>
      </c>
      <c r="F2013" s="10" t="s">
        <v>52</v>
      </c>
      <c r="G2013" s="21" t="s">
        <v>1651</v>
      </c>
      <c r="H2013" s="2" t="s">
        <v>55</v>
      </c>
      <c r="I2013" s="18" t="s">
        <v>1670</v>
      </c>
      <c r="J2013" s="23"/>
      <c r="K2013" s="2" t="s">
        <v>6</v>
      </c>
      <c r="M2013" s="2"/>
    </row>
    <row r="2014" spans="1:13" ht="15.75">
      <c r="A2014" t="s">
        <v>28</v>
      </c>
      <c r="B2014">
        <f ca="1">IF(OR(changes[[#This Row],[Type]]="Checklist",changes[[#This Row],[Type]]="checklist-flat"),1+IF(changes[[#This Row],[Type of change]] = "Edit",COUNTIFS($I$4:changes[[#This Row],[Name]],changes[[#This Row],[Name]], $E$4:changes[[#This Row],[Type of change]], "Edit")),B2013)</f>
        <v>2</v>
      </c>
      <c r="C2014" s="16">
        <v>44799</v>
      </c>
      <c r="D2014" s="1" t="s">
        <v>2450</v>
      </c>
      <c r="E2014" t="s">
        <v>15</v>
      </c>
      <c r="F2014" s="10" t="s">
        <v>52</v>
      </c>
      <c r="G2014" s="21" t="s">
        <v>1651</v>
      </c>
      <c r="H2014" s="2" t="s">
        <v>55</v>
      </c>
      <c r="I2014" s="18" t="s">
        <v>1671</v>
      </c>
      <c r="J2014" s="23"/>
      <c r="K2014" s="2" t="s">
        <v>6</v>
      </c>
      <c r="M2014" s="2"/>
    </row>
    <row r="2015" spans="1:13" ht="15.75">
      <c r="A2015" t="s">
        <v>28</v>
      </c>
      <c r="B2015">
        <f ca="1">IF(OR(changes[[#This Row],[Type]]="Checklist",changes[[#This Row],[Type]]="checklist-flat"),1+IF(changes[[#This Row],[Type of change]] = "Edit",COUNTIFS($I$4:changes[[#This Row],[Name]],changes[[#This Row],[Name]], $E$4:changes[[#This Row],[Type of change]], "Edit")),B2014)</f>
        <v>2</v>
      </c>
      <c r="C2015" s="16">
        <v>44799</v>
      </c>
      <c r="D2015" s="1" t="s">
        <v>2450</v>
      </c>
      <c r="E2015" t="s">
        <v>15</v>
      </c>
      <c r="F2015" s="10" t="s">
        <v>52</v>
      </c>
      <c r="G2015" s="21" t="s">
        <v>1651</v>
      </c>
      <c r="H2015" s="2" t="s">
        <v>55</v>
      </c>
      <c r="I2015" s="18" t="s">
        <v>1672</v>
      </c>
      <c r="J2015" s="23"/>
      <c r="K2015" s="2" t="s">
        <v>6</v>
      </c>
      <c r="M2015" s="2"/>
    </row>
    <row r="2016" spans="1:13" ht="15.75">
      <c r="A2016" t="s">
        <v>28</v>
      </c>
      <c r="B2016">
        <f ca="1">IF(OR(changes[[#This Row],[Type]]="Checklist",changes[[#This Row],[Type]]="checklist-flat"),1+IF(changes[[#This Row],[Type of change]] = "Edit",COUNTIFS($I$4:changes[[#This Row],[Name]],changes[[#This Row],[Name]], $E$4:changes[[#This Row],[Type of change]], "Edit")),B2015)</f>
        <v>2</v>
      </c>
      <c r="C2016" s="16">
        <v>44799</v>
      </c>
      <c r="D2016" s="1" t="s">
        <v>2450</v>
      </c>
      <c r="E2016" t="s">
        <v>15</v>
      </c>
      <c r="F2016" s="10" t="s">
        <v>52</v>
      </c>
      <c r="G2016" s="21" t="s">
        <v>1651</v>
      </c>
      <c r="H2016" s="2" t="s">
        <v>479</v>
      </c>
      <c r="I2016" s="18" t="s">
        <v>1673</v>
      </c>
      <c r="J2016" s="23"/>
      <c r="K2016" s="2" t="s">
        <v>6</v>
      </c>
      <c r="M2016" s="2"/>
    </row>
    <row r="2017" spans="1:13" ht="15.75">
      <c r="A2017" t="s">
        <v>28</v>
      </c>
      <c r="B2017">
        <f ca="1">IF(OR(changes[[#This Row],[Type]]="Checklist",changes[[#This Row],[Type]]="checklist-flat"),1+IF(changes[[#This Row],[Type of change]] = "Edit",COUNTIFS($I$4:changes[[#This Row],[Name]],changes[[#This Row],[Name]], $E$4:changes[[#This Row],[Type of change]], "Edit")),B2016)</f>
        <v>2</v>
      </c>
      <c r="C2017" s="16">
        <v>44799</v>
      </c>
      <c r="D2017" s="1" t="s">
        <v>2450</v>
      </c>
      <c r="E2017" t="s">
        <v>15</v>
      </c>
      <c r="F2017" s="10" t="s">
        <v>52</v>
      </c>
      <c r="G2017" s="21" t="s">
        <v>1651</v>
      </c>
      <c r="H2017" s="2" t="s">
        <v>55</v>
      </c>
      <c r="I2017" s="18" t="s">
        <v>1674</v>
      </c>
      <c r="J2017" s="23"/>
      <c r="K2017" s="2" t="s">
        <v>6</v>
      </c>
      <c r="M2017" s="2"/>
    </row>
    <row r="2018" spans="1:13" ht="15.75">
      <c r="A2018" t="s">
        <v>28</v>
      </c>
      <c r="B2018">
        <f ca="1">IF(OR(changes[[#This Row],[Type]]="Checklist",changes[[#This Row],[Type]]="checklist-flat"),1+IF(changes[[#This Row],[Type of change]] = "Edit",COUNTIFS($I$4:changes[[#This Row],[Name]],changes[[#This Row],[Name]], $E$4:changes[[#This Row],[Type of change]], "Edit")),B2017)</f>
        <v>2</v>
      </c>
      <c r="C2018" s="16">
        <v>44799</v>
      </c>
      <c r="D2018" s="1" t="s">
        <v>2450</v>
      </c>
      <c r="E2018" t="s">
        <v>15</v>
      </c>
      <c r="F2018" s="10" t="s">
        <v>52</v>
      </c>
      <c r="G2018" s="21" t="s">
        <v>1651</v>
      </c>
      <c r="H2018" s="2" t="s">
        <v>55</v>
      </c>
      <c r="I2018" s="18" t="s">
        <v>1675</v>
      </c>
      <c r="J2018" s="23"/>
      <c r="K2018" s="2" t="s">
        <v>6</v>
      </c>
      <c r="M2018" s="2"/>
    </row>
    <row r="2019" spans="1:13" ht="15.75">
      <c r="A2019" t="s">
        <v>28</v>
      </c>
      <c r="B2019">
        <f ca="1">IF(OR(changes[[#This Row],[Type]]="Checklist",changes[[#This Row],[Type]]="checklist-flat"),1+IF(changes[[#This Row],[Type of change]] = "Edit",COUNTIFS($I$4:changes[[#This Row],[Name]],changes[[#This Row],[Name]], $E$4:changes[[#This Row],[Type of change]], "Edit")),B2018)</f>
        <v>2</v>
      </c>
      <c r="C2019" s="16">
        <v>44799</v>
      </c>
      <c r="D2019" s="1" t="s">
        <v>2450</v>
      </c>
      <c r="E2019" t="s">
        <v>15</v>
      </c>
      <c r="F2019" s="10" t="s">
        <v>52</v>
      </c>
      <c r="G2019" s="21" t="s">
        <v>1651</v>
      </c>
      <c r="H2019" s="2" t="s">
        <v>55</v>
      </c>
      <c r="I2019" s="18" t="s">
        <v>1676</v>
      </c>
      <c r="J2019" s="23"/>
      <c r="K2019" s="2" t="s">
        <v>6</v>
      </c>
      <c r="M2019" s="2"/>
    </row>
    <row r="2020" spans="1:13" ht="15.75">
      <c r="A2020" t="s">
        <v>28</v>
      </c>
      <c r="B2020">
        <f ca="1">IF(OR(changes[[#This Row],[Type]]="Checklist",changes[[#This Row],[Type]]="checklist-flat"),1+IF(changes[[#This Row],[Type of change]] = "Edit",COUNTIFS($I$4:changes[[#This Row],[Name]],changes[[#This Row],[Name]], $E$4:changes[[#This Row],[Type of change]], "Edit")),B2019)</f>
        <v>2</v>
      </c>
      <c r="C2020" s="16">
        <v>44799</v>
      </c>
      <c r="D2020" s="1" t="s">
        <v>2450</v>
      </c>
      <c r="E2020" t="s">
        <v>15</v>
      </c>
      <c r="F2020" s="10" t="s">
        <v>52</v>
      </c>
      <c r="G2020" s="21" t="s">
        <v>1651</v>
      </c>
      <c r="H2020" s="2" t="s">
        <v>55</v>
      </c>
      <c r="I2020" s="18" t="s">
        <v>1677</v>
      </c>
      <c r="J2020" s="23"/>
      <c r="K2020" s="2" t="s">
        <v>6</v>
      </c>
      <c r="M2020" s="2"/>
    </row>
    <row r="2021" spans="1:13" ht="15.75">
      <c r="A2021" t="s">
        <v>28</v>
      </c>
      <c r="B2021">
        <f ca="1">IF(OR(changes[[#This Row],[Type]]="Checklist",changes[[#This Row],[Type]]="checklist-flat"),1+IF(changes[[#This Row],[Type of change]] = "Edit",COUNTIFS($I$4:changes[[#This Row],[Name]],changes[[#This Row],[Name]], $E$4:changes[[#This Row],[Type of change]], "Edit")),B2020)</f>
        <v>2</v>
      </c>
      <c r="C2021" s="16">
        <v>44799</v>
      </c>
      <c r="D2021" s="1" t="s">
        <v>2450</v>
      </c>
      <c r="E2021" t="s">
        <v>15</v>
      </c>
      <c r="F2021" s="10" t="s">
        <v>52</v>
      </c>
      <c r="G2021" s="21" t="s">
        <v>1651</v>
      </c>
      <c r="H2021" s="2" t="s">
        <v>64</v>
      </c>
      <c r="I2021" s="18" t="s">
        <v>2901</v>
      </c>
      <c r="J2021" s="23"/>
      <c r="K2021" s="2" t="s">
        <v>6</v>
      </c>
      <c r="M2021" s="2"/>
    </row>
    <row r="2022" spans="1:13" ht="15.75">
      <c r="A2022" t="s">
        <v>28</v>
      </c>
      <c r="B2022">
        <f ca="1">IF(OR(changes[[#This Row],[Type]]="Checklist",changes[[#This Row],[Type]]="checklist-flat"),1+IF(changes[[#This Row],[Type of change]] = "Edit",COUNTIFS($I$4:changes[[#This Row],[Name]],changes[[#This Row],[Name]], $E$4:changes[[#This Row],[Type of change]], "Edit")),B2021)</f>
        <v>2</v>
      </c>
      <c r="C2022" s="16">
        <v>44804</v>
      </c>
      <c r="D2022" s="1" t="s">
        <v>2509</v>
      </c>
      <c r="E2022" t="s">
        <v>15</v>
      </c>
      <c r="F2022" s="10" t="s">
        <v>9</v>
      </c>
      <c r="G2022" s="10" t="s">
        <v>1304</v>
      </c>
      <c r="H2022" s="19" t="s">
        <v>54</v>
      </c>
      <c r="I2022" s="21" t="s">
        <v>1304</v>
      </c>
      <c r="J2022" s="22"/>
      <c r="K2022" s="2" t="s">
        <v>6</v>
      </c>
      <c r="L2022" t="s">
        <v>2902</v>
      </c>
      <c r="M2022" s="2"/>
    </row>
    <row r="2023" spans="1:13" ht="15.75">
      <c r="A2023" t="s">
        <v>28</v>
      </c>
      <c r="B2023">
        <f ca="1">IF(OR(changes[[#This Row],[Type]]="Checklist",changes[[#This Row],[Type]]="checklist-flat"),1+IF(changes[[#This Row],[Type of change]] = "Edit",COUNTIFS($I$4:changes[[#This Row],[Name]],changes[[#This Row],[Name]], $E$4:changes[[#This Row],[Type of change]], "Edit")),B2022)</f>
        <v>2</v>
      </c>
      <c r="C2023" s="16">
        <v>44804</v>
      </c>
      <c r="D2023" s="1" t="s">
        <v>2509</v>
      </c>
      <c r="E2023" t="s">
        <v>15</v>
      </c>
      <c r="F2023" s="10" t="s">
        <v>9</v>
      </c>
      <c r="G2023" s="10" t="s">
        <v>1304</v>
      </c>
      <c r="H2023" s="2" t="s">
        <v>55</v>
      </c>
      <c r="I2023" s="18" t="s">
        <v>1305</v>
      </c>
      <c r="J2023" s="23"/>
      <c r="K2023" s="2" t="s">
        <v>6</v>
      </c>
      <c r="L2023" t="s">
        <v>2902</v>
      </c>
      <c r="M2023" s="2"/>
    </row>
    <row r="2024" spans="1:13" ht="15.75">
      <c r="A2024" t="s">
        <v>28</v>
      </c>
      <c r="B2024">
        <f ca="1">IF(OR(changes[[#This Row],[Type]]="Checklist",changes[[#This Row],[Type]]="checklist-flat"),1+IF(changes[[#This Row],[Type of change]] = "Edit",COUNTIFS($I$4:changes[[#This Row],[Name]],changes[[#This Row],[Name]], $E$4:changes[[#This Row],[Type of change]], "Edit")),B2023)</f>
        <v>2</v>
      </c>
      <c r="C2024" s="16">
        <v>44804</v>
      </c>
      <c r="D2024" s="1" t="s">
        <v>2509</v>
      </c>
      <c r="E2024" t="s">
        <v>15</v>
      </c>
      <c r="F2024" s="10" t="s">
        <v>9</v>
      </c>
      <c r="G2024" s="10" t="s">
        <v>1304</v>
      </c>
      <c r="H2024" s="2" t="s">
        <v>55</v>
      </c>
      <c r="I2024" s="18" t="s">
        <v>1306</v>
      </c>
      <c r="J2024" s="23"/>
      <c r="K2024" s="2" t="s">
        <v>6</v>
      </c>
      <c r="L2024" t="s">
        <v>2902</v>
      </c>
      <c r="M2024" s="2"/>
    </row>
    <row r="2025" spans="1:13" ht="15.75">
      <c r="A2025" t="s">
        <v>28</v>
      </c>
      <c r="B2025">
        <f ca="1">IF(OR(changes[[#This Row],[Type]]="Checklist",changes[[#This Row],[Type]]="checklist-flat"),1+IF(changes[[#This Row],[Type of change]] = "Edit",COUNTIFS($I$4:changes[[#This Row],[Name]],changes[[#This Row],[Name]], $E$4:changes[[#This Row],[Type of change]], "Edit")),B2024)</f>
        <v>2</v>
      </c>
      <c r="C2025" s="16">
        <v>44804</v>
      </c>
      <c r="D2025" s="1" t="s">
        <v>2509</v>
      </c>
      <c r="E2025" t="s">
        <v>15</v>
      </c>
      <c r="F2025" s="10" t="s">
        <v>9</v>
      </c>
      <c r="G2025" s="10" t="s">
        <v>1304</v>
      </c>
      <c r="H2025" s="2" t="s">
        <v>55</v>
      </c>
      <c r="I2025" s="18" t="s">
        <v>1307</v>
      </c>
      <c r="J2025" s="23"/>
      <c r="K2025" s="2" t="s">
        <v>6</v>
      </c>
      <c r="L2025" t="s">
        <v>2902</v>
      </c>
      <c r="M2025" s="2"/>
    </row>
    <row r="2026" spans="1:13" ht="15.75">
      <c r="A2026" t="s">
        <v>28</v>
      </c>
      <c r="B2026">
        <f ca="1">IF(OR(changes[[#This Row],[Type]]="Checklist",changes[[#This Row],[Type]]="checklist-flat"),1+IF(changes[[#This Row],[Type of change]] = "Edit",COUNTIFS($I$4:changes[[#This Row],[Name]],changes[[#This Row],[Name]], $E$4:changes[[#This Row],[Type of change]], "Edit")),B2025)</f>
        <v>2</v>
      </c>
      <c r="C2026" s="16">
        <v>44804</v>
      </c>
      <c r="D2026" s="1" t="s">
        <v>2509</v>
      </c>
      <c r="E2026" t="s">
        <v>15</v>
      </c>
      <c r="F2026" s="10" t="s">
        <v>9</v>
      </c>
      <c r="G2026" s="10" t="s">
        <v>1304</v>
      </c>
      <c r="H2026" s="2" t="s">
        <v>55</v>
      </c>
      <c r="I2026" s="18" t="s">
        <v>1308</v>
      </c>
      <c r="J2026" s="23"/>
      <c r="K2026" s="2" t="s">
        <v>6</v>
      </c>
      <c r="L2026" t="s">
        <v>2902</v>
      </c>
      <c r="M2026" s="2"/>
    </row>
    <row r="2027" spans="1:13" ht="15.75">
      <c r="A2027" t="s">
        <v>28</v>
      </c>
      <c r="B2027">
        <f ca="1">IF(OR(changes[[#This Row],[Type]]="Checklist",changes[[#This Row],[Type]]="checklist-flat"),1+IF(changes[[#This Row],[Type of change]] = "Edit",COUNTIFS($I$4:changes[[#This Row],[Name]],changes[[#This Row],[Name]], $E$4:changes[[#This Row],[Type of change]], "Edit")),B2026)</f>
        <v>2</v>
      </c>
      <c r="C2027" s="16">
        <v>44804</v>
      </c>
      <c r="D2027" s="1" t="s">
        <v>2509</v>
      </c>
      <c r="E2027" t="s">
        <v>15</v>
      </c>
      <c r="F2027" s="10" t="s">
        <v>9</v>
      </c>
      <c r="G2027" s="10" t="s">
        <v>1304</v>
      </c>
      <c r="H2027" s="2" t="s">
        <v>55</v>
      </c>
      <c r="I2027" s="18" t="s">
        <v>1309</v>
      </c>
      <c r="J2027" s="23"/>
      <c r="K2027" s="2" t="s">
        <v>6</v>
      </c>
      <c r="L2027" t="s">
        <v>2902</v>
      </c>
      <c r="M2027" s="2"/>
    </row>
    <row r="2028" spans="1:13" ht="15.75">
      <c r="A2028" t="s">
        <v>28</v>
      </c>
      <c r="B2028">
        <f ca="1">IF(OR(changes[[#This Row],[Type]]="Checklist",changes[[#This Row],[Type]]="checklist-flat"),1+IF(changes[[#This Row],[Type of change]] = "Edit",COUNTIFS($I$4:changes[[#This Row],[Name]],changes[[#This Row],[Name]], $E$4:changes[[#This Row],[Type of change]], "Edit")),B2027)</f>
        <v>2</v>
      </c>
      <c r="C2028" s="16">
        <v>44804</v>
      </c>
      <c r="D2028" s="1" t="s">
        <v>2509</v>
      </c>
      <c r="E2028" t="s">
        <v>15</v>
      </c>
      <c r="F2028" s="10" t="s">
        <v>9</v>
      </c>
      <c r="G2028" s="10" t="s">
        <v>1304</v>
      </c>
      <c r="H2028" s="2" t="s">
        <v>55</v>
      </c>
      <c r="I2028" s="18" t="s">
        <v>1310</v>
      </c>
      <c r="J2028" s="23"/>
      <c r="K2028" s="2" t="s">
        <v>6</v>
      </c>
      <c r="L2028" t="s">
        <v>2902</v>
      </c>
      <c r="M2028" s="2"/>
    </row>
    <row r="2029" spans="1:13" ht="15.75">
      <c r="A2029" t="s">
        <v>28</v>
      </c>
      <c r="B2029">
        <f ca="1">IF(OR(changes[[#This Row],[Type]]="Checklist",changes[[#This Row],[Type]]="checklist-flat"),1+IF(changes[[#This Row],[Type of change]] = "Edit",COUNTIFS($I$4:changes[[#This Row],[Name]],changes[[#This Row],[Name]], $E$4:changes[[#This Row],[Type of change]], "Edit")),B2028)</f>
        <v>2</v>
      </c>
      <c r="C2029" s="16">
        <v>44804</v>
      </c>
      <c r="D2029" s="1" t="s">
        <v>2509</v>
      </c>
      <c r="E2029" t="s">
        <v>15</v>
      </c>
      <c r="F2029" s="10" t="s">
        <v>9</v>
      </c>
      <c r="G2029" s="10" t="s">
        <v>1304</v>
      </c>
      <c r="H2029" s="2" t="s">
        <v>55</v>
      </c>
      <c r="I2029" s="18" t="s">
        <v>1311</v>
      </c>
      <c r="J2029" s="23"/>
      <c r="K2029" s="2" t="s">
        <v>6</v>
      </c>
      <c r="L2029" t="s">
        <v>2902</v>
      </c>
      <c r="M2029" s="2"/>
    </row>
    <row r="2030" spans="1:13" ht="15.75">
      <c r="A2030" t="s">
        <v>28</v>
      </c>
      <c r="B2030">
        <f ca="1">IF(OR(changes[[#This Row],[Type]]="Checklist",changes[[#This Row],[Type]]="checklist-flat"),1+IF(changes[[#This Row],[Type of change]] = "Edit",COUNTIFS($I$4:changes[[#This Row],[Name]],changes[[#This Row],[Name]], $E$4:changes[[#This Row],[Type of change]], "Edit")),B2029)</f>
        <v>2</v>
      </c>
      <c r="C2030" s="16">
        <v>44804</v>
      </c>
      <c r="D2030" s="1" t="s">
        <v>2509</v>
      </c>
      <c r="E2030" t="s">
        <v>15</v>
      </c>
      <c r="F2030" s="10" t="s">
        <v>9</v>
      </c>
      <c r="G2030" s="10" t="s">
        <v>1304</v>
      </c>
      <c r="H2030" s="2" t="s">
        <v>55</v>
      </c>
      <c r="I2030" s="18" t="s">
        <v>1312</v>
      </c>
      <c r="J2030" s="23"/>
      <c r="K2030" s="2" t="s">
        <v>6</v>
      </c>
      <c r="L2030" t="s">
        <v>2902</v>
      </c>
      <c r="M2030" s="2"/>
    </row>
    <row r="2031" spans="1:13" ht="15.75">
      <c r="A2031" t="s">
        <v>28</v>
      </c>
      <c r="B2031">
        <f ca="1">IF(OR(changes[[#This Row],[Type]]="Checklist",changes[[#This Row],[Type]]="checklist-flat"),1+IF(changes[[#This Row],[Type of change]] = "Edit",COUNTIFS($I$4:changes[[#This Row],[Name]],changes[[#This Row],[Name]], $E$4:changes[[#This Row],[Type of change]], "Edit")),B2030)</f>
        <v>2</v>
      </c>
      <c r="C2031" s="16">
        <v>44804</v>
      </c>
      <c r="D2031" s="1" t="s">
        <v>2509</v>
      </c>
      <c r="E2031" t="s">
        <v>15</v>
      </c>
      <c r="F2031" s="10" t="s">
        <v>9</v>
      </c>
      <c r="G2031" s="10" t="s">
        <v>1304</v>
      </c>
      <c r="H2031" s="2" t="s">
        <v>55</v>
      </c>
      <c r="I2031" s="18" t="s">
        <v>1313</v>
      </c>
      <c r="J2031" s="23"/>
      <c r="K2031" s="2" t="s">
        <v>6</v>
      </c>
      <c r="L2031" t="s">
        <v>2902</v>
      </c>
      <c r="M2031" s="2"/>
    </row>
    <row r="2032" spans="1:13" ht="15.75">
      <c r="A2032" t="s">
        <v>28</v>
      </c>
      <c r="B2032">
        <f ca="1">IF(OR(changes[[#This Row],[Type]]="Checklist",changes[[#This Row],[Type]]="checklist-flat"),1+IF(changes[[#This Row],[Type of change]] = "Edit",COUNTIFS($I$4:changes[[#This Row],[Name]],changes[[#This Row],[Name]], $E$4:changes[[#This Row],[Type of change]], "Edit")),B2031)</f>
        <v>2</v>
      </c>
      <c r="C2032" s="16">
        <v>44804</v>
      </c>
      <c r="D2032" s="1" t="s">
        <v>2509</v>
      </c>
      <c r="E2032" t="s">
        <v>15</v>
      </c>
      <c r="F2032" s="10" t="s">
        <v>9</v>
      </c>
      <c r="G2032" s="10" t="s">
        <v>1304</v>
      </c>
      <c r="H2032" s="2" t="s">
        <v>55</v>
      </c>
      <c r="I2032" s="18" t="s">
        <v>1314</v>
      </c>
      <c r="J2032" s="23"/>
      <c r="K2032" s="2" t="s">
        <v>6</v>
      </c>
      <c r="L2032" t="s">
        <v>2902</v>
      </c>
      <c r="M2032" s="2"/>
    </row>
    <row r="2033" spans="1:13" ht="15.75">
      <c r="A2033" t="s">
        <v>28</v>
      </c>
      <c r="B2033">
        <f ca="1">IF(OR(changes[[#This Row],[Type]]="Checklist",changes[[#This Row],[Type]]="checklist-flat"),1+IF(changes[[#This Row],[Type of change]] = "Edit",COUNTIFS($I$4:changes[[#This Row],[Name]],changes[[#This Row],[Name]], $E$4:changes[[#This Row],[Type of change]], "Edit")),B2032)</f>
        <v>2</v>
      </c>
      <c r="C2033" s="16">
        <v>44804</v>
      </c>
      <c r="D2033" s="1" t="s">
        <v>2509</v>
      </c>
      <c r="E2033" t="s">
        <v>15</v>
      </c>
      <c r="F2033" s="10" t="s">
        <v>9</v>
      </c>
      <c r="G2033" s="10" t="s">
        <v>1304</v>
      </c>
      <c r="H2033" s="2" t="s">
        <v>214</v>
      </c>
      <c r="I2033" s="18" t="s">
        <v>1315</v>
      </c>
      <c r="J2033" s="23"/>
      <c r="K2033" s="2" t="s">
        <v>6</v>
      </c>
      <c r="L2033" t="s">
        <v>2902</v>
      </c>
      <c r="M2033" s="2" t="s">
        <v>2903</v>
      </c>
    </row>
    <row r="2034" spans="1:13" ht="15.75">
      <c r="A2034" t="s">
        <v>28</v>
      </c>
      <c r="B2034">
        <f ca="1">IF(OR(changes[[#This Row],[Type]]="Checklist",changes[[#This Row],[Type]]="checklist-flat"),1+IF(changes[[#This Row],[Type of change]] = "Edit",COUNTIFS($I$4:changes[[#This Row],[Name]],changes[[#This Row],[Name]], $E$4:changes[[#This Row],[Type of change]], "Edit")),B2033)</f>
        <v>2</v>
      </c>
      <c r="C2034" s="16">
        <v>44804</v>
      </c>
      <c r="D2034" s="1" t="s">
        <v>2509</v>
      </c>
      <c r="E2034" t="s">
        <v>15</v>
      </c>
      <c r="F2034" s="10" t="s">
        <v>9</v>
      </c>
      <c r="G2034" s="10" t="s">
        <v>1304</v>
      </c>
      <c r="H2034" s="2" t="s">
        <v>55</v>
      </c>
      <c r="I2034" s="18" t="s">
        <v>1316</v>
      </c>
      <c r="J2034" s="23"/>
      <c r="K2034" s="2" t="s">
        <v>6</v>
      </c>
      <c r="L2034" t="s">
        <v>2902</v>
      </c>
      <c r="M2034" s="2"/>
    </row>
    <row r="2035" spans="1:13" ht="15.75">
      <c r="A2035" t="s">
        <v>28</v>
      </c>
      <c r="B2035">
        <f ca="1">IF(OR(changes[[#This Row],[Type]]="Checklist",changes[[#This Row],[Type]]="checklist-flat"),1+IF(changes[[#This Row],[Type of change]] = "Edit",COUNTIFS($I$4:changes[[#This Row],[Name]],changes[[#This Row],[Name]], $E$4:changes[[#This Row],[Type of change]], "Edit")),B2034)</f>
        <v>2</v>
      </c>
      <c r="C2035" s="16">
        <v>44804</v>
      </c>
      <c r="D2035" s="1" t="s">
        <v>2509</v>
      </c>
      <c r="E2035" t="s">
        <v>15</v>
      </c>
      <c r="F2035" s="10" t="s">
        <v>9</v>
      </c>
      <c r="G2035" s="10" t="s">
        <v>1304</v>
      </c>
      <c r="H2035" s="2" t="s">
        <v>55</v>
      </c>
      <c r="I2035" s="18" t="s">
        <v>1317</v>
      </c>
      <c r="J2035" s="23"/>
      <c r="K2035" s="2" t="s">
        <v>6</v>
      </c>
      <c r="L2035" t="s">
        <v>2902</v>
      </c>
      <c r="M2035" s="2"/>
    </row>
    <row r="2036" spans="1:13" ht="15.75">
      <c r="A2036" t="s">
        <v>28</v>
      </c>
      <c r="B2036">
        <f ca="1">IF(OR(changes[[#This Row],[Type]]="Checklist",changes[[#This Row],[Type]]="checklist-flat"),1+IF(changes[[#This Row],[Type of change]] = "Edit",COUNTIFS($I$4:changes[[#This Row],[Name]],changes[[#This Row],[Name]], $E$4:changes[[#This Row],[Type of change]], "Edit")),B2035)</f>
        <v>2</v>
      </c>
      <c r="C2036" s="16">
        <v>44804</v>
      </c>
      <c r="D2036" s="1" t="s">
        <v>2509</v>
      </c>
      <c r="E2036" t="s">
        <v>15</v>
      </c>
      <c r="F2036" s="10" t="s">
        <v>9</v>
      </c>
      <c r="G2036" s="10" t="s">
        <v>1304</v>
      </c>
      <c r="H2036" s="2" t="s">
        <v>55</v>
      </c>
      <c r="I2036" s="18" t="s">
        <v>1318</v>
      </c>
      <c r="J2036" s="23"/>
      <c r="K2036" s="2" t="s">
        <v>6</v>
      </c>
      <c r="L2036" t="s">
        <v>2902</v>
      </c>
      <c r="M2036" s="2"/>
    </row>
    <row r="2037" spans="1:13" ht="15.75">
      <c r="A2037" t="s">
        <v>28</v>
      </c>
      <c r="B2037">
        <f ca="1">IF(OR(changes[[#This Row],[Type]]="Checklist",changes[[#This Row],[Type]]="checklist-flat"),1+IF(changes[[#This Row],[Type of change]] = "Edit",COUNTIFS($I$4:changes[[#This Row],[Name]],changes[[#This Row],[Name]], $E$4:changes[[#This Row],[Type of change]], "Edit")),B2036)</f>
        <v>2</v>
      </c>
      <c r="C2037" s="16">
        <v>44804</v>
      </c>
      <c r="D2037" s="1" t="s">
        <v>2509</v>
      </c>
      <c r="E2037" t="s">
        <v>15</v>
      </c>
      <c r="F2037" s="10" t="s">
        <v>9</v>
      </c>
      <c r="G2037" s="10" t="s">
        <v>1304</v>
      </c>
      <c r="H2037" s="2" t="s">
        <v>55</v>
      </c>
      <c r="I2037" s="18" t="s">
        <v>1319</v>
      </c>
      <c r="J2037" s="23"/>
      <c r="K2037" s="2" t="s">
        <v>6</v>
      </c>
      <c r="L2037" t="s">
        <v>2902</v>
      </c>
      <c r="M2037" s="2"/>
    </row>
    <row r="2038" spans="1:13" ht="15.75">
      <c r="A2038" t="s">
        <v>28</v>
      </c>
      <c r="B2038">
        <f ca="1">IF(OR(changes[[#This Row],[Type]]="Checklist",changes[[#This Row],[Type]]="checklist-flat"),1+IF(changes[[#This Row],[Type of change]] = "Edit",COUNTIFS($I$4:changes[[#This Row],[Name]],changes[[#This Row],[Name]], $E$4:changes[[#This Row],[Type of change]], "Edit")),B2037)</f>
        <v>2</v>
      </c>
      <c r="C2038" s="16">
        <v>44804</v>
      </c>
      <c r="D2038" s="1" t="s">
        <v>2509</v>
      </c>
      <c r="E2038" t="s">
        <v>15</v>
      </c>
      <c r="F2038" s="10" t="s">
        <v>9</v>
      </c>
      <c r="G2038" s="10" t="s">
        <v>1304</v>
      </c>
      <c r="H2038" s="2" t="s">
        <v>55</v>
      </c>
      <c r="I2038" s="18" t="s">
        <v>1320</v>
      </c>
      <c r="J2038" s="23"/>
      <c r="K2038" s="2" t="s">
        <v>6</v>
      </c>
      <c r="L2038" t="s">
        <v>2902</v>
      </c>
      <c r="M2038" s="2"/>
    </row>
    <row r="2039" spans="1:13" ht="15.75">
      <c r="A2039" t="s">
        <v>28</v>
      </c>
      <c r="B2039">
        <f ca="1">IF(OR(changes[[#This Row],[Type]]="Checklist",changes[[#This Row],[Type]]="checklist-flat"),1+IF(changes[[#This Row],[Type of change]] = "Edit",COUNTIFS($I$4:changes[[#This Row],[Name]],changes[[#This Row],[Name]], $E$4:changes[[#This Row],[Type of change]], "Edit")),B2038)</f>
        <v>2</v>
      </c>
      <c r="C2039" s="16">
        <v>44804</v>
      </c>
      <c r="D2039" s="1" t="s">
        <v>2509</v>
      </c>
      <c r="E2039" t="s">
        <v>15</v>
      </c>
      <c r="F2039" s="10" t="s">
        <v>9</v>
      </c>
      <c r="G2039" s="10" t="s">
        <v>1304</v>
      </c>
      <c r="H2039" s="2" t="s">
        <v>55</v>
      </c>
      <c r="I2039" s="18" t="s">
        <v>1321</v>
      </c>
      <c r="J2039" s="23"/>
      <c r="K2039" s="2" t="s">
        <v>6</v>
      </c>
      <c r="L2039" t="s">
        <v>2902</v>
      </c>
      <c r="M2039" s="2"/>
    </row>
    <row r="2040" spans="1:13" ht="15.75">
      <c r="A2040" t="s">
        <v>28</v>
      </c>
      <c r="B2040">
        <f ca="1">IF(OR(changes[[#This Row],[Type]]="Checklist",changes[[#This Row],[Type]]="checklist-flat"),1+IF(changes[[#This Row],[Type of change]] = "Edit",COUNTIFS($I$4:changes[[#This Row],[Name]],changes[[#This Row],[Name]], $E$4:changes[[#This Row],[Type of change]], "Edit")),B2039)</f>
        <v>2</v>
      </c>
      <c r="C2040" s="16">
        <v>44804</v>
      </c>
      <c r="D2040" s="1" t="s">
        <v>2509</v>
      </c>
      <c r="E2040" t="s">
        <v>15</v>
      </c>
      <c r="F2040" s="10" t="s">
        <v>9</v>
      </c>
      <c r="G2040" s="10" t="s">
        <v>1304</v>
      </c>
      <c r="H2040" s="2" t="s">
        <v>55</v>
      </c>
      <c r="I2040" s="18" t="s">
        <v>93</v>
      </c>
      <c r="J2040" s="23"/>
      <c r="K2040" s="2" t="s">
        <v>6</v>
      </c>
      <c r="L2040" t="s">
        <v>2902</v>
      </c>
      <c r="M2040" s="2"/>
    </row>
    <row r="2041" spans="1:13" ht="15.75">
      <c r="A2041" t="s">
        <v>28</v>
      </c>
      <c r="B2041">
        <f ca="1">IF(OR(changes[[#This Row],[Type]]="Checklist",changes[[#This Row],[Type]]="checklist-flat"),1+IF(changes[[#This Row],[Type of change]] = "Edit",COUNTIFS($I$4:changes[[#This Row],[Name]],changes[[#This Row],[Name]], $E$4:changes[[#This Row],[Type of change]], "Edit")),B2040)</f>
        <v>2</v>
      </c>
      <c r="C2041" s="16">
        <v>44804</v>
      </c>
      <c r="D2041" s="1" t="s">
        <v>2509</v>
      </c>
      <c r="E2041" t="s">
        <v>15</v>
      </c>
      <c r="F2041" s="10" t="s">
        <v>9</v>
      </c>
      <c r="G2041" s="10" t="s">
        <v>1304</v>
      </c>
      <c r="H2041" s="2" t="s">
        <v>64</v>
      </c>
      <c r="I2041" s="18" t="s">
        <v>94</v>
      </c>
      <c r="J2041" s="23"/>
      <c r="K2041" s="2" t="s">
        <v>6</v>
      </c>
      <c r="L2041" t="s">
        <v>2902</v>
      </c>
      <c r="M2041" s="2"/>
    </row>
    <row r="2042" spans="1:13" ht="15.75">
      <c r="A2042" t="s">
        <v>28</v>
      </c>
      <c r="B2042">
        <f ca="1">IF(OR(changes[[#This Row],[Type]]="Checklist",changes[[#This Row],[Type]]="checklist-flat"),1+IF(changes[[#This Row],[Type of change]] = "Edit",COUNTIFS($I$4:changes[[#This Row],[Name]],changes[[#This Row],[Name]], $E$4:changes[[#This Row],[Type of change]], "Edit")),B2041)</f>
        <v>1</v>
      </c>
      <c r="C2042" s="16">
        <v>44804</v>
      </c>
      <c r="D2042" s="1" t="s">
        <v>2636</v>
      </c>
      <c r="E2042" t="s">
        <v>27</v>
      </c>
      <c r="F2042" s="10" t="s">
        <v>52</v>
      </c>
      <c r="G2042" s="10" t="s">
        <v>1611</v>
      </c>
      <c r="H2042" s="2" t="s">
        <v>478</v>
      </c>
      <c r="I2042" s="18" t="s">
        <v>1611</v>
      </c>
      <c r="J2042" s="23"/>
      <c r="K2042" s="2" t="s">
        <v>2904</v>
      </c>
      <c r="M2042" s="2"/>
    </row>
    <row r="2043" spans="1:13" ht="15.75">
      <c r="A2043" t="s">
        <v>28</v>
      </c>
      <c r="B2043">
        <f ca="1">IF(OR(changes[[#This Row],[Type]]="Checklist",changes[[#This Row],[Type]]="checklist-flat"),1+IF(changes[[#This Row],[Type of change]] = "Edit",COUNTIFS($I$4:changes[[#This Row],[Name]],changes[[#This Row],[Name]], $E$4:changes[[#This Row],[Type of change]], "Edit")),B2042)</f>
        <v>1</v>
      </c>
      <c r="C2043" s="16">
        <v>44804</v>
      </c>
      <c r="D2043" s="1" t="s">
        <v>2636</v>
      </c>
      <c r="E2043" t="s">
        <v>27</v>
      </c>
      <c r="F2043" s="10" t="s">
        <v>52</v>
      </c>
      <c r="G2043" s="10" t="s">
        <v>1611</v>
      </c>
      <c r="H2043" s="2" t="s">
        <v>479</v>
      </c>
      <c r="I2043" s="18" t="s">
        <v>1612</v>
      </c>
      <c r="J2043" s="23"/>
      <c r="K2043" s="2" t="s">
        <v>2905</v>
      </c>
      <c r="M2043" s="2"/>
    </row>
    <row r="2044" spans="1:13" ht="15.75">
      <c r="A2044" t="s">
        <v>28</v>
      </c>
      <c r="B2044">
        <f ca="1">IF(OR(changes[[#This Row],[Type]]="Checklist",changes[[#This Row],[Type]]="checklist-flat"),1+IF(changes[[#This Row],[Type of change]] = "Edit",COUNTIFS($I$4:changes[[#This Row],[Name]],changes[[#This Row],[Name]], $E$4:changes[[#This Row],[Type of change]], "Edit")),B2043)</f>
        <v>1</v>
      </c>
      <c r="C2044" s="16">
        <v>44804</v>
      </c>
      <c r="D2044" s="1" t="s">
        <v>2636</v>
      </c>
      <c r="E2044" t="s">
        <v>27</v>
      </c>
      <c r="F2044" s="10" t="s">
        <v>52</v>
      </c>
      <c r="G2044" s="10" t="s">
        <v>1611</v>
      </c>
      <c r="H2044" s="19" t="s">
        <v>722</v>
      </c>
      <c r="I2044" s="18" t="s">
        <v>1612</v>
      </c>
      <c r="J2044" s="22"/>
      <c r="K2044" s="2" t="s">
        <v>2905</v>
      </c>
      <c r="M2044" s="42" t="s">
        <v>2906</v>
      </c>
    </row>
    <row r="2045" spans="1:13" ht="15.75">
      <c r="A2045" t="s">
        <v>28</v>
      </c>
      <c r="B2045">
        <f ca="1">IF(OR(changes[[#This Row],[Type]]="Checklist",changes[[#This Row],[Type]]="checklist-flat"),1+IF(changes[[#This Row],[Type of change]] = "Edit",COUNTIFS($I$4:changes[[#This Row],[Name]],changes[[#This Row],[Name]], $E$4:changes[[#This Row],[Type of change]], "Edit")),B2044)</f>
        <v>1</v>
      </c>
      <c r="C2045" s="16">
        <v>44804</v>
      </c>
      <c r="D2045" s="1" t="s">
        <v>2636</v>
      </c>
      <c r="E2045" t="s">
        <v>27</v>
      </c>
      <c r="F2045" s="10" t="s">
        <v>52</v>
      </c>
      <c r="G2045" s="10" t="s">
        <v>1611</v>
      </c>
      <c r="H2045" s="2" t="s">
        <v>214</v>
      </c>
      <c r="I2045" s="18" t="s">
        <v>1613</v>
      </c>
      <c r="J2045" s="23"/>
      <c r="K2045" s="2" t="s">
        <v>2905</v>
      </c>
      <c r="M2045" s="43" t="s">
        <v>2907</v>
      </c>
    </row>
    <row r="2046" spans="1:13" ht="15.75">
      <c r="A2046" t="s">
        <v>28</v>
      </c>
      <c r="B2046">
        <f ca="1">IF(OR(changes[[#This Row],[Type]]="Checklist",changes[[#This Row],[Type]]="checklist-flat"),1+IF(changes[[#This Row],[Type of change]] = "Edit",COUNTIFS($I$4:changes[[#This Row],[Name]],changes[[#This Row],[Name]], $E$4:changes[[#This Row],[Type of change]], "Edit")),B2045)</f>
        <v>1</v>
      </c>
      <c r="C2046" s="16">
        <v>44804</v>
      </c>
      <c r="D2046" s="1" t="s">
        <v>2636</v>
      </c>
      <c r="E2046" t="s">
        <v>27</v>
      </c>
      <c r="F2046" s="10" t="s">
        <v>52</v>
      </c>
      <c r="G2046" s="10" t="s">
        <v>1611</v>
      </c>
      <c r="H2046" s="2" t="s">
        <v>214</v>
      </c>
      <c r="I2046" s="18" t="s">
        <v>1614</v>
      </c>
      <c r="J2046" s="23"/>
      <c r="K2046" s="2" t="s">
        <v>2905</v>
      </c>
      <c r="M2046" s="2"/>
    </row>
    <row r="2047" spans="1:13" ht="15.75">
      <c r="A2047" t="s">
        <v>28</v>
      </c>
      <c r="B2047">
        <f ca="1">IF(OR(changes[[#This Row],[Type]]="Checklist",changes[[#This Row],[Type]]="checklist-flat"),1+IF(changes[[#This Row],[Type of change]] = "Edit",COUNTIFS($I$4:changes[[#This Row],[Name]],changes[[#This Row],[Name]], $E$4:changes[[#This Row],[Type of change]], "Edit")),B2046)</f>
        <v>1</v>
      </c>
      <c r="C2047" s="16">
        <v>44804</v>
      </c>
      <c r="D2047" s="1" t="s">
        <v>2636</v>
      </c>
      <c r="E2047" t="s">
        <v>27</v>
      </c>
      <c r="F2047" s="10" t="s">
        <v>52</v>
      </c>
      <c r="G2047" s="10" t="s">
        <v>1611</v>
      </c>
      <c r="H2047" s="2" t="s">
        <v>479</v>
      </c>
      <c r="I2047" s="18" t="s">
        <v>1617</v>
      </c>
      <c r="J2047" s="23"/>
      <c r="K2047" s="2" t="s">
        <v>2905</v>
      </c>
      <c r="M2047" s="2"/>
    </row>
    <row r="2048" spans="1:13" ht="15.75">
      <c r="A2048" t="s">
        <v>28</v>
      </c>
      <c r="B2048">
        <f ca="1">IF(OR(changes[[#This Row],[Type]]="Checklist",changes[[#This Row],[Type]]="checklist-flat"),1+IF(changes[[#This Row],[Type of change]] = "Edit",COUNTIFS($I$4:changes[[#This Row],[Name]],changes[[#This Row],[Name]], $E$4:changes[[#This Row],[Type of change]], "Edit")),B2047)</f>
        <v>1</v>
      </c>
      <c r="C2048" s="16">
        <v>44804</v>
      </c>
      <c r="D2048" s="1" t="s">
        <v>2636</v>
      </c>
      <c r="E2048" t="s">
        <v>27</v>
      </c>
      <c r="F2048" s="10" t="s">
        <v>52</v>
      </c>
      <c r="G2048" s="10" t="s">
        <v>1611</v>
      </c>
      <c r="H2048" s="19" t="s">
        <v>722</v>
      </c>
      <c r="I2048" s="21" t="s">
        <v>1617</v>
      </c>
      <c r="J2048" s="22"/>
      <c r="K2048" s="2" t="s">
        <v>2905</v>
      </c>
      <c r="M2048" s="2"/>
    </row>
    <row r="2049" spans="1:13" ht="15.75">
      <c r="A2049" t="s">
        <v>28</v>
      </c>
      <c r="B2049">
        <f ca="1">IF(OR(changes[[#This Row],[Type]]="Checklist",changes[[#This Row],[Type]]="checklist-flat"),1+IF(changes[[#This Row],[Type of change]] = "Edit",COUNTIFS($I$4:changes[[#This Row],[Name]],changes[[#This Row],[Name]], $E$4:changes[[#This Row],[Type of change]], "Edit")),B2048)</f>
        <v>1</v>
      </c>
      <c r="C2049" s="16">
        <v>44804</v>
      </c>
      <c r="D2049" s="1" t="s">
        <v>2636</v>
      </c>
      <c r="E2049" t="s">
        <v>27</v>
      </c>
      <c r="F2049" s="10" t="s">
        <v>52</v>
      </c>
      <c r="G2049" s="10" t="s">
        <v>1611</v>
      </c>
      <c r="H2049" s="2" t="s">
        <v>214</v>
      </c>
      <c r="I2049" s="18" t="s">
        <v>1618</v>
      </c>
      <c r="J2049" s="23"/>
      <c r="K2049" s="2" t="s">
        <v>2905</v>
      </c>
      <c r="M2049" s="42" t="s">
        <v>2908</v>
      </c>
    </row>
    <row r="2050" spans="1:13" ht="15.75">
      <c r="A2050" t="s">
        <v>28</v>
      </c>
      <c r="B2050">
        <f ca="1">IF(OR(changes[[#This Row],[Type]]="Checklist",changes[[#This Row],[Type]]="checklist-flat"),1+IF(changes[[#This Row],[Type of change]] = "Edit",COUNTIFS($I$4:changes[[#This Row],[Name]],changes[[#This Row],[Name]], $E$4:changes[[#This Row],[Type of change]], "Edit")),B2049)</f>
        <v>1</v>
      </c>
      <c r="C2050" s="16">
        <v>44804</v>
      </c>
      <c r="D2050" s="1" t="s">
        <v>2636</v>
      </c>
      <c r="E2050" t="s">
        <v>27</v>
      </c>
      <c r="F2050" s="10" t="s">
        <v>52</v>
      </c>
      <c r="G2050" s="10" t="s">
        <v>1611</v>
      </c>
      <c r="H2050" s="2" t="s">
        <v>214</v>
      </c>
      <c r="I2050" s="18" t="s">
        <v>1619</v>
      </c>
      <c r="J2050" s="23"/>
      <c r="K2050" s="2" t="s">
        <v>2905</v>
      </c>
      <c r="M2050" s="2"/>
    </row>
    <row r="2051" spans="1:13" ht="15.75">
      <c r="A2051" t="s">
        <v>28</v>
      </c>
      <c r="B2051">
        <f ca="1">IF(OR(changes[[#This Row],[Type]]="Checklist",changes[[#This Row],[Type]]="checklist-flat"),1+IF(changes[[#This Row],[Type of change]] = "Edit",COUNTIFS($I$4:changes[[#This Row],[Name]],changes[[#This Row],[Name]], $E$4:changes[[#This Row],[Type of change]], "Edit")),B2050)</f>
        <v>1</v>
      </c>
      <c r="C2051" s="16">
        <v>44804</v>
      </c>
      <c r="D2051" s="1" t="s">
        <v>2636</v>
      </c>
      <c r="E2051" t="s">
        <v>27</v>
      </c>
      <c r="F2051" s="10" t="s">
        <v>52</v>
      </c>
      <c r="G2051" s="10" t="s">
        <v>1611</v>
      </c>
      <c r="H2051" s="2" t="s">
        <v>214</v>
      </c>
      <c r="I2051" s="18" t="s">
        <v>1620</v>
      </c>
      <c r="J2051" s="23"/>
      <c r="K2051" s="2" t="s">
        <v>2905</v>
      </c>
      <c r="M2051" s="2"/>
    </row>
    <row r="2052" spans="1:13" ht="15.75">
      <c r="A2052" t="s">
        <v>28</v>
      </c>
      <c r="B2052">
        <f ca="1">IF(OR(changes[[#This Row],[Type]]="Checklist",changes[[#This Row],[Type]]="checklist-flat"),1+IF(changes[[#This Row],[Type of change]] = "Edit",COUNTIFS($I$4:changes[[#This Row],[Name]],changes[[#This Row],[Name]], $E$4:changes[[#This Row],[Type of change]], "Edit")),B2051)</f>
        <v>1</v>
      </c>
      <c r="C2052" s="16">
        <v>44804</v>
      </c>
      <c r="D2052" s="1" t="s">
        <v>2636</v>
      </c>
      <c r="E2052" t="s">
        <v>27</v>
      </c>
      <c r="F2052" s="10" t="s">
        <v>52</v>
      </c>
      <c r="G2052" s="10" t="s">
        <v>1611</v>
      </c>
      <c r="H2052" s="2" t="s">
        <v>55</v>
      </c>
      <c r="I2052" s="18" t="s">
        <v>1621</v>
      </c>
      <c r="J2052" s="23"/>
      <c r="K2052" s="2" t="s">
        <v>2905</v>
      </c>
      <c r="M2052" s="2"/>
    </row>
    <row r="2053" spans="1:13" ht="15.75">
      <c r="A2053" t="s">
        <v>28</v>
      </c>
      <c r="B2053">
        <f ca="1">IF(OR(changes[[#This Row],[Type]]="Checklist",changes[[#This Row],[Type]]="checklist-flat"),1+IF(changes[[#This Row],[Type of change]] = "Edit",COUNTIFS($I$4:changes[[#This Row],[Name]],changes[[#This Row],[Name]], $E$4:changes[[#This Row],[Type of change]], "Edit")),B2052)</f>
        <v>1</v>
      </c>
      <c r="C2053" s="16">
        <v>44804</v>
      </c>
      <c r="D2053" s="1" t="s">
        <v>2636</v>
      </c>
      <c r="E2053" t="s">
        <v>27</v>
      </c>
      <c r="F2053" s="10" t="s">
        <v>52</v>
      </c>
      <c r="G2053" s="10" t="s">
        <v>1611</v>
      </c>
      <c r="H2053" s="2" t="s">
        <v>479</v>
      </c>
      <c r="I2053" s="18" t="s">
        <v>1622</v>
      </c>
      <c r="J2053" s="23"/>
      <c r="K2053" s="2" t="s">
        <v>2905</v>
      </c>
      <c r="M2053" s="2"/>
    </row>
    <row r="2054" spans="1:13" ht="15.75">
      <c r="A2054" t="s">
        <v>28</v>
      </c>
      <c r="B2054">
        <f ca="1">IF(OR(changes[[#This Row],[Type]]="Checklist",changes[[#This Row],[Type]]="checklist-flat"),1+IF(changes[[#This Row],[Type of change]] = "Edit",COUNTIFS($I$4:changes[[#This Row],[Name]],changes[[#This Row],[Name]], $E$4:changes[[#This Row],[Type of change]], "Edit")),B2053)</f>
        <v>1</v>
      </c>
      <c r="C2054" s="16">
        <v>44804</v>
      </c>
      <c r="D2054" s="1" t="s">
        <v>2636</v>
      </c>
      <c r="E2054" t="s">
        <v>27</v>
      </c>
      <c r="F2054" s="10" t="s">
        <v>52</v>
      </c>
      <c r="G2054" s="10" t="s">
        <v>1611</v>
      </c>
      <c r="H2054" s="2" t="s">
        <v>55</v>
      </c>
      <c r="I2054" s="18" t="s">
        <v>1623</v>
      </c>
      <c r="J2054" s="23"/>
      <c r="K2054" s="2" t="s">
        <v>2905</v>
      </c>
      <c r="M2054" s="2"/>
    </row>
    <row r="2055" spans="1:13" ht="15.75">
      <c r="A2055" t="s">
        <v>28</v>
      </c>
      <c r="B2055">
        <f ca="1">IF(OR(changes[[#This Row],[Type]]="Checklist",changes[[#This Row],[Type]]="checklist-flat"),1+IF(changes[[#This Row],[Type of change]] = "Edit",COUNTIFS($I$4:changes[[#This Row],[Name]],changes[[#This Row],[Name]], $E$4:changes[[#This Row],[Type of change]], "Edit")),B2054)</f>
        <v>1</v>
      </c>
      <c r="C2055" s="16">
        <v>44804</v>
      </c>
      <c r="D2055" s="1" t="s">
        <v>2636</v>
      </c>
      <c r="E2055" t="s">
        <v>27</v>
      </c>
      <c r="F2055" s="10" t="s">
        <v>52</v>
      </c>
      <c r="G2055" s="10" t="s">
        <v>1611</v>
      </c>
      <c r="H2055" s="2" t="s">
        <v>55</v>
      </c>
      <c r="I2055" s="18" t="s">
        <v>1624</v>
      </c>
      <c r="J2055" s="23"/>
      <c r="K2055" s="2" t="s">
        <v>2905</v>
      </c>
      <c r="M2055" s="2"/>
    </row>
    <row r="2056" spans="1:13" ht="15.75">
      <c r="A2056" t="s">
        <v>28</v>
      </c>
      <c r="B2056">
        <f ca="1">IF(OR(changes[[#This Row],[Type]]="Checklist",changes[[#This Row],[Type]]="checklist-flat"),1+IF(changes[[#This Row],[Type of change]] = "Edit",COUNTIFS($I$4:changes[[#This Row],[Name]],changes[[#This Row],[Name]], $E$4:changes[[#This Row],[Type of change]], "Edit")),B2055)</f>
        <v>1</v>
      </c>
      <c r="C2056" s="16">
        <v>44804</v>
      </c>
      <c r="D2056" s="1" t="s">
        <v>2636</v>
      </c>
      <c r="E2056" t="s">
        <v>27</v>
      </c>
      <c r="F2056" s="10" t="s">
        <v>52</v>
      </c>
      <c r="G2056" s="10" t="s">
        <v>1611</v>
      </c>
      <c r="H2056" s="2" t="s">
        <v>55</v>
      </c>
      <c r="I2056" s="18" t="s">
        <v>1625</v>
      </c>
      <c r="J2056" s="23"/>
      <c r="K2056" s="2" t="s">
        <v>2905</v>
      </c>
      <c r="M2056" s="2"/>
    </row>
    <row r="2057" spans="1:13" ht="15.75">
      <c r="A2057" t="s">
        <v>28</v>
      </c>
      <c r="B2057">
        <f ca="1">IF(OR(changes[[#This Row],[Type]]="Checklist",changes[[#This Row],[Type]]="checklist-flat"),1+IF(changes[[#This Row],[Type of change]] = "Edit",COUNTIFS($I$4:changes[[#This Row],[Name]],changes[[#This Row],[Name]], $E$4:changes[[#This Row],[Type of change]], "Edit")),B2056)</f>
        <v>1</v>
      </c>
      <c r="C2057" s="16">
        <v>44804</v>
      </c>
      <c r="D2057" s="1" t="s">
        <v>2636</v>
      </c>
      <c r="E2057" t="s">
        <v>27</v>
      </c>
      <c r="F2057" s="10" t="s">
        <v>52</v>
      </c>
      <c r="G2057" s="10" t="s">
        <v>1611</v>
      </c>
      <c r="H2057" s="2" t="s">
        <v>55</v>
      </c>
      <c r="I2057" s="18" t="s">
        <v>1626</v>
      </c>
      <c r="J2057" s="23"/>
      <c r="K2057" s="2" t="s">
        <v>2905</v>
      </c>
      <c r="M2057" s="2"/>
    </row>
    <row r="2058" spans="1:13" ht="15.75">
      <c r="A2058" t="s">
        <v>28</v>
      </c>
      <c r="B2058">
        <f ca="1">IF(OR(changes[[#This Row],[Type]]="Checklist",changes[[#This Row],[Type]]="checklist-flat"),1+IF(changes[[#This Row],[Type of change]] = "Edit",COUNTIFS($I$4:changes[[#This Row],[Name]],changes[[#This Row],[Name]], $E$4:changes[[#This Row],[Type of change]], "Edit")),B2057)</f>
        <v>1</v>
      </c>
      <c r="C2058" s="16">
        <v>44804</v>
      </c>
      <c r="D2058" s="1" t="s">
        <v>2636</v>
      </c>
      <c r="E2058" t="s">
        <v>27</v>
      </c>
      <c r="F2058" s="10" t="s">
        <v>52</v>
      </c>
      <c r="G2058" s="10" t="s">
        <v>1611</v>
      </c>
      <c r="H2058" s="2" t="s">
        <v>55</v>
      </c>
      <c r="I2058" s="18" t="s">
        <v>1627</v>
      </c>
      <c r="J2058" s="23"/>
      <c r="K2058" s="2" t="s">
        <v>2905</v>
      </c>
      <c r="M2058" s="2"/>
    </row>
    <row r="2059" spans="1:13" ht="15.75">
      <c r="A2059" t="s">
        <v>28</v>
      </c>
      <c r="B2059">
        <f ca="1">IF(OR(changes[[#This Row],[Type]]="Checklist",changes[[#This Row],[Type]]="checklist-flat"),1+IF(changes[[#This Row],[Type of change]] = "Edit",COUNTIFS($I$4:changes[[#This Row],[Name]],changes[[#This Row],[Name]], $E$4:changes[[#This Row],[Type of change]], "Edit")),B2058)</f>
        <v>1</v>
      </c>
      <c r="C2059" s="16">
        <v>44804</v>
      </c>
      <c r="D2059" s="1" t="s">
        <v>2636</v>
      </c>
      <c r="E2059" t="s">
        <v>27</v>
      </c>
      <c r="F2059" s="10" t="s">
        <v>52</v>
      </c>
      <c r="G2059" s="10" t="s">
        <v>1611</v>
      </c>
      <c r="H2059" s="2" t="s">
        <v>55</v>
      </c>
      <c r="I2059" s="18" t="s">
        <v>1628</v>
      </c>
      <c r="J2059" s="23"/>
      <c r="K2059" s="2" t="s">
        <v>2905</v>
      </c>
      <c r="M2059" s="2"/>
    </row>
    <row r="2060" spans="1:13" ht="15.75">
      <c r="A2060" t="s">
        <v>28</v>
      </c>
      <c r="B2060">
        <f ca="1">IF(OR(changes[[#This Row],[Type]]="Checklist",changes[[#This Row],[Type]]="checklist-flat"),1+IF(changes[[#This Row],[Type of change]] = "Edit",COUNTIFS($I$4:changes[[#This Row],[Name]],changes[[#This Row],[Name]], $E$4:changes[[#This Row],[Type of change]], "Edit")),B2059)</f>
        <v>1</v>
      </c>
      <c r="C2060" s="16">
        <v>44804</v>
      </c>
      <c r="D2060" s="1" t="s">
        <v>2636</v>
      </c>
      <c r="E2060" t="s">
        <v>27</v>
      </c>
      <c r="F2060" s="10" t="s">
        <v>52</v>
      </c>
      <c r="G2060" s="10" t="s">
        <v>1611</v>
      </c>
      <c r="H2060" s="2" t="s">
        <v>64</v>
      </c>
      <c r="I2060" s="18" t="s">
        <v>1610</v>
      </c>
      <c r="J2060" s="23"/>
      <c r="K2060" s="2" t="s">
        <v>2905</v>
      </c>
      <c r="M2060" s="2"/>
    </row>
    <row r="2061" spans="1:13" ht="15.75">
      <c r="A2061" t="s">
        <v>28</v>
      </c>
      <c r="B2061">
        <f ca="1">IF(OR(changes[[#This Row],[Type]]="Checklist",changes[[#This Row],[Type]]="checklist-flat"),1+IF(changes[[#This Row],[Type of change]] = "Edit",COUNTIFS($I$4:changes[[#This Row],[Name]],changes[[#This Row],[Name]], $E$4:changes[[#This Row],[Type of change]], "Edit")),B2060)</f>
        <v>1</v>
      </c>
      <c r="C2061" s="16">
        <v>44804</v>
      </c>
      <c r="D2061" s="1" t="s">
        <v>2636</v>
      </c>
      <c r="E2061" t="s">
        <v>27</v>
      </c>
      <c r="F2061" s="10" t="s">
        <v>52</v>
      </c>
      <c r="G2061" s="10" t="s">
        <v>2909</v>
      </c>
      <c r="H2061" s="2" t="s">
        <v>478</v>
      </c>
      <c r="I2061" s="18" t="s">
        <v>2909</v>
      </c>
      <c r="J2061" s="23"/>
      <c r="K2061" s="2" t="s">
        <v>2905</v>
      </c>
      <c r="M2061" s="2"/>
    </row>
    <row r="2062" spans="1:13" ht="15.75">
      <c r="A2062" t="s">
        <v>28</v>
      </c>
      <c r="B2062">
        <f ca="1">IF(OR(changes[[#This Row],[Type]]="Checklist",changes[[#This Row],[Type]]="checklist-flat"),1+IF(changes[[#This Row],[Type of change]] = "Edit",COUNTIFS($I$4:changes[[#This Row],[Name]],changes[[#This Row],[Name]], $E$4:changes[[#This Row],[Type of change]], "Edit")),B2061)</f>
        <v>1</v>
      </c>
      <c r="C2062" s="16">
        <v>44804</v>
      </c>
      <c r="D2062" s="1" t="s">
        <v>2636</v>
      </c>
      <c r="E2062" t="s">
        <v>27</v>
      </c>
      <c r="F2062" s="10" t="s">
        <v>52</v>
      </c>
      <c r="G2062" s="10" t="s">
        <v>2909</v>
      </c>
      <c r="H2062" s="2" t="s">
        <v>479</v>
      </c>
      <c r="I2062" s="18" t="s">
        <v>1586</v>
      </c>
      <c r="J2062" s="23"/>
      <c r="K2062" s="2" t="s">
        <v>2905</v>
      </c>
      <c r="M2062" s="2"/>
    </row>
    <row r="2063" spans="1:13" ht="15.75">
      <c r="A2063" t="s">
        <v>28</v>
      </c>
      <c r="B2063">
        <f ca="1">IF(OR(changes[[#This Row],[Type]]="Checklist",changes[[#This Row],[Type]]="checklist-flat"),1+IF(changes[[#This Row],[Type of change]] = "Edit",COUNTIFS($I$4:changes[[#This Row],[Name]],changes[[#This Row],[Name]], $E$4:changes[[#This Row],[Type of change]], "Edit")),B2062)</f>
        <v>1</v>
      </c>
      <c r="C2063" s="16">
        <v>44804</v>
      </c>
      <c r="D2063" s="1" t="s">
        <v>2636</v>
      </c>
      <c r="E2063" t="s">
        <v>27</v>
      </c>
      <c r="F2063" s="10" t="s">
        <v>52</v>
      </c>
      <c r="G2063" s="10" t="s">
        <v>2909</v>
      </c>
      <c r="H2063" s="19" t="s">
        <v>722</v>
      </c>
      <c r="I2063" s="21" t="s">
        <v>1586</v>
      </c>
      <c r="J2063" s="22"/>
      <c r="K2063" s="2" t="s">
        <v>2905</v>
      </c>
      <c r="M2063" s="2"/>
    </row>
    <row r="2064" spans="1:13" ht="15.75">
      <c r="A2064" t="s">
        <v>28</v>
      </c>
      <c r="B2064">
        <f ca="1">IF(OR(changes[[#This Row],[Type]]="Checklist",changes[[#This Row],[Type]]="checklist-flat"),1+IF(changes[[#This Row],[Type of change]] = "Edit",COUNTIFS($I$4:changes[[#This Row],[Name]],changes[[#This Row],[Name]], $E$4:changes[[#This Row],[Type of change]], "Edit")),B2063)</f>
        <v>1</v>
      </c>
      <c r="C2064" s="16">
        <v>44804</v>
      </c>
      <c r="D2064" s="1" t="s">
        <v>2636</v>
      </c>
      <c r="E2064" t="s">
        <v>27</v>
      </c>
      <c r="F2064" s="10" t="s">
        <v>52</v>
      </c>
      <c r="G2064" s="10" t="s">
        <v>2909</v>
      </c>
      <c r="H2064" s="2" t="s">
        <v>214</v>
      </c>
      <c r="I2064" s="18" t="s">
        <v>1587</v>
      </c>
      <c r="J2064" s="23"/>
      <c r="K2064" s="2" t="s">
        <v>2905</v>
      </c>
      <c r="M2064" s="42" t="s">
        <v>2908</v>
      </c>
    </row>
    <row r="2065" spans="1:13" ht="15.75">
      <c r="A2065" t="s">
        <v>28</v>
      </c>
      <c r="B2065">
        <f ca="1">IF(OR(changes[[#This Row],[Type]]="Checklist",changes[[#This Row],[Type]]="checklist-flat"),1+IF(changes[[#This Row],[Type of change]] = "Edit",COUNTIFS($I$4:changes[[#This Row],[Name]],changes[[#This Row],[Name]], $E$4:changes[[#This Row],[Type of change]], "Edit")),B2064)</f>
        <v>1</v>
      </c>
      <c r="C2065" s="16">
        <v>44804</v>
      </c>
      <c r="D2065" s="1" t="s">
        <v>2636</v>
      </c>
      <c r="E2065" t="s">
        <v>27</v>
      </c>
      <c r="F2065" s="10" t="s">
        <v>52</v>
      </c>
      <c r="G2065" s="10" t="s">
        <v>2909</v>
      </c>
      <c r="H2065" s="2" t="s">
        <v>99</v>
      </c>
      <c r="I2065" s="18" t="s">
        <v>1588</v>
      </c>
      <c r="J2065" s="23"/>
      <c r="K2065" s="2" t="s">
        <v>2905</v>
      </c>
      <c r="M2065" s="42" t="s">
        <v>2910</v>
      </c>
    </row>
    <row r="2066" spans="1:13" ht="15.75">
      <c r="A2066" t="s">
        <v>28</v>
      </c>
      <c r="B2066">
        <f ca="1">IF(OR(changes[[#This Row],[Type]]="Checklist",changes[[#This Row],[Type]]="checklist-flat"),1+IF(changes[[#This Row],[Type of change]] = "Edit",COUNTIFS($I$4:changes[[#This Row],[Name]],changes[[#This Row],[Name]], $E$4:changes[[#This Row],[Type of change]], "Edit")),B2065)</f>
        <v>1</v>
      </c>
      <c r="C2066" s="16">
        <v>44804</v>
      </c>
      <c r="D2066" s="1" t="s">
        <v>2636</v>
      </c>
      <c r="E2066" t="s">
        <v>27</v>
      </c>
      <c r="F2066" s="10" t="s">
        <v>52</v>
      </c>
      <c r="G2066" s="10" t="s">
        <v>2909</v>
      </c>
      <c r="H2066" s="2" t="s">
        <v>99</v>
      </c>
      <c r="I2066" s="18" t="s">
        <v>1589</v>
      </c>
      <c r="J2066" s="23"/>
      <c r="K2066" s="2" t="s">
        <v>2905</v>
      </c>
      <c r="M2066" s="42" t="s">
        <v>2910</v>
      </c>
    </row>
    <row r="2067" spans="1:13" ht="15.75">
      <c r="A2067" t="s">
        <v>28</v>
      </c>
      <c r="B2067">
        <f ca="1">IF(OR(changes[[#This Row],[Type]]="Checklist",changes[[#This Row],[Type]]="checklist-flat"),1+IF(changes[[#This Row],[Type of change]] = "Edit",COUNTIFS($I$4:changes[[#This Row],[Name]],changes[[#This Row],[Name]], $E$4:changes[[#This Row],[Type of change]], "Edit")),B2066)</f>
        <v>1</v>
      </c>
      <c r="C2067" s="16">
        <v>44804</v>
      </c>
      <c r="D2067" s="1" t="s">
        <v>2636</v>
      </c>
      <c r="E2067" t="s">
        <v>27</v>
      </c>
      <c r="F2067" s="10" t="s">
        <v>52</v>
      </c>
      <c r="G2067" s="10" t="s">
        <v>2909</v>
      </c>
      <c r="H2067" s="2" t="s">
        <v>55</v>
      </c>
      <c r="I2067" s="18" t="s">
        <v>1590</v>
      </c>
      <c r="J2067" s="23"/>
      <c r="K2067" s="2" t="s">
        <v>2905</v>
      </c>
      <c r="M2067" s="2"/>
    </row>
    <row r="2068" spans="1:13" ht="15.75">
      <c r="A2068" t="s">
        <v>28</v>
      </c>
      <c r="B2068">
        <f ca="1">IF(OR(changes[[#This Row],[Type]]="Checklist",changes[[#This Row],[Type]]="checklist-flat"),1+IF(changes[[#This Row],[Type of change]] = "Edit",COUNTIFS($I$4:changes[[#This Row],[Name]],changes[[#This Row],[Name]], $E$4:changes[[#This Row],[Type of change]], "Edit")),B2067)</f>
        <v>1</v>
      </c>
      <c r="C2068" s="16">
        <v>44804</v>
      </c>
      <c r="D2068" s="1" t="s">
        <v>2636</v>
      </c>
      <c r="E2068" t="s">
        <v>27</v>
      </c>
      <c r="F2068" s="10" t="s">
        <v>52</v>
      </c>
      <c r="G2068" s="10" t="s">
        <v>2909</v>
      </c>
      <c r="H2068" s="2" t="s">
        <v>55</v>
      </c>
      <c r="I2068" s="18" t="s">
        <v>1591</v>
      </c>
      <c r="J2068" s="23"/>
      <c r="K2068" s="2" t="s">
        <v>2905</v>
      </c>
      <c r="M2068" s="2"/>
    </row>
    <row r="2069" spans="1:13" ht="15.75">
      <c r="A2069" t="s">
        <v>28</v>
      </c>
      <c r="B2069">
        <f ca="1">IF(OR(changes[[#This Row],[Type]]="Checklist",changes[[#This Row],[Type]]="checklist-flat"),1+IF(changes[[#This Row],[Type of change]] = "Edit",COUNTIFS($I$4:changes[[#This Row],[Name]],changes[[#This Row],[Name]], $E$4:changes[[#This Row],[Type of change]], "Edit")),B2068)</f>
        <v>1</v>
      </c>
      <c r="C2069" s="16">
        <v>44804</v>
      </c>
      <c r="D2069" s="1" t="s">
        <v>2636</v>
      </c>
      <c r="E2069" t="s">
        <v>27</v>
      </c>
      <c r="F2069" s="10" t="s">
        <v>52</v>
      </c>
      <c r="G2069" s="10" t="s">
        <v>2909</v>
      </c>
      <c r="H2069" s="2" t="s">
        <v>55</v>
      </c>
      <c r="I2069" s="18" t="s">
        <v>1592</v>
      </c>
      <c r="J2069" s="23"/>
      <c r="K2069" s="2" t="s">
        <v>2905</v>
      </c>
      <c r="M2069" s="2"/>
    </row>
    <row r="2070" spans="1:13" ht="15.75">
      <c r="A2070" t="s">
        <v>28</v>
      </c>
      <c r="B2070">
        <f ca="1">IF(OR(changes[[#This Row],[Type]]="Checklist",changes[[#This Row],[Type]]="checklist-flat"),1+IF(changes[[#This Row],[Type of change]] = "Edit",COUNTIFS($I$4:changes[[#This Row],[Name]],changes[[#This Row],[Name]], $E$4:changes[[#This Row],[Type of change]], "Edit")),B2069)</f>
        <v>1</v>
      </c>
      <c r="C2070" s="16">
        <v>44804</v>
      </c>
      <c r="D2070" s="1" t="s">
        <v>2636</v>
      </c>
      <c r="E2070" t="s">
        <v>27</v>
      </c>
      <c r="F2070" s="10" t="s">
        <v>52</v>
      </c>
      <c r="G2070" s="10" t="s">
        <v>2909</v>
      </c>
      <c r="H2070" s="2" t="s">
        <v>55</v>
      </c>
      <c r="I2070" s="18" t="s">
        <v>1593</v>
      </c>
      <c r="J2070" s="23"/>
      <c r="K2070" s="2" t="s">
        <v>2905</v>
      </c>
      <c r="M2070" s="2"/>
    </row>
    <row r="2071" spans="1:13" ht="15.75">
      <c r="A2071" t="s">
        <v>28</v>
      </c>
      <c r="B2071">
        <f ca="1">IF(OR(changes[[#This Row],[Type]]="Checklist",changes[[#This Row],[Type]]="checklist-flat"),1+IF(changes[[#This Row],[Type of change]] = "Edit",COUNTIFS($I$4:changes[[#This Row],[Name]],changes[[#This Row],[Name]], $E$4:changes[[#This Row],[Type of change]], "Edit")),B2070)</f>
        <v>1</v>
      </c>
      <c r="C2071" s="16">
        <v>44804</v>
      </c>
      <c r="D2071" s="1" t="s">
        <v>2636</v>
      </c>
      <c r="E2071" t="s">
        <v>27</v>
      </c>
      <c r="F2071" s="10" t="s">
        <v>52</v>
      </c>
      <c r="G2071" s="10" t="s">
        <v>2909</v>
      </c>
      <c r="H2071" s="2" t="s">
        <v>55</v>
      </c>
      <c r="I2071" s="18" t="s">
        <v>1594</v>
      </c>
      <c r="J2071" s="23"/>
      <c r="K2071" s="2" t="s">
        <v>2905</v>
      </c>
      <c r="M2071" s="2"/>
    </row>
    <row r="2072" spans="1:13" ht="15.75">
      <c r="A2072" t="s">
        <v>28</v>
      </c>
      <c r="B2072">
        <f ca="1">IF(OR(changes[[#This Row],[Type]]="Checklist",changes[[#This Row],[Type]]="checklist-flat"),1+IF(changes[[#This Row],[Type of change]] = "Edit",COUNTIFS($I$4:changes[[#This Row],[Name]],changes[[#This Row],[Name]], $E$4:changes[[#This Row],[Type of change]], "Edit")),B2071)</f>
        <v>1</v>
      </c>
      <c r="C2072" s="16">
        <v>44804</v>
      </c>
      <c r="D2072" s="1" t="s">
        <v>2636</v>
      </c>
      <c r="E2072" t="s">
        <v>27</v>
      </c>
      <c r="F2072" s="10" t="s">
        <v>52</v>
      </c>
      <c r="G2072" s="10" t="s">
        <v>2909</v>
      </c>
      <c r="H2072" s="2" t="s">
        <v>479</v>
      </c>
      <c r="I2072" s="18" t="s">
        <v>1596</v>
      </c>
      <c r="J2072" s="23"/>
      <c r="K2072" s="2" t="s">
        <v>2905</v>
      </c>
      <c r="M2072" s="2"/>
    </row>
    <row r="2073" spans="1:13" ht="15.75">
      <c r="A2073" t="s">
        <v>28</v>
      </c>
      <c r="B2073">
        <f ca="1">IF(OR(changes[[#This Row],[Type]]="Checklist",changes[[#This Row],[Type]]="checklist-flat"),1+IF(changes[[#This Row],[Type of change]] = "Edit",COUNTIFS($I$4:changes[[#This Row],[Name]],changes[[#This Row],[Name]], $E$4:changes[[#This Row],[Type of change]], "Edit")),B2072)</f>
        <v>1</v>
      </c>
      <c r="C2073" s="16">
        <v>44804</v>
      </c>
      <c r="D2073" s="1" t="s">
        <v>2636</v>
      </c>
      <c r="E2073" t="s">
        <v>27</v>
      </c>
      <c r="F2073" s="10" t="s">
        <v>52</v>
      </c>
      <c r="G2073" s="10" t="s">
        <v>2909</v>
      </c>
      <c r="H2073" s="2" t="s">
        <v>55</v>
      </c>
      <c r="I2073" s="18" t="s">
        <v>1597</v>
      </c>
      <c r="J2073" s="23"/>
      <c r="K2073" s="2" t="s">
        <v>2905</v>
      </c>
      <c r="M2073" s="2"/>
    </row>
    <row r="2074" spans="1:13" ht="15.75">
      <c r="A2074" t="s">
        <v>28</v>
      </c>
      <c r="B2074">
        <f ca="1">IF(OR(changes[[#This Row],[Type]]="Checklist",changes[[#This Row],[Type]]="checklist-flat"),1+IF(changes[[#This Row],[Type of change]] = "Edit",COUNTIFS($I$4:changes[[#This Row],[Name]],changes[[#This Row],[Name]], $E$4:changes[[#This Row],[Type of change]], "Edit")),B2073)</f>
        <v>1</v>
      </c>
      <c r="C2074" s="16">
        <v>44804</v>
      </c>
      <c r="D2074" s="1" t="s">
        <v>2636</v>
      </c>
      <c r="E2074" t="s">
        <v>27</v>
      </c>
      <c r="F2074" s="10" t="s">
        <v>52</v>
      </c>
      <c r="G2074" s="10" t="s">
        <v>2909</v>
      </c>
      <c r="H2074" s="2" t="s">
        <v>55</v>
      </c>
      <c r="I2074" s="18" t="s">
        <v>1598</v>
      </c>
      <c r="J2074" s="23"/>
      <c r="K2074" s="2" t="s">
        <v>2905</v>
      </c>
      <c r="M2074" s="2"/>
    </row>
    <row r="2075" spans="1:13" ht="15.75">
      <c r="A2075" t="s">
        <v>28</v>
      </c>
      <c r="B2075">
        <f ca="1">IF(OR(changes[[#This Row],[Type]]="Checklist",changes[[#This Row],[Type]]="checklist-flat"),1+IF(changes[[#This Row],[Type of change]] = "Edit",COUNTIFS($I$4:changes[[#This Row],[Name]],changes[[#This Row],[Name]], $E$4:changes[[#This Row],[Type of change]], "Edit")),B2074)</f>
        <v>1</v>
      </c>
      <c r="C2075" s="16">
        <v>44804</v>
      </c>
      <c r="D2075" s="1" t="s">
        <v>2636</v>
      </c>
      <c r="E2075" t="s">
        <v>27</v>
      </c>
      <c r="F2075" s="10" t="s">
        <v>52</v>
      </c>
      <c r="G2075" s="10" t="s">
        <v>2909</v>
      </c>
      <c r="H2075" s="2" t="s">
        <v>55</v>
      </c>
      <c r="I2075" s="18" t="s">
        <v>1599</v>
      </c>
      <c r="J2075" s="23"/>
      <c r="K2075" s="2" t="s">
        <v>2905</v>
      </c>
      <c r="M2075" s="2"/>
    </row>
    <row r="2076" spans="1:13" ht="15.75">
      <c r="A2076" t="s">
        <v>28</v>
      </c>
      <c r="B2076">
        <f ca="1">IF(OR(changes[[#This Row],[Type]]="Checklist",changes[[#This Row],[Type]]="checklist-flat"),1+IF(changes[[#This Row],[Type of change]] = "Edit",COUNTIFS($I$4:changes[[#This Row],[Name]],changes[[#This Row],[Name]], $E$4:changes[[#This Row],[Type of change]], "Edit")),B2075)</f>
        <v>1</v>
      </c>
      <c r="C2076" s="16">
        <v>44804</v>
      </c>
      <c r="D2076" s="1" t="s">
        <v>2636</v>
      </c>
      <c r="E2076" t="s">
        <v>27</v>
      </c>
      <c r="F2076" s="10" t="s">
        <v>52</v>
      </c>
      <c r="G2076" s="10" t="s">
        <v>2909</v>
      </c>
      <c r="H2076" s="2" t="s">
        <v>55</v>
      </c>
      <c r="I2076" s="18" t="s">
        <v>1600</v>
      </c>
      <c r="J2076" s="23"/>
      <c r="K2076" s="2" t="s">
        <v>2905</v>
      </c>
      <c r="M2076" s="2"/>
    </row>
    <row r="2077" spans="1:13" ht="15.75">
      <c r="A2077" t="s">
        <v>28</v>
      </c>
      <c r="B2077">
        <f ca="1">IF(OR(changes[[#This Row],[Type]]="Checklist",changes[[#This Row],[Type]]="checklist-flat"),1+IF(changes[[#This Row],[Type of change]] = "Edit",COUNTIFS($I$4:changes[[#This Row],[Name]],changes[[#This Row],[Name]], $E$4:changes[[#This Row],[Type of change]], "Edit")),B2076)</f>
        <v>1</v>
      </c>
      <c r="C2077" s="16">
        <v>44804</v>
      </c>
      <c r="D2077" s="1" t="s">
        <v>2636</v>
      </c>
      <c r="E2077" t="s">
        <v>27</v>
      </c>
      <c r="F2077" s="10" t="s">
        <v>52</v>
      </c>
      <c r="G2077" s="10" t="s">
        <v>2909</v>
      </c>
      <c r="H2077" s="2" t="s">
        <v>55</v>
      </c>
      <c r="I2077" s="18" t="s">
        <v>1601</v>
      </c>
      <c r="J2077" s="23"/>
      <c r="K2077" s="2" t="s">
        <v>2905</v>
      </c>
      <c r="M2077" s="2"/>
    </row>
    <row r="2078" spans="1:13" ht="15.75">
      <c r="A2078" t="s">
        <v>28</v>
      </c>
      <c r="B2078">
        <f ca="1">IF(OR(changes[[#This Row],[Type]]="Checklist",changes[[#This Row],[Type]]="checklist-flat"),1+IF(changes[[#This Row],[Type of change]] = "Edit",COUNTIFS($I$4:changes[[#This Row],[Name]],changes[[#This Row],[Name]], $E$4:changes[[#This Row],[Type of change]], "Edit")),B2077)</f>
        <v>1</v>
      </c>
      <c r="C2078" s="16">
        <v>44804</v>
      </c>
      <c r="D2078" s="1" t="s">
        <v>2636</v>
      </c>
      <c r="E2078" t="s">
        <v>27</v>
      </c>
      <c r="F2078" s="10" t="s">
        <v>52</v>
      </c>
      <c r="G2078" s="10" t="s">
        <v>2909</v>
      </c>
      <c r="H2078" s="2" t="s">
        <v>55</v>
      </c>
      <c r="I2078" s="18" t="s">
        <v>1602</v>
      </c>
      <c r="J2078" s="23"/>
      <c r="K2078" s="2" t="s">
        <v>2905</v>
      </c>
      <c r="M2078" s="2"/>
    </row>
    <row r="2079" spans="1:13" ht="15.75">
      <c r="A2079" t="s">
        <v>28</v>
      </c>
      <c r="B2079">
        <f ca="1">IF(OR(changes[[#This Row],[Type]]="Checklist",changes[[#This Row],[Type]]="checklist-flat"),1+IF(changes[[#This Row],[Type of change]] = "Edit",COUNTIFS($I$4:changes[[#This Row],[Name]],changes[[#This Row],[Name]], $E$4:changes[[#This Row],[Type of change]], "Edit")),B2078)</f>
        <v>1</v>
      </c>
      <c r="C2079" s="16">
        <v>44804</v>
      </c>
      <c r="D2079" s="1" t="s">
        <v>2636</v>
      </c>
      <c r="E2079" t="s">
        <v>27</v>
      </c>
      <c r="F2079" s="10" t="s">
        <v>52</v>
      </c>
      <c r="G2079" s="10" t="s">
        <v>2909</v>
      </c>
      <c r="H2079" s="2" t="s">
        <v>55</v>
      </c>
      <c r="I2079" s="18" t="s">
        <v>1603</v>
      </c>
      <c r="J2079" s="23"/>
      <c r="K2079" s="2" t="s">
        <v>2905</v>
      </c>
      <c r="M2079" s="2"/>
    </row>
    <row r="2080" spans="1:13" ht="15.75">
      <c r="A2080" t="s">
        <v>28</v>
      </c>
      <c r="B2080">
        <f ca="1">IF(OR(changes[[#This Row],[Type]]="Checklist",changes[[#This Row],[Type]]="checklist-flat"),1+IF(changes[[#This Row],[Type of change]] = "Edit",COUNTIFS($I$4:changes[[#This Row],[Name]],changes[[#This Row],[Name]], $E$4:changes[[#This Row],[Type of change]], "Edit")),B2079)</f>
        <v>1</v>
      </c>
      <c r="C2080" s="16">
        <v>44804</v>
      </c>
      <c r="D2080" s="1" t="s">
        <v>2636</v>
      </c>
      <c r="E2080" t="s">
        <v>27</v>
      </c>
      <c r="F2080" s="10" t="s">
        <v>52</v>
      </c>
      <c r="G2080" s="10" t="s">
        <v>2909</v>
      </c>
      <c r="H2080" s="2" t="s">
        <v>55</v>
      </c>
      <c r="I2080" s="18" t="s">
        <v>1604</v>
      </c>
      <c r="J2080" s="23"/>
      <c r="K2080" s="2" t="s">
        <v>2905</v>
      </c>
      <c r="M2080" s="2"/>
    </row>
    <row r="2081" spans="1:13" ht="15.75">
      <c r="A2081" t="s">
        <v>28</v>
      </c>
      <c r="B2081">
        <f ca="1">IF(OR(changes[[#This Row],[Type]]="Checklist",changes[[#This Row],[Type]]="checklist-flat"),1+IF(changes[[#This Row],[Type of change]] = "Edit",COUNTIFS($I$4:changes[[#This Row],[Name]],changes[[#This Row],[Name]], $E$4:changes[[#This Row],[Type of change]], "Edit")),B2080)</f>
        <v>1</v>
      </c>
      <c r="C2081" s="16">
        <v>44804</v>
      </c>
      <c r="D2081" s="1" t="s">
        <v>2636</v>
      </c>
      <c r="E2081" t="s">
        <v>27</v>
      </c>
      <c r="F2081" s="10" t="s">
        <v>52</v>
      </c>
      <c r="G2081" s="10" t="s">
        <v>2909</v>
      </c>
      <c r="H2081" s="2" t="s">
        <v>479</v>
      </c>
      <c r="I2081" s="18" t="s">
        <v>1605</v>
      </c>
      <c r="J2081" s="23"/>
      <c r="K2081" s="2" t="s">
        <v>2905</v>
      </c>
      <c r="M2081" s="2"/>
    </row>
    <row r="2082" spans="1:13" ht="15.75">
      <c r="A2082" t="s">
        <v>28</v>
      </c>
      <c r="B2082">
        <f ca="1">IF(OR(changes[[#This Row],[Type]]="Checklist",changes[[#This Row],[Type]]="checklist-flat"),1+IF(changes[[#This Row],[Type of change]] = "Edit",COUNTIFS($I$4:changes[[#This Row],[Name]],changes[[#This Row],[Name]], $E$4:changes[[#This Row],[Type of change]], "Edit")),B2081)</f>
        <v>1</v>
      </c>
      <c r="C2082" s="16">
        <v>44804</v>
      </c>
      <c r="D2082" s="1" t="s">
        <v>2636</v>
      </c>
      <c r="E2082" t="s">
        <v>27</v>
      </c>
      <c r="F2082" s="10" t="s">
        <v>52</v>
      </c>
      <c r="G2082" s="10" t="s">
        <v>2909</v>
      </c>
      <c r="H2082" s="19" t="s">
        <v>722</v>
      </c>
      <c r="I2082" s="21" t="s">
        <v>1605</v>
      </c>
      <c r="J2082" s="22"/>
      <c r="K2082" s="2" t="s">
        <v>2905</v>
      </c>
      <c r="M2082" s="2"/>
    </row>
    <row r="2083" spans="1:13" ht="15.75">
      <c r="A2083" t="s">
        <v>28</v>
      </c>
      <c r="B2083">
        <f ca="1">IF(OR(changes[[#This Row],[Type]]="Checklist",changes[[#This Row],[Type]]="checklist-flat"),1+IF(changes[[#This Row],[Type of change]] = "Edit",COUNTIFS($I$4:changes[[#This Row],[Name]],changes[[#This Row],[Name]], $E$4:changes[[#This Row],[Type of change]], "Edit")),B2082)</f>
        <v>1</v>
      </c>
      <c r="C2083" s="16">
        <v>44804</v>
      </c>
      <c r="D2083" s="1" t="s">
        <v>2636</v>
      </c>
      <c r="E2083" t="s">
        <v>27</v>
      </c>
      <c r="F2083" s="10" t="s">
        <v>52</v>
      </c>
      <c r="G2083" s="10" t="s">
        <v>2909</v>
      </c>
      <c r="H2083" s="2" t="s">
        <v>214</v>
      </c>
      <c r="I2083" s="18" t="s">
        <v>1606</v>
      </c>
      <c r="J2083" s="23"/>
      <c r="K2083" s="2" t="s">
        <v>2905</v>
      </c>
      <c r="M2083" s="42" t="s">
        <v>2908</v>
      </c>
    </row>
    <row r="2084" spans="1:13" ht="15.75">
      <c r="A2084" t="s">
        <v>28</v>
      </c>
      <c r="B2084">
        <f ca="1">IF(OR(changes[[#This Row],[Type]]="Checklist",changes[[#This Row],[Type]]="checklist-flat"),1+IF(changes[[#This Row],[Type of change]] = "Edit",COUNTIFS($I$4:changes[[#This Row],[Name]],changes[[#This Row],[Name]], $E$4:changes[[#This Row],[Type of change]], "Edit")),B2083)</f>
        <v>1</v>
      </c>
      <c r="C2084" s="16">
        <v>44804</v>
      </c>
      <c r="D2084" s="1" t="s">
        <v>2636</v>
      </c>
      <c r="E2084" t="s">
        <v>27</v>
      </c>
      <c r="F2084" s="10" t="s">
        <v>52</v>
      </c>
      <c r="G2084" s="10" t="s">
        <v>2909</v>
      </c>
      <c r="H2084" s="2" t="s">
        <v>55</v>
      </c>
      <c r="I2084" s="18" t="s">
        <v>1607</v>
      </c>
      <c r="J2084" s="23"/>
      <c r="K2084" s="2" t="s">
        <v>2905</v>
      </c>
      <c r="M2084" s="2"/>
    </row>
    <row r="2085" spans="1:13" ht="15.75">
      <c r="A2085" t="s">
        <v>28</v>
      </c>
      <c r="B2085">
        <f ca="1">IF(OR(changes[[#This Row],[Type]]="Checklist",changes[[#This Row],[Type]]="checklist-flat"),1+IF(changes[[#This Row],[Type of change]] = "Edit",COUNTIFS($I$4:changes[[#This Row],[Name]],changes[[#This Row],[Name]], $E$4:changes[[#This Row],[Type of change]], "Edit")),B2084)</f>
        <v>1</v>
      </c>
      <c r="C2085" s="16">
        <v>44804</v>
      </c>
      <c r="D2085" s="1" t="s">
        <v>2636</v>
      </c>
      <c r="E2085" t="s">
        <v>27</v>
      </c>
      <c r="F2085" s="10" t="s">
        <v>52</v>
      </c>
      <c r="G2085" s="10" t="s">
        <v>2909</v>
      </c>
      <c r="H2085" s="2" t="s">
        <v>55</v>
      </c>
      <c r="I2085" s="18" t="s">
        <v>1608</v>
      </c>
      <c r="J2085" s="23"/>
      <c r="K2085" s="2" t="s">
        <v>2905</v>
      </c>
      <c r="M2085" s="2"/>
    </row>
    <row r="2086" spans="1:13" ht="15.75">
      <c r="A2086" t="s">
        <v>28</v>
      </c>
      <c r="B2086">
        <f ca="1">IF(OR(changes[[#This Row],[Type]]="Checklist",changes[[#This Row],[Type]]="checklist-flat"),1+IF(changes[[#This Row],[Type of change]] = "Edit",COUNTIFS($I$4:changes[[#This Row],[Name]],changes[[#This Row],[Name]], $E$4:changes[[#This Row],[Type of change]], "Edit")),B2085)</f>
        <v>1</v>
      </c>
      <c r="C2086" s="16">
        <v>44804</v>
      </c>
      <c r="D2086" s="1" t="s">
        <v>2636</v>
      </c>
      <c r="E2086" t="s">
        <v>27</v>
      </c>
      <c r="F2086" s="10" t="s">
        <v>52</v>
      </c>
      <c r="G2086" s="10" t="s">
        <v>2909</v>
      </c>
      <c r="H2086" s="2" t="s">
        <v>55</v>
      </c>
      <c r="I2086" s="18" t="s">
        <v>1609</v>
      </c>
      <c r="J2086" s="23"/>
      <c r="K2086" s="2" t="s">
        <v>2905</v>
      </c>
      <c r="M2086" s="2"/>
    </row>
    <row r="2087" spans="1:13" ht="15.75">
      <c r="A2087" t="s">
        <v>28</v>
      </c>
      <c r="B2087">
        <f ca="1">IF(OR(changes[[#This Row],[Type]]="Checklist",changes[[#This Row],[Type]]="checklist-flat"),1+IF(changes[[#This Row],[Type of change]] = "Edit",COUNTIFS($I$4:changes[[#This Row],[Name]],changes[[#This Row],[Name]], $E$4:changes[[#This Row],[Type of change]], "Edit")),B2086)</f>
        <v>1</v>
      </c>
      <c r="C2087" s="16">
        <v>44804</v>
      </c>
      <c r="D2087" s="1" t="s">
        <v>2636</v>
      </c>
      <c r="E2087" t="s">
        <v>27</v>
      </c>
      <c r="F2087" s="10" t="s">
        <v>52</v>
      </c>
      <c r="G2087" s="10" t="s">
        <v>2909</v>
      </c>
      <c r="H2087" s="2" t="s">
        <v>64</v>
      </c>
      <c r="I2087" s="18" t="s">
        <v>1610</v>
      </c>
      <c r="J2087" s="23"/>
      <c r="K2087" s="2" t="s">
        <v>2905</v>
      </c>
      <c r="M2087" s="2"/>
    </row>
    <row r="2088" spans="1:13" ht="15.75">
      <c r="A2088" t="s">
        <v>28</v>
      </c>
      <c r="B2088">
        <f ca="1">IF(OR(changes[[#This Row],[Type]]="Checklist",changes[[#This Row],[Type]]="checklist-flat"),1+IF(changes[[#This Row],[Type of change]] = "Edit",COUNTIFS($I$4:changes[[#This Row],[Name]],changes[[#This Row],[Name]], $E$4:changes[[#This Row],[Type of change]], "Edit")),B2087)</f>
        <v>1</v>
      </c>
      <c r="C2088" s="16">
        <v>44804</v>
      </c>
      <c r="D2088" s="1" t="s">
        <v>2636</v>
      </c>
      <c r="E2088" t="s">
        <v>27</v>
      </c>
      <c r="F2088" s="10" t="s">
        <v>52</v>
      </c>
      <c r="G2088" s="10" t="s">
        <v>469</v>
      </c>
      <c r="H2088" s="2" t="s">
        <v>478</v>
      </c>
      <c r="I2088" s="18" t="s">
        <v>469</v>
      </c>
      <c r="J2088" s="23"/>
      <c r="K2088" s="2" t="s">
        <v>2905</v>
      </c>
      <c r="M2088" s="2"/>
    </row>
    <row r="2089" spans="1:13" ht="15.75">
      <c r="A2089" t="s">
        <v>28</v>
      </c>
      <c r="B2089">
        <f ca="1">IF(OR(changes[[#This Row],[Type]]="Checklist",changes[[#This Row],[Type]]="checklist-flat"),1+IF(changes[[#This Row],[Type of change]] = "Edit",COUNTIFS($I$4:changes[[#This Row],[Name]],changes[[#This Row],[Name]], $E$4:changes[[#This Row],[Type of change]], "Edit")),B2088)</f>
        <v>1</v>
      </c>
      <c r="C2089" s="16">
        <v>44804</v>
      </c>
      <c r="D2089" s="1" t="s">
        <v>2636</v>
      </c>
      <c r="E2089" t="s">
        <v>27</v>
      </c>
      <c r="F2089" s="10" t="s">
        <v>52</v>
      </c>
      <c r="G2089" s="10" t="s">
        <v>469</v>
      </c>
      <c r="H2089" s="2" t="s">
        <v>55</v>
      </c>
      <c r="I2089" s="18" t="s">
        <v>471</v>
      </c>
      <c r="J2089" s="23"/>
      <c r="K2089" s="2" t="s">
        <v>2905</v>
      </c>
      <c r="M2089" s="2"/>
    </row>
    <row r="2090" spans="1:13" ht="15.75">
      <c r="A2090" t="s">
        <v>28</v>
      </c>
      <c r="B2090">
        <f ca="1">IF(OR(changes[[#This Row],[Type]]="Checklist",changes[[#This Row],[Type]]="checklist-flat"),1+IF(changes[[#This Row],[Type of change]] = "Edit",COUNTIFS($I$4:changes[[#This Row],[Name]],changes[[#This Row],[Name]], $E$4:changes[[#This Row],[Type of change]], "Edit")),B2089)</f>
        <v>1</v>
      </c>
      <c r="C2090" s="16">
        <v>44804</v>
      </c>
      <c r="D2090" s="1" t="s">
        <v>2636</v>
      </c>
      <c r="E2090" t="s">
        <v>27</v>
      </c>
      <c r="F2090" s="10" t="s">
        <v>52</v>
      </c>
      <c r="G2090" s="10" t="s">
        <v>469</v>
      </c>
      <c r="H2090" s="2" t="s">
        <v>55</v>
      </c>
      <c r="I2090" s="18" t="s">
        <v>472</v>
      </c>
      <c r="J2090" s="23"/>
      <c r="K2090" s="2" t="s">
        <v>2905</v>
      </c>
      <c r="M2090" s="2"/>
    </row>
    <row r="2091" spans="1:13" ht="15.75">
      <c r="A2091" t="s">
        <v>28</v>
      </c>
      <c r="B2091">
        <f ca="1">IF(OR(changes[[#This Row],[Type]]="Checklist",changes[[#This Row],[Type]]="checklist-flat"),1+IF(changes[[#This Row],[Type of change]] = "Edit",COUNTIFS($I$4:changes[[#This Row],[Name]],changes[[#This Row],[Name]], $E$4:changes[[#This Row],[Type of change]], "Edit")),B2090)</f>
        <v>1</v>
      </c>
      <c r="C2091" s="16">
        <v>44804</v>
      </c>
      <c r="D2091" s="1" t="s">
        <v>2636</v>
      </c>
      <c r="E2091" t="s">
        <v>27</v>
      </c>
      <c r="F2091" s="10" t="s">
        <v>52</v>
      </c>
      <c r="G2091" s="10" t="s">
        <v>469</v>
      </c>
      <c r="H2091" s="2" t="s">
        <v>55</v>
      </c>
      <c r="I2091" s="18" t="s">
        <v>473</v>
      </c>
      <c r="J2091" s="23"/>
      <c r="K2091" s="2" t="s">
        <v>2905</v>
      </c>
      <c r="M2091" s="2"/>
    </row>
    <row r="2092" spans="1:13" ht="15.75">
      <c r="A2092" t="s">
        <v>28</v>
      </c>
      <c r="B2092">
        <f ca="1">IF(OR(changes[[#This Row],[Type]]="Checklist",changes[[#This Row],[Type]]="checklist-flat"),1+IF(changes[[#This Row],[Type of change]] = "Edit",COUNTIFS($I$4:changes[[#This Row],[Name]],changes[[#This Row],[Name]], $E$4:changes[[#This Row],[Type of change]], "Edit")),B2091)</f>
        <v>1</v>
      </c>
      <c r="C2092" s="16">
        <v>44804</v>
      </c>
      <c r="D2092" s="1" t="s">
        <v>2636</v>
      </c>
      <c r="E2092" t="s">
        <v>27</v>
      </c>
      <c r="F2092" s="10" t="s">
        <v>52</v>
      </c>
      <c r="G2092" s="10" t="s">
        <v>469</v>
      </c>
      <c r="H2092" s="2" t="s">
        <v>55</v>
      </c>
      <c r="I2092" s="18" t="s">
        <v>474</v>
      </c>
      <c r="J2092" s="23"/>
      <c r="K2092" s="2" t="s">
        <v>2905</v>
      </c>
      <c r="M2092" s="2"/>
    </row>
    <row r="2093" spans="1:13" ht="15.75">
      <c r="A2093" t="s">
        <v>28</v>
      </c>
      <c r="B2093">
        <f ca="1">IF(OR(changes[[#This Row],[Type]]="Checklist",changes[[#This Row],[Type]]="checklist-flat"),1+IF(changes[[#This Row],[Type of change]] = "Edit",COUNTIFS($I$4:changes[[#This Row],[Name]],changes[[#This Row],[Name]], $E$4:changes[[#This Row],[Type of change]], "Edit")),B2092)</f>
        <v>1</v>
      </c>
      <c r="C2093" s="16">
        <v>44804</v>
      </c>
      <c r="D2093" s="1" t="s">
        <v>2636</v>
      </c>
      <c r="E2093" t="s">
        <v>27</v>
      </c>
      <c r="F2093" s="10" t="s">
        <v>52</v>
      </c>
      <c r="G2093" s="10" t="s">
        <v>469</v>
      </c>
      <c r="H2093" s="2" t="s">
        <v>55</v>
      </c>
      <c r="I2093" s="18" t="s">
        <v>2462</v>
      </c>
      <c r="J2093" s="23"/>
      <c r="K2093" s="2" t="s">
        <v>2905</v>
      </c>
      <c r="M2093" s="2"/>
    </row>
    <row r="2094" spans="1:13" ht="15.75">
      <c r="A2094" t="s">
        <v>28</v>
      </c>
      <c r="B2094">
        <f ca="1">IF(OR(changes[[#This Row],[Type]]="Checklist",changes[[#This Row],[Type]]="checklist-flat"),1+IF(changes[[#This Row],[Type of change]] = "Edit",COUNTIFS($I$4:changes[[#This Row],[Name]],changes[[#This Row],[Name]], $E$4:changes[[#This Row],[Type of change]], "Edit")),B2093)</f>
        <v>1</v>
      </c>
      <c r="C2094" s="16">
        <v>44804</v>
      </c>
      <c r="D2094" s="1" t="s">
        <v>2636</v>
      </c>
      <c r="E2094" t="s">
        <v>27</v>
      </c>
      <c r="F2094" s="10" t="s">
        <v>52</v>
      </c>
      <c r="G2094" s="10" t="s">
        <v>469</v>
      </c>
      <c r="H2094" s="2" t="s">
        <v>55</v>
      </c>
      <c r="I2094" s="18" t="s">
        <v>476</v>
      </c>
      <c r="J2094" s="23"/>
      <c r="K2094" s="2" t="s">
        <v>2905</v>
      </c>
      <c r="M2094" s="2"/>
    </row>
    <row r="2095" spans="1:13" ht="15.75">
      <c r="A2095" t="s">
        <v>28</v>
      </c>
      <c r="B2095">
        <f ca="1">IF(OR(changes[[#This Row],[Type]]="Checklist",changes[[#This Row],[Type]]="checklist-flat"),1+IF(changes[[#This Row],[Type of change]] = "Edit",COUNTIFS($I$4:changes[[#This Row],[Name]],changes[[#This Row],[Name]], $E$4:changes[[#This Row],[Type of change]], "Edit")),B2094)</f>
        <v>1</v>
      </c>
      <c r="C2095" s="16">
        <v>44804</v>
      </c>
      <c r="D2095" s="1" t="s">
        <v>2636</v>
      </c>
      <c r="E2095" t="s">
        <v>27</v>
      </c>
      <c r="F2095" s="10" t="s">
        <v>52</v>
      </c>
      <c r="G2095" s="10" t="s">
        <v>469</v>
      </c>
      <c r="H2095" s="2" t="s">
        <v>64</v>
      </c>
      <c r="I2095" s="18" t="s">
        <v>94</v>
      </c>
      <c r="J2095" s="23"/>
      <c r="K2095" s="2" t="s">
        <v>2905</v>
      </c>
      <c r="M2095" s="2"/>
    </row>
    <row r="2096" spans="1:13" ht="15.75">
      <c r="A2096" t="s">
        <v>28</v>
      </c>
      <c r="B2096">
        <f ca="1">IF(OR(changes[[#This Row],[Type]]="Checklist",changes[[#This Row],[Type]]="checklist-flat"),1+IF(changes[[#This Row],[Type of change]] = "Edit",COUNTIFS($I$4:changes[[#This Row],[Name]],changes[[#This Row],[Name]], $E$4:changes[[#This Row],[Type of change]], "Edit")),B2095)</f>
        <v>1</v>
      </c>
      <c r="C2096" s="16">
        <v>44804</v>
      </c>
      <c r="D2096" s="1" t="s">
        <v>2636</v>
      </c>
      <c r="E2096" t="s">
        <v>27</v>
      </c>
      <c r="F2096" s="10" t="s">
        <v>52</v>
      </c>
      <c r="G2096" s="10" t="s">
        <v>1768</v>
      </c>
      <c r="H2096" s="2" t="s">
        <v>478</v>
      </c>
      <c r="I2096" s="18" t="s">
        <v>1768</v>
      </c>
      <c r="J2096" s="23"/>
      <c r="K2096" s="2" t="s">
        <v>2905</v>
      </c>
      <c r="M2096" s="2"/>
    </row>
    <row r="2097" spans="1:13" ht="15.75">
      <c r="A2097" t="s">
        <v>28</v>
      </c>
      <c r="B2097">
        <f ca="1">IF(OR(changes[[#This Row],[Type]]="Checklist",changes[[#This Row],[Type]]="checklist-flat"),1+IF(changes[[#This Row],[Type of change]] = "Edit",COUNTIFS($I$4:changes[[#This Row],[Name]],changes[[#This Row],[Name]], $E$4:changes[[#This Row],[Type of change]], "Edit")),B2096)</f>
        <v>1</v>
      </c>
      <c r="C2097" s="16">
        <v>44804</v>
      </c>
      <c r="D2097" s="1" t="s">
        <v>2636</v>
      </c>
      <c r="E2097" t="s">
        <v>27</v>
      </c>
      <c r="F2097" s="10" t="s">
        <v>52</v>
      </c>
      <c r="G2097" s="10" t="s">
        <v>1768</v>
      </c>
      <c r="H2097" s="2" t="s">
        <v>55</v>
      </c>
      <c r="I2097" s="18" t="s">
        <v>1769</v>
      </c>
      <c r="J2097" s="23"/>
      <c r="K2097" s="2" t="s">
        <v>2905</v>
      </c>
      <c r="M2097" s="2"/>
    </row>
    <row r="2098" spans="1:13" ht="15.75">
      <c r="A2098" t="s">
        <v>28</v>
      </c>
      <c r="B2098">
        <f ca="1">IF(OR(changes[[#This Row],[Type]]="Checklist",changes[[#This Row],[Type]]="checklist-flat"),1+IF(changes[[#This Row],[Type of change]] = "Edit",COUNTIFS($I$4:changes[[#This Row],[Name]],changes[[#This Row],[Name]], $E$4:changes[[#This Row],[Type of change]], "Edit")),B2097)</f>
        <v>1</v>
      </c>
      <c r="C2098" s="16">
        <v>44804</v>
      </c>
      <c r="D2098" s="1" t="s">
        <v>2636</v>
      </c>
      <c r="E2098" t="s">
        <v>27</v>
      </c>
      <c r="F2098" s="10" t="s">
        <v>52</v>
      </c>
      <c r="G2098" s="10" t="s">
        <v>1768</v>
      </c>
      <c r="H2098" s="2" t="s">
        <v>55</v>
      </c>
      <c r="I2098" s="18" t="s">
        <v>1770</v>
      </c>
      <c r="J2098" s="23"/>
      <c r="K2098" s="2" t="s">
        <v>2905</v>
      </c>
      <c r="M2098" s="2"/>
    </row>
    <row r="2099" spans="1:13" ht="15.75">
      <c r="A2099" t="s">
        <v>28</v>
      </c>
      <c r="B2099">
        <f ca="1">IF(OR(changes[[#This Row],[Type]]="Checklist",changes[[#This Row],[Type]]="checklist-flat"),1+IF(changes[[#This Row],[Type of change]] = "Edit",COUNTIFS($I$4:changes[[#This Row],[Name]],changes[[#This Row],[Name]], $E$4:changes[[#This Row],[Type of change]], "Edit")),B2098)</f>
        <v>1</v>
      </c>
      <c r="C2099" s="16">
        <v>44804</v>
      </c>
      <c r="D2099" s="1" t="s">
        <v>2636</v>
      </c>
      <c r="E2099" t="s">
        <v>27</v>
      </c>
      <c r="F2099" s="10" t="s">
        <v>52</v>
      </c>
      <c r="G2099" s="10" t="s">
        <v>1768</v>
      </c>
      <c r="H2099" s="2" t="s">
        <v>55</v>
      </c>
      <c r="I2099" s="18" t="s">
        <v>1771</v>
      </c>
      <c r="J2099" s="23"/>
      <c r="K2099" s="2" t="s">
        <v>2905</v>
      </c>
      <c r="M2099" s="2"/>
    </row>
    <row r="2100" spans="1:13" ht="15.75">
      <c r="A2100" t="s">
        <v>28</v>
      </c>
      <c r="B2100">
        <f ca="1">IF(OR(changes[[#This Row],[Type]]="Checklist",changes[[#This Row],[Type]]="checklist-flat"),1+IF(changes[[#This Row],[Type of change]] = "Edit",COUNTIFS($I$4:changes[[#This Row],[Name]],changes[[#This Row],[Name]], $E$4:changes[[#This Row],[Type of change]], "Edit")),B2099)</f>
        <v>1</v>
      </c>
      <c r="C2100" s="16">
        <v>44804</v>
      </c>
      <c r="D2100" s="1" t="s">
        <v>2636</v>
      </c>
      <c r="E2100" t="s">
        <v>27</v>
      </c>
      <c r="F2100" s="10" t="s">
        <v>52</v>
      </c>
      <c r="G2100" s="10" t="s">
        <v>1768</v>
      </c>
      <c r="H2100" s="2" t="s">
        <v>55</v>
      </c>
      <c r="I2100" s="18" t="s">
        <v>1772</v>
      </c>
      <c r="J2100" s="23"/>
      <c r="K2100" s="2" t="s">
        <v>2905</v>
      </c>
      <c r="M2100" s="2"/>
    </row>
    <row r="2101" spans="1:13" ht="15.75">
      <c r="A2101" t="s">
        <v>28</v>
      </c>
      <c r="B2101">
        <f ca="1">IF(OR(changes[[#This Row],[Type]]="Checklist",changes[[#This Row],[Type]]="checklist-flat"),1+IF(changes[[#This Row],[Type of change]] = "Edit",COUNTIFS($I$4:changes[[#This Row],[Name]],changes[[#This Row],[Name]], $E$4:changes[[#This Row],[Type of change]], "Edit")),B2100)</f>
        <v>1</v>
      </c>
      <c r="C2101" s="16">
        <v>44804</v>
      </c>
      <c r="D2101" s="1" t="s">
        <v>2636</v>
      </c>
      <c r="E2101" t="s">
        <v>27</v>
      </c>
      <c r="F2101" s="10" t="s">
        <v>52</v>
      </c>
      <c r="G2101" s="10" t="s">
        <v>1768</v>
      </c>
      <c r="H2101" s="2" t="s">
        <v>55</v>
      </c>
      <c r="I2101" s="18" t="s">
        <v>1773</v>
      </c>
      <c r="J2101" s="23"/>
      <c r="K2101" s="2" t="s">
        <v>2905</v>
      </c>
      <c r="M2101" s="2"/>
    </row>
    <row r="2102" spans="1:13" ht="15.75">
      <c r="A2102" t="s">
        <v>28</v>
      </c>
      <c r="B2102">
        <f ca="1">IF(OR(changes[[#This Row],[Type]]="Checklist",changes[[#This Row],[Type]]="checklist-flat"),1+IF(changes[[#This Row],[Type of change]] = "Edit",COUNTIFS($I$4:changes[[#This Row],[Name]],changes[[#This Row],[Name]], $E$4:changes[[#This Row],[Type of change]], "Edit")),B2101)</f>
        <v>1</v>
      </c>
      <c r="C2102" s="16">
        <v>44804</v>
      </c>
      <c r="D2102" s="1" t="s">
        <v>2636</v>
      </c>
      <c r="E2102" t="s">
        <v>27</v>
      </c>
      <c r="F2102" s="10" t="s">
        <v>52</v>
      </c>
      <c r="G2102" s="10" t="s">
        <v>1768</v>
      </c>
      <c r="H2102" s="2" t="s">
        <v>55</v>
      </c>
      <c r="I2102" s="18" t="s">
        <v>1774</v>
      </c>
      <c r="J2102" s="23"/>
      <c r="K2102" s="2" t="s">
        <v>2905</v>
      </c>
      <c r="M2102" s="2"/>
    </row>
    <row r="2103" spans="1:13" ht="15.75">
      <c r="A2103" t="s">
        <v>28</v>
      </c>
      <c r="B2103">
        <f ca="1">IF(OR(changes[[#This Row],[Type]]="Checklist",changes[[#This Row],[Type]]="checklist-flat"),1+IF(changes[[#This Row],[Type of change]] = "Edit",COUNTIFS($I$4:changes[[#This Row],[Name]],changes[[#This Row],[Name]], $E$4:changes[[#This Row],[Type of change]], "Edit")),B2102)</f>
        <v>1</v>
      </c>
      <c r="C2103" s="16">
        <v>44804</v>
      </c>
      <c r="D2103" s="1" t="s">
        <v>2636</v>
      </c>
      <c r="E2103" t="s">
        <v>27</v>
      </c>
      <c r="F2103" s="10" t="s">
        <v>52</v>
      </c>
      <c r="G2103" s="10" t="s">
        <v>1768</v>
      </c>
      <c r="H2103" s="2" t="s">
        <v>55</v>
      </c>
      <c r="I2103" s="18" t="s">
        <v>1775</v>
      </c>
      <c r="J2103" s="23"/>
      <c r="K2103" s="2" t="s">
        <v>2905</v>
      </c>
      <c r="M2103" s="2"/>
    </row>
    <row r="2104" spans="1:13" ht="15.75">
      <c r="A2104" t="s">
        <v>28</v>
      </c>
      <c r="B2104">
        <f ca="1">IF(OR(changes[[#This Row],[Type]]="Checklist",changes[[#This Row],[Type]]="checklist-flat"),1+IF(changes[[#This Row],[Type of change]] = "Edit",COUNTIFS($I$4:changes[[#This Row],[Name]],changes[[#This Row],[Name]], $E$4:changes[[#This Row],[Type of change]], "Edit")),B2103)</f>
        <v>1</v>
      </c>
      <c r="C2104" s="16">
        <v>44804</v>
      </c>
      <c r="D2104" s="1" t="s">
        <v>2636</v>
      </c>
      <c r="E2104" t="s">
        <v>27</v>
      </c>
      <c r="F2104" s="10" t="s">
        <v>52</v>
      </c>
      <c r="G2104" s="10" t="s">
        <v>1768</v>
      </c>
      <c r="H2104" s="2" t="s">
        <v>55</v>
      </c>
      <c r="I2104" s="18" t="s">
        <v>2911</v>
      </c>
      <c r="J2104" s="23"/>
      <c r="K2104" s="2" t="s">
        <v>2905</v>
      </c>
      <c r="M2104" s="2"/>
    </row>
    <row r="2105" spans="1:13" ht="15.75">
      <c r="A2105" t="s">
        <v>28</v>
      </c>
      <c r="B2105">
        <f ca="1">IF(OR(changes[[#This Row],[Type]]="Checklist",changes[[#This Row],[Type]]="checklist-flat"),1+IF(changes[[#This Row],[Type of change]] = "Edit",COUNTIFS($I$4:changes[[#This Row],[Name]],changes[[#This Row],[Name]], $E$4:changes[[#This Row],[Type of change]], "Edit")),B2104)</f>
        <v>1</v>
      </c>
      <c r="C2105" s="16">
        <v>44804</v>
      </c>
      <c r="D2105" s="1" t="s">
        <v>2636</v>
      </c>
      <c r="E2105" t="s">
        <v>27</v>
      </c>
      <c r="F2105" s="10" t="s">
        <v>52</v>
      </c>
      <c r="G2105" s="10" t="s">
        <v>1768</v>
      </c>
      <c r="H2105" s="2" t="s">
        <v>55</v>
      </c>
      <c r="I2105" s="18" t="s">
        <v>1777</v>
      </c>
      <c r="J2105" s="23"/>
      <c r="K2105" s="2" t="s">
        <v>2905</v>
      </c>
      <c r="M2105" s="2"/>
    </row>
    <row r="2106" spans="1:13" ht="15.75">
      <c r="A2106" t="s">
        <v>28</v>
      </c>
      <c r="B2106">
        <f ca="1">IF(OR(changes[[#This Row],[Type]]="Checklist",changes[[#This Row],[Type]]="checklist-flat"),1+IF(changes[[#This Row],[Type of change]] = "Edit",COUNTIFS($I$4:changes[[#This Row],[Name]],changes[[#This Row],[Name]], $E$4:changes[[#This Row],[Type of change]], "Edit")),B2105)</f>
        <v>1</v>
      </c>
      <c r="C2106" s="16">
        <v>44804</v>
      </c>
      <c r="D2106" s="1" t="s">
        <v>2636</v>
      </c>
      <c r="E2106" t="s">
        <v>27</v>
      </c>
      <c r="F2106" s="10" t="s">
        <v>52</v>
      </c>
      <c r="G2106" s="10" t="s">
        <v>1768</v>
      </c>
      <c r="H2106" s="2" t="s">
        <v>64</v>
      </c>
      <c r="I2106" s="18" t="s">
        <v>94</v>
      </c>
      <c r="J2106" s="23"/>
      <c r="K2106" s="2" t="s">
        <v>2905</v>
      </c>
      <c r="M2106" s="2"/>
    </row>
    <row r="2107" spans="1:13" ht="15.75">
      <c r="A2107" t="s">
        <v>28</v>
      </c>
      <c r="B2107">
        <f ca="1">IF(OR(changes[[#This Row],[Type]]="Checklist",changes[[#This Row],[Type]]="checklist-flat"),1+IF(changes[[#This Row],[Type of change]] = "Edit",COUNTIFS($I$4:changes[[#This Row],[Name]],changes[[#This Row],[Name]], $E$4:changes[[#This Row],[Type of change]], "Edit")),B2106)</f>
        <v>1</v>
      </c>
      <c r="C2107" s="16">
        <v>44804</v>
      </c>
      <c r="D2107" s="1" t="s">
        <v>2636</v>
      </c>
      <c r="E2107" t="s">
        <v>27</v>
      </c>
      <c r="F2107" s="10" t="s">
        <v>2912</v>
      </c>
      <c r="G2107" s="10" t="s">
        <v>1534</v>
      </c>
      <c r="H2107" s="2" t="s">
        <v>47</v>
      </c>
      <c r="I2107" s="18" t="s">
        <v>1534</v>
      </c>
      <c r="J2107" s="23"/>
      <c r="K2107" s="2" t="s">
        <v>2905</v>
      </c>
      <c r="M2107" s="2"/>
    </row>
    <row r="2108" spans="1:13" ht="15.75">
      <c r="A2108" t="s">
        <v>28</v>
      </c>
      <c r="B2108">
        <f ca="1">IF(OR(changes[[#This Row],[Type]]="Checklist",changes[[#This Row],[Type]]="checklist-flat"),1+IF(changes[[#This Row],[Type of change]] = "Edit",COUNTIFS($I$4:changes[[#This Row],[Name]],changes[[#This Row],[Name]], $E$4:changes[[#This Row],[Type of change]], "Edit")),B2107)</f>
        <v>1</v>
      </c>
      <c r="C2108" s="16">
        <v>44804</v>
      </c>
      <c r="D2108" s="1" t="s">
        <v>2636</v>
      </c>
      <c r="E2108" t="s">
        <v>27</v>
      </c>
      <c r="F2108" s="10" t="s">
        <v>2912</v>
      </c>
      <c r="G2108" s="10" t="s">
        <v>1534</v>
      </c>
      <c r="H2108" s="2" t="s">
        <v>479</v>
      </c>
      <c r="I2108" s="18" t="s">
        <v>1535</v>
      </c>
      <c r="J2108" s="23"/>
      <c r="K2108" s="2" t="s">
        <v>2905</v>
      </c>
      <c r="M2108" s="2"/>
    </row>
    <row r="2109" spans="1:13" ht="15.75">
      <c r="A2109" t="s">
        <v>28</v>
      </c>
      <c r="B2109">
        <f ca="1">IF(OR(changes[[#This Row],[Type]]="Checklist",changes[[#This Row],[Type]]="checklist-flat"),1+IF(changes[[#This Row],[Type of change]] = "Edit",COUNTIFS($I$4:changes[[#This Row],[Name]],changes[[#This Row],[Name]], $E$4:changes[[#This Row],[Type of change]], "Edit")),B2108)</f>
        <v>1</v>
      </c>
      <c r="C2109" s="16">
        <v>44804</v>
      </c>
      <c r="D2109" s="1" t="s">
        <v>2636</v>
      </c>
      <c r="E2109" t="s">
        <v>27</v>
      </c>
      <c r="F2109" s="10" t="s">
        <v>2912</v>
      </c>
      <c r="G2109" s="10" t="s">
        <v>1534</v>
      </c>
      <c r="H2109" s="2" t="s">
        <v>55</v>
      </c>
      <c r="I2109" s="18" t="s">
        <v>1536</v>
      </c>
      <c r="J2109" s="23"/>
      <c r="K2109" s="2" t="s">
        <v>2905</v>
      </c>
      <c r="M2109" s="2"/>
    </row>
    <row r="2110" spans="1:13" ht="15.75">
      <c r="A2110" t="s">
        <v>28</v>
      </c>
      <c r="B2110">
        <f ca="1">IF(OR(changes[[#This Row],[Type]]="Checklist",changes[[#This Row],[Type]]="checklist-flat"),1+IF(changes[[#This Row],[Type of change]] = "Edit",COUNTIFS($I$4:changes[[#This Row],[Name]],changes[[#This Row],[Name]], $E$4:changes[[#This Row],[Type of change]], "Edit")),B2109)</f>
        <v>1</v>
      </c>
      <c r="C2110" s="16">
        <v>44804</v>
      </c>
      <c r="D2110" s="1" t="s">
        <v>2636</v>
      </c>
      <c r="E2110" t="s">
        <v>27</v>
      </c>
      <c r="F2110" s="10" t="s">
        <v>2912</v>
      </c>
      <c r="G2110" s="10" t="s">
        <v>1534</v>
      </c>
      <c r="H2110" s="2" t="s">
        <v>55</v>
      </c>
      <c r="I2110" s="18" t="s">
        <v>1537</v>
      </c>
      <c r="J2110" s="23"/>
      <c r="K2110" s="2" t="s">
        <v>2905</v>
      </c>
      <c r="M2110" s="2"/>
    </row>
    <row r="2111" spans="1:13" ht="15.75">
      <c r="A2111" t="s">
        <v>28</v>
      </c>
      <c r="B2111">
        <f ca="1">IF(OR(changes[[#This Row],[Type]]="Checklist",changes[[#This Row],[Type]]="checklist-flat"),1+IF(changes[[#This Row],[Type of change]] = "Edit",COUNTIFS($I$4:changes[[#This Row],[Name]],changes[[#This Row],[Name]], $E$4:changes[[#This Row],[Type of change]], "Edit")),B2110)</f>
        <v>1</v>
      </c>
      <c r="C2111" s="16">
        <v>44804</v>
      </c>
      <c r="D2111" s="1" t="s">
        <v>2636</v>
      </c>
      <c r="E2111" t="s">
        <v>27</v>
      </c>
      <c r="F2111" s="10" t="s">
        <v>2912</v>
      </c>
      <c r="G2111" s="10" t="s">
        <v>1534</v>
      </c>
      <c r="H2111" s="2" t="s">
        <v>55</v>
      </c>
      <c r="I2111" s="18" t="s">
        <v>1538</v>
      </c>
      <c r="J2111" s="23"/>
      <c r="K2111" s="2" t="s">
        <v>2905</v>
      </c>
      <c r="M2111" s="2"/>
    </row>
    <row r="2112" spans="1:13" ht="15.75">
      <c r="A2112" t="s">
        <v>28</v>
      </c>
      <c r="B2112">
        <f ca="1">IF(OR(changes[[#This Row],[Type]]="Checklist",changes[[#This Row],[Type]]="checklist-flat"),1+IF(changes[[#This Row],[Type of change]] = "Edit",COUNTIFS($I$4:changes[[#This Row],[Name]],changes[[#This Row],[Name]], $E$4:changes[[#This Row],[Type of change]], "Edit")),B2111)</f>
        <v>1</v>
      </c>
      <c r="C2112" s="16">
        <v>44804</v>
      </c>
      <c r="D2112" s="1" t="s">
        <v>2636</v>
      </c>
      <c r="E2112" t="s">
        <v>27</v>
      </c>
      <c r="F2112" s="10" t="s">
        <v>2912</v>
      </c>
      <c r="G2112" s="10" t="s">
        <v>1534</v>
      </c>
      <c r="H2112" s="2" t="s">
        <v>479</v>
      </c>
      <c r="I2112" s="18" t="s">
        <v>1539</v>
      </c>
      <c r="J2112" s="23"/>
      <c r="K2112" s="2" t="s">
        <v>2905</v>
      </c>
      <c r="M2112" s="2"/>
    </row>
    <row r="2113" spans="1:13" ht="15.75">
      <c r="A2113" t="s">
        <v>28</v>
      </c>
      <c r="B2113">
        <f ca="1">IF(OR(changes[[#This Row],[Type]]="Checklist",changes[[#This Row],[Type]]="checklist-flat"),1+IF(changes[[#This Row],[Type of change]] = "Edit",COUNTIFS($I$4:changes[[#This Row],[Name]],changes[[#This Row],[Name]], $E$4:changes[[#This Row],[Type of change]], "Edit")),B2112)</f>
        <v>1</v>
      </c>
      <c r="C2113" s="16">
        <v>44804</v>
      </c>
      <c r="D2113" s="1" t="s">
        <v>2636</v>
      </c>
      <c r="E2113" t="s">
        <v>27</v>
      </c>
      <c r="F2113" s="10" t="s">
        <v>2912</v>
      </c>
      <c r="G2113" s="10" t="s">
        <v>1534</v>
      </c>
      <c r="H2113" s="19" t="s">
        <v>722</v>
      </c>
      <c r="I2113" s="21" t="s">
        <v>1539</v>
      </c>
      <c r="J2113" s="22"/>
      <c r="K2113" s="2" t="s">
        <v>2905</v>
      </c>
      <c r="M2113" s="2"/>
    </row>
    <row r="2114" spans="1:13" ht="15.75">
      <c r="A2114" t="s">
        <v>28</v>
      </c>
      <c r="B2114">
        <f ca="1">IF(OR(changes[[#This Row],[Type]]="Checklist",changes[[#This Row],[Type]]="checklist-flat"),1+IF(changes[[#This Row],[Type of change]] = "Edit",COUNTIFS($I$4:changes[[#This Row],[Name]],changes[[#This Row],[Name]], $E$4:changes[[#This Row],[Type of change]], "Edit")),B2113)</f>
        <v>1</v>
      </c>
      <c r="C2114" s="16">
        <v>44804</v>
      </c>
      <c r="D2114" s="1" t="s">
        <v>2636</v>
      </c>
      <c r="E2114" t="s">
        <v>27</v>
      </c>
      <c r="F2114" s="10" t="s">
        <v>2912</v>
      </c>
      <c r="G2114" s="10" t="s">
        <v>1534</v>
      </c>
      <c r="H2114" s="2" t="s">
        <v>64</v>
      </c>
      <c r="I2114" s="18" t="s">
        <v>1540</v>
      </c>
      <c r="J2114" s="23"/>
      <c r="K2114" s="2" t="s">
        <v>2905</v>
      </c>
      <c r="M2114" s="42" t="s">
        <v>2913</v>
      </c>
    </row>
    <row r="2115" spans="1:13" ht="15.75">
      <c r="A2115" t="s">
        <v>28</v>
      </c>
      <c r="B2115">
        <f ca="1">IF(OR(changes[[#This Row],[Type]]="Checklist",changes[[#This Row],[Type]]="checklist-flat"),1+IF(changes[[#This Row],[Type of change]] = "Edit",COUNTIFS($I$4:changes[[#This Row],[Name]],changes[[#This Row],[Name]], $E$4:changes[[#This Row],[Type of change]], "Edit")),B2114)</f>
        <v>1</v>
      </c>
      <c r="C2115" s="16">
        <v>44804</v>
      </c>
      <c r="D2115" s="1" t="s">
        <v>2636</v>
      </c>
      <c r="E2115" t="s">
        <v>27</v>
      </c>
      <c r="F2115" s="10" t="s">
        <v>2912</v>
      </c>
      <c r="G2115" s="10" t="s">
        <v>1534</v>
      </c>
      <c r="H2115" s="2" t="s">
        <v>55</v>
      </c>
      <c r="I2115" s="18" t="s">
        <v>1541</v>
      </c>
      <c r="J2115" s="23"/>
      <c r="K2115" s="2" t="s">
        <v>2905</v>
      </c>
      <c r="M2115" s="2"/>
    </row>
    <row r="2116" spans="1:13" ht="15.75">
      <c r="A2116" t="s">
        <v>28</v>
      </c>
      <c r="B2116">
        <f ca="1">IF(OR(changes[[#This Row],[Type]]="Checklist",changes[[#This Row],[Type]]="checklist-flat"),1+IF(changes[[#This Row],[Type of change]] = "Edit",COUNTIFS($I$4:changes[[#This Row],[Name]],changes[[#This Row],[Name]], $E$4:changes[[#This Row],[Type of change]], "Edit")),B2115)</f>
        <v>1</v>
      </c>
      <c r="C2116" s="16">
        <v>44804</v>
      </c>
      <c r="D2116" s="1" t="s">
        <v>2636</v>
      </c>
      <c r="E2116" t="s">
        <v>27</v>
      </c>
      <c r="F2116" s="10" t="s">
        <v>2912</v>
      </c>
      <c r="G2116" s="10" t="s">
        <v>1534</v>
      </c>
      <c r="H2116" s="2" t="s">
        <v>55</v>
      </c>
      <c r="I2116" s="18" t="s">
        <v>1542</v>
      </c>
      <c r="J2116" s="23"/>
      <c r="K2116" s="2" t="s">
        <v>2905</v>
      </c>
      <c r="M2116" s="2"/>
    </row>
    <row r="2117" spans="1:13" ht="15.75">
      <c r="A2117" t="s">
        <v>28</v>
      </c>
      <c r="B2117">
        <f ca="1">IF(OR(changes[[#This Row],[Type]]="Checklist",changes[[#This Row],[Type]]="checklist-flat"),1+IF(changes[[#This Row],[Type of change]] = "Edit",COUNTIFS($I$4:changes[[#This Row],[Name]],changes[[#This Row],[Name]], $E$4:changes[[#This Row],[Type of change]], "Edit")),B2116)</f>
        <v>1</v>
      </c>
      <c r="C2117" s="16">
        <v>44804</v>
      </c>
      <c r="D2117" s="1" t="s">
        <v>2636</v>
      </c>
      <c r="E2117" t="s">
        <v>27</v>
      </c>
      <c r="F2117" s="10" t="s">
        <v>2912</v>
      </c>
      <c r="G2117" s="10" t="s">
        <v>1534</v>
      </c>
      <c r="H2117" s="2" t="s">
        <v>55</v>
      </c>
      <c r="I2117" s="18" t="s">
        <v>1543</v>
      </c>
      <c r="J2117" s="23"/>
      <c r="K2117" s="2" t="s">
        <v>2905</v>
      </c>
      <c r="M2117" s="2"/>
    </row>
    <row r="2118" spans="1:13" ht="15.75">
      <c r="A2118" t="s">
        <v>28</v>
      </c>
      <c r="B2118">
        <f ca="1">IF(OR(changes[[#This Row],[Type]]="Checklist",changes[[#This Row],[Type]]="checklist-flat"),1+IF(changes[[#This Row],[Type of change]] = "Edit",COUNTIFS($I$4:changes[[#This Row],[Name]],changes[[#This Row],[Name]], $E$4:changes[[#This Row],[Type of change]], "Edit")),B2117)</f>
        <v>1</v>
      </c>
      <c r="C2118" s="16">
        <v>44804</v>
      </c>
      <c r="D2118" s="1" t="s">
        <v>2636</v>
      </c>
      <c r="E2118" t="s">
        <v>27</v>
      </c>
      <c r="F2118" s="10" t="s">
        <v>2912</v>
      </c>
      <c r="G2118" s="10" t="s">
        <v>1534</v>
      </c>
      <c r="H2118" s="2" t="s">
        <v>55</v>
      </c>
      <c r="I2118" s="18" t="s">
        <v>1544</v>
      </c>
      <c r="J2118" s="23"/>
      <c r="K2118" s="2" t="s">
        <v>2905</v>
      </c>
      <c r="M2118" s="2"/>
    </row>
    <row r="2119" spans="1:13" ht="15.75">
      <c r="A2119" t="s">
        <v>28</v>
      </c>
      <c r="B2119">
        <f ca="1">IF(OR(changes[[#This Row],[Type]]="Checklist",changes[[#This Row],[Type]]="checklist-flat"),1+IF(changes[[#This Row],[Type of change]] = "Edit",COUNTIFS($I$4:changes[[#This Row],[Name]],changes[[#This Row],[Name]], $E$4:changes[[#This Row],[Type of change]], "Edit")),B2118)</f>
        <v>1</v>
      </c>
      <c r="C2119" s="16">
        <v>44804</v>
      </c>
      <c r="D2119" s="1" t="s">
        <v>2636</v>
      </c>
      <c r="E2119" t="s">
        <v>27</v>
      </c>
      <c r="F2119" s="10" t="s">
        <v>2912</v>
      </c>
      <c r="G2119" s="10" t="s">
        <v>1534</v>
      </c>
      <c r="H2119" s="2" t="s">
        <v>55</v>
      </c>
      <c r="I2119" s="18" t="s">
        <v>1545</v>
      </c>
      <c r="J2119" s="23"/>
      <c r="K2119" s="2" t="s">
        <v>2905</v>
      </c>
      <c r="M2119" s="2"/>
    </row>
    <row r="2120" spans="1:13" ht="15.75">
      <c r="A2120" t="s">
        <v>28</v>
      </c>
      <c r="B2120">
        <f ca="1">IF(OR(changes[[#This Row],[Type]]="Checklist",changes[[#This Row],[Type]]="checklist-flat"),1+IF(changes[[#This Row],[Type of change]] = "Edit",COUNTIFS($I$4:changes[[#This Row],[Name]],changes[[#This Row],[Name]], $E$4:changes[[#This Row],[Type of change]], "Edit")),B2119)</f>
        <v>1</v>
      </c>
      <c r="C2120" s="16">
        <v>44804</v>
      </c>
      <c r="D2120" s="1" t="s">
        <v>2636</v>
      </c>
      <c r="E2120" t="s">
        <v>27</v>
      </c>
      <c r="F2120" s="10" t="s">
        <v>2912</v>
      </c>
      <c r="G2120" s="10" t="s">
        <v>1534</v>
      </c>
      <c r="H2120" s="2" t="s">
        <v>64</v>
      </c>
      <c r="I2120" s="18" t="s">
        <v>1546</v>
      </c>
      <c r="J2120" s="23"/>
      <c r="K2120" s="2" t="s">
        <v>2905</v>
      </c>
      <c r="M2120" s="2"/>
    </row>
    <row r="2121" spans="1:13" ht="15.75">
      <c r="A2121" t="s">
        <v>28</v>
      </c>
      <c r="B2121">
        <f ca="1">IF(OR(changes[[#This Row],[Type]]="Checklist",changes[[#This Row],[Type]]="checklist-flat"),1+IF(changes[[#This Row],[Type of change]] = "Edit",COUNTIFS($I$4:changes[[#This Row],[Name]],changes[[#This Row],[Name]], $E$4:changes[[#This Row],[Type of change]], "Edit")),B2120)</f>
        <v>1</v>
      </c>
      <c r="C2121" s="16">
        <v>44804</v>
      </c>
      <c r="D2121" s="1" t="s">
        <v>2636</v>
      </c>
      <c r="E2121" t="s">
        <v>27</v>
      </c>
      <c r="F2121" s="10" t="s">
        <v>2912</v>
      </c>
      <c r="G2121" s="10" t="s">
        <v>1534</v>
      </c>
      <c r="H2121" s="2" t="s">
        <v>479</v>
      </c>
      <c r="I2121" s="18" t="s">
        <v>1547</v>
      </c>
      <c r="J2121" s="23"/>
      <c r="K2121" s="2" t="s">
        <v>2905</v>
      </c>
      <c r="M2121" s="2"/>
    </row>
    <row r="2122" spans="1:13" ht="15.75">
      <c r="A2122" t="s">
        <v>28</v>
      </c>
      <c r="B2122">
        <f ca="1">IF(OR(changes[[#This Row],[Type]]="Checklist",changes[[#This Row],[Type]]="checklist-flat"),1+IF(changes[[#This Row],[Type of change]] = "Edit",COUNTIFS($I$4:changes[[#This Row],[Name]],changes[[#This Row],[Name]], $E$4:changes[[#This Row],[Type of change]], "Edit")),B2121)</f>
        <v>1</v>
      </c>
      <c r="C2122" s="16">
        <v>44804</v>
      </c>
      <c r="D2122" s="1" t="s">
        <v>2636</v>
      </c>
      <c r="E2122" t="s">
        <v>27</v>
      </c>
      <c r="F2122" s="10" t="s">
        <v>2912</v>
      </c>
      <c r="G2122" s="10" t="s">
        <v>1534</v>
      </c>
      <c r="H2122" s="2" t="s">
        <v>55</v>
      </c>
      <c r="I2122" s="18" t="s">
        <v>1548</v>
      </c>
      <c r="J2122" s="23"/>
      <c r="K2122" s="2" t="s">
        <v>2905</v>
      </c>
      <c r="M2122" s="2"/>
    </row>
    <row r="2123" spans="1:13" ht="15.75">
      <c r="A2123" t="s">
        <v>28</v>
      </c>
      <c r="B2123">
        <f ca="1">IF(OR(changes[[#This Row],[Type]]="Checklist",changes[[#This Row],[Type]]="checklist-flat"),1+IF(changes[[#This Row],[Type of change]] = "Edit",COUNTIFS($I$4:changes[[#This Row],[Name]],changes[[#This Row],[Name]], $E$4:changes[[#This Row],[Type of change]], "Edit")),B2122)</f>
        <v>1</v>
      </c>
      <c r="C2123" s="16">
        <v>44804</v>
      </c>
      <c r="D2123" s="1" t="s">
        <v>2636</v>
      </c>
      <c r="E2123" t="s">
        <v>27</v>
      </c>
      <c r="F2123" s="10" t="s">
        <v>2912</v>
      </c>
      <c r="G2123" s="10" t="s">
        <v>1534</v>
      </c>
      <c r="H2123" s="2" t="s">
        <v>55</v>
      </c>
      <c r="I2123" s="18" t="s">
        <v>1549</v>
      </c>
      <c r="J2123" s="23"/>
      <c r="K2123" s="2" t="s">
        <v>2905</v>
      </c>
      <c r="M2123" s="2"/>
    </row>
    <row r="2124" spans="1:13" ht="15.75">
      <c r="A2124" t="s">
        <v>28</v>
      </c>
      <c r="B2124">
        <f ca="1">IF(OR(changes[[#This Row],[Type]]="Checklist",changes[[#This Row],[Type]]="checklist-flat"),1+IF(changes[[#This Row],[Type of change]] = "Edit",COUNTIFS($I$4:changes[[#This Row],[Name]],changes[[#This Row],[Name]], $E$4:changes[[#This Row],[Type of change]], "Edit")),B2123)</f>
        <v>1</v>
      </c>
      <c r="C2124" s="16">
        <v>44804</v>
      </c>
      <c r="D2124" s="1" t="s">
        <v>2636</v>
      </c>
      <c r="E2124" t="s">
        <v>27</v>
      </c>
      <c r="F2124" s="10" t="s">
        <v>2912</v>
      </c>
      <c r="G2124" s="10" t="s">
        <v>1534</v>
      </c>
      <c r="H2124" s="2" t="s">
        <v>479</v>
      </c>
      <c r="I2124" s="18" t="s">
        <v>1550</v>
      </c>
      <c r="J2124" s="23"/>
      <c r="K2124" s="2" t="s">
        <v>2905</v>
      </c>
      <c r="M2124" s="2"/>
    </row>
    <row r="2125" spans="1:13" ht="15.75">
      <c r="A2125" t="s">
        <v>28</v>
      </c>
      <c r="B2125">
        <f ca="1">IF(OR(changes[[#This Row],[Type]]="Checklist",changes[[#This Row],[Type]]="checklist-flat"),1+IF(changes[[#This Row],[Type of change]] = "Edit",COUNTIFS($I$4:changes[[#This Row],[Name]],changes[[#This Row],[Name]], $E$4:changes[[#This Row],[Type of change]], "Edit")),B2124)</f>
        <v>1</v>
      </c>
      <c r="C2125" s="16">
        <v>44804</v>
      </c>
      <c r="D2125" s="1" t="s">
        <v>2636</v>
      </c>
      <c r="E2125" t="s">
        <v>27</v>
      </c>
      <c r="F2125" s="10" t="s">
        <v>2912</v>
      </c>
      <c r="G2125" s="10" t="s">
        <v>1534</v>
      </c>
      <c r="H2125" s="2" t="s">
        <v>55</v>
      </c>
      <c r="I2125" s="18" t="s">
        <v>1551</v>
      </c>
      <c r="J2125" s="23"/>
      <c r="K2125" s="2" t="s">
        <v>2905</v>
      </c>
      <c r="M2125" s="2"/>
    </row>
    <row r="2126" spans="1:13" ht="15.75">
      <c r="A2126" t="s">
        <v>28</v>
      </c>
      <c r="B2126">
        <f ca="1">IF(OR(changes[[#This Row],[Type]]="Checklist",changes[[#This Row],[Type]]="checklist-flat"),1+IF(changes[[#This Row],[Type of change]] = "Edit",COUNTIFS($I$4:changes[[#This Row],[Name]],changes[[#This Row],[Name]], $E$4:changes[[#This Row],[Type of change]], "Edit")),B2125)</f>
        <v>1</v>
      </c>
      <c r="C2126" s="16">
        <v>44804</v>
      </c>
      <c r="D2126" s="1" t="s">
        <v>2636</v>
      </c>
      <c r="E2126" t="s">
        <v>27</v>
      </c>
      <c r="F2126" s="10" t="s">
        <v>2912</v>
      </c>
      <c r="G2126" s="10" t="s">
        <v>1534</v>
      </c>
      <c r="H2126" s="2" t="s">
        <v>55</v>
      </c>
      <c r="I2126" s="18" t="s">
        <v>1552</v>
      </c>
      <c r="J2126" s="23"/>
      <c r="K2126" s="2" t="s">
        <v>2905</v>
      </c>
      <c r="M2126" s="2"/>
    </row>
    <row r="2127" spans="1:13" ht="15.75">
      <c r="A2127" t="s">
        <v>28</v>
      </c>
      <c r="B2127">
        <f ca="1">IF(OR(changes[[#This Row],[Type]]="Checklist",changes[[#This Row],[Type]]="checklist-flat"),1+IF(changes[[#This Row],[Type of change]] = "Edit",COUNTIFS($I$4:changes[[#This Row],[Name]],changes[[#This Row],[Name]], $E$4:changes[[#This Row],[Type of change]], "Edit")),B2126)</f>
        <v>1</v>
      </c>
      <c r="C2127" s="16">
        <v>44804</v>
      </c>
      <c r="D2127" s="1" t="s">
        <v>2636</v>
      </c>
      <c r="E2127" t="s">
        <v>27</v>
      </c>
      <c r="F2127" s="10" t="s">
        <v>2912</v>
      </c>
      <c r="G2127" s="10" t="s">
        <v>1534</v>
      </c>
      <c r="H2127" s="2" t="s">
        <v>64</v>
      </c>
      <c r="I2127" s="18" t="s">
        <v>1553</v>
      </c>
      <c r="J2127" s="23"/>
      <c r="K2127" s="2" t="s">
        <v>2905</v>
      </c>
      <c r="M2127" s="2"/>
    </row>
    <row r="2128" spans="1:13" ht="15.75">
      <c r="A2128" t="s">
        <v>28</v>
      </c>
      <c r="B2128">
        <f ca="1">IF(OR(changes[[#This Row],[Type]]="Checklist",changes[[#This Row],[Type]]="checklist-flat"),1+IF(changes[[#This Row],[Type of change]] = "Edit",COUNTIFS($I$4:changes[[#This Row],[Name]],changes[[#This Row],[Name]], $E$4:changes[[#This Row],[Type of change]], "Edit")),B2127)</f>
        <v>1</v>
      </c>
      <c r="C2128" s="16">
        <v>44804</v>
      </c>
      <c r="D2128" s="1" t="s">
        <v>2636</v>
      </c>
      <c r="E2128" t="s">
        <v>27</v>
      </c>
      <c r="F2128" s="10" t="s">
        <v>2912</v>
      </c>
      <c r="G2128" s="10" t="s">
        <v>1534</v>
      </c>
      <c r="H2128" s="2" t="s">
        <v>55</v>
      </c>
      <c r="I2128" s="18" t="s">
        <v>1554</v>
      </c>
      <c r="J2128" s="23"/>
      <c r="K2128" s="2" t="s">
        <v>2905</v>
      </c>
      <c r="M2128" s="2"/>
    </row>
    <row r="2129" spans="1:13" ht="15.75">
      <c r="A2129" t="s">
        <v>28</v>
      </c>
      <c r="B2129">
        <f ca="1">IF(OR(changes[[#This Row],[Type]]="Checklist",changes[[#This Row],[Type]]="checklist-flat"),1+IF(changes[[#This Row],[Type of change]] = "Edit",COUNTIFS($I$4:changes[[#This Row],[Name]],changes[[#This Row],[Name]], $E$4:changes[[#This Row],[Type of change]], "Edit")),B2128)</f>
        <v>1</v>
      </c>
      <c r="C2129" s="16">
        <v>44804</v>
      </c>
      <c r="D2129" s="1" t="s">
        <v>2636</v>
      </c>
      <c r="E2129" t="s">
        <v>27</v>
      </c>
      <c r="F2129" s="10" t="s">
        <v>2912</v>
      </c>
      <c r="G2129" s="10" t="s">
        <v>1534</v>
      </c>
      <c r="H2129" s="2" t="s">
        <v>64</v>
      </c>
      <c r="I2129" s="18" t="s">
        <v>1555</v>
      </c>
      <c r="J2129" s="23"/>
      <c r="K2129" s="2" t="s">
        <v>2905</v>
      </c>
      <c r="M2129" s="2"/>
    </row>
    <row r="2130" spans="1:13" ht="15.75">
      <c r="A2130" t="s">
        <v>28</v>
      </c>
      <c r="B2130">
        <f ca="1">IF(OR(changes[[#This Row],[Type]]="Checklist",changes[[#This Row],[Type]]="checklist-flat"),1+IF(changes[[#This Row],[Type of change]] = "Edit",COUNTIFS($I$4:changes[[#This Row],[Name]],changes[[#This Row],[Name]], $E$4:changes[[#This Row],[Type of change]], "Edit")),B2129)</f>
        <v>1</v>
      </c>
      <c r="C2130" s="16">
        <v>44804</v>
      </c>
      <c r="D2130" s="1" t="s">
        <v>2636</v>
      </c>
      <c r="E2130" t="s">
        <v>27</v>
      </c>
      <c r="F2130" s="10" t="s">
        <v>2912</v>
      </c>
      <c r="G2130" s="10" t="s">
        <v>1534</v>
      </c>
      <c r="H2130" s="2" t="s">
        <v>55</v>
      </c>
      <c r="I2130" s="18" t="s">
        <v>1556</v>
      </c>
      <c r="J2130" s="23"/>
      <c r="K2130" s="2" t="s">
        <v>2905</v>
      </c>
      <c r="M2130" s="2"/>
    </row>
    <row r="2131" spans="1:13" ht="15.75">
      <c r="A2131" t="s">
        <v>28</v>
      </c>
      <c r="B2131">
        <f ca="1">IF(OR(changes[[#This Row],[Type]]="Checklist",changes[[#This Row],[Type]]="checklist-flat"),1+IF(changes[[#This Row],[Type of change]] = "Edit",COUNTIFS($I$4:changes[[#This Row],[Name]],changes[[#This Row],[Name]], $E$4:changes[[#This Row],[Type of change]], "Edit")),B2130)</f>
        <v>1</v>
      </c>
      <c r="C2131" s="16">
        <v>44804</v>
      </c>
      <c r="D2131" s="1" t="s">
        <v>2636</v>
      </c>
      <c r="E2131" t="s">
        <v>27</v>
      </c>
      <c r="F2131" s="10" t="s">
        <v>2912</v>
      </c>
      <c r="G2131" s="10" t="s">
        <v>1534</v>
      </c>
      <c r="H2131" s="2" t="s">
        <v>55</v>
      </c>
      <c r="I2131" s="18" t="s">
        <v>1557</v>
      </c>
      <c r="J2131" s="23"/>
      <c r="K2131" s="2" t="s">
        <v>2905</v>
      </c>
      <c r="M2131" s="2"/>
    </row>
    <row r="2132" spans="1:13" ht="15.75">
      <c r="A2132" t="s">
        <v>28</v>
      </c>
      <c r="B2132">
        <f ca="1">IF(OR(changes[[#This Row],[Type]]="Checklist",changes[[#This Row],[Type]]="checklist-flat"),1+IF(changes[[#This Row],[Type of change]] = "Edit",COUNTIFS($I$4:changes[[#This Row],[Name]],changes[[#This Row],[Name]], $E$4:changes[[#This Row],[Type of change]], "Edit")),B2131)</f>
        <v>1</v>
      </c>
      <c r="C2132" s="16">
        <v>44804</v>
      </c>
      <c r="D2132" s="1" t="s">
        <v>2636</v>
      </c>
      <c r="E2132" t="s">
        <v>27</v>
      </c>
      <c r="F2132" s="10" t="s">
        <v>2912</v>
      </c>
      <c r="G2132" s="10" t="s">
        <v>1534</v>
      </c>
      <c r="H2132" s="2" t="s">
        <v>55</v>
      </c>
      <c r="I2132" s="18" t="s">
        <v>2914</v>
      </c>
      <c r="J2132" s="23"/>
      <c r="K2132" s="2" t="s">
        <v>2905</v>
      </c>
      <c r="M2132" s="2"/>
    </row>
    <row r="2133" spans="1:13" ht="15.75">
      <c r="A2133" t="s">
        <v>28</v>
      </c>
      <c r="B2133">
        <f ca="1">IF(OR(changes[[#This Row],[Type]]="Checklist",changes[[#This Row],[Type]]="checklist-flat"),1+IF(changes[[#This Row],[Type of change]] = "Edit",COUNTIFS($I$4:changes[[#This Row],[Name]],changes[[#This Row],[Name]], $E$4:changes[[#This Row],[Type of change]], "Edit")),B2132)</f>
        <v>1</v>
      </c>
      <c r="C2133" s="16">
        <v>44804</v>
      </c>
      <c r="D2133" s="1" t="s">
        <v>2636</v>
      </c>
      <c r="E2133" t="s">
        <v>27</v>
      </c>
      <c r="F2133" s="10" t="s">
        <v>2912</v>
      </c>
      <c r="G2133" s="10" t="s">
        <v>1534</v>
      </c>
      <c r="H2133" s="2" t="s">
        <v>55</v>
      </c>
      <c r="I2133" s="18" t="s">
        <v>1560</v>
      </c>
      <c r="J2133" s="23"/>
      <c r="K2133" s="2" t="s">
        <v>2905</v>
      </c>
      <c r="M2133" s="2"/>
    </row>
    <row r="2134" spans="1:13" ht="15.75">
      <c r="A2134" t="s">
        <v>28</v>
      </c>
      <c r="B2134">
        <f ca="1">IF(OR(changes[[#This Row],[Type]]="Checklist",changes[[#This Row],[Type]]="checklist-flat"),1+IF(changes[[#This Row],[Type of change]] = "Edit",COUNTIFS($I$4:changes[[#This Row],[Name]],changes[[#This Row],[Name]], $E$4:changes[[#This Row],[Type of change]], "Edit")),B2133)</f>
        <v>1</v>
      </c>
      <c r="C2134" s="16">
        <v>44804</v>
      </c>
      <c r="D2134" s="1" t="s">
        <v>2636</v>
      </c>
      <c r="E2134" t="s">
        <v>27</v>
      </c>
      <c r="F2134" s="10" t="s">
        <v>2912</v>
      </c>
      <c r="G2134" s="10" t="s">
        <v>1534</v>
      </c>
      <c r="H2134" s="2" t="s">
        <v>479</v>
      </c>
      <c r="I2134" s="18" t="s">
        <v>1561</v>
      </c>
      <c r="J2134" s="23"/>
      <c r="K2134" s="2" t="s">
        <v>2905</v>
      </c>
      <c r="M2134" s="2"/>
    </row>
    <row r="2135" spans="1:13" ht="15.75">
      <c r="A2135" t="s">
        <v>28</v>
      </c>
      <c r="B2135">
        <f ca="1">IF(OR(changes[[#This Row],[Type]]="Checklist",changes[[#This Row],[Type]]="checklist-flat"),1+IF(changes[[#This Row],[Type of change]] = "Edit",COUNTIFS($I$4:changes[[#This Row],[Name]],changes[[#This Row],[Name]], $E$4:changes[[#This Row],[Type of change]], "Edit")),B2134)</f>
        <v>1</v>
      </c>
      <c r="C2135" s="16">
        <v>44804</v>
      </c>
      <c r="D2135" s="1" t="s">
        <v>2636</v>
      </c>
      <c r="E2135" t="s">
        <v>27</v>
      </c>
      <c r="F2135" s="10" t="s">
        <v>2912</v>
      </c>
      <c r="G2135" s="10" t="s">
        <v>1534</v>
      </c>
      <c r="H2135" s="2" t="s">
        <v>55</v>
      </c>
      <c r="I2135" s="18" t="s">
        <v>1562</v>
      </c>
      <c r="J2135" s="23"/>
      <c r="K2135" s="2" t="s">
        <v>2905</v>
      </c>
      <c r="M2135" s="2"/>
    </row>
    <row r="2136" spans="1:13" ht="15.75">
      <c r="A2136" t="s">
        <v>28</v>
      </c>
      <c r="B2136">
        <f ca="1">IF(OR(changes[[#This Row],[Type]]="Checklist",changes[[#This Row],[Type]]="checklist-flat"),1+IF(changes[[#This Row],[Type of change]] = "Edit",COUNTIFS($I$4:changes[[#This Row],[Name]],changes[[#This Row],[Name]], $E$4:changes[[#This Row],[Type of change]], "Edit")),B2135)</f>
        <v>1</v>
      </c>
      <c r="C2136" s="16">
        <v>44804</v>
      </c>
      <c r="D2136" s="1" t="s">
        <v>2636</v>
      </c>
      <c r="E2136" t="s">
        <v>27</v>
      </c>
      <c r="F2136" s="10" t="s">
        <v>2912</v>
      </c>
      <c r="G2136" s="10" t="s">
        <v>1534</v>
      </c>
      <c r="H2136" s="2" t="s">
        <v>64</v>
      </c>
      <c r="I2136" s="18" t="s">
        <v>1563</v>
      </c>
      <c r="J2136" s="23"/>
      <c r="K2136" s="2" t="s">
        <v>2905</v>
      </c>
      <c r="M2136" s="2"/>
    </row>
    <row r="2137" spans="1:13" ht="15.75">
      <c r="A2137" t="s">
        <v>28</v>
      </c>
      <c r="B2137">
        <f ca="1">IF(OR(changes[[#This Row],[Type]]="Checklist",changes[[#This Row],[Type]]="checklist-flat"),1+IF(changes[[#This Row],[Type of change]] = "Edit",COUNTIFS($I$4:changes[[#This Row],[Name]],changes[[#This Row],[Name]], $E$4:changes[[#This Row],[Type of change]], "Edit")),B2136)</f>
        <v>1</v>
      </c>
      <c r="C2137" s="16">
        <v>44804</v>
      </c>
      <c r="D2137" s="1" t="s">
        <v>2636</v>
      </c>
      <c r="E2137" t="s">
        <v>27</v>
      </c>
      <c r="F2137" s="10" t="s">
        <v>2912</v>
      </c>
      <c r="G2137" s="10" t="s">
        <v>1534</v>
      </c>
      <c r="H2137" s="2" t="s">
        <v>55</v>
      </c>
      <c r="I2137" s="18" t="s">
        <v>1564</v>
      </c>
      <c r="J2137" s="23"/>
      <c r="K2137" s="2" t="s">
        <v>2905</v>
      </c>
      <c r="M2137" s="2"/>
    </row>
    <row r="2138" spans="1:13" ht="15.75">
      <c r="A2138" t="s">
        <v>28</v>
      </c>
      <c r="B2138">
        <f ca="1">IF(OR(changes[[#This Row],[Type]]="Checklist",changes[[#This Row],[Type]]="checklist-flat"),1+IF(changes[[#This Row],[Type of change]] = "Edit",COUNTIFS($I$4:changes[[#This Row],[Name]],changes[[#This Row],[Name]], $E$4:changes[[#This Row],[Type of change]], "Edit")),B2137)</f>
        <v>1</v>
      </c>
      <c r="C2138" s="16">
        <v>44804</v>
      </c>
      <c r="D2138" s="1" t="s">
        <v>2636</v>
      </c>
      <c r="E2138" t="s">
        <v>27</v>
      </c>
      <c r="F2138" s="10" t="s">
        <v>2912</v>
      </c>
      <c r="G2138" s="10" t="s">
        <v>1534</v>
      </c>
      <c r="H2138" s="2" t="s">
        <v>55</v>
      </c>
      <c r="I2138" s="18" t="s">
        <v>1565</v>
      </c>
      <c r="J2138" s="23"/>
      <c r="K2138" s="2" t="s">
        <v>2905</v>
      </c>
      <c r="M2138" s="2"/>
    </row>
    <row r="2139" spans="1:13" ht="15.75">
      <c r="A2139" t="s">
        <v>28</v>
      </c>
      <c r="B2139">
        <f ca="1">IF(OR(changes[[#This Row],[Type]]="Checklist",changes[[#This Row],[Type]]="checklist-flat"),1+IF(changes[[#This Row],[Type of change]] = "Edit",COUNTIFS($I$4:changes[[#This Row],[Name]],changes[[#This Row],[Name]], $E$4:changes[[#This Row],[Type of change]], "Edit")),B2138)</f>
        <v>1</v>
      </c>
      <c r="C2139" s="16">
        <v>44804</v>
      </c>
      <c r="D2139" s="1" t="s">
        <v>2636</v>
      </c>
      <c r="E2139" t="s">
        <v>27</v>
      </c>
      <c r="F2139" s="10" t="s">
        <v>2912</v>
      </c>
      <c r="G2139" s="10" t="s">
        <v>1534</v>
      </c>
      <c r="H2139" s="2" t="s">
        <v>55</v>
      </c>
      <c r="I2139" s="18" t="s">
        <v>1566</v>
      </c>
      <c r="J2139" s="23"/>
      <c r="K2139" s="2" t="s">
        <v>2905</v>
      </c>
      <c r="M2139" s="2"/>
    </row>
    <row r="2140" spans="1:13" ht="15.75">
      <c r="A2140" t="s">
        <v>28</v>
      </c>
      <c r="B2140">
        <f ca="1">IF(OR(changes[[#This Row],[Type]]="Checklist",changes[[#This Row],[Type]]="checklist-flat"),1+IF(changes[[#This Row],[Type of change]] = "Edit",COUNTIFS($I$4:changes[[#This Row],[Name]],changes[[#This Row],[Name]], $E$4:changes[[#This Row],[Type of change]], "Edit")),B2139)</f>
        <v>1</v>
      </c>
      <c r="C2140" s="16">
        <v>44804</v>
      </c>
      <c r="D2140" s="1" t="s">
        <v>2636</v>
      </c>
      <c r="E2140" t="s">
        <v>27</v>
      </c>
      <c r="F2140" s="10" t="s">
        <v>2912</v>
      </c>
      <c r="G2140" s="10" t="s">
        <v>1534</v>
      </c>
      <c r="H2140" s="2" t="s">
        <v>55</v>
      </c>
      <c r="I2140" s="18" t="s">
        <v>1567</v>
      </c>
      <c r="J2140" s="23"/>
      <c r="K2140" s="2" t="s">
        <v>2905</v>
      </c>
      <c r="M2140" s="2"/>
    </row>
    <row r="2141" spans="1:13" ht="15.75">
      <c r="A2141" t="s">
        <v>28</v>
      </c>
      <c r="B2141">
        <f ca="1">IF(OR(changes[[#This Row],[Type]]="Checklist",changes[[#This Row],[Type]]="checklist-flat"),1+IF(changes[[#This Row],[Type of change]] = "Edit",COUNTIFS($I$4:changes[[#This Row],[Name]],changes[[#This Row],[Name]], $E$4:changes[[#This Row],[Type of change]], "Edit")),B2140)</f>
        <v>1</v>
      </c>
      <c r="C2141" s="16">
        <v>44804</v>
      </c>
      <c r="D2141" s="1" t="s">
        <v>2636</v>
      </c>
      <c r="E2141" t="s">
        <v>27</v>
      </c>
      <c r="F2141" s="10" t="s">
        <v>2912</v>
      </c>
      <c r="G2141" s="10" t="s">
        <v>1534</v>
      </c>
      <c r="H2141" s="2" t="s">
        <v>479</v>
      </c>
      <c r="I2141" s="18" t="s">
        <v>1568</v>
      </c>
      <c r="J2141" s="23"/>
      <c r="K2141" s="2" t="s">
        <v>2905</v>
      </c>
      <c r="M2141" s="2"/>
    </row>
    <row r="2142" spans="1:13" ht="15.75">
      <c r="A2142" t="s">
        <v>28</v>
      </c>
      <c r="B2142">
        <f ca="1">IF(OR(changes[[#This Row],[Type]]="Checklist",changes[[#This Row],[Type]]="checklist-flat"),1+IF(changes[[#This Row],[Type of change]] = "Edit",COUNTIFS($I$4:changes[[#This Row],[Name]],changes[[#This Row],[Name]], $E$4:changes[[#This Row],[Type of change]], "Edit")),B2141)</f>
        <v>1</v>
      </c>
      <c r="C2142" s="16">
        <v>44804</v>
      </c>
      <c r="D2142" s="1" t="s">
        <v>2636</v>
      </c>
      <c r="E2142" t="s">
        <v>27</v>
      </c>
      <c r="F2142" s="10" t="s">
        <v>2912</v>
      </c>
      <c r="G2142" s="10" t="s">
        <v>1534</v>
      </c>
      <c r="H2142" s="2" t="s">
        <v>55</v>
      </c>
      <c r="I2142" s="18" t="s">
        <v>1569</v>
      </c>
      <c r="J2142" s="23"/>
      <c r="K2142" s="2" t="s">
        <v>2905</v>
      </c>
      <c r="M2142" s="2"/>
    </row>
    <row r="2143" spans="1:13" ht="15.75">
      <c r="A2143" t="s">
        <v>28</v>
      </c>
      <c r="B2143">
        <f ca="1">IF(OR(changes[[#This Row],[Type]]="Checklist",changes[[#This Row],[Type]]="checklist-flat"),1+IF(changes[[#This Row],[Type of change]] = "Edit",COUNTIFS($I$4:changes[[#This Row],[Name]],changes[[#This Row],[Name]], $E$4:changes[[#This Row],[Type of change]], "Edit")),B2142)</f>
        <v>1</v>
      </c>
      <c r="C2143" s="16">
        <v>44804</v>
      </c>
      <c r="D2143" s="1" t="s">
        <v>2636</v>
      </c>
      <c r="E2143" t="s">
        <v>27</v>
      </c>
      <c r="F2143" s="10" t="s">
        <v>2912</v>
      </c>
      <c r="G2143" s="10" t="s">
        <v>1534</v>
      </c>
      <c r="H2143" s="2" t="s">
        <v>64</v>
      </c>
      <c r="I2143" s="18" t="s">
        <v>1563</v>
      </c>
      <c r="J2143" s="23"/>
      <c r="K2143" s="2" t="s">
        <v>2905</v>
      </c>
      <c r="M2143" s="2"/>
    </row>
    <row r="2144" spans="1:13" ht="15.75">
      <c r="A2144" t="s">
        <v>28</v>
      </c>
      <c r="B2144">
        <f ca="1">IF(OR(changes[[#This Row],[Type]]="Checklist",changes[[#This Row],[Type]]="checklist-flat"),1+IF(changes[[#This Row],[Type of change]] = "Edit",COUNTIFS($I$4:changes[[#This Row],[Name]],changes[[#This Row],[Name]], $E$4:changes[[#This Row],[Type of change]], "Edit")),B2143)</f>
        <v>1</v>
      </c>
      <c r="C2144" s="16">
        <v>44804</v>
      </c>
      <c r="D2144" s="1" t="s">
        <v>2636</v>
      </c>
      <c r="E2144" t="s">
        <v>27</v>
      </c>
      <c r="F2144" s="10" t="s">
        <v>2912</v>
      </c>
      <c r="G2144" s="10" t="s">
        <v>1534</v>
      </c>
      <c r="H2144" s="2" t="s">
        <v>55</v>
      </c>
      <c r="I2144" s="18" t="s">
        <v>1570</v>
      </c>
      <c r="J2144" s="23"/>
      <c r="K2144" s="2" t="s">
        <v>2905</v>
      </c>
      <c r="M2144" s="2"/>
    </row>
    <row r="2145" spans="1:13" ht="15.75">
      <c r="A2145" t="s">
        <v>28</v>
      </c>
      <c r="B2145">
        <f ca="1">IF(OR(changes[[#This Row],[Type]]="Checklist",changes[[#This Row],[Type]]="checklist-flat"),1+IF(changes[[#This Row],[Type of change]] = "Edit",COUNTIFS($I$4:changes[[#This Row],[Name]],changes[[#This Row],[Name]], $E$4:changes[[#This Row],[Type of change]], "Edit")),B2144)</f>
        <v>1</v>
      </c>
      <c r="C2145" s="16">
        <v>44804</v>
      </c>
      <c r="D2145" s="1" t="s">
        <v>2636</v>
      </c>
      <c r="E2145" t="s">
        <v>27</v>
      </c>
      <c r="F2145" s="10" t="s">
        <v>2912</v>
      </c>
      <c r="G2145" s="10" t="s">
        <v>1534</v>
      </c>
      <c r="H2145" s="2" t="s">
        <v>55</v>
      </c>
      <c r="I2145" s="18" t="s">
        <v>1571</v>
      </c>
      <c r="J2145" s="23"/>
      <c r="K2145" s="2" t="s">
        <v>2905</v>
      </c>
      <c r="M2145" s="2"/>
    </row>
    <row r="2146" spans="1:13" ht="15.75">
      <c r="A2146" t="s">
        <v>28</v>
      </c>
      <c r="B2146">
        <f ca="1">IF(OR(changes[[#This Row],[Type]]="Checklist",changes[[#This Row],[Type]]="checklist-flat"),1+IF(changes[[#This Row],[Type of change]] = "Edit",COUNTIFS($I$4:changes[[#This Row],[Name]],changes[[#This Row],[Name]], $E$4:changes[[#This Row],[Type of change]], "Edit")),B2145)</f>
        <v>1</v>
      </c>
      <c r="C2146" s="16">
        <v>44804</v>
      </c>
      <c r="D2146" s="1" t="s">
        <v>2636</v>
      </c>
      <c r="E2146" t="s">
        <v>27</v>
      </c>
      <c r="F2146" s="10" t="s">
        <v>2912</v>
      </c>
      <c r="G2146" s="10" t="s">
        <v>1534</v>
      </c>
      <c r="H2146" s="2" t="s">
        <v>479</v>
      </c>
      <c r="I2146" s="18" t="s">
        <v>1572</v>
      </c>
      <c r="J2146" s="23"/>
      <c r="K2146" s="2" t="s">
        <v>2905</v>
      </c>
      <c r="M2146" s="2"/>
    </row>
    <row r="2147" spans="1:13" ht="15.75">
      <c r="A2147" t="s">
        <v>28</v>
      </c>
      <c r="B2147">
        <f ca="1">IF(OR(changes[[#This Row],[Type]]="Checklist",changes[[#This Row],[Type]]="checklist-flat"),1+IF(changes[[#This Row],[Type of change]] = "Edit",COUNTIFS($I$4:changes[[#This Row],[Name]],changes[[#This Row],[Name]], $E$4:changes[[#This Row],[Type of change]], "Edit")),B2146)</f>
        <v>1</v>
      </c>
      <c r="C2147" s="16">
        <v>44804</v>
      </c>
      <c r="D2147" s="1" t="s">
        <v>2636</v>
      </c>
      <c r="E2147" t="s">
        <v>27</v>
      </c>
      <c r="F2147" s="10" t="s">
        <v>2912</v>
      </c>
      <c r="G2147" s="10" t="s">
        <v>1534</v>
      </c>
      <c r="H2147" s="2" t="s">
        <v>55</v>
      </c>
      <c r="I2147" s="18" t="s">
        <v>1573</v>
      </c>
      <c r="J2147" s="23"/>
      <c r="K2147" s="2" t="s">
        <v>2905</v>
      </c>
      <c r="M2147" s="2"/>
    </row>
    <row r="2148" spans="1:13" ht="15.75">
      <c r="A2148" t="s">
        <v>28</v>
      </c>
      <c r="B2148">
        <f ca="1">IF(OR(changes[[#This Row],[Type]]="Checklist",changes[[#This Row],[Type]]="checklist-flat"),1+IF(changes[[#This Row],[Type of change]] = "Edit",COUNTIFS($I$4:changes[[#This Row],[Name]],changes[[#This Row],[Name]], $E$4:changes[[#This Row],[Type of change]], "Edit")),B2147)</f>
        <v>2</v>
      </c>
      <c r="C2148" s="16">
        <v>44806</v>
      </c>
      <c r="D2148" s="1" t="s">
        <v>2866</v>
      </c>
      <c r="E2148" t="s">
        <v>15</v>
      </c>
      <c r="F2148" s="10" t="s">
        <v>9</v>
      </c>
      <c r="G2148" s="10" t="s">
        <v>851</v>
      </c>
      <c r="H2148" s="2" t="s">
        <v>54</v>
      </c>
      <c r="I2148" s="18" t="s">
        <v>851</v>
      </c>
      <c r="J2148" s="23"/>
      <c r="K2148" s="2" t="s">
        <v>6</v>
      </c>
      <c r="L2148" t="s">
        <v>2915</v>
      </c>
      <c r="M2148" s="2"/>
    </row>
    <row r="2149" spans="1:13" ht="15.75">
      <c r="A2149" t="s">
        <v>28</v>
      </c>
      <c r="B2149">
        <f ca="1">IF(OR(changes[[#This Row],[Type]]="Checklist",changes[[#This Row],[Type]]="checklist-flat"),1+IF(changes[[#This Row],[Type of change]] = "Edit",COUNTIFS($I$4:changes[[#This Row],[Name]],changes[[#This Row],[Name]], $E$4:changes[[#This Row],[Type of change]], "Edit")),B2148)</f>
        <v>2</v>
      </c>
      <c r="C2149" s="16">
        <v>44806</v>
      </c>
      <c r="D2149" s="1" t="s">
        <v>2866</v>
      </c>
      <c r="E2149" t="s">
        <v>15</v>
      </c>
      <c r="F2149" s="10" t="s">
        <v>9</v>
      </c>
      <c r="G2149" s="10" t="s">
        <v>851</v>
      </c>
      <c r="H2149" s="2" t="s">
        <v>55</v>
      </c>
      <c r="I2149" s="18" t="s">
        <v>2581</v>
      </c>
      <c r="J2149" s="23"/>
      <c r="K2149" s="2" t="s">
        <v>6</v>
      </c>
      <c r="L2149" t="s">
        <v>2915</v>
      </c>
      <c r="M2149" s="2"/>
    </row>
    <row r="2150" spans="1:13" ht="15.75">
      <c r="A2150" t="s">
        <v>28</v>
      </c>
      <c r="B2150">
        <f ca="1">IF(OR(changes[[#This Row],[Type]]="Checklist",changes[[#This Row],[Type]]="checklist-flat"),1+IF(changes[[#This Row],[Type of change]] = "Edit",COUNTIFS($I$4:changes[[#This Row],[Name]],changes[[#This Row],[Name]], $E$4:changes[[#This Row],[Type of change]], "Edit")),B2149)</f>
        <v>2</v>
      </c>
      <c r="C2150" s="16">
        <v>44806</v>
      </c>
      <c r="D2150" s="1" t="s">
        <v>2866</v>
      </c>
      <c r="E2150" t="s">
        <v>15</v>
      </c>
      <c r="F2150" s="10" t="s">
        <v>9</v>
      </c>
      <c r="G2150" s="10" t="s">
        <v>851</v>
      </c>
      <c r="H2150" s="2" t="s">
        <v>214</v>
      </c>
      <c r="I2150" s="18" t="s">
        <v>853</v>
      </c>
      <c r="J2150" s="23"/>
      <c r="K2150" s="2" t="s">
        <v>6</v>
      </c>
      <c r="L2150" t="s">
        <v>2915</v>
      </c>
      <c r="M2150" s="2"/>
    </row>
    <row r="2151" spans="1:13" ht="15.75">
      <c r="A2151" t="s">
        <v>28</v>
      </c>
      <c r="B2151">
        <f ca="1">IF(OR(changes[[#This Row],[Type]]="Checklist",changes[[#This Row],[Type]]="checklist-flat"),1+IF(changes[[#This Row],[Type of change]] = "Edit",COUNTIFS($I$4:changes[[#This Row],[Name]],changes[[#This Row],[Name]], $E$4:changes[[#This Row],[Type of change]], "Edit")),B2150)</f>
        <v>2</v>
      </c>
      <c r="C2151" s="16">
        <v>44806</v>
      </c>
      <c r="D2151" s="1" t="s">
        <v>2866</v>
      </c>
      <c r="E2151" t="s">
        <v>15</v>
      </c>
      <c r="F2151" s="10" t="s">
        <v>9</v>
      </c>
      <c r="G2151" s="10" t="s">
        <v>851</v>
      </c>
      <c r="H2151" s="2" t="s">
        <v>55</v>
      </c>
      <c r="I2151" s="18" t="s">
        <v>2582</v>
      </c>
      <c r="J2151" s="23"/>
      <c r="K2151" s="2" t="s">
        <v>6</v>
      </c>
      <c r="L2151" t="s">
        <v>2915</v>
      </c>
      <c r="M2151" s="2"/>
    </row>
    <row r="2152" spans="1:13" ht="15.75">
      <c r="A2152" t="s">
        <v>28</v>
      </c>
      <c r="B2152">
        <f ca="1">IF(OR(changes[[#This Row],[Type]]="Checklist",changes[[#This Row],[Type]]="checklist-flat"),1+IF(changes[[#This Row],[Type of change]] = "Edit",COUNTIFS($I$4:changes[[#This Row],[Name]],changes[[#This Row],[Name]], $E$4:changes[[#This Row],[Type of change]], "Edit")),B2151)</f>
        <v>2</v>
      </c>
      <c r="C2152" s="16">
        <v>44806</v>
      </c>
      <c r="D2152" s="1" t="s">
        <v>2866</v>
      </c>
      <c r="E2152" t="s">
        <v>15</v>
      </c>
      <c r="F2152" s="10" t="s">
        <v>9</v>
      </c>
      <c r="G2152" s="10" t="s">
        <v>851</v>
      </c>
      <c r="H2152" s="2" t="s">
        <v>55</v>
      </c>
      <c r="I2152" s="18" t="s">
        <v>855</v>
      </c>
      <c r="J2152" s="23"/>
      <c r="K2152" s="2" t="s">
        <v>6</v>
      </c>
      <c r="L2152" t="s">
        <v>2915</v>
      </c>
      <c r="M2152" s="2"/>
    </row>
    <row r="2153" spans="1:13" ht="15.75">
      <c r="A2153" t="s">
        <v>28</v>
      </c>
      <c r="B2153">
        <f ca="1">IF(OR(changes[[#This Row],[Type]]="Checklist",changes[[#This Row],[Type]]="checklist-flat"),1+IF(changes[[#This Row],[Type of change]] = "Edit",COUNTIFS($I$4:changes[[#This Row],[Name]],changes[[#This Row],[Name]], $E$4:changes[[#This Row],[Type of change]], "Edit")),B2152)</f>
        <v>2</v>
      </c>
      <c r="C2153" s="16">
        <v>44806</v>
      </c>
      <c r="D2153" s="1" t="s">
        <v>2866</v>
      </c>
      <c r="E2153" t="s">
        <v>15</v>
      </c>
      <c r="F2153" s="10" t="s">
        <v>9</v>
      </c>
      <c r="G2153" s="10" t="s">
        <v>851</v>
      </c>
      <c r="H2153" s="2" t="s">
        <v>55</v>
      </c>
      <c r="I2153" s="18" t="s">
        <v>856</v>
      </c>
      <c r="J2153" s="23"/>
      <c r="K2153" s="2" t="s">
        <v>6</v>
      </c>
      <c r="L2153" t="s">
        <v>2915</v>
      </c>
      <c r="M2153" s="2"/>
    </row>
    <row r="2154" spans="1:13" ht="15.75">
      <c r="A2154" t="s">
        <v>28</v>
      </c>
      <c r="B2154">
        <f ca="1">IF(OR(changes[[#This Row],[Type]]="Checklist",changes[[#This Row],[Type]]="checklist-flat"),1+IF(changes[[#This Row],[Type of change]] = "Edit",COUNTIFS($I$4:changes[[#This Row],[Name]],changes[[#This Row],[Name]], $E$4:changes[[#This Row],[Type of change]], "Edit")),B2153)</f>
        <v>2</v>
      </c>
      <c r="C2154" s="16">
        <v>44806</v>
      </c>
      <c r="D2154" s="1" t="s">
        <v>2866</v>
      </c>
      <c r="E2154" t="s">
        <v>15</v>
      </c>
      <c r="F2154" s="10" t="s">
        <v>9</v>
      </c>
      <c r="G2154" s="10" t="s">
        <v>851</v>
      </c>
      <c r="H2154" s="2" t="s">
        <v>55</v>
      </c>
      <c r="I2154" s="18" t="s">
        <v>857</v>
      </c>
      <c r="J2154" s="23"/>
      <c r="K2154" s="2" t="s">
        <v>6</v>
      </c>
      <c r="L2154" t="s">
        <v>2915</v>
      </c>
      <c r="M2154" s="2"/>
    </row>
    <row r="2155" spans="1:13" ht="15.75">
      <c r="A2155" t="s">
        <v>28</v>
      </c>
      <c r="B2155">
        <f ca="1">IF(OR(changes[[#This Row],[Type]]="Checklist",changes[[#This Row],[Type]]="checklist-flat"),1+IF(changes[[#This Row],[Type of change]] = "Edit",COUNTIFS($I$4:changes[[#This Row],[Name]],changes[[#This Row],[Name]], $E$4:changes[[#This Row],[Type of change]], "Edit")),B2154)</f>
        <v>2</v>
      </c>
      <c r="C2155" s="16">
        <v>44806</v>
      </c>
      <c r="D2155" s="1" t="s">
        <v>2866</v>
      </c>
      <c r="E2155" t="s">
        <v>15</v>
      </c>
      <c r="F2155" s="10" t="s">
        <v>9</v>
      </c>
      <c r="G2155" s="10" t="s">
        <v>851</v>
      </c>
      <c r="H2155" s="2" t="s">
        <v>55</v>
      </c>
      <c r="I2155" s="18" t="s">
        <v>858</v>
      </c>
      <c r="J2155" s="23"/>
      <c r="K2155" s="2" t="s">
        <v>6</v>
      </c>
      <c r="L2155" t="s">
        <v>2915</v>
      </c>
      <c r="M2155" s="2"/>
    </row>
    <row r="2156" spans="1:13" ht="15.75">
      <c r="A2156" t="s">
        <v>28</v>
      </c>
      <c r="B2156">
        <f ca="1">IF(OR(changes[[#This Row],[Type]]="Checklist",changes[[#This Row],[Type]]="checklist-flat"),1+IF(changes[[#This Row],[Type of change]] = "Edit",COUNTIFS($I$4:changes[[#This Row],[Name]],changes[[#This Row],[Name]], $E$4:changes[[#This Row],[Type of change]], "Edit")),B2155)</f>
        <v>2</v>
      </c>
      <c r="C2156" s="16">
        <v>44806</v>
      </c>
      <c r="D2156" s="1" t="s">
        <v>2866</v>
      </c>
      <c r="E2156" t="s">
        <v>15</v>
      </c>
      <c r="F2156" s="10" t="s">
        <v>9</v>
      </c>
      <c r="G2156" s="10" t="s">
        <v>851</v>
      </c>
      <c r="H2156" s="2" t="s">
        <v>420</v>
      </c>
      <c r="I2156" s="18" t="s">
        <v>859</v>
      </c>
      <c r="J2156" s="23"/>
      <c r="K2156" s="2" t="s">
        <v>6</v>
      </c>
      <c r="L2156" t="s">
        <v>2915</v>
      </c>
      <c r="M2156" s="2"/>
    </row>
    <row r="2157" spans="1:13" ht="15.75">
      <c r="A2157" t="s">
        <v>28</v>
      </c>
      <c r="B2157">
        <f ca="1">IF(OR(changes[[#This Row],[Type]]="Checklist",changes[[#This Row],[Type]]="checklist-flat"),1+IF(changes[[#This Row],[Type of change]] = "Edit",COUNTIFS($I$4:changes[[#This Row],[Name]],changes[[#This Row],[Name]], $E$4:changes[[#This Row],[Type of change]], "Edit")),B2156)</f>
        <v>2</v>
      </c>
      <c r="C2157" s="16">
        <v>44806</v>
      </c>
      <c r="D2157" s="1" t="s">
        <v>2866</v>
      </c>
      <c r="E2157" t="s">
        <v>15</v>
      </c>
      <c r="F2157" s="10" t="s">
        <v>9</v>
      </c>
      <c r="G2157" s="10" t="s">
        <v>851</v>
      </c>
      <c r="H2157" s="2" t="s">
        <v>55</v>
      </c>
      <c r="I2157" s="18" t="s">
        <v>860</v>
      </c>
      <c r="J2157" s="23"/>
      <c r="K2157" s="2" t="s">
        <v>6</v>
      </c>
      <c r="L2157" t="s">
        <v>2915</v>
      </c>
      <c r="M2157" s="2"/>
    </row>
    <row r="2158" spans="1:13" ht="15.75">
      <c r="A2158" t="s">
        <v>28</v>
      </c>
      <c r="B2158">
        <f ca="1">IF(OR(changes[[#This Row],[Type]]="Checklist",changes[[#This Row],[Type]]="checklist-flat"),1+IF(changes[[#This Row],[Type of change]] = "Edit",COUNTIFS($I$4:changes[[#This Row],[Name]],changes[[#This Row],[Name]], $E$4:changes[[#This Row],[Type of change]], "Edit")),B2157)</f>
        <v>2</v>
      </c>
      <c r="C2158" s="16">
        <v>44806</v>
      </c>
      <c r="D2158" s="1" t="s">
        <v>2866</v>
      </c>
      <c r="E2158" t="s">
        <v>15</v>
      </c>
      <c r="F2158" s="10" t="s">
        <v>9</v>
      </c>
      <c r="G2158" s="10" t="s">
        <v>851</v>
      </c>
      <c r="H2158" s="2" t="s">
        <v>64</v>
      </c>
      <c r="I2158" s="18" t="s">
        <v>772</v>
      </c>
      <c r="J2158" s="23"/>
      <c r="K2158" s="2" t="s">
        <v>6</v>
      </c>
      <c r="L2158" t="s">
        <v>2915</v>
      </c>
      <c r="M2158" s="2"/>
    </row>
    <row r="2159" spans="1:13" ht="15.75">
      <c r="A2159" t="s">
        <v>28</v>
      </c>
      <c r="B2159">
        <f ca="1">IF(OR(changes[[#This Row],[Type]]="Checklist",changes[[#This Row],[Type]]="checklist-flat"),1+IF(changes[[#This Row],[Type of change]] = "Edit",COUNTIFS($I$4:changes[[#This Row],[Name]],changes[[#This Row],[Name]], $E$4:changes[[#This Row],[Type of change]], "Edit")),B2158)</f>
        <v>2</v>
      </c>
      <c r="C2159" s="16">
        <v>44806</v>
      </c>
      <c r="D2159" s="1" t="s">
        <v>2866</v>
      </c>
      <c r="E2159" t="s">
        <v>15</v>
      </c>
      <c r="F2159" s="10" t="s">
        <v>9</v>
      </c>
      <c r="G2159" s="10" t="s">
        <v>851</v>
      </c>
      <c r="H2159" s="2" t="s">
        <v>55</v>
      </c>
      <c r="I2159" s="18" t="s">
        <v>93</v>
      </c>
      <c r="J2159" s="23"/>
      <c r="K2159" s="2" t="s">
        <v>6</v>
      </c>
      <c r="L2159" t="s">
        <v>2915</v>
      </c>
      <c r="M2159" s="2"/>
    </row>
    <row r="2160" spans="1:13" ht="15.75">
      <c r="A2160" t="s">
        <v>28</v>
      </c>
      <c r="B2160">
        <f ca="1">IF(OR(changes[[#This Row],[Type]]="Checklist",changes[[#This Row],[Type]]="checklist-flat"),1+IF(changes[[#This Row],[Type of change]] = "Edit",COUNTIFS($I$4:changes[[#This Row],[Name]],changes[[#This Row],[Name]], $E$4:changes[[#This Row],[Type of change]], "Edit")),B2159)</f>
        <v>2</v>
      </c>
      <c r="C2160" s="16">
        <v>44806</v>
      </c>
      <c r="D2160" s="1" t="s">
        <v>2866</v>
      </c>
      <c r="E2160" t="s">
        <v>15</v>
      </c>
      <c r="F2160" s="10" t="s">
        <v>9</v>
      </c>
      <c r="G2160" s="10" t="s">
        <v>851</v>
      </c>
      <c r="H2160" s="2" t="s">
        <v>64</v>
      </c>
      <c r="I2160" s="18" t="s">
        <v>94</v>
      </c>
      <c r="J2160" s="23"/>
      <c r="K2160" s="2" t="s">
        <v>6</v>
      </c>
      <c r="L2160" t="s">
        <v>2915</v>
      </c>
      <c r="M2160" s="2"/>
    </row>
    <row r="2161" spans="1:13" ht="15.75">
      <c r="A2161" t="s">
        <v>28</v>
      </c>
      <c r="B2161">
        <f ca="1">IF(OR(changes[[#This Row],[Type]]="Checklist",changes[[#This Row],[Type]]="checklist-flat"),1+IF(changes[[#This Row],[Type of change]] = "Edit",COUNTIFS($I$4:changes[[#This Row],[Name]],changes[[#This Row],[Name]], $E$4:changes[[#This Row],[Type of change]], "Edit")),B2160)</f>
        <v>2</v>
      </c>
      <c r="C2161" s="16">
        <v>44819</v>
      </c>
      <c r="D2161" s="1" t="s">
        <v>2817</v>
      </c>
      <c r="E2161" t="s">
        <v>15</v>
      </c>
      <c r="F2161" s="10" t="s">
        <v>9</v>
      </c>
      <c r="G2161" s="21" t="s">
        <v>2471</v>
      </c>
      <c r="H2161" s="19" t="s">
        <v>54</v>
      </c>
      <c r="I2161" s="21" t="s">
        <v>1815</v>
      </c>
      <c r="J2161" s="22"/>
      <c r="K2161" s="2" t="s">
        <v>6</v>
      </c>
      <c r="L2161" t="s">
        <v>2915</v>
      </c>
      <c r="M2161" s="2" t="s">
        <v>2916</v>
      </c>
    </row>
    <row r="2162" spans="1:13" ht="15.75">
      <c r="A2162" t="s">
        <v>28</v>
      </c>
      <c r="B2162">
        <f ca="1">IF(OR(changes[[#This Row],[Type]]="Checklist",changes[[#This Row],[Type]]="checklist-flat"),1+IF(changes[[#This Row],[Type of change]] = "Edit",COUNTIFS($I$4:changes[[#This Row],[Name]],changes[[#This Row],[Name]], $E$4:changes[[#This Row],[Type of change]], "Edit")),B2161)</f>
        <v>2</v>
      </c>
      <c r="C2162" s="16">
        <v>44819</v>
      </c>
      <c r="D2162" s="1" t="s">
        <v>2817</v>
      </c>
      <c r="E2162" t="s">
        <v>15</v>
      </c>
      <c r="F2162" s="10" t="s">
        <v>9</v>
      </c>
      <c r="G2162" s="21" t="s">
        <v>2471</v>
      </c>
      <c r="H2162" s="2" t="s">
        <v>55</v>
      </c>
      <c r="I2162" s="18" t="s">
        <v>1816</v>
      </c>
      <c r="J2162" s="23"/>
      <c r="K2162" s="2" t="s">
        <v>6</v>
      </c>
      <c r="L2162" t="s">
        <v>2915</v>
      </c>
      <c r="M2162" s="2"/>
    </row>
    <row r="2163" spans="1:13" ht="15.75">
      <c r="A2163" t="s">
        <v>28</v>
      </c>
      <c r="B2163">
        <f ca="1">IF(OR(changes[[#This Row],[Type]]="Checklist",changes[[#This Row],[Type]]="checklist-flat"),1+IF(changes[[#This Row],[Type of change]] = "Edit",COUNTIFS($I$4:changes[[#This Row],[Name]],changes[[#This Row],[Name]], $E$4:changes[[#This Row],[Type of change]], "Edit")),B2162)</f>
        <v>2</v>
      </c>
      <c r="C2163" s="16">
        <v>44819</v>
      </c>
      <c r="D2163" s="1" t="s">
        <v>2817</v>
      </c>
      <c r="E2163" t="s">
        <v>15</v>
      </c>
      <c r="F2163" s="10" t="s">
        <v>9</v>
      </c>
      <c r="G2163" s="21" t="s">
        <v>2471</v>
      </c>
      <c r="H2163" s="2" t="s">
        <v>55</v>
      </c>
      <c r="I2163" s="18" t="s">
        <v>155</v>
      </c>
      <c r="J2163" s="23"/>
      <c r="K2163" s="2" t="s">
        <v>6</v>
      </c>
      <c r="L2163" t="s">
        <v>2915</v>
      </c>
      <c r="M2163" s="2"/>
    </row>
    <row r="2164" spans="1:13" ht="15.75">
      <c r="A2164" t="s">
        <v>28</v>
      </c>
      <c r="B2164">
        <f ca="1">IF(OR(changes[[#This Row],[Type]]="Checklist",changes[[#This Row],[Type]]="checklist-flat"),1+IF(changes[[#This Row],[Type of change]] = "Edit",COUNTIFS($I$4:changes[[#This Row],[Name]],changes[[#This Row],[Name]], $E$4:changes[[#This Row],[Type of change]], "Edit")),B2163)</f>
        <v>2</v>
      </c>
      <c r="C2164" s="16">
        <v>44819</v>
      </c>
      <c r="D2164" s="1" t="s">
        <v>2817</v>
      </c>
      <c r="E2164" t="s">
        <v>15</v>
      </c>
      <c r="F2164" s="10" t="s">
        <v>9</v>
      </c>
      <c r="G2164" s="21" t="s">
        <v>2471</v>
      </c>
      <c r="H2164" s="2" t="s">
        <v>55</v>
      </c>
      <c r="I2164" s="18" t="s">
        <v>1817</v>
      </c>
      <c r="J2164" s="23"/>
      <c r="K2164" s="2" t="s">
        <v>6</v>
      </c>
      <c r="L2164" t="s">
        <v>2915</v>
      </c>
      <c r="M2164" s="2"/>
    </row>
    <row r="2165" spans="1:13" ht="15.75">
      <c r="A2165" t="s">
        <v>28</v>
      </c>
      <c r="B2165">
        <f ca="1">IF(OR(changes[[#This Row],[Type]]="Checklist",changes[[#This Row],[Type]]="checklist-flat"),1+IF(changes[[#This Row],[Type of change]] = "Edit",COUNTIFS($I$4:changes[[#This Row],[Name]],changes[[#This Row],[Name]], $E$4:changes[[#This Row],[Type of change]], "Edit")),B2164)</f>
        <v>2</v>
      </c>
      <c r="C2165" s="16">
        <v>44819</v>
      </c>
      <c r="D2165" s="1" t="s">
        <v>2817</v>
      </c>
      <c r="E2165" t="s">
        <v>15</v>
      </c>
      <c r="F2165" s="10" t="s">
        <v>9</v>
      </c>
      <c r="G2165" s="21" t="s">
        <v>2471</v>
      </c>
      <c r="H2165" s="2" t="s">
        <v>55</v>
      </c>
      <c r="I2165" s="18" t="s">
        <v>1818</v>
      </c>
      <c r="J2165" s="23"/>
      <c r="K2165" s="2" t="s">
        <v>6</v>
      </c>
      <c r="L2165" t="s">
        <v>2915</v>
      </c>
      <c r="M2165" s="2" t="s">
        <v>2917</v>
      </c>
    </row>
    <row r="2166" spans="1:13" ht="15.75">
      <c r="A2166" t="s">
        <v>28</v>
      </c>
      <c r="B2166">
        <f ca="1">IF(OR(changes[[#This Row],[Type]]="Checklist",changes[[#This Row],[Type]]="checklist-flat"),1+IF(changes[[#This Row],[Type of change]] = "Edit",COUNTIFS($I$4:changes[[#This Row],[Name]],changes[[#This Row],[Name]], $E$4:changes[[#This Row],[Type of change]], "Edit")),B2165)</f>
        <v>2</v>
      </c>
      <c r="C2166" s="16">
        <v>44819</v>
      </c>
      <c r="D2166" s="1" t="s">
        <v>2817</v>
      </c>
      <c r="E2166" t="s">
        <v>15</v>
      </c>
      <c r="F2166" s="10" t="s">
        <v>9</v>
      </c>
      <c r="G2166" s="21" t="s">
        <v>2471</v>
      </c>
      <c r="H2166" s="2" t="s">
        <v>55</v>
      </c>
      <c r="I2166" s="18" t="s">
        <v>93</v>
      </c>
      <c r="J2166" s="23"/>
      <c r="K2166" s="2" t="s">
        <v>6</v>
      </c>
      <c r="L2166" t="s">
        <v>2915</v>
      </c>
      <c r="M2166" s="2"/>
    </row>
    <row r="2167" spans="1:13" ht="15.75">
      <c r="A2167" t="s">
        <v>28</v>
      </c>
      <c r="B2167">
        <f ca="1">IF(OR(changes[[#This Row],[Type]]="Checklist",changes[[#This Row],[Type]]="checklist-flat"),1+IF(changes[[#This Row],[Type of change]] = "Edit",COUNTIFS($I$4:changes[[#This Row],[Name]],changes[[#This Row],[Name]], $E$4:changes[[#This Row],[Type of change]], "Edit")),B2166)</f>
        <v>2</v>
      </c>
      <c r="C2167" s="16">
        <v>44819</v>
      </c>
      <c r="D2167" s="1" t="s">
        <v>2817</v>
      </c>
      <c r="E2167" t="s">
        <v>15</v>
      </c>
      <c r="F2167" s="10" t="s">
        <v>9</v>
      </c>
      <c r="G2167" s="21" t="s">
        <v>2471</v>
      </c>
      <c r="H2167" s="2" t="s">
        <v>64</v>
      </c>
      <c r="I2167" s="18" t="s">
        <v>94</v>
      </c>
      <c r="J2167" s="23"/>
      <c r="K2167" s="2" t="s">
        <v>6</v>
      </c>
      <c r="L2167" t="s">
        <v>2915</v>
      </c>
      <c r="M2167" s="2"/>
    </row>
    <row r="2168" spans="1:13" ht="15.75">
      <c r="A2168" t="s">
        <v>28</v>
      </c>
      <c r="B2168">
        <f ca="1">IF(OR(changes[[#This Row],[Type]]="Checklist",changes[[#This Row],[Type]]="checklist-flat"),1+IF(changes[[#This Row],[Type of change]] = "Edit",COUNTIFS($I$4:changes[[#This Row],[Name]],changes[[#This Row],[Name]], $E$4:changes[[#This Row],[Type of change]], "Edit")),B2167)</f>
        <v>1</v>
      </c>
      <c r="C2168" s="16">
        <v>44819</v>
      </c>
      <c r="D2168" s="1" t="s">
        <v>2810</v>
      </c>
      <c r="E2168" t="s">
        <v>27</v>
      </c>
      <c r="F2168" s="10" t="s">
        <v>9</v>
      </c>
      <c r="G2168" s="21" t="s">
        <v>608</v>
      </c>
      <c r="H2168" s="19" t="s">
        <v>54</v>
      </c>
      <c r="I2168" s="21" t="s">
        <v>608</v>
      </c>
      <c r="J2168" s="22"/>
      <c r="K2168" s="2" t="s">
        <v>6</v>
      </c>
      <c r="L2168" t="s">
        <v>2855</v>
      </c>
      <c r="M2168" s="2"/>
    </row>
    <row r="2169" spans="1:13" ht="15.75">
      <c r="A2169" t="s">
        <v>28</v>
      </c>
      <c r="B2169">
        <f ca="1">IF(OR(changes[[#This Row],[Type]]="Checklist",changes[[#This Row],[Type]]="checklist-flat"),1+IF(changes[[#This Row],[Type of change]] = "Edit",COUNTIFS($I$4:changes[[#This Row],[Name]],changes[[#This Row],[Name]], $E$4:changes[[#This Row],[Type of change]], "Edit")),B2168)</f>
        <v>1</v>
      </c>
      <c r="C2169" s="16">
        <v>44819</v>
      </c>
      <c r="D2169" s="1" t="s">
        <v>2810</v>
      </c>
      <c r="E2169" t="s">
        <v>27</v>
      </c>
      <c r="F2169" s="10" t="s">
        <v>9</v>
      </c>
      <c r="G2169" s="21" t="s">
        <v>608</v>
      </c>
      <c r="H2169" s="19" t="s">
        <v>55</v>
      </c>
      <c r="I2169" s="21" t="s">
        <v>609</v>
      </c>
      <c r="J2169" s="22"/>
      <c r="K2169" s="2" t="s">
        <v>6</v>
      </c>
      <c r="L2169" t="s">
        <v>2855</v>
      </c>
      <c r="M2169" s="2"/>
    </row>
    <row r="2170" spans="1:13" ht="15.75">
      <c r="A2170" t="s">
        <v>28</v>
      </c>
      <c r="B2170">
        <f ca="1">IF(OR(changes[[#This Row],[Type]]="Checklist",changes[[#This Row],[Type]]="checklist-flat"),1+IF(changes[[#This Row],[Type of change]] = "Edit",COUNTIFS($I$4:changes[[#This Row],[Name]],changes[[#This Row],[Name]], $E$4:changes[[#This Row],[Type of change]], "Edit")),B2169)</f>
        <v>1</v>
      </c>
      <c r="C2170" s="16">
        <v>44819</v>
      </c>
      <c r="D2170" s="1" t="s">
        <v>2810</v>
      </c>
      <c r="E2170" t="s">
        <v>27</v>
      </c>
      <c r="F2170" s="10" t="s">
        <v>9</v>
      </c>
      <c r="G2170" s="21" t="s">
        <v>608</v>
      </c>
      <c r="H2170" s="19" t="s">
        <v>55</v>
      </c>
      <c r="I2170" s="21" t="s">
        <v>610</v>
      </c>
      <c r="J2170" s="22"/>
      <c r="K2170" s="2" t="s">
        <v>6</v>
      </c>
      <c r="L2170" t="s">
        <v>2855</v>
      </c>
      <c r="M2170" s="2"/>
    </row>
    <row r="2171" spans="1:13" ht="15.75">
      <c r="A2171" t="s">
        <v>28</v>
      </c>
      <c r="B2171">
        <f ca="1">IF(OR(changes[[#This Row],[Type]]="Checklist",changes[[#This Row],[Type]]="checklist-flat"),1+IF(changes[[#This Row],[Type of change]] = "Edit",COUNTIFS($I$4:changes[[#This Row],[Name]],changes[[#This Row],[Name]], $E$4:changes[[#This Row],[Type of change]], "Edit")),B2170)</f>
        <v>1</v>
      </c>
      <c r="C2171" s="16">
        <v>44819</v>
      </c>
      <c r="D2171" s="1" t="s">
        <v>2810</v>
      </c>
      <c r="E2171" t="s">
        <v>27</v>
      </c>
      <c r="F2171" s="10" t="s">
        <v>9</v>
      </c>
      <c r="G2171" s="21" t="s">
        <v>608</v>
      </c>
      <c r="H2171" s="19" t="s">
        <v>55</v>
      </c>
      <c r="I2171" s="21" t="s">
        <v>611</v>
      </c>
      <c r="J2171" s="22"/>
      <c r="K2171" s="2" t="s">
        <v>6</v>
      </c>
      <c r="L2171" t="s">
        <v>2855</v>
      </c>
      <c r="M2171" s="2"/>
    </row>
    <row r="2172" spans="1:13" ht="15.75">
      <c r="A2172" t="s">
        <v>28</v>
      </c>
      <c r="B2172">
        <f ca="1">IF(OR(changes[[#This Row],[Type]]="Checklist",changes[[#This Row],[Type]]="checklist-flat"),1+IF(changes[[#This Row],[Type of change]] = "Edit",COUNTIFS($I$4:changes[[#This Row],[Name]],changes[[#This Row],[Name]], $E$4:changes[[#This Row],[Type of change]], "Edit")),B2171)</f>
        <v>1</v>
      </c>
      <c r="C2172" s="16">
        <v>44819</v>
      </c>
      <c r="D2172" s="1" t="s">
        <v>2810</v>
      </c>
      <c r="E2172" t="s">
        <v>27</v>
      </c>
      <c r="F2172" s="10" t="s">
        <v>9</v>
      </c>
      <c r="G2172" s="21" t="s">
        <v>608</v>
      </c>
      <c r="H2172" s="19" t="s">
        <v>55</v>
      </c>
      <c r="I2172" s="21" t="s">
        <v>612</v>
      </c>
      <c r="J2172" s="22"/>
      <c r="K2172" s="2" t="s">
        <v>6</v>
      </c>
      <c r="L2172" t="s">
        <v>2855</v>
      </c>
      <c r="M2172" s="2"/>
    </row>
    <row r="2173" spans="1:13" ht="15.75">
      <c r="A2173" t="s">
        <v>28</v>
      </c>
      <c r="B2173">
        <f ca="1">IF(OR(changes[[#This Row],[Type]]="Checklist",changes[[#This Row],[Type]]="checklist-flat"),1+IF(changes[[#This Row],[Type of change]] = "Edit",COUNTIFS($I$4:changes[[#This Row],[Name]],changes[[#This Row],[Name]], $E$4:changes[[#This Row],[Type of change]], "Edit")),B2172)</f>
        <v>1</v>
      </c>
      <c r="C2173" s="16">
        <v>44819</v>
      </c>
      <c r="D2173" s="1" t="s">
        <v>2810</v>
      </c>
      <c r="E2173" t="s">
        <v>27</v>
      </c>
      <c r="F2173" s="10" t="s">
        <v>9</v>
      </c>
      <c r="G2173" s="21" t="s">
        <v>608</v>
      </c>
      <c r="H2173" s="19" t="s">
        <v>55</v>
      </c>
      <c r="I2173" s="21" t="s">
        <v>613</v>
      </c>
      <c r="J2173" s="22"/>
      <c r="K2173" s="2" t="s">
        <v>6</v>
      </c>
      <c r="L2173" t="s">
        <v>2855</v>
      </c>
      <c r="M2173" s="2"/>
    </row>
    <row r="2174" spans="1:13" ht="15.75">
      <c r="A2174" t="s">
        <v>28</v>
      </c>
      <c r="B2174">
        <f ca="1">IF(OR(changes[[#This Row],[Type]]="Checklist",changes[[#This Row],[Type]]="checklist-flat"),1+IF(changes[[#This Row],[Type of change]] = "Edit",COUNTIFS($I$4:changes[[#This Row],[Name]],changes[[#This Row],[Name]], $E$4:changes[[#This Row],[Type of change]], "Edit")),B2173)</f>
        <v>1</v>
      </c>
      <c r="C2174" s="16">
        <v>44819</v>
      </c>
      <c r="D2174" s="1" t="s">
        <v>2810</v>
      </c>
      <c r="E2174" t="s">
        <v>27</v>
      </c>
      <c r="F2174" s="10" t="s">
        <v>9</v>
      </c>
      <c r="G2174" s="21" t="s">
        <v>608</v>
      </c>
      <c r="H2174" s="19" t="s">
        <v>55</v>
      </c>
      <c r="I2174" s="21" t="s">
        <v>614</v>
      </c>
      <c r="J2174" s="22"/>
      <c r="K2174" s="2" t="s">
        <v>6</v>
      </c>
      <c r="L2174" t="s">
        <v>2855</v>
      </c>
      <c r="M2174" s="2"/>
    </row>
    <row r="2175" spans="1:13" ht="15.75">
      <c r="A2175" t="s">
        <v>28</v>
      </c>
      <c r="B2175">
        <f ca="1">IF(OR(changes[[#This Row],[Type]]="Checklist",changes[[#This Row],[Type]]="checklist-flat"),1+IF(changes[[#This Row],[Type of change]] = "Edit",COUNTIFS($I$4:changes[[#This Row],[Name]],changes[[#This Row],[Name]], $E$4:changes[[#This Row],[Type of change]], "Edit")),B2174)</f>
        <v>1</v>
      </c>
      <c r="C2175" s="16">
        <v>44819</v>
      </c>
      <c r="D2175" s="1" t="s">
        <v>2810</v>
      </c>
      <c r="E2175" t="s">
        <v>27</v>
      </c>
      <c r="F2175" s="10" t="s">
        <v>9</v>
      </c>
      <c r="G2175" s="21" t="s">
        <v>608</v>
      </c>
      <c r="H2175" s="19" t="s">
        <v>55</v>
      </c>
      <c r="I2175" s="21" t="s">
        <v>615</v>
      </c>
      <c r="J2175" s="22"/>
      <c r="K2175" s="2" t="s">
        <v>6</v>
      </c>
      <c r="L2175" t="s">
        <v>2855</v>
      </c>
      <c r="M2175" s="2"/>
    </row>
    <row r="2176" spans="1:13" ht="15.75">
      <c r="A2176" t="s">
        <v>28</v>
      </c>
      <c r="B2176">
        <f ca="1">IF(OR(changes[[#This Row],[Type]]="Checklist",changes[[#This Row],[Type]]="checklist-flat"),1+IF(changes[[#This Row],[Type of change]] = "Edit",COUNTIFS($I$4:changes[[#This Row],[Name]],changes[[#This Row],[Name]], $E$4:changes[[#This Row],[Type of change]], "Edit")),B2175)</f>
        <v>1</v>
      </c>
      <c r="C2176" s="16">
        <v>44819</v>
      </c>
      <c r="D2176" s="1" t="s">
        <v>2810</v>
      </c>
      <c r="E2176" t="s">
        <v>27</v>
      </c>
      <c r="F2176" s="10" t="s">
        <v>9</v>
      </c>
      <c r="G2176" s="21" t="s">
        <v>608</v>
      </c>
      <c r="H2176" s="19" t="s">
        <v>55</v>
      </c>
      <c r="I2176" s="18" t="s">
        <v>93</v>
      </c>
      <c r="J2176" s="22"/>
      <c r="K2176" s="2" t="s">
        <v>6</v>
      </c>
      <c r="L2176" t="s">
        <v>2855</v>
      </c>
      <c r="M2176" s="2"/>
    </row>
    <row r="2177" spans="1:13" ht="15.75">
      <c r="A2177" t="s">
        <v>28</v>
      </c>
      <c r="B2177">
        <f ca="1">IF(OR(changes[[#This Row],[Type]]="Checklist",changes[[#This Row],[Type]]="checklist-flat"),1+IF(changes[[#This Row],[Type of change]] = "Edit",COUNTIFS($I$4:changes[[#This Row],[Name]],changes[[#This Row],[Name]], $E$4:changes[[#This Row],[Type of change]], "Edit")),B2176)</f>
        <v>1</v>
      </c>
      <c r="C2177" s="16">
        <v>44819</v>
      </c>
      <c r="D2177" s="1" t="s">
        <v>2810</v>
      </c>
      <c r="E2177" t="s">
        <v>27</v>
      </c>
      <c r="F2177" s="10" t="s">
        <v>9</v>
      </c>
      <c r="G2177" s="21" t="s">
        <v>608</v>
      </c>
      <c r="H2177" s="2" t="s">
        <v>64</v>
      </c>
      <c r="I2177" s="18" t="s">
        <v>94</v>
      </c>
      <c r="J2177" s="23"/>
      <c r="K2177" s="2" t="s">
        <v>6</v>
      </c>
      <c r="L2177" t="s">
        <v>2855</v>
      </c>
      <c r="M2177" s="2"/>
    </row>
    <row r="2178" spans="1:13" ht="15.75">
      <c r="A2178" t="s">
        <v>28</v>
      </c>
      <c r="B2178">
        <f ca="1">IF(OR(changes[[#This Row],[Type]]="Checklist",changes[[#This Row],[Type]]="checklist-flat"),1+IF(changes[[#This Row],[Type of change]] = "Edit",COUNTIFS($I$4:changes[[#This Row],[Name]],changes[[#This Row],[Name]], $E$4:changes[[#This Row],[Type of change]], "Edit")),B2177)</f>
        <v>1</v>
      </c>
      <c r="C2178" s="16">
        <v>44819</v>
      </c>
      <c r="D2178" s="1" t="s">
        <v>2817</v>
      </c>
      <c r="E2178" t="s">
        <v>27</v>
      </c>
      <c r="F2178" s="10" t="s">
        <v>9</v>
      </c>
      <c r="G2178" s="10" t="s">
        <v>888</v>
      </c>
      <c r="H2178" s="19" t="s">
        <v>54</v>
      </c>
      <c r="I2178" s="21" t="s">
        <v>888</v>
      </c>
      <c r="J2178" s="22"/>
      <c r="K2178" s="2" t="s">
        <v>6</v>
      </c>
      <c r="L2178" t="s">
        <v>2915</v>
      </c>
      <c r="M2178" s="2"/>
    </row>
    <row r="2179" spans="1:13">
      <c r="A2179" t="s">
        <v>28</v>
      </c>
      <c r="B2179">
        <f ca="1">IF(OR(changes[[#This Row],[Type]]="Checklist",changes[[#This Row],[Type]]="checklist-flat"),1+IF(changes[[#This Row],[Type of change]] = "Edit",COUNTIFS($I$4:changes[[#This Row],[Name]],changes[[#This Row],[Name]], $E$4:changes[[#This Row],[Type of change]], "Edit")),B2178)</f>
        <v>1</v>
      </c>
      <c r="C2179" s="16">
        <v>44819</v>
      </c>
      <c r="D2179" s="1" t="s">
        <v>2817</v>
      </c>
      <c r="E2179" t="s">
        <v>27</v>
      </c>
      <c r="F2179" s="10" t="s">
        <v>9</v>
      </c>
      <c r="G2179" s="10" t="s">
        <v>888</v>
      </c>
      <c r="H2179" s="19" t="s">
        <v>55</v>
      </c>
      <c r="I2179" t="s">
        <v>889</v>
      </c>
      <c r="J2179" s="22"/>
      <c r="K2179" s="2" t="s">
        <v>6</v>
      </c>
      <c r="L2179" t="s">
        <v>2915</v>
      </c>
      <c r="M2179" s="2"/>
    </row>
    <row r="2180" spans="1:13" ht="15.75">
      <c r="A2180" t="s">
        <v>28</v>
      </c>
      <c r="B2180">
        <f ca="1">IF(OR(changes[[#This Row],[Type]]="Checklist",changes[[#This Row],[Type]]="checklist-flat"),1+IF(changes[[#This Row],[Type of change]] = "Edit",COUNTIFS($I$4:changes[[#This Row],[Name]],changes[[#This Row],[Name]], $E$4:changes[[#This Row],[Type of change]], "Edit")),B2179)</f>
        <v>1</v>
      </c>
      <c r="C2180" s="16">
        <v>44819</v>
      </c>
      <c r="D2180" s="1" t="s">
        <v>2817</v>
      </c>
      <c r="E2180" t="s">
        <v>27</v>
      </c>
      <c r="F2180" s="10" t="s">
        <v>9</v>
      </c>
      <c r="G2180" s="10" t="s">
        <v>888</v>
      </c>
      <c r="H2180" s="19" t="s">
        <v>64</v>
      </c>
      <c r="I2180" s="21" t="s">
        <v>94</v>
      </c>
      <c r="J2180" s="22"/>
      <c r="K2180" s="2" t="s">
        <v>6</v>
      </c>
      <c r="L2180" t="s">
        <v>2915</v>
      </c>
      <c r="M2180" s="2"/>
    </row>
    <row r="2181" spans="1:13" ht="15.75">
      <c r="A2181" t="s">
        <v>28</v>
      </c>
      <c r="B2181">
        <f ca="1">IF(OR(changes[[#This Row],[Type]]="Checklist",changes[[#This Row],[Type]]="checklist-flat"),1+IF(changes[[#This Row],[Type of change]] = "Edit",COUNTIFS($I$4:changes[[#This Row],[Name]],changes[[#This Row],[Name]], $E$4:changes[[#This Row],[Type of change]], "Edit")),B2180)</f>
        <v>1</v>
      </c>
      <c r="C2181" s="16">
        <v>44826</v>
      </c>
      <c r="D2181" s="1" t="s">
        <v>2918</v>
      </c>
      <c r="E2181" t="s">
        <v>27</v>
      </c>
      <c r="F2181" s="10" t="s">
        <v>918</v>
      </c>
      <c r="G2181" s="46" t="s">
        <v>977</v>
      </c>
      <c r="H2181" s="51" t="s">
        <v>478</v>
      </c>
      <c r="I2181" s="46" t="s">
        <v>977</v>
      </c>
      <c r="J2181" s="22"/>
      <c r="K2181" s="2" t="s">
        <v>6</v>
      </c>
      <c r="M2181" s="2"/>
    </row>
    <row r="2182" spans="1:13" ht="15.75">
      <c r="A2182" t="s">
        <v>28</v>
      </c>
      <c r="B2182">
        <f ca="1">IF(OR(changes[[#This Row],[Type]]="Checklist",changes[[#This Row],[Type]]="checklist-flat"),1+IF(changes[[#This Row],[Type of change]] = "Edit",COUNTIFS($I$4:changes[[#This Row],[Name]],changes[[#This Row],[Name]], $E$4:changes[[#This Row],[Type of change]], "Edit")),B2181)</f>
        <v>1</v>
      </c>
      <c r="C2182" s="16">
        <v>44826</v>
      </c>
      <c r="D2182" s="1" t="s">
        <v>2918</v>
      </c>
      <c r="E2182" t="s">
        <v>27</v>
      </c>
      <c r="F2182" s="10" t="s">
        <v>918</v>
      </c>
      <c r="G2182" s="46" t="s">
        <v>977</v>
      </c>
      <c r="H2182" s="52" t="s">
        <v>479</v>
      </c>
      <c r="I2182" s="47" t="s">
        <v>920</v>
      </c>
      <c r="J2182" s="23"/>
      <c r="K2182" s="2" t="s">
        <v>6</v>
      </c>
      <c r="M2182" s="2"/>
    </row>
    <row r="2183" spans="1:13" ht="15.75">
      <c r="A2183" t="s">
        <v>28</v>
      </c>
      <c r="B2183">
        <f ca="1">IF(OR(changes[[#This Row],[Type]]="Checklist",changes[[#This Row],[Type]]="checklist-flat"),1+IF(changes[[#This Row],[Type of change]] = "Edit",COUNTIFS($I$4:changes[[#This Row],[Name]],changes[[#This Row],[Name]], $E$4:changes[[#This Row],[Type of change]], "Edit")),B2182)</f>
        <v>1</v>
      </c>
      <c r="C2183" s="16">
        <v>44826</v>
      </c>
      <c r="D2183" s="1" t="s">
        <v>2918</v>
      </c>
      <c r="E2183" t="s">
        <v>27</v>
      </c>
      <c r="F2183" s="10" t="s">
        <v>918</v>
      </c>
      <c r="G2183" s="46" t="s">
        <v>977</v>
      </c>
      <c r="H2183" s="44" t="s">
        <v>722</v>
      </c>
      <c r="I2183" s="48" t="s">
        <v>978</v>
      </c>
      <c r="J2183" s="23"/>
      <c r="K2183" s="2" t="s">
        <v>6</v>
      </c>
      <c r="M2183" s="2"/>
    </row>
    <row r="2184" spans="1:13" ht="15.75">
      <c r="A2184" t="s">
        <v>28</v>
      </c>
      <c r="B2184">
        <f ca="1">IF(OR(changes[[#This Row],[Type]]="Checklist",changes[[#This Row],[Type]]="checklist-flat"),1+IF(changes[[#This Row],[Type of change]] = "Edit",COUNTIFS($I$4:changes[[#This Row],[Name]],changes[[#This Row],[Name]], $E$4:changes[[#This Row],[Type of change]], "Edit")),B2183)</f>
        <v>1</v>
      </c>
      <c r="C2184" s="16">
        <v>44826</v>
      </c>
      <c r="D2184" s="1" t="s">
        <v>2918</v>
      </c>
      <c r="E2184" t="s">
        <v>27</v>
      </c>
      <c r="F2184" s="10" t="s">
        <v>918</v>
      </c>
      <c r="G2184" s="46" t="s">
        <v>977</v>
      </c>
      <c r="H2184" s="52" t="s">
        <v>214</v>
      </c>
      <c r="I2184" s="47" t="s">
        <v>979</v>
      </c>
      <c r="J2184" s="23"/>
      <c r="K2184" s="2" t="s">
        <v>6</v>
      </c>
      <c r="M2184" s="2"/>
    </row>
    <row r="2185" spans="1:13" ht="15.75">
      <c r="A2185" t="s">
        <v>28</v>
      </c>
      <c r="B2185">
        <f ca="1">IF(OR(changes[[#This Row],[Type]]="Checklist",changes[[#This Row],[Type]]="checklist-flat"),1+IF(changes[[#This Row],[Type of change]] = "Edit",COUNTIFS($I$4:changes[[#This Row],[Name]],changes[[#This Row],[Name]], $E$4:changes[[#This Row],[Type of change]], "Edit")),B2184)</f>
        <v>1</v>
      </c>
      <c r="C2185" s="16">
        <v>44826</v>
      </c>
      <c r="D2185" s="1" t="s">
        <v>2918</v>
      </c>
      <c r="E2185" t="s">
        <v>27</v>
      </c>
      <c r="F2185" s="10" t="s">
        <v>918</v>
      </c>
      <c r="G2185" s="46" t="s">
        <v>977</v>
      </c>
      <c r="H2185" s="52" t="s">
        <v>214</v>
      </c>
      <c r="I2185" s="47" t="s">
        <v>980</v>
      </c>
      <c r="J2185" s="23"/>
      <c r="K2185" s="2" t="s">
        <v>6</v>
      </c>
      <c r="M2185" s="2"/>
    </row>
    <row r="2186" spans="1:13" ht="15.75">
      <c r="A2186" t="s">
        <v>28</v>
      </c>
      <c r="B2186">
        <f ca="1">IF(OR(changes[[#This Row],[Type]]="Checklist",changes[[#This Row],[Type]]="checklist-flat"),1+IF(changes[[#This Row],[Type of change]] = "Edit",COUNTIFS($I$4:changes[[#This Row],[Name]],changes[[#This Row],[Name]], $E$4:changes[[#This Row],[Type of change]], "Edit")),B2185)</f>
        <v>1</v>
      </c>
      <c r="C2186" s="16">
        <v>44826</v>
      </c>
      <c r="D2186" s="1" t="s">
        <v>2918</v>
      </c>
      <c r="E2186" t="s">
        <v>27</v>
      </c>
      <c r="F2186" s="10" t="s">
        <v>918</v>
      </c>
      <c r="G2186" s="46" t="s">
        <v>977</v>
      </c>
      <c r="H2186" s="52" t="s">
        <v>214</v>
      </c>
      <c r="I2186" s="47" t="s">
        <v>981</v>
      </c>
      <c r="J2186" s="23"/>
      <c r="K2186" s="2" t="s">
        <v>6</v>
      </c>
      <c r="M2186" s="2"/>
    </row>
    <row r="2187" spans="1:13" ht="15.75">
      <c r="A2187" t="s">
        <v>28</v>
      </c>
      <c r="B2187">
        <f ca="1">IF(OR(changes[[#This Row],[Type]]="Checklist",changes[[#This Row],[Type]]="checklist-flat"),1+IF(changes[[#This Row],[Type of change]] = "Edit",COUNTIFS($I$4:changes[[#This Row],[Name]],changes[[#This Row],[Name]], $E$4:changes[[#This Row],[Type of change]], "Edit")),B2186)</f>
        <v>1</v>
      </c>
      <c r="C2187" s="16">
        <v>44826</v>
      </c>
      <c r="D2187" s="1" t="s">
        <v>2918</v>
      </c>
      <c r="E2187" t="s">
        <v>27</v>
      </c>
      <c r="F2187" s="10" t="s">
        <v>918</v>
      </c>
      <c r="G2187" s="46" t="s">
        <v>977</v>
      </c>
      <c r="H2187" s="52" t="s">
        <v>214</v>
      </c>
      <c r="I2187" s="47" t="s">
        <v>982</v>
      </c>
      <c r="J2187" s="23"/>
      <c r="K2187" s="2" t="s">
        <v>6</v>
      </c>
      <c r="M2187" s="2"/>
    </row>
    <row r="2188" spans="1:13" ht="15.75">
      <c r="A2188" t="s">
        <v>28</v>
      </c>
      <c r="B2188">
        <f ca="1">IF(OR(changes[[#This Row],[Type]]="Checklist",changes[[#This Row],[Type]]="checklist-flat"),1+IF(changes[[#This Row],[Type of change]] = "Edit",COUNTIFS($I$4:changes[[#This Row],[Name]],changes[[#This Row],[Name]], $E$4:changes[[#This Row],[Type of change]], "Edit")),B2187)</f>
        <v>1</v>
      </c>
      <c r="C2188" s="16">
        <v>44826</v>
      </c>
      <c r="D2188" s="1" t="s">
        <v>2918</v>
      </c>
      <c r="E2188" t="s">
        <v>27</v>
      </c>
      <c r="F2188" s="10" t="s">
        <v>918</v>
      </c>
      <c r="G2188" s="46" t="s">
        <v>977</v>
      </c>
      <c r="H2188" s="52" t="s">
        <v>214</v>
      </c>
      <c r="I2188" s="47" t="s">
        <v>983</v>
      </c>
      <c r="J2188" s="23"/>
      <c r="K2188" s="2" t="s">
        <v>6</v>
      </c>
      <c r="M2188" s="2"/>
    </row>
    <row r="2189" spans="1:13" ht="15.75">
      <c r="A2189" t="s">
        <v>28</v>
      </c>
      <c r="B2189">
        <f ca="1">IF(OR(changes[[#This Row],[Type]]="Checklist",changes[[#This Row],[Type]]="checklist-flat"),1+IF(changes[[#This Row],[Type of change]] = "Edit",COUNTIFS($I$4:changes[[#This Row],[Name]],changes[[#This Row],[Name]], $E$4:changes[[#This Row],[Type of change]], "Edit")),B2188)</f>
        <v>1</v>
      </c>
      <c r="C2189" s="16">
        <v>44826</v>
      </c>
      <c r="D2189" s="1" t="s">
        <v>2918</v>
      </c>
      <c r="E2189" t="s">
        <v>27</v>
      </c>
      <c r="F2189" s="10" t="s">
        <v>918</v>
      </c>
      <c r="G2189" s="46" t="s">
        <v>977</v>
      </c>
      <c r="H2189" s="52" t="s">
        <v>214</v>
      </c>
      <c r="I2189" s="47" t="s">
        <v>984</v>
      </c>
      <c r="J2189" s="23"/>
      <c r="K2189" s="2" t="s">
        <v>6</v>
      </c>
      <c r="M2189" s="2"/>
    </row>
    <row r="2190" spans="1:13" ht="15.75">
      <c r="A2190" t="s">
        <v>28</v>
      </c>
      <c r="B2190">
        <f ca="1">IF(OR(changes[[#This Row],[Type]]="Checklist",changes[[#This Row],[Type]]="checklist-flat"),1+IF(changes[[#This Row],[Type of change]] = "Edit",COUNTIFS($I$4:changes[[#This Row],[Name]],changes[[#This Row],[Name]], $E$4:changes[[#This Row],[Type of change]], "Edit")),B2189)</f>
        <v>1</v>
      </c>
      <c r="C2190" s="16">
        <v>44826</v>
      </c>
      <c r="D2190" s="1" t="s">
        <v>2918</v>
      </c>
      <c r="E2190" t="s">
        <v>27</v>
      </c>
      <c r="F2190" s="10" t="s">
        <v>918</v>
      </c>
      <c r="G2190" s="46" t="s">
        <v>977</v>
      </c>
      <c r="H2190" s="53" t="s">
        <v>214</v>
      </c>
      <c r="I2190" s="49" t="s">
        <v>985</v>
      </c>
      <c r="J2190" s="23"/>
      <c r="K2190" s="2" t="s">
        <v>6</v>
      </c>
      <c r="M2190" s="2"/>
    </row>
    <row r="2191" spans="1:13" ht="15.75">
      <c r="A2191" t="s">
        <v>28</v>
      </c>
      <c r="B2191">
        <f ca="1">IF(OR(changes[[#This Row],[Type]]="Checklist",changes[[#This Row],[Type]]="checklist-flat"),1+IF(changes[[#This Row],[Type of change]] = "Edit",COUNTIFS($I$4:changes[[#This Row],[Name]],changes[[#This Row],[Name]], $E$4:changes[[#This Row],[Type of change]], "Edit")),B2190)</f>
        <v>1</v>
      </c>
      <c r="C2191" s="16">
        <v>44826</v>
      </c>
      <c r="D2191" s="1" t="s">
        <v>2918</v>
      </c>
      <c r="E2191" t="s">
        <v>27</v>
      </c>
      <c r="F2191" s="10" t="s">
        <v>918</v>
      </c>
      <c r="G2191" s="46" t="s">
        <v>977</v>
      </c>
      <c r="H2191" s="54" t="s">
        <v>55</v>
      </c>
      <c r="I2191" s="48" t="s">
        <v>969</v>
      </c>
      <c r="J2191" s="23"/>
      <c r="K2191" s="2" t="s">
        <v>6</v>
      </c>
      <c r="M2191" s="2"/>
    </row>
    <row r="2192" spans="1:13" ht="15.75">
      <c r="A2192" t="s">
        <v>28</v>
      </c>
      <c r="B2192">
        <f ca="1">IF(OR(changes[[#This Row],[Type]]="Checklist",changes[[#This Row],[Type]]="checklist-flat"),1+IF(changes[[#This Row],[Type of change]] = "Edit",COUNTIFS($I$4:changes[[#This Row],[Name]],changes[[#This Row],[Name]], $E$4:changes[[#This Row],[Type of change]], "Edit")),B2191)</f>
        <v>1</v>
      </c>
      <c r="C2192" s="16">
        <v>44826</v>
      </c>
      <c r="D2192" s="1" t="s">
        <v>2918</v>
      </c>
      <c r="E2192" t="s">
        <v>27</v>
      </c>
      <c r="F2192" s="10" t="s">
        <v>918</v>
      </c>
      <c r="G2192" s="46" t="s">
        <v>977</v>
      </c>
      <c r="H2192" s="52" t="s">
        <v>214</v>
      </c>
      <c r="I2192" s="47" t="s">
        <v>986</v>
      </c>
      <c r="J2192" s="23"/>
      <c r="K2192" s="2" t="s">
        <v>6</v>
      </c>
      <c r="M2192" s="2"/>
    </row>
    <row r="2193" spans="1:13" ht="15.75">
      <c r="A2193" t="s">
        <v>28</v>
      </c>
      <c r="B2193">
        <f ca="1">IF(OR(changes[[#This Row],[Type]]="Checklist",changes[[#This Row],[Type]]="checklist-flat"),1+IF(changes[[#This Row],[Type of change]] = "Edit",COUNTIFS($I$4:changes[[#This Row],[Name]],changes[[#This Row],[Name]], $E$4:changes[[#This Row],[Type of change]], "Edit")),B2192)</f>
        <v>1</v>
      </c>
      <c r="C2193" s="16">
        <v>44826</v>
      </c>
      <c r="D2193" s="1" t="s">
        <v>2918</v>
      </c>
      <c r="E2193" t="s">
        <v>27</v>
      </c>
      <c r="F2193" s="10" t="s">
        <v>918</v>
      </c>
      <c r="G2193" s="46" t="s">
        <v>977</v>
      </c>
      <c r="H2193" s="53" t="s">
        <v>214</v>
      </c>
      <c r="I2193" s="49" t="s">
        <v>987</v>
      </c>
      <c r="J2193" s="23"/>
      <c r="K2193" s="2" t="s">
        <v>6</v>
      </c>
      <c r="M2193" s="2"/>
    </row>
    <row r="2194" spans="1:13" ht="15.75">
      <c r="A2194" t="s">
        <v>28</v>
      </c>
      <c r="B2194">
        <f ca="1">IF(OR(changes[[#This Row],[Type]]="Checklist",changes[[#This Row],[Type]]="checklist-flat"),1+IF(changes[[#This Row],[Type of change]] = "Edit",COUNTIFS($I$4:changes[[#This Row],[Name]],changes[[#This Row],[Name]], $E$4:changes[[#This Row],[Type of change]], "Edit")),B2193)</f>
        <v>1</v>
      </c>
      <c r="C2194" s="16">
        <v>44826</v>
      </c>
      <c r="D2194" s="1" t="s">
        <v>2918</v>
      </c>
      <c r="E2194" t="s">
        <v>27</v>
      </c>
      <c r="F2194" s="10" t="s">
        <v>918</v>
      </c>
      <c r="G2194" s="46" t="s">
        <v>977</v>
      </c>
      <c r="H2194" s="55" t="s">
        <v>55</v>
      </c>
      <c r="I2194" s="50" t="s">
        <v>988</v>
      </c>
      <c r="J2194" s="23"/>
      <c r="K2194" s="2" t="s">
        <v>6</v>
      </c>
      <c r="M2194" s="2"/>
    </row>
    <row r="2195" spans="1:13" ht="15.75">
      <c r="A2195" t="s">
        <v>28</v>
      </c>
      <c r="B2195">
        <f ca="1">IF(OR(changes[[#This Row],[Type]]="Checklist",changes[[#This Row],[Type]]="checklist-flat"),1+IF(changes[[#This Row],[Type of change]] = "Edit",COUNTIFS($I$4:changes[[#This Row],[Name]],changes[[#This Row],[Name]], $E$4:changes[[#This Row],[Type of change]], "Edit")),B2194)</f>
        <v>1</v>
      </c>
      <c r="C2195" s="16">
        <v>44826</v>
      </c>
      <c r="D2195" s="1" t="s">
        <v>2918</v>
      </c>
      <c r="E2195" t="s">
        <v>27</v>
      </c>
      <c r="F2195" s="10" t="s">
        <v>918</v>
      </c>
      <c r="G2195" s="46" t="s">
        <v>977</v>
      </c>
      <c r="H2195" s="52" t="s">
        <v>479</v>
      </c>
      <c r="I2195" s="47" t="s">
        <v>970</v>
      </c>
      <c r="J2195" s="23"/>
      <c r="K2195" s="2" t="s">
        <v>6</v>
      </c>
      <c r="M2195" s="2"/>
    </row>
    <row r="2196" spans="1:13" ht="15.75">
      <c r="A2196" t="s">
        <v>28</v>
      </c>
      <c r="B2196">
        <f ca="1">IF(OR(changes[[#This Row],[Type]]="Checklist",changes[[#This Row],[Type]]="checklist-flat"),1+IF(changes[[#This Row],[Type of change]] = "Edit",COUNTIFS($I$4:changes[[#This Row],[Name]],changes[[#This Row],[Name]], $E$4:changes[[#This Row],[Type of change]], "Edit")),B2195)</f>
        <v>1</v>
      </c>
      <c r="C2196" s="16">
        <v>44826</v>
      </c>
      <c r="D2196" s="1" t="s">
        <v>2918</v>
      </c>
      <c r="E2196" t="s">
        <v>27</v>
      </c>
      <c r="F2196" s="10" t="s">
        <v>918</v>
      </c>
      <c r="G2196" s="46" t="s">
        <v>977</v>
      </c>
      <c r="H2196" s="54" t="s">
        <v>55</v>
      </c>
      <c r="I2196" s="48" t="s">
        <v>989</v>
      </c>
      <c r="J2196" s="23"/>
      <c r="K2196" s="2" t="s">
        <v>6</v>
      </c>
      <c r="M2196" s="2"/>
    </row>
    <row r="2197" spans="1:13" ht="15.75">
      <c r="A2197" t="s">
        <v>28</v>
      </c>
      <c r="B2197">
        <f ca="1">IF(OR(changes[[#This Row],[Type]]="Checklist",changes[[#This Row],[Type]]="checklist-flat"),1+IF(changes[[#This Row],[Type of change]] = "Edit",COUNTIFS($I$4:changes[[#This Row],[Name]],changes[[#This Row],[Name]], $E$4:changes[[#This Row],[Type of change]], "Edit")),B2196)</f>
        <v>1</v>
      </c>
      <c r="C2197" s="16">
        <v>44826</v>
      </c>
      <c r="D2197" s="1" t="s">
        <v>2918</v>
      </c>
      <c r="E2197" t="s">
        <v>27</v>
      </c>
      <c r="F2197" s="10" t="s">
        <v>918</v>
      </c>
      <c r="G2197" s="46" t="s">
        <v>977</v>
      </c>
      <c r="H2197" s="45" t="s">
        <v>990</v>
      </c>
      <c r="I2197" s="47" t="s">
        <v>991</v>
      </c>
      <c r="J2197" s="23"/>
      <c r="K2197" s="2" t="s">
        <v>6</v>
      </c>
      <c r="M2197" s="2"/>
    </row>
    <row r="2198" spans="1:13" ht="15.75">
      <c r="A2198" t="s">
        <v>28</v>
      </c>
      <c r="B2198">
        <f ca="1">IF(OR(changes[[#This Row],[Type]]="Checklist",changes[[#This Row],[Type]]="checklist-flat"),1+IF(changes[[#This Row],[Type of change]] = "Edit",COUNTIFS($I$4:changes[[#This Row],[Name]],changes[[#This Row],[Name]], $E$4:changes[[#This Row],[Type of change]], "Edit")),B2197)</f>
        <v>1</v>
      </c>
      <c r="C2198" s="16">
        <v>44826</v>
      </c>
      <c r="D2198" s="1" t="s">
        <v>2918</v>
      </c>
      <c r="E2198" t="s">
        <v>27</v>
      </c>
      <c r="F2198" s="10" t="s">
        <v>918</v>
      </c>
      <c r="G2198" s="46" t="s">
        <v>977</v>
      </c>
      <c r="H2198" s="45" t="s">
        <v>951</v>
      </c>
      <c r="I2198" s="47" t="s">
        <v>992</v>
      </c>
      <c r="J2198" s="23"/>
      <c r="K2198" s="2" t="s">
        <v>6</v>
      </c>
      <c r="M2198" s="2"/>
    </row>
    <row r="2199" spans="1:13" ht="15.75">
      <c r="A2199" t="s">
        <v>28</v>
      </c>
      <c r="B2199">
        <f ca="1">IF(OR(changes[[#This Row],[Type]]="Checklist",changes[[#This Row],[Type]]="checklist-flat"),1+IF(changes[[#This Row],[Type of change]] = "Edit",COUNTIFS($I$4:changes[[#This Row],[Name]],changes[[#This Row],[Name]], $E$4:changes[[#This Row],[Type of change]], "Edit")),B2198)</f>
        <v>1</v>
      </c>
      <c r="C2199" s="16">
        <v>44826</v>
      </c>
      <c r="D2199" s="1" t="s">
        <v>2918</v>
      </c>
      <c r="E2199" t="s">
        <v>27</v>
      </c>
      <c r="F2199" s="10" t="s">
        <v>918</v>
      </c>
      <c r="G2199" s="46" t="s">
        <v>977</v>
      </c>
      <c r="H2199" s="45" t="s">
        <v>214</v>
      </c>
      <c r="I2199" s="47" t="s">
        <v>993</v>
      </c>
      <c r="J2199" s="23"/>
      <c r="K2199" s="2" t="s">
        <v>6</v>
      </c>
      <c r="M2199" s="2"/>
    </row>
    <row r="2200" spans="1:13" ht="15.75">
      <c r="A2200" t="s">
        <v>28</v>
      </c>
      <c r="B2200">
        <f ca="1">IF(OR(changes[[#This Row],[Type]]="Checklist",changes[[#This Row],[Type]]="checklist-flat"),1+IF(changes[[#This Row],[Type of change]] = "Edit",COUNTIFS($I$4:changes[[#This Row],[Name]],changes[[#This Row],[Name]], $E$4:changes[[#This Row],[Type of change]], "Edit")),B2199)</f>
        <v>1</v>
      </c>
      <c r="C2200" s="16">
        <v>44826</v>
      </c>
      <c r="D2200" s="1" t="s">
        <v>2918</v>
      </c>
      <c r="E2200" t="s">
        <v>27</v>
      </c>
      <c r="F2200" s="10" t="s">
        <v>918</v>
      </c>
      <c r="G2200" s="46" t="s">
        <v>977</v>
      </c>
      <c r="H2200" s="45" t="s">
        <v>994</v>
      </c>
      <c r="I2200" s="47" t="s">
        <v>422</v>
      </c>
      <c r="J2200" s="23"/>
      <c r="K2200" s="2" t="s">
        <v>6</v>
      </c>
      <c r="M2200" s="2"/>
    </row>
    <row r="2201" spans="1:13" ht="15.75">
      <c r="A2201" t="s">
        <v>28</v>
      </c>
      <c r="B2201">
        <f ca="1">IF(OR(changes[[#This Row],[Type]]="Checklist",changes[[#This Row],[Type]]="checklist-flat"),1+IF(changes[[#This Row],[Type of change]] = "Edit",COUNTIFS($I$4:changes[[#This Row],[Name]],changes[[#This Row],[Name]], $E$4:changes[[#This Row],[Type of change]], "Edit")),B2200)</f>
        <v>1</v>
      </c>
      <c r="C2201" s="16">
        <v>44837</v>
      </c>
      <c r="D2201" s="1" t="s">
        <v>2918</v>
      </c>
      <c r="E2201" t="s">
        <v>27</v>
      </c>
      <c r="F2201" s="10" t="s">
        <v>52</v>
      </c>
      <c r="G2201" s="21" t="s">
        <v>654</v>
      </c>
      <c r="H2201" s="19" t="s">
        <v>54</v>
      </c>
      <c r="I2201" s="21" t="s">
        <v>654</v>
      </c>
      <c r="J2201" s="22"/>
      <c r="K2201" s="2" t="s">
        <v>6</v>
      </c>
      <c r="M2201" s="2"/>
    </row>
    <row r="2202" spans="1:13" ht="15.75">
      <c r="A2202" t="s">
        <v>28</v>
      </c>
      <c r="B2202">
        <f ca="1">IF(OR(changes[[#This Row],[Type]]="Checklist",changes[[#This Row],[Type]]="checklist-flat"),1+IF(changes[[#This Row],[Type of change]] = "Edit",COUNTIFS($I$4:changes[[#This Row],[Name]],changes[[#This Row],[Name]], $E$4:changes[[#This Row],[Type of change]], "Edit")),B2201)</f>
        <v>1</v>
      </c>
      <c r="C2202" s="16">
        <v>44837</v>
      </c>
      <c r="D2202" s="1" t="s">
        <v>2918</v>
      </c>
      <c r="E2202" t="s">
        <v>27</v>
      </c>
      <c r="F2202" s="10" t="s">
        <v>52</v>
      </c>
      <c r="G2202" s="21" t="s">
        <v>654</v>
      </c>
      <c r="H2202" s="2" t="s">
        <v>655</v>
      </c>
      <c r="I2202" s="18" t="s">
        <v>62</v>
      </c>
      <c r="J2202" s="23"/>
      <c r="K2202" s="2" t="s">
        <v>6</v>
      </c>
      <c r="M2202" s="2"/>
    </row>
    <row r="2203" spans="1:13" ht="15.75">
      <c r="A2203" t="s">
        <v>28</v>
      </c>
      <c r="B2203">
        <f ca="1">IF(OR(changes[[#This Row],[Type]]="Checklist",changes[[#This Row],[Type]]="checklist-flat"),1+IF(changes[[#This Row],[Type of change]] = "Edit",COUNTIFS($I$4:changes[[#This Row],[Name]],changes[[#This Row],[Name]], $E$4:changes[[#This Row],[Type of change]], "Edit")),B2202)</f>
        <v>1</v>
      </c>
      <c r="C2203" s="16">
        <v>44837</v>
      </c>
      <c r="D2203" s="1" t="s">
        <v>2918</v>
      </c>
      <c r="E2203" t="s">
        <v>27</v>
      </c>
      <c r="F2203" s="10" t="s">
        <v>52</v>
      </c>
      <c r="G2203" s="21" t="s">
        <v>654</v>
      </c>
      <c r="H2203" s="2" t="s">
        <v>655</v>
      </c>
      <c r="I2203" s="18" t="s">
        <v>63</v>
      </c>
      <c r="J2203" s="23"/>
      <c r="K2203" s="2" t="s">
        <v>6</v>
      </c>
      <c r="M2203" s="2"/>
    </row>
    <row r="2204" spans="1:13" ht="15.75">
      <c r="A2204" t="s">
        <v>28</v>
      </c>
      <c r="B2204">
        <f ca="1">IF(OR(changes[[#This Row],[Type]]="Checklist",changes[[#This Row],[Type]]="checklist-flat"),1+IF(changes[[#This Row],[Type of change]] = "Edit",COUNTIFS($I$4:changes[[#This Row],[Name]],changes[[#This Row],[Name]], $E$4:changes[[#This Row],[Type of change]], "Edit")),B2203)</f>
        <v>1</v>
      </c>
      <c r="C2204" s="16">
        <v>44837</v>
      </c>
      <c r="D2204" s="1" t="s">
        <v>2918</v>
      </c>
      <c r="E2204" t="s">
        <v>27</v>
      </c>
      <c r="F2204" s="10" t="s">
        <v>52</v>
      </c>
      <c r="G2204" s="21" t="s">
        <v>654</v>
      </c>
      <c r="H2204" s="2" t="s">
        <v>64</v>
      </c>
      <c r="I2204" s="18" t="s">
        <v>65</v>
      </c>
      <c r="J2204" s="23"/>
      <c r="K2204" s="2" t="s">
        <v>6</v>
      </c>
      <c r="M2204" s="2"/>
    </row>
    <row r="2205" spans="1:13" ht="15.75">
      <c r="A2205" t="s">
        <v>28</v>
      </c>
      <c r="B2205">
        <f ca="1">IF(OR(changes[[#This Row],[Type]]="Checklist",changes[[#This Row],[Type]]="checklist-flat"),1+IF(changes[[#This Row],[Type of change]] = "Edit",COUNTIFS($I$4:changes[[#This Row],[Name]],changes[[#This Row],[Name]], $E$4:changes[[#This Row],[Type of change]], "Edit")),B2204)</f>
        <v>1</v>
      </c>
      <c r="C2205" s="16">
        <v>44837</v>
      </c>
      <c r="D2205" s="1" t="s">
        <v>2918</v>
      </c>
      <c r="E2205" t="s">
        <v>27</v>
      </c>
      <c r="F2205" s="10" t="s">
        <v>52</v>
      </c>
      <c r="G2205" s="21" t="s">
        <v>654</v>
      </c>
      <c r="H2205" s="2" t="s">
        <v>655</v>
      </c>
      <c r="I2205" s="18" t="s">
        <v>656</v>
      </c>
      <c r="J2205" s="23"/>
      <c r="K2205" s="2" t="s">
        <v>6</v>
      </c>
      <c r="M2205" s="2"/>
    </row>
    <row r="2206" spans="1:13" ht="15.75">
      <c r="A2206" t="s">
        <v>28</v>
      </c>
      <c r="B2206">
        <f ca="1">IF(OR(changes[[#This Row],[Type]]="Checklist",changes[[#This Row],[Type]]="checklist-flat"),1+IF(changes[[#This Row],[Type of change]] = "Edit",COUNTIFS($I$4:changes[[#This Row],[Name]],changes[[#This Row],[Name]], $E$4:changes[[#This Row],[Type of change]], "Edit")),B2205)</f>
        <v>1</v>
      </c>
      <c r="C2206" s="16">
        <v>44838</v>
      </c>
      <c r="D2206" s="1" t="s">
        <v>2866</v>
      </c>
      <c r="E2206" t="s">
        <v>27</v>
      </c>
      <c r="F2206" s="10" t="s">
        <v>9</v>
      </c>
      <c r="G2206" s="21" t="s">
        <v>2007</v>
      </c>
      <c r="H2206" s="19" t="s">
        <v>478</v>
      </c>
      <c r="I2206" s="21" t="s">
        <v>2007</v>
      </c>
      <c r="J2206" s="22"/>
      <c r="K2206" s="2" t="s">
        <v>6</v>
      </c>
      <c r="L2206" s="2" t="s">
        <v>2919</v>
      </c>
      <c r="M2206" s="2"/>
    </row>
    <row r="2207" spans="1:13" ht="15.75">
      <c r="A2207" t="s">
        <v>28</v>
      </c>
      <c r="B2207">
        <f ca="1">IF(OR(changes[[#This Row],[Type]]="Checklist",changes[[#This Row],[Type]]="checklist-flat"),1+IF(changes[[#This Row],[Type of change]] = "Edit",COUNTIFS($I$4:changes[[#This Row],[Name]],changes[[#This Row],[Name]], $E$4:changes[[#This Row],[Type of change]], "Edit")),B2206)</f>
        <v>1</v>
      </c>
      <c r="C2207" s="16">
        <v>44838</v>
      </c>
      <c r="D2207" s="1" t="s">
        <v>2866</v>
      </c>
      <c r="E2207" t="s">
        <v>27</v>
      </c>
      <c r="F2207" s="10" t="s">
        <v>9</v>
      </c>
      <c r="G2207" s="21" t="s">
        <v>2007</v>
      </c>
      <c r="H2207" s="19" t="s">
        <v>479</v>
      </c>
      <c r="I2207" s="21" t="s">
        <v>2008</v>
      </c>
      <c r="J2207" s="22"/>
      <c r="K2207" s="2" t="s">
        <v>6</v>
      </c>
      <c r="L2207" s="2" t="s">
        <v>2919</v>
      </c>
      <c r="M2207" s="2"/>
    </row>
    <row r="2208" spans="1:13" ht="15.75">
      <c r="A2208" t="s">
        <v>28</v>
      </c>
      <c r="B2208">
        <f ca="1">IF(OR(changes[[#This Row],[Type]]="Checklist",changes[[#This Row],[Type]]="checklist-flat"),1+IF(changes[[#This Row],[Type of change]] = "Edit",COUNTIFS($I$4:changes[[#This Row],[Name]],changes[[#This Row],[Name]], $E$4:changes[[#This Row],[Type of change]], "Edit")),B2207)</f>
        <v>1</v>
      </c>
      <c r="C2208" s="16">
        <v>44838</v>
      </c>
      <c r="D2208" s="1" t="s">
        <v>2866</v>
      </c>
      <c r="E2208" t="s">
        <v>27</v>
      </c>
      <c r="F2208" s="10" t="s">
        <v>9</v>
      </c>
      <c r="G2208" s="21" t="s">
        <v>2007</v>
      </c>
      <c r="H2208" s="19" t="s">
        <v>55</v>
      </c>
      <c r="I2208" s="21" t="s">
        <v>2009</v>
      </c>
      <c r="J2208" s="22"/>
      <c r="K2208" s="2" t="s">
        <v>6</v>
      </c>
      <c r="L2208" s="2" t="s">
        <v>2919</v>
      </c>
      <c r="M2208" s="2"/>
    </row>
    <row r="2209" spans="1:13" ht="15.75">
      <c r="A2209" t="s">
        <v>28</v>
      </c>
      <c r="B2209">
        <f ca="1">IF(OR(changes[[#This Row],[Type]]="Checklist",changes[[#This Row],[Type]]="checklist-flat"),1+IF(changes[[#This Row],[Type of change]] = "Edit",COUNTIFS($I$4:changes[[#This Row],[Name]],changes[[#This Row],[Name]], $E$4:changes[[#This Row],[Type of change]], "Edit")),B2208)</f>
        <v>1</v>
      </c>
      <c r="C2209" s="16">
        <v>44838</v>
      </c>
      <c r="D2209" s="1" t="s">
        <v>2866</v>
      </c>
      <c r="E2209" t="s">
        <v>27</v>
      </c>
      <c r="F2209" s="10" t="s">
        <v>9</v>
      </c>
      <c r="G2209" s="21" t="s">
        <v>2007</v>
      </c>
      <c r="H2209" s="19" t="s">
        <v>55</v>
      </c>
      <c r="I2209" s="21" t="s">
        <v>2010</v>
      </c>
      <c r="J2209" s="22"/>
      <c r="K2209" s="2" t="s">
        <v>6</v>
      </c>
      <c r="L2209" s="2" t="s">
        <v>2919</v>
      </c>
      <c r="M2209" s="2"/>
    </row>
    <row r="2210" spans="1:13" ht="15.75">
      <c r="A2210" t="s">
        <v>28</v>
      </c>
      <c r="B2210">
        <f ca="1">IF(OR(changes[[#This Row],[Type]]="Checklist",changes[[#This Row],[Type]]="checklist-flat"),1+IF(changes[[#This Row],[Type of change]] = "Edit",COUNTIFS($I$4:changes[[#This Row],[Name]],changes[[#This Row],[Name]], $E$4:changes[[#This Row],[Type of change]], "Edit")),B2209)</f>
        <v>1</v>
      </c>
      <c r="C2210" s="16">
        <v>44838</v>
      </c>
      <c r="D2210" s="1" t="s">
        <v>2866</v>
      </c>
      <c r="E2210" t="s">
        <v>27</v>
      </c>
      <c r="F2210" s="10" t="s">
        <v>9</v>
      </c>
      <c r="G2210" s="21" t="s">
        <v>2007</v>
      </c>
      <c r="H2210" s="19" t="s">
        <v>55</v>
      </c>
      <c r="I2210" s="21" t="s">
        <v>2011</v>
      </c>
      <c r="J2210" s="22"/>
      <c r="K2210" s="2" t="s">
        <v>6</v>
      </c>
      <c r="L2210" s="2" t="s">
        <v>2919</v>
      </c>
      <c r="M2210" s="2"/>
    </row>
    <row r="2211" spans="1:13" ht="15.75">
      <c r="A2211" t="s">
        <v>28</v>
      </c>
      <c r="B2211">
        <f ca="1">IF(OR(changes[[#This Row],[Type]]="Checklist",changes[[#This Row],[Type]]="checklist-flat"),1+IF(changes[[#This Row],[Type of change]] = "Edit",COUNTIFS($I$4:changes[[#This Row],[Name]],changes[[#This Row],[Name]], $E$4:changes[[#This Row],[Type of change]], "Edit")),B2210)</f>
        <v>1</v>
      </c>
      <c r="C2211" s="16">
        <v>44838</v>
      </c>
      <c r="D2211" s="1" t="s">
        <v>2866</v>
      </c>
      <c r="E2211" t="s">
        <v>27</v>
      </c>
      <c r="F2211" s="10" t="s">
        <v>9</v>
      </c>
      <c r="G2211" s="21" t="s">
        <v>2007</v>
      </c>
      <c r="H2211" s="19" t="s">
        <v>55</v>
      </c>
      <c r="I2211" s="21" t="s">
        <v>2012</v>
      </c>
      <c r="J2211" s="22"/>
      <c r="K2211" s="2" t="s">
        <v>6</v>
      </c>
      <c r="L2211" s="2" t="s">
        <v>2919</v>
      </c>
      <c r="M2211" s="2"/>
    </row>
    <row r="2212" spans="1:13" ht="15.75">
      <c r="A2212" t="s">
        <v>28</v>
      </c>
      <c r="B2212">
        <f ca="1">IF(OR(changes[[#This Row],[Type]]="Checklist",changes[[#This Row],[Type]]="checklist-flat"),1+IF(changes[[#This Row],[Type of change]] = "Edit",COUNTIFS($I$4:changes[[#This Row],[Name]],changes[[#This Row],[Name]], $E$4:changes[[#This Row],[Type of change]], "Edit")),B2211)</f>
        <v>1</v>
      </c>
      <c r="C2212" s="16">
        <v>44838</v>
      </c>
      <c r="D2212" s="1" t="s">
        <v>2866</v>
      </c>
      <c r="E2212" t="s">
        <v>27</v>
      </c>
      <c r="F2212" s="10" t="s">
        <v>9</v>
      </c>
      <c r="G2212" s="21" t="s">
        <v>2007</v>
      </c>
      <c r="H2212" s="19" t="s">
        <v>55</v>
      </c>
      <c r="I2212" s="21" t="s">
        <v>2013</v>
      </c>
      <c r="J2212" s="22"/>
      <c r="K2212" s="2" t="s">
        <v>6</v>
      </c>
      <c r="L2212" s="2" t="s">
        <v>2919</v>
      </c>
      <c r="M2212" s="2"/>
    </row>
    <row r="2213" spans="1:13" ht="15.75">
      <c r="A2213" t="s">
        <v>28</v>
      </c>
      <c r="B2213">
        <f ca="1">IF(OR(changes[[#This Row],[Type]]="Checklist",changes[[#This Row],[Type]]="checklist-flat"),1+IF(changes[[#This Row],[Type of change]] = "Edit",COUNTIFS($I$4:changes[[#This Row],[Name]],changes[[#This Row],[Name]], $E$4:changes[[#This Row],[Type of change]], "Edit")),B2212)</f>
        <v>1</v>
      </c>
      <c r="C2213" s="16">
        <v>44838</v>
      </c>
      <c r="D2213" s="1" t="s">
        <v>2866</v>
      </c>
      <c r="E2213" t="s">
        <v>27</v>
      </c>
      <c r="F2213" s="10" t="s">
        <v>9</v>
      </c>
      <c r="G2213" s="21" t="s">
        <v>2007</v>
      </c>
      <c r="H2213" s="19" t="s">
        <v>55</v>
      </c>
      <c r="I2213" s="21" t="s">
        <v>2014</v>
      </c>
      <c r="J2213" s="22"/>
      <c r="K2213" s="2" t="s">
        <v>6</v>
      </c>
      <c r="L2213" s="2" t="s">
        <v>2919</v>
      </c>
      <c r="M2213" s="2"/>
    </row>
    <row r="2214" spans="1:13" ht="15.75">
      <c r="A2214" t="s">
        <v>28</v>
      </c>
      <c r="B2214">
        <f ca="1">IF(OR(changes[[#This Row],[Type]]="Checklist",changes[[#This Row],[Type]]="checklist-flat"),1+IF(changes[[#This Row],[Type of change]] = "Edit",COUNTIFS($I$4:changes[[#This Row],[Name]],changes[[#This Row],[Name]], $E$4:changes[[#This Row],[Type of change]], "Edit")),B2213)</f>
        <v>1</v>
      </c>
      <c r="C2214" s="16">
        <v>44838</v>
      </c>
      <c r="D2214" s="1" t="s">
        <v>2866</v>
      </c>
      <c r="E2214" t="s">
        <v>27</v>
      </c>
      <c r="F2214" s="10" t="s">
        <v>9</v>
      </c>
      <c r="G2214" s="21" t="s">
        <v>2007</v>
      </c>
      <c r="H2214" s="19" t="s">
        <v>55</v>
      </c>
      <c r="I2214" s="21" t="s">
        <v>2015</v>
      </c>
      <c r="J2214" s="22"/>
      <c r="K2214" s="2" t="s">
        <v>6</v>
      </c>
      <c r="L2214" s="2" t="s">
        <v>2919</v>
      </c>
      <c r="M2214" s="2"/>
    </row>
    <row r="2215" spans="1:13">
      <c r="A2215" t="s">
        <v>28</v>
      </c>
      <c r="B2215">
        <f ca="1">IF(OR(changes[[#This Row],[Type]]="Checklist",changes[[#This Row],[Type]]="checklist-flat"),1+IF(changes[[#This Row],[Type of change]] = "Edit",COUNTIFS($I$4:changes[[#This Row],[Name]],changes[[#This Row],[Name]], $E$4:changes[[#This Row],[Type of change]], "Edit")),B2214)</f>
        <v>1</v>
      </c>
      <c r="C2215" s="16">
        <v>44838</v>
      </c>
      <c r="D2215" s="1" t="s">
        <v>2866</v>
      </c>
      <c r="E2215" t="s">
        <v>27</v>
      </c>
      <c r="F2215" t="s">
        <v>9</v>
      </c>
      <c r="G2215" t="s">
        <v>2007</v>
      </c>
      <c r="H2215" t="s">
        <v>479</v>
      </c>
      <c r="I2215" t="s">
        <v>2016</v>
      </c>
      <c r="K2215" s="2" t="s">
        <v>6</v>
      </c>
      <c r="L2215" s="2" t="s">
        <v>2919</v>
      </c>
      <c r="M2215" s="2"/>
    </row>
    <row r="2216" spans="1:13">
      <c r="A2216" t="s">
        <v>28</v>
      </c>
      <c r="B2216">
        <f ca="1">IF(OR(changes[[#This Row],[Type]]="Checklist",changes[[#This Row],[Type]]="checklist-flat"),1+IF(changes[[#This Row],[Type of change]] = "Edit",COUNTIFS($I$4:changes[[#This Row],[Name]],changes[[#This Row],[Name]], $E$4:changes[[#This Row],[Type of change]], "Edit")),B2215)</f>
        <v>1</v>
      </c>
      <c r="C2216" s="16">
        <v>44838</v>
      </c>
      <c r="D2216" s="1" t="s">
        <v>2866</v>
      </c>
      <c r="E2216" t="s">
        <v>27</v>
      </c>
      <c r="F2216" t="s">
        <v>9</v>
      </c>
      <c r="G2216" t="s">
        <v>2007</v>
      </c>
      <c r="H2216" t="s">
        <v>55</v>
      </c>
      <c r="I2216" t="s">
        <v>2017</v>
      </c>
      <c r="K2216" s="2" t="s">
        <v>6</v>
      </c>
      <c r="L2216" s="2" t="s">
        <v>2919</v>
      </c>
      <c r="M2216" s="2"/>
    </row>
    <row r="2217" spans="1:13">
      <c r="A2217" t="s">
        <v>28</v>
      </c>
      <c r="B2217">
        <f ca="1">IF(OR(changes[[#This Row],[Type]]="Checklist",changes[[#This Row],[Type]]="checklist-flat"),1+IF(changes[[#This Row],[Type of change]] = "Edit",COUNTIFS($I$4:changes[[#This Row],[Name]],changes[[#This Row],[Name]], $E$4:changes[[#This Row],[Type of change]], "Edit")),B2216)</f>
        <v>2</v>
      </c>
      <c r="C2217" s="16">
        <v>44841</v>
      </c>
      <c r="D2217" s="1" t="s">
        <v>2920</v>
      </c>
      <c r="E2217" t="s">
        <v>15</v>
      </c>
      <c r="F2217" t="s">
        <v>9</v>
      </c>
      <c r="G2217" t="s">
        <v>84</v>
      </c>
      <c r="H2217" t="s">
        <v>54</v>
      </c>
      <c r="I2217" t="s">
        <v>84</v>
      </c>
      <c r="K2217" s="2" t="s">
        <v>2921</v>
      </c>
      <c r="L2217" s="2" t="s">
        <v>2922</v>
      </c>
      <c r="M2217" s="2"/>
    </row>
    <row r="2218" spans="1:13">
      <c r="A2218" t="s">
        <v>28</v>
      </c>
      <c r="B2218">
        <f ca="1">IF(OR(changes[[#This Row],[Type]]="Checklist",changes[[#This Row],[Type]]="checklist-flat"),1+IF(changes[[#This Row],[Type of change]] = "Edit",COUNTIFS($I$4:changes[[#This Row],[Name]],changes[[#This Row],[Name]], $E$4:changes[[#This Row],[Type of change]], "Edit")),B2217)</f>
        <v>2</v>
      </c>
      <c r="C2218" s="16">
        <v>44841</v>
      </c>
      <c r="D2218" s="1" t="s">
        <v>2920</v>
      </c>
      <c r="E2218" t="s">
        <v>15</v>
      </c>
      <c r="F2218" t="s">
        <v>9</v>
      </c>
      <c r="G2218" t="s">
        <v>84</v>
      </c>
      <c r="H2218" t="s">
        <v>55</v>
      </c>
      <c r="I2218" t="s">
        <v>85</v>
      </c>
      <c r="K2218" s="2" t="s">
        <v>2921</v>
      </c>
      <c r="L2218" s="2" t="s">
        <v>2922</v>
      </c>
      <c r="M2218" s="2"/>
    </row>
    <row r="2219" spans="1:13">
      <c r="A2219" t="s">
        <v>28</v>
      </c>
      <c r="B2219">
        <f ca="1">IF(OR(changes[[#This Row],[Type]]="Checklist",changes[[#This Row],[Type]]="checklist-flat"),1+IF(changes[[#This Row],[Type of change]] = "Edit",COUNTIFS($I$4:changes[[#This Row],[Name]],changes[[#This Row],[Name]], $E$4:changes[[#This Row],[Type of change]], "Edit")),B2218)</f>
        <v>2</v>
      </c>
      <c r="C2219" s="16">
        <v>44841</v>
      </c>
      <c r="D2219" s="1" t="s">
        <v>2920</v>
      </c>
      <c r="E2219" t="s">
        <v>15</v>
      </c>
      <c r="F2219" t="s">
        <v>9</v>
      </c>
      <c r="G2219" t="s">
        <v>84</v>
      </c>
      <c r="H2219" t="s">
        <v>55</v>
      </c>
      <c r="I2219" t="s">
        <v>86</v>
      </c>
      <c r="K2219" s="2" t="s">
        <v>2921</v>
      </c>
      <c r="L2219" s="2" t="s">
        <v>2922</v>
      </c>
      <c r="M2219" s="2"/>
    </row>
    <row r="2220" spans="1:13">
      <c r="A2220" t="s">
        <v>28</v>
      </c>
      <c r="B2220">
        <f ca="1">IF(OR(changes[[#This Row],[Type]]="Checklist",changes[[#This Row],[Type]]="checklist-flat"),1+IF(changes[[#This Row],[Type of change]] = "Edit",COUNTIFS($I$4:changes[[#This Row],[Name]],changes[[#This Row],[Name]], $E$4:changes[[#This Row],[Type of change]], "Edit")),B2219)</f>
        <v>2</v>
      </c>
      <c r="C2220" s="16">
        <v>44841</v>
      </c>
      <c r="D2220" s="1" t="s">
        <v>2920</v>
      </c>
      <c r="E2220" t="s">
        <v>15</v>
      </c>
      <c r="F2220" t="s">
        <v>9</v>
      </c>
      <c r="G2220" t="s">
        <v>84</v>
      </c>
      <c r="H2220" t="s">
        <v>55</v>
      </c>
      <c r="I2220" t="s">
        <v>87</v>
      </c>
      <c r="K2220" s="2" t="s">
        <v>2921</v>
      </c>
      <c r="L2220" s="2" t="s">
        <v>2922</v>
      </c>
      <c r="M2220" s="2"/>
    </row>
    <row r="2221" spans="1:13">
      <c r="A2221" t="s">
        <v>28</v>
      </c>
      <c r="B2221">
        <f ca="1">IF(OR(changes[[#This Row],[Type]]="Checklist",changes[[#This Row],[Type]]="checklist-flat"),1+IF(changes[[#This Row],[Type of change]] = "Edit",COUNTIFS($I$4:changes[[#This Row],[Name]],changes[[#This Row],[Name]], $E$4:changes[[#This Row],[Type of change]], "Edit")),B2220)</f>
        <v>2</v>
      </c>
      <c r="C2221" s="16">
        <v>44841</v>
      </c>
      <c r="D2221" s="1" t="s">
        <v>2920</v>
      </c>
      <c r="E2221" t="s">
        <v>15</v>
      </c>
      <c r="F2221" t="s">
        <v>9</v>
      </c>
      <c r="G2221" t="s">
        <v>84</v>
      </c>
      <c r="H2221" t="s">
        <v>55</v>
      </c>
      <c r="I2221" t="s">
        <v>88</v>
      </c>
      <c r="K2221" s="2" t="s">
        <v>2921</v>
      </c>
      <c r="L2221" s="2" t="s">
        <v>2922</v>
      </c>
      <c r="M2221" s="2"/>
    </row>
    <row r="2222" spans="1:13">
      <c r="A2222" t="s">
        <v>28</v>
      </c>
      <c r="B2222">
        <f ca="1">IF(OR(changes[[#This Row],[Type]]="Checklist",changes[[#This Row],[Type]]="checklist-flat"),1+IF(changes[[#This Row],[Type of change]] = "Edit",COUNTIFS($I$4:changes[[#This Row],[Name]],changes[[#This Row],[Name]], $E$4:changes[[#This Row],[Type of change]], "Edit")),B2221)</f>
        <v>2</v>
      </c>
      <c r="C2222" s="16">
        <v>44841</v>
      </c>
      <c r="D2222" s="1" t="s">
        <v>2920</v>
      </c>
      <c r="E2222" t="s">
        <v>15</v>
      </c>
      <c r="F2222" t="s">
        <v>9</v>
      </c>
      <c r="G2222" t="s">
        <v>84</v>
      </c>
      <c r="H2222" t="s">
        <v>55</v>
      </c>
      <c r="I2222" t="s">
        <v>89</v>
      </c>
      <c r="K2222" s="2" t="s">
        <v>2921</v>
      </c>
      <c r="L2222" s="2" t="s">
        <v>2922</v>
      </c>
      <c r="M2222" s="2"/>
    </row>
    <row r="2223" spans="1:13">
      <c r="A2223" t="s">
        <v>28</v>
      </c>
      <c r="B2223">
        <f ca="1">IF(OR(changes[[#This Row],[Type]]="Checklist",changes[[#This Row],[Type]]="checklist-flat"),1+IF(changes[[#This Row],[Type of change]] = "Edit",COUNTIFS($I$4:changes[[#This Row],[Name]],changes[[#This Row],[Name]], $E$4:changes[[#This Row],[Type of change]], "Edit")),B2222)</f>
        <v>2</v>
      </c>
      <c r="C2223" s="16">
        <v>44841</v>
      </c>
      <c r="D2223" s="1" t="s">
        <v>2920</v>
      </c>
      <c r="E2223" t="s">
        <v>15</v>
      </c>
      <c r="F2223" t="s">
        <v>9</v>
      </c>
      <c r="G2223" t="s">
        <v>84</v>
      </c>
      <c r="H2223" t="s">
        <v>55</v>
      </c>
      <c r="I2223" t="s">
        <v>90</v>
      </c>
      <c r="K2223" s="2" t="s">
        <v>2921</v>
      </c>
      <c r="L2223" s="2" t="s">
        <v>2922</v>
      </c>
      <c r="M2223" s="2"/>
    </row>
    <row r="2224" spans="1:13">
      <c r="A2224" t="s">
        <v>28</v>
      </c>
      <c r="B2224">
        <f ca="1">IF(OR(changes[[#This Row],[Type]]="Checklist",changes[[#This Row],[Type]]="checklist-flat"),1+IF(changes[[#This Row],[Type of change]] = "Edit",COUNTIFS($I$4:changes[[#This Row],[Name]],changes[[#This Row],[Name]], $E$4:changes[[#This Row],[Type of change]], "Edit")),B2223)</f>
        <v>2</v>
      </c>
      <c r="C2224" s="16">
        <v>44841</v>
      </c>
      <c r="D2224" s="1" t="s">
        <v>2920</v>
      </c>
      <c r="E2224" t="s">
        <v>15</v>
      </c>
      <c r="F2224" t="s">
        <v>9</v>
      </c>
      <c r="G2224" t="s">
        <v>84</v>
      </c>
      <c r="H2224" t="s">
        <v>55</v>
      </c>
      <c r="I2224" t="s">
        <v>91</v>
      </c>
      <c r="K2224" s="2" t="s">
        <v>2921</v>
      </c>
      <c r="L2224" s="2" t="s">
        <v>2922</v>
      </c>
      <c r="M2224" s="2"/>
    </row>
    <row r="2225" spans="1:13">
      <c r="A2225" t="s">
        <v>28</v>
      </c>
      <c r="B2225">
        <f ca="1">IF(OR(changes[[#This Row],[Type]]="Checklist",changes[[#This Row],[Type]]="checklist-flat"),1+IF(changes[[#This Row],[Type of change]] = "Edit",COUNTIFS($I$4:changes[[#This Row],[Name]],changes[[#This Row],[Name]], $E$4:changes[[#This Row],[Type of change]], "Edit")),B2224)</f>
        <v>2</v>
      </c>
      <c r="C2225" s="16">
        <v>44841</v>
      </c>
      <c r="D2225" s="1" t="s">
        <v>2920</v>
      </c>
      <c r="E2225" t="s">
        <v>15</v>
      </c>
      <c r="F2225" t="s">
        <v>9</v>
      </c>
      <c r="G2225" t="s">
        <v>84</v>
      </c>
      <c r="H2225" t="s">
        <v>55</v>
      </c>
      <c r="I2225" t="s">
        <v>92</v>
      </c>
      <c r="K2225" s="2" t="s">
        <v>2921</v>
      </c>
      <c r="L2225" s="2" t="s">
        <v>2922</v>
      </c>
      <c r="M2225" s="2"/>
    </row>
    <row r="2226" spans="1:13">
      <c r="A2226" t="s">
        <v>28</v>
      </c>
      <c r="B2226">
        <f ca="1">IF(OR(changes[[#This Row],[Type]]="Checklist",changes[[#This Row],[Type]]="checklist-flat"),1+IF(changes[[#This Row],[Type of change]] = "Edit",COUNTIFS($I$4:changes[[#This Row],[Name]],changes[[#This Row],[Name]], $E$4:changes[[#This Row],[Type of change]], "Edit")),B2225)</f>
        <v>2</v>
      </c>
      <c r="C2226" s="16">
        <v>44841</v>
      </c>
      <c r="D2226" s="1" t="s">
        <v>2920</v>
      </c>
      <c r="E2226" t="s">
        <v>15</v>
      </c>
      <c r="F2226" t="s">
        <v>9</v>
      </c>
      <c r="G2226" t="s">
        <v>84</v>
      </c>
      <c r="H2226" t="s">
        <v>55</v>
      </c>
      <c r="I2226" t="s">
        <v>66</v>
      </c>
      <c r="K2226" s="2" t="s">
        <v>2921</v>
      </c>
      <c r="L2226" s="2" t="s">
        <v>2922</v>
      </c>
      <c r="M2226" s="2"/>
    </row>
    <row r="2227" spans="1:13">
      <c r="A2227" t="s">
        <v>28</v>
      </c>
      <c r="B2227">
        <f ca="1">IF(OR(changes[[#This Row],[Type]]="Checklist",changes[[#This Row],[Type]]="checklist-flat"),1+IF(changes[[#This Row],[Type of change]] = "Edit",COUNTIFS($I$4:changes[[#This Row],[Name]],changes[[#This Row],[Name]], $E$4:changes[[#This Row],[Type of change]], "Edit")),B2226)</f>
        <v>2</v>
      </c>
      <c r="C2227" s="16">
        <v>44841</v>
      </c>
      <c r="D2227" s="1" t="s">
        <v>2920</v>
      </c>
      <c r="E2227" t="s">
        <v>15</v>
      </c>
      <c r="F2227" t="s">
        <v>9</v>
      </c>
      <c r="G2227" t="s">
        <v>84</v>
      </c>
      <c r="H2227" t="s">
        <v>55</v>
      </c>
      <c r="I2227" t="s">
        <v>93</v>
      </c>
      <c r="K2227" s="2" t="s">
        <v>2921</v>
      </c>
      <c r="L2227" s="2" t="s">
        <v>2922</v>
      </c>
      <c r="M2227" s="2"/>
    </row>
    <row r="2228" spans="1:13">
      <c r="A2228" t="s">
        <v>28</v>
      </c>
      <c r="B2228">
        <f ca="1">IF(OR(changes[[#This Row],[Type]]="Checklist",changes[[#This Row],[Type]]="checklist-flat"),1+IF(changes[[#This Row],[Type of change]] = "Edit",COUNTIFS($I$4:changes[[#This Row],[Name]],changes[[#This Row],[Name]], $E$4:changes[[#This Row],[Type of change]], "Edit")),B2227)</f>
        <v>2</v>
      </c>
      <c r="C2228" s="16">
        <v>44841</v>
      </c>
      <c r="D2228" s="1" t="s">
        <v>2920</v>
      </c>
      <c r="E2228" t="s">
        <v>15</v>
      </c>
      <c r="F2228" t="s">
        <v>9</v>
      </c>
      <c r="G2228" t="s">
        <v>84</v>
      </c>
      <c r="H2228" t="s">
        <v>64</v>
      </c>
      <c r="I2228" t="s">
        <v>94</v>
      </c>
      <c r="K2228" s="2" t="s">
        <v>2921</v>
      </c>
      <c r="L2228" s="2" t="s">
        <v>2922</v>
      </c>
      <c r="M2228" s="2"/>
    </row>
    <row r="2229" spans="1:13">
      <c r="A2229" t="s">
        <v>28</v>
      </c>
      <c r="B2229">
        <f ca="1">IF(OR(changes[[#This Row],[Type]]="Checklist",changes[[#This Row],[Type]]="checklist-flat"),1+IF(changes[[#This Row],[Type of change]] = "Edit",COUNTIFS($I$4:changes[[#This Row],[Name]],changes[[#This Row],[Name]], $E$4:changes[[#This Row],[Type of change]], "Edit")),B2228)</f>
        <v>3</v>
      </c>
      <c r="C2229" s="16">
        <v>44841</v>
      </c>
      <c r="D2229" s="1" t="s">
        <v>2920</v>
      </c>
      <c r="E2229" t="s">
        <v>15</v>
      </c>
      <c r="F2229" t="s">
        <v>9</v>
      </c>
      <c r="G2229" t="s">
        <v>2923</v>
      </c>
      <c r="H2229" t="s">
        <v>54</v>
      </c>
      <c r="I2229" t="s">
        <v>106</v>
      </c>
      <c r="K2229" s="2" t="s">
        <v>2921</v>
      </c>
      <c r="L2229" s="2" t="s">
        <v>2922</v>
      </c>
      <c r="M2229" s="2"/>
    </row>
    <row r="2230" spans="1:13">
      <c r="A2230" t="s">
        <v>28</v>
      </c>
      <c r="B2230">
        <f ca="1">IF(OR(changes[[#This Row],[Type]]="Checklist",changes[[#This Row],[Type]]="checklist-flat"),1+IF(changes[[#This Row],[Type of change]] = "Edit",COUNTIFS($I$4:changes[[#This Row],[Name]],changes[[#This Row],[Name]], $E$4:changes[[#This Row],[Type of change]], "Edit")),B2229)</f>
        <v>3</v>
      </c>
      <c r="C2230" s="16">
        <v>44841</v>
      </c>
      <c r="D2230" s="1" t="s">
        <v>2920</v>
      </c>
      <c r="E2230" t="s">
        <v>15</v>
      </c>
      <c r="F2230" t="s">
        <v>9</v>
      </c>
      <c r="G2230" t="s">
        <v>2923</v>
      </c>
      <c r="H2230" t="s">
        <v>55</v>
      </c>
      <c r="I2230" t="s">
        <v>107</v>
      </c>
      <c r="K2230" s="2" t="s">
        <v>2921</v>
      </c>
      <c r="L2230" s="2" t="s">
        <v>2922</v>
      </c>
      <c r="M2230" s="2"/>
    </row>
    <row r="2231" spans="1:13">
      <c r="A2231" t="s">
        <v>28</v>
      </c>
      <c r="B2231">
        <f ca="1">IF(OR(changes[[#This Row],[Type]]="Checklist",changes[[#This Row],[Type]]="checklist-flat"),1+IF(changes[[#This Row],[Type of change]] = "Edit",COUNTIFS($I$4:changes[[#This Row],[Name]],changes[[#This Row],[Name]], $E$4:changes[[#This Row],[Type of change]], "Edit")),B2230)</f>
        <v>3</v>
      </c>
      <c r="C2231" s="16">
        <v>44841</v>
      </c>
      <c r="D2231" s="1" t="s">
        <v>2920</v>
      </c>
      <c r="E2231" t="s">
        <v>15</v>
      </c>
      <c r="F2231" t="s">
        <v>9</v>
      </c>
      <c r="G2231" t="s">
        <v>2923</v>
      </c>
      <c r="H2231" t="s">
        <v>55</v>
      </c>
      <c r="I2231" t="s">
        <v>108</v>
      </c>
      <c r="K2231" s="2" t="s">
        <v>2921</v>
      </c>
      <c r="L2231" s="2" t="s">
        <v>2922</v>
      </c>
      <c r="M2231" s="2"/>
    </row>
    <row r="2232" spans="1:13">
      <c r="A2232" t="s">
        <v>28</v>
      </c>
      <c r="B2232">
        <f ca="1">IF(OR(changes[[#This Row],[Type]]="Checklist",changes[[#This Row],[Type]]="checklist-flat"),1+IF(changes[[#This Row],[Type of change]] = "Edit",COUNTIFS($I$4:changes[[#This Row],[Name]],changes[[#This Row],[Name]], $E$4:changes[[#This Row],[Type of change]], "Edit")),B2231)</f>
        <v>3</v>
      </c>
      <c r="C2232" s="16">
        <v>44841</v>
      </c>
      <c r="D2232" s="1" t="s">
        <v>2920</v>
      </c>
      <c r="E2232" t="s">
        <v>15</v>
      </c>
      <c r="F2232" t="s">
        <v>9</v>
      </c>
      <c r="G2232" t="s">
        <v>2923</v>
      </c>
      <c r="H2232" t="s">
        <v>55</v>
      </c>
      <c r="I2232" t="s">
        <v>2190</v>
      </c>
      <c r="K2232" s="2" t="s">
        <v>2921</v>
      </c>
      <c r="L2232" s="2" t="s">
        <v>2922</v>
      </c>
      <c r="M2232" s="2"/>
    </row>
    <row r="2233" spans="1:13">
      <c r="A2233" t="s">
        <v>28</v>
      </c>
      <c r="B2233">
        <f ca="1">IF(OR(changes[[#This Row],[Type]]="Checklist",changes[[#This Row],[Type]]="checklist-flat"),1+IF(changes[[#This Row],[Type of change]] = "Edit",COUNTIFS($I$4:changes[[#This Row],[Name]],changes[[#This Row],[Name]], $E$4:changes[[#This Row],[Type of change]], "Edit")),B2232)</f>
        <v>3</v>
      </c>
      <c r="C2233" s="16">
        <v>44841</v>
      </c>
      <c r="D2233" s="1" t="s">
        <v>2920</v>
      </c>
      <c r="E2233" t="s">
        <v>15</v>
      </c>
      <c r="F2233" t="s">
        <v>9</v>
      </c>
      <c r="G2233" t="s">
        <v>2923</v>
      </c>
      <c r="H2233" t="s">
        <v>55</v>
      </c>
      <c r="I2233" t="s">
        <v>110</v>
      </c>
      <c r="K2233" s="2" t="s">
        <v>2921</v>
      </c>
      <c r="L2233" s="2" t="s">
        <v>2922</v>
      </c>
      <c r="M2233" s="2"/>
    </row>
    <row r="2234" spans="1:13">
      <c r="A2234" t="s">
        <v>28</v>
      </c>
      <c r="B2234">
        <f ca="1">IF(OR(changes[[#This Row],[Type]]="Checklist",changes[[#This Row],[Type]]="checklist-flat"),1+IF(changes[[#This Row],[Type of change]] = "Edit",COUNTIFS($I$4:changes[[#This Row],[Name]],changes[[#This Row],[Name]], $E$4:changes[[#This Row],[Type of change]], "Edit")),B2233)</f>
        <v>3</v>
      </c>
      <c r="C2234" s="16">
        <v>44841</v>
      </c>
      <c r="D2234" s="1" t="s">
        <v>2920</v>
      </c>
      <c r="E2234" t="s">
        <v>15</v>
      </c>
      <c r="F2234" t="s">
        <v>9</v>
      </c>
      <c r="G2234" t="s">
        <v>2923</v>
      </c>
      <c r="H2234" t="s">
        <v>55</v>
      </c>
      <c r="I2234" t="s">
        <v>111</v>
      </c>
      <c r="K2234" s="2" t="s">
        <v>2921</v>
      </c>
      <c r="L2234" s="2" t="s">
        <v>2922</v>
      </c>
      <c r="M2234" s="2"/>
    </row>
    <row r="2235" spans="1:13">
      <c r="A2235" t="s">
        <v>28</v>
      </c>
      <c r="B2235">
        <f ca="1">IF(OR(changes[[#This Row],[Type]]="Checklist",changes[[#This Row],[Type]]="checklist-flat"),1+IF(changes[[#This Row],[Type of change]] = "Edit",COUNTIFS($I$4:changes[[#This Row],[Name]],changes[[#This Row],[Name]], $E$4:changes[[#This Row],[Type of change]], "Edit")),B2234)</f>
        <v>3</v>
      </c>
      <c r="C2235" s="16">
        <v>44841</v>
      </c>
      <c r="D2235" s="1" t="s">
        <v>2920</v>
      </c>
      <c r="E2235" t="s">
        <v>15</v>
      </c>
      <c r="F2235" t="s">
        <v>9</v>
      </c>
      <c r="G2235" t="s">
        <v>2923</v>
      </c>
      <c r="H2235" t="s">
        <v>99</v>
      </c>
      <c r="I2235" t="s">
        <v>112</v>
      </c>
      <c r="K2235" s="2" t="s">
        <v>2921</v>
      </c>
      <c r="L2235" s="2" t="s">
        <v>2922</v>
      </c>
      <c r="M2235" s="2"/>
    </row>
    <row r="2236" spans="1:13">
      <c r="A2236" t="s">
        <v>28</v>
      </c>
      <c r="B2236">
        <f ca="1">IF(OR(changes[[#This Row],[Type]]="Checklist",changes[[#This Row],[Type]]="checklist-flat"),1+IF(changes[[#This Row],[Type of change]] = "Edit",COUNTIFS($I$4:changes[[#This Row],[Name]],changes[[#This Row],[Name]], $E$4:changes[[#This Row],[Type of change]], "Edit")),B2235)</f>
        <v>3</v>
      </c>
      <c r="C2236" s="16">
        <v>44841</v>
      </c>
      <c r="D2236" s="1" t="s">
        <v>2920</v>
      </c>
      <c r="E2236" t="s">
        <v>15</v>
      </c>
      <c r="F2236" t="s">
        <v>9</v>
      </c>
      <c r="G2236" t="s">
        <v>2923</v>
      </c>
      <c r="H2236" t="s">
        <v>99</v>
      </c>
      <c r="I2236" t="s">
        <v>113</v>
      </c>
      <c r="K2236" s="2" t="s">
        <v>2921</v>
      </c>
      <c r="L2236" s="2" t="s">
        <v>2922</v>
      </c>
      <c r="M2236" s="2"/>
    </row>
    <row r="2237" spans="1:13">
      <c r="A2237" t="s">
        <v>28</v>
      </c>
      <c r="B2237">
        <f ca="1">IF(OR(changes[[#This Row],[Type]]="Checklist",changes[[#This Row],[Type]]="checklist-flat"),1+IF(changes[[#This Row],[Type of change]] = "Edit",COUNTIFS($I$4:changes[[#This Row],[Name]],changes[[#This Row],[Name]], $E$4:changes[[#This Row],[Type of change]], "Edit")),B2236)</f>
        <v>3</v>
      </c>
      <c r="C2237" s="16">
        <v>44841</v>
      </c>
      <c r="D2237" s="1" t="s">
        <v>2920</v>
      </c>
      <c r="E2237" t="s">
        <v>15</v>
      </c>
      <c r="F2237" t="s">
        <v>9</v>
      </c>
      <c r="G2237" t="s">
        <v>2923</v>
      </c>
      <c r="H2237" t="s">
        <v>99</v>
      </c>
      <c r="I2237" t="s">
        <v>114</v>
      </c>
      <c r="K2237" s="2" t="s">
        <v>2921</v>
      </c>
      <c r="L2237" s="2" t="s">
        <v>2922</v>
      </c>
      <c r="M2237" s="2"/>
    </row>
    <row r="2238" spans="1:13">
      <c r="A2238" t="s">
        <v>28</v>
      </c>
      <c r="B2238">
        <f ca="1">IF(OR(changes[[#This Row],[Type]]="Checklist",changes[[#This Row],[Type]]="checklist-flat"),1+IF(changes[[#This Row],[Type of change]] = "Edit",COUNTIFS($I$4:changes[[#This Row],[Name]],changes[[#This Row],[Name]], $E$4:changes[[#This Row],[Type of change]], "Edit")),B2237)</f>
        <v>3</v>
      </c>
      <c r="C2238" s="16">
        <v>44841</v>
      </c>
      <c r="D2238" s="1" t="s">
        <v>2920</v>
      </c>
      <c r="E2238" t="s">
        <v>15</v>
      </c>
      <c r="F2238" t="s">
        <v>9</v>
      </c>
      <c r="G2238" t="s">
        <v>2923</v>
      </c>
      <c r="H2238" t="s">
        <v>55</v>
      </c>
      <c r="I2238" t="s">
        <v>115</v>
      </c>
      <c r="K2238" s="2" t="s">
        <v>2921</v>
      </c>
      <c r="L2238" s="2" t="s">
        <v>2922</v>
      </c>
      <c r="M2238" s="2"/>
    </row>
    <row r="2239" spans="1:13">
      <c r="A2239" t="s">
        <v>28</v>
      </c>
      <c r="B2239">
        <f ca="1">IF(OR(changes[[#This Row],[Type]]="Checklist",changes[[#This Row],[Type]]="checklist-flat"),1+IF(changes[[#This Row],[Type of change]] = "Edit",COUNTIFS($I$4:changes[[#This Row],[Name]],changes[[#This Row],[Name]], $E$4:changes[[#This Row],[Type of change]], "Edit")),B2238)</f>
        <v>3</v>
      </c>
      <c r="C2239" s="16">
        <v>44841</v>
      </c>
      <c r="D2239" s="1" t="s">
        <v>2920</v>
      </c>
      <c r="E2239" t="s">
        <v>15</v>
      </c>
      <c r="F2239" t="s">
        <v>9</v>
      </c>
      <c r="G2239" t="s">
        <v>2923</v>
      </c>
      <c r="H2239" t="s">
        <v>55</v>
      </c>
      <c r="I2239" t="s">
        <v>116</v>
      </c>
      <c r="K2239" s="2" t="s">
        <v>2921</v>
      </c>
      <c r="L2239" s="2" t="s">
        <v>2922</v>
      </c>
      <c r="M2239" s="2"/>
    </row>
    <row r="2240" spans="1:13">
      <c r="A2240" t="s">
        <v>28</v>
      </c>
      <c r="B2240">
        <f ca="1">IF(OR(changes[[#This Row],[Type]]="Checklist",changes[[#This Row],[Type]]="checklist-flat"),1+IF(changes[[#This Row],[Type of change]] = "Edit",COUNTIFS($I$4:changes[[#This Row],[Name]],changes[[#This Row],[Name]], $E$4:changes[[#This Row],[Type of change]], "Edit")),B2239)</f>
        <v>3</v>
      </c>
      <c r="C2240" s="16">
        <v>44841</v>
      </c>
      <c r="D2240" s="1" t="s">
        <v>2920</v>
      </c>
      <c r="E2240" t="s">
        <v>15</v>
      </c>
      <c r="F2240" t="s">
        <v>9</v>
      </c>
      <c r="G2240" t="s">
        <v>2923</v>
      </c>
      <c r="H2240" t="s">
        <v>55</v>
      </c>
      <c r="I2240" t="s">
        <v>117</v>
      </c>
      <c r="K2240" s="2" t="s">
        <v>2921</v>
      </c>
      <c r="L2240" s="2" t="s">
        <v>2922</v>
      </c>
      <c r="M2240" s="2"/>
    </row>
    <row r="2241" spans="1:13">
      <c r="A2241" t="s">
        <v>28</v>
      </c>
      <c r="B2241">
        <f ca="1">IF(OR(changes[[#This Row],[Type]]="Checklist",changes[[#This Row],[Type]]="checklist-flat"),1+IF(changes[[#This Row],[Type of change]] = "Edit",COUNTIFS($I$4:changes[[#This Row],[Name]],changes[[#This Row],[Name]], $E$4:changes[[#This Row],[Type of change]], "Edit")),B2240)</f>
        <v>3</v>
      </c>
      <c r="C2241" s="16">
        <v>44841</v>
      </c>
      <c r="D2241" s="1" t="s">
        <v>2920</v>
      </c>
      <c r="E2241" t="s">
        <v>15</v>
      </c>
      <c r="F2241" t="s">
        <v>9</v>
      </c>
      <c r="G2241" t="s">
        <v>2923</v>
      </c>
      <c r="H2241" t="s">
        <v>55</v>
      </c>
      <c r="I2241" t="s">
        <v>118</v>
      </c>
      <c r="K2241" s="2" t="s">
        <v>2921</v>
      </c>
      <c r="L2241" s="2" t="s">
        <v>2922</v>
      </c>
      <c r="M2241" s="2"/>
    </row>
    <row r="2242" spans="1:13">
      <c r="A2242" t="s">
        <v>28</v>
      </c>
      <c r="B2242">
        <f ca="1">IF(OR(changes[[#This Row],[Type]]="Checklist",changes[[#This Row],[Type]]="checklist-flat"),1+IF(changes[[#This Row],[Type of change]] = "Edit",COUNTIFS($I$4:changes[[#This Row],[Name]],changes[[#This Row],[Name]], $E$4:changes[[#This Row],[Type of change]], "Edit")),B2241)</f>
        <v>3</v>
      </c>
      <c r="C2242" s="16">
        <v>44841</v>
      </c>
      <c r="D2242" s="1" t="s">
        <v>2920</v>
      </c>
      <c r="E2242" t="s">
        <v>15</v>
      </c>
      <c r="F2242" t="s">
        <v>9</v>
      </c>
      <c r="G2242" t="s">
        <v>2923</v>
      </c>
      <c r="H2242" t="s">
        <v>55</v>
      </c>
      <c r="I2242" t="s">
        <v>119</v>
      </c>
      <c r="K2242" s="2" t="s">
        <v>2921</v>
      </c>
      <c r="L2242" s="2" t="s">
        <v>2922</v>
      </c>
      <c r="M2242" s="2"/>
    </row>
    <row r="2243" spans="1:13">
      <c r="A2243" t="s">
        <v>28</v>
      </c>
      <c r="B2243">
        <f ca="1">IF(OR(changes[[#This Row],[Type]]="Checklist",changes[[#This Row],[Type]]="checklist-flat"),1+IF(changes[[#This Row],[Type of change]] = "Edit",COUNTIFS($I$4:changes[[#This Row],[Name]],changes[[#This Row],[Name]], $E$4:changes[[#This Row],[Type of change]], "Edit")),B2242)</f>
        <v>3</v>
      </c>
      <c r="C2243" s="16">
        <v>44841</v>
      </c>
      <c r="D2243" s="1" t="s">
        <v>2920</v>
      </c>
      <c r="E2243" t="s">
        <v>15</v>
      </c>
      <c r="F2243" t="s">
        <v>9</v>
      </c>
      <c r="G2243" t="s">
        <v>2923</v>
      </c>
      <c r="H2243" t="s">
        <v>55</v>
      </c>
      <c r="I2243" t="s">
        <v>120</v>
      </c>
      <c r="K2243" s="2" t="s">
        <v>2921</v>
      </c>
      <c r="L2243" s="2" t="s">
        <v>2922</v>
      </c>
      <c r="M2243" s="2"/>
    </row>
    <row r="2244" spans="1:13">
      <c r="A2244" t="s">
        <v>28</v>
      </c>
      <c r="B2244">
        <f ca="1">IF(OR(changes[[#This Row],[Type]]="Checklist",changes[[#This Row],[Type]]="checklist-flat"),1+IF(changes[[#This Row],[Type of change]] = "Edit",COUNTIFS($I$4:changes[[#This Row],[Name]],changes[[#This Row],[Name]], $E$4:changes[[#This Row],[Type of change]], "Edit")),B2243)</f>
        <v>3</v>
      </c>
      <c r="C2244" s="16">
        <v>44841</v>
      </c>
      <c r="D2244" s="1" t="s">
        <v>2920</v>
      </c>
      <c r="E2244" t="s">
        <v>15</v>
      </c>
      <c r="F2244" t="s">
        <v>9</v>
      </c>
      <c r="G2244" t="s">
        <v>2923</v>
      </c>
      <c r="H2244" t="s">
        <v>64</v>
      </c>
      <c r="I2244" t="s">
        <v>122</v>
      </c>
      <c r="K2244" s="2" t="s">
        <v>2921</v>
      </c>
      <c r="L2244" s="2" t="s">
        <v>2922</v>
      </c>
      <c r="M2244" s="2"/>
    </row>
    <row r="2245" spans="1:13">
      <c r="A2245" t="s">
        <v>28</v>
      </c>
      <c r="B2245">
        <f ca="1">IF(OR(changes[[#This Row],[Type]]="Checklist",changes[[#This Row],[Type]]="checklist-flat"),1+IF(changes[[#This Row],[Type of change]] = "Edit",COUNTIFS($I$4:changes[[#This Row],[Name]],changes[[#This Row],[Name]], $E$4:changes[[#This Row],[Type of change]], "Edit")),B2244)</f>
        <v>3</v>
      </c>
      <c r="C2245" s="16">
        <v>44841</v>
      </c>
      <c r="D2245" s="1" t="s">
        <v>2920</v>
      </c>
      <c r="E2245" t="s">
        <v>15</v>
      </c>
      <c r="F2245" t="s">
        <v>9</v>
      </c>
      <c r="G2245" t="s">
        <v>2923</v>
      </c>
      <c r="H2245" t="s">
        <v>55</v>
      </c>
      <c r="I2245" t="s">
        <v>123</v>
      </c>
      <c r="K2245" s="2" t="s">
        <v>2921</v>
      </c>
      <c r="L2245" s="2" t="s">
        <v>2922</v>
      </c>
      <c r="M2245" s="2"/>
    </row>
    <row r="2246" spans="1:13">
      <c r="A2246" t="s">
        <v>28</v>
      </c>
      <c r="B2246">
        <f ca="1">IF(OR(changes[[#This Row],[Type]]="Checklist",changes[[#This Row],[Type]]="checklist-flat"),1+IF(changes[[#This Row],[Type of change]] = "Edit",COUNTIFS($I$4:changes[[#This Row],[Name]],changes[[#This Row],[Name]], $E$4:changes[[#This Row],[Type of change]], "Edit")),B2245)</f>
        <v>3</v>
      </c>
      <c r="C2246" s="16">
        <v>44841</v>
      </c>
      <c r="D2246" s="1" t="s">
        <v>2920</v>
      </c>
      <c r="E2246" t="s">
        <v>15</v>
      </c>
      <c r="F2246" t="s">
        <v>9</v>
      </c>
      <c r="G2246" t="s">
        <v>2923</v>
      </c>
      <c r="H2246" t="s">
        <v>55</v>
      </c>
      <c r="I2246" t="s">
        <v>124</v>
      </c>
      <c r="K2246" s="2" t="s">
        <v>2921</v>
      </c>
      <c r="L2246" s="2" t="s">
        <v>2922</v>
      </c>
      <c r="M2246" s="2"/>
    </row>
    <row r="2247" spans="1:13">
      <c r="A2247" t="s">
        <v>28</v>
      </c>
      <c r="B2247">
        <f ca="1">IF(OR(changes[[#This Row],[Type]]="Checklist",changes[[#This Row],[Type]]="checklist-flat"),1+IF(changes[[#This Row],[Type of change]] = "Edit",COUNTIFS($I$4:changes[[#This Row],[Name]],changes[[#This Row],[Name]], $E$4:changes[[#This Row],[Type of change]], "Edit")),B2246)</f>
        <v>3</v>
      </c>
      <c r="C2247" s="16">
        <v>44841</v>
      </c>
      <c r="D2247" s="1" t="s">
        <v>2920</v>
      </c>
      <c r="E2247" t="s">
        <v>15</v>
      </c>
      <c r="F2247" t="s">
        <v>9</v>
      </c>
      <c r="G2247" t="s">
        <v>2923</v>
      </c>
      <c r="H2247" t="s">
        <v>55</v>
      </c>
      <c r="I2247" t="s">
        <v>125</v>
      </c>
      <c r="K2247" s="2" t="s">
        <v>2921</v>
      </c>
      <c r="L2247" s="2" t="s">
        <v>2922</v>
      </c>
      <c r="M2247" s="2"/>
    </row>
    <row r="2248" spans="1:13">
      <c r="A2248" t="s">
        <v>28</v>
      </c>
      <c r="B2248">
        <f ca="1">IF(OR(changes[[#This Row],[Type]]="Checklist",changes[[#This Row],[Type]]="checklist-flat"),1+IF(changes[[#This Row],[Type of change]] = "Edit",COUNTIFS($I$4:changes[[#This Row],[Name]],changes[[#This Row],[Name]], $E$4:changes[[#This Row],[Type of change]], "Edit")),B2247)</f>
        <v>3</v>
      </c>
      <c r="C2248" s="16">
        <v>44841</v>
      </c>
      <c r="D2248" s="1" t="s">
        <v>2920</v>
      </c>
      <c r="E2248" t="s">
        <v>15</v>
      </c>
      <c r="F2248" t="s">
        <v>9</v>
      </c>
      <c r="G2248" t="s">
        <v>2923</v>
      </c>
      <c r="H2248" t="s">
        <v>55</v>
      </c>
      <c r="I2248" t="s">
        <v>93</v>
      </c>
      <c r="K2248" s="2" t="s">
        <v>2921</v>
      </c>
      <c r="L2248" s="2" t="s">
        <v>2922</v>
      </c>
      <c r="M2248" s="2"/>
    </row>
    <row r="2249" spans="1:13">
      <c r="A2249" t="s">
        <v>28</v>
      </c>
      <c r="B2249">
        <f ca="1">IF(OR(changes[[#This Row],[Type]]="Checklist",changes[[#This Row],[Type]]="checklist-flat"),1+IF(changes[[#This Row],[Type of change]] = "Edit",COUNTIFS($I$4:changes[[#This Row],[Name]],changes[[#This Row],[Name]], $E$4:changes[[#This Row],[Type of change]], "Edit")),B2248)</f>
        <v>3</v>
      </c>
      <c r="C2249" s="16">
        <v>44841</v>
      </c>
      <c r="D2249" s="1" t="s">
        <v>2920</v>
      </c>
      <c r="E2249" t="s">
        <v>15</v>
      </c>
      <c r="F2249" t="s">
        <v>9</v>
      </c>
      <c r="G2249" t="s">
        <v>2923</v>
      </c>
      <c r="H2249" t="s">
        <v>64</v>
      </c>
      <c r="I2249" t="s">
        <v>94</v>
      </c>
      <c r="K2249" s="2" t="s">
        <v>2921</v>
      </c>
      <c r="L2249" s="2" t="s">
        <v>2922</v>
      </c>
      <c r="M2249" s="2"/>
    </row>
    <row r="2250" spans="1:13">
      <c r="A2250" t="s">
        <v>28</v>
      </c>
      <c r="B2250">
        <f ca="1">IF(OR(changes[[#This Row],[Type]]="Checklist",changes[[#This Row],[Type]]="checklist-flat"),1+IF(changes[[#This Row],[Type of change]] = "Edit",COUNTIFS($I$4:changes[[#This Row],[Name]],changes[[#This Row],[Name]], $E$4:changes[[#This Row],[Type of change]], "Edit")),B2249)</f>
        <v>2</v>
      </c>
      <c r="C2250" s="16">
        <v>44841</v>
      </c>
      <c r="D2250" s="1" t="s">
        <v>2924</v>
      </c>
      <c r="E2250" t="s">
        <v>15</v>
      </c>
      <c r="F2250" s="10" t="s">
        <v>9</v>
      </c>
      <c r="G2250" s="10" t="s">
        <v>1524</v>
      </c>
      <c r="H2250" s="19" t="s">
        <v>478</v>
      </c>
      <c r="I2250" s="10" t="s">
        <v>1524</v>
      </c>
      <c r="J2250" s="22"/>
      <c r="K2250" s="2" t="s">
        <v>2921</v>
      </c>
      <c r="L2250" s="2" t="s">
        <v>2925</v>
      </c>
      <c r="M2250" s="2" t="s">
        <v>2926</v>
      </c>
    </row>
    <row r="2251" spans="1:13" ht="15.75">
      <c r="A2251" t="s">
        <v>28</v>
      </c>
      <c r="B2251">
        <f ca="1">IF(OR(changes[[#This Row],[Type]]="Checklist",changes[[#This Row],[Type]]="checklist-flat"),1+IF(changes[[#This Row],[Type of change]] = "Edit",COUNTIFS($I$4:changes[[#This Row],[Name]],changes[[#This Row],[Name]], $E$4:changes[[#This Row],[Type of change]], "Edit")),B2250)</f>
        <v>2</v>
      </c>
      <c r="C2251" s="16">
        <v>44841</v>
      </c>
      <c r="D2251" s="1" t="s">
        <v>2924</v>
      </c>
      <c r="E2251" t="s">
        <v>15</v>
      </c>
      <c r="F2251" s="10" t="s">
        <v>9</v>
      </c>
      <c r="G2251" s="10" t="s">
        <v>1524</v>
      </c>
      <c r="H2251" s="19" t="s">
        <v>479</v>
      </c>
      <c r="I2251" s="21" t="s">
        <v>2927</v>
      </c>
      <c r="J2251" s="22"/>
      <c r="K2251" s="2" t="s">
        <v>2921</v>
      </c>
      <c r="L2251" s="2" t="s">
        <v>2925</v>
      </c>
      <c r="M2251" s="2"/>
    </row>
    <row r="2252" spans="1:13" ht="15.75">
      <c r="A2252" t="s">
        <v>28</v>
      </c>
      <c r="B2252">
        <f ca="1">IF(OR(changes[[#This Row],[Type]]="Checklist",changes[[#This Row],[Type]]="checklist-flat"),1+IF(changes[[#This Row],[Type of change]] = "Edit",COUNTIFS($I$4:changes[[#This Row],[Name]],changes[[#This Row],[Name]], $E$4:changes[[#This Row],[Type of change]], "Edit")),B2251)</f>
        <v>2</v>
      </c>
      <c r="C2252" s="16">
        <v>44841</v>
      </c>
      <c r="D2252" s="1" t="s">
        <v>2924</v>
      </c>
      <c r="E2252" t="s">
        <v>15</v>
      </c>
      <c r="F2252" s="10" t="s">
        <v>9</v>
      </c>
      <c r="G2252" s="10" t="s">
        <v>1524</v>
      </c>
      <c r="H2252" s="2" t="s">
        <v>55</v>
      </c>
      <c r="I2252" s="18" t="s">
        <v>2928</v>
      </c>
      <c r="J2252" s="23"/>
      <c r="K2252" s="2" t="s">
        <v>2921</v>
      </c>
      <c r="L2252" s="2" t="s">
        <v>2925</v>
      </c>
      <c r="M2252" s="2"/>
    </row>
    <row r="2253" spans="1:13" ht="15.75">
      <c r="A2253" t="s">
        <v>28</v>
      </c>
      <c r="B2253">
        <f ca="1">IF(OR(changes[[#This Row],[Type]]="Checklist",changes[[#This Row],[Type]]="checklist-flat"),1+IF(changes[[#This Row],[Type of change]] = "Edit",COUNTIFS($I$4:changes[[#This Row],[Name]],changes[[#This Row],[Name]], $E$4:changes[[#This Row],[Type of change]], "Edit")),B2252)</f>
        <v>2</v>
      </c>
      <c r="C2253" s="16">
        <v>44841</v>
      </c>
      <c r="D2253" s="1" t="s">
        <v>2924</v>
      </c>
      <c r="E2253" t="s">
        <v>15</v>
      </c>
      <c r="F2253" s="10" t="s">
        <v>9</v>
      </c>
      <c r="G2253" s="10" t="s">
        <v>1524</v>
      </c>
      <c r="H2253" s="2" t="s">
        <v>55</v>
      </c>
      <c r="I2253" s="18" t="s">
        <v>1478</v>
      </c>
      <c r="J2253" s="23"/>
      <c r="K2253" s="2" t="s">
        <v>2921</v>
      </c>
      <c r="L2253" s="2" t="s">
        <v>2925</v>
      </c>
      <c r="M2253" s="2"/>
    </row>
    <row r="2254" spans="1:13" ht="15.75">
      <c r="A2254" t="s">
        <v>28</v>
      </c>
      <c r="B2254">
        <f ca="1">IF(OR(changes[[#This Row],[Type]]="Checklist",changes[[#This Row],[Type]]="checklist-flat"),1+IF(changes[[#This Row],[Type of change]] = "Edit",COUNTIFS($I$4:changes[[#This Row],[Name]],changes[[#This Row],[Name]], $E$4:changes[[#This Row],[Type of change]], "Edit")),B2253)</f>
        <v>2</v>
      </c>
      <c r="C2254" s="16">
        <v>44841</v>
      </c>
      <c r="D2254" s="1" t="s">
        <v>2924</v>
      </c>
      <c r="E2254" t="s">
        <v>15</v>
      </c>
      <c r="F2254" s="10" t="s">
        <v>9</v>
      </c>
      <c r="G2254" s="10" t="s">
        <v>1524</v>
      </c>
      <c r="H2254" s="2" t="s">
        <v>55</v>
      </c>
      <c r="I2254" s="18" t="s">
        <v>1479</v>
      </c>
      <c r="J2254" s="23"/>
      <c r="K2254" s="2" t="s">
        <v>2921</v>
      </c>
      <c r="L2254" s="2" t="s">
        <v>2925</v>
      </c>
      <c r="M2254" s="2"/>
    </row>
    <row r="2255" spans="1:13" ht="15.75">
      <c r="A2255" t="s">
        <v>28</v>
      </c>
      <c r="B2255">
        <f ca="1">IF(OR(changes[[#This Row],[Type]]="Checklist",changes[[#This Row],[Type]]="checklist-flat"),1+IF(changes[[#This Row],[Type of change]] = "Edit",COUNTIFS($I$4:changes[[#This Row],[Name]],changes[[#This Row],[Name]], $E$4:changes[[#This Row],[Type of change]], "Edit")),B2254)</f>
        <v>2</v>
      </c>
      <c r="C2255" s="16">
        <v>44841</v>
      </c>
      <c r="D2255" s="1" t="s">
        <v>2924</v>
      </c>
      <c r="E2255" t="s">
        <v>15</v>
      </c>
      <c r="F2255" s="10" t="s">
        <v>9</v>
      </c>
      <c r="G2255" s="10" t="s">
        <v>1524</v>
      </c>
      <c r="H2255" s="2" t="s">
        <v>479</v>
      </c>
      <c r="I2255" s="18" t="s">
        <v>1402</v>
      </c>
      <c r="J2255" s="23"/>
      <c r="K2255" s="2" t="s">
        <v>2921</v>
      </c>
      <c r="L2255" s="2" t="s">
        <v>2925</v>
      </c>
      <c r="M2255" s="2"/>
    </row>
    <row r="2256" spans="1:13" ht="15.75">
      <c r="A2256" t="s">
        <v>28</v>
      </c>
      <c r="B2256">
        <f ca="1">IF(OR(changes[[#This Row],[Type]]="Checklist",changes[[#This Row],[Type]]="checklist-flat"),1+IF(changes[[#This Row],[Type of change]] = "Edit",COUNTIFS($I$4:changes[[#This Row],[Name]],changes[[#This Row],[Name]], $E$4:changes[[#This Row],[Type of change]], "Edit")),B2255)</f>
        <v>2</v>
      </c>
      <c r="C2256" s="16">
        <v>44841</v>
      </c>
      <c r="D2256" s="1" t="s">
        <v>2924</v>
      </c>
      <c r="E2256" t="s">
        <v>15</v>
      </c>
      <c r="F2256" s="10" t="s">
        <v>9</v>
      </c>
      <c r="G2256" s="10" t="s">
        <v>1524</v>
      </c>
      <c r="H2256" s="2" t="s">
        <v>55</v>
      </c>
      <c r="I2256" s="18" t="s">
        <v>1525</v>
      </c>
      <c r="J2256" s="23"/>
      <c r="K2256" s="2" t="s">
        <v>2921</v>
      </c>
      <c r="L2256" s="2" t="s">
        <v>2925</v>
      </c>
      <c r="M2256" s="2"/>
    </row>
    <row r="2257" spans="1:13" ht="15.75">
      <c r="A2257" t="s">
        <v>28</v>
      </c>
      <c r="B2257">
        <f ca="1">IF(OR(changes[[#This Row],[Type]]="Checklist",changes[[#This Row],[Type]]="checklist-flat"),1+IF(changes[[#This Row],[Type of change]] = "Edit",COUNTIFS($I$4:changes[[#This Row],[Name]],changes[[#This Row],[Name]], $E$4:changes[[#This Row],[Type of change]], "Edit")),B2256)</f>
        <v>2</v>
      </c>
      <c r="C2257" s="16">
        <v>44841</v>
      </c>
      <c r="D2257" s="1" t="s">
        <v>2924</v>
      </c>
      <c r="E2257" t="s">
        <v>15</v>
      </c>
      <c r="F2257" s="10" t="s">
        <v>9</v>
      </c>
      <c r="G2257" s="10" t="s">
        <v>1524</v>
      </c>
      <c r="H2257" s="2" t="s">
        <v>55</v>
      </c>
      <c r="I2257" s="18" t="s">
        <v>1526</v>
      </c>
      <c r="J2257" s="23"/>
      <c r="K2257" s="2" t="s">
        <v>2921</v>
      </c>
      <c r="L2257" s="2" t="s">
        <v>2925</v>
      </c>
      <c r="M2257" s="2"/>
    </row>
    <row r="2258" spans="1:13">
      <c r="A2258" t="s">
        <v>28</v>
      </c>
      <c r="B2258">
        <f ca="1">IF(OR(changes[[#This Row],[Type]]="Checklist",changes[[#This Row],[Type]]="checklist-flat"),1+IF(changes[[#This Row],[Type of change]] = "Edit",COUNTIFS($I$4:changes[[#This Row],[Name]],changes[[#This Row],[Name]], $E$4:changes[[#This Row],[Type of change]], "Edit")),B2257)</f>
        <v>2</v>
      </c>
      <c r="C2258" s="16">
        <v>44841</v>
      </c>
      <c r="D2258" s="1" t="s">
        <v>2924</v>
      </c>
      <c r="E2258" t="s">
        <v>15</v>
      </c>
      <c r="F2258" s="10" t="s">
        <v>9</v>
      </c>
      <c r="G2258" s="10" t="s">
        <v>1524</v>
      </c>
      <c r="H2258" s="10" t="s">
        <v>55</v>
      </c>
      <c r="I2258" s="10" t="s">
        <v>1504</v>
      </c>
      <c r="J2258" s="22"/>
      <c r="K2258" s="2" t="s">
        <v>2921</v>
      </c>
      <c r="L2258" s="2" t="s">
        <v>2925</v>
      </c>
      <c r="M2258" s="2"/>
    </row>
    <row r="2259" spans="1:13" ht="15.75">
      <c r="A2259" t="s">
        <v>28</v>
      </c>
      <c r="B2259">
        <f ca="1">IF(OR(changes[[#This Row],[Type]]="Checklist",changes[[#This Row],[Type]]="checklist-flat"),1+IF(changes[[#This Row],[Type of change]] = "Edit",COUNTIFS($I$4:changes[[#This Row],[Name]],changes[[#This Row],[Name]], $E$4:changes[[#This Row],[Type of change]], "Edit")),B2258)</f>
        <v>2</v>
      </c>
      <c r="C2259" s="16">
        <v>44841</v>
      </c>
      <c r="D2259" s="1" t="s">
        <v>2924</v>
      </c>
      <c r="E2259" t="s">
        <v>15</v>
      </c>
      <c r="F2259" s="10" t="s">
        <v>9</v>
      </c>
      <c r="G2259" s="10" t="s">
        <v>1524</v>
      </c>
      <c r="H2259" s="2" t="s">
        <v>55</v>
      </c>
      <c r="I2259" s="18" t="s">
        <v>1505</v>
      </c>
      <c r="J2259" s="22"/>
      <c r="K2259" s="2" t="s">
        <v>2921</v>
      </c>
      <c r="L2259" s="2" t="s">
        <v>2925</v>
      </c>
      <c r="M2259" s="2"/>
    </row>
    <row r="2260" spans="1:13" ht="15.75">
      <c r="A2260" t="s">
        <v>28</v>
      </c>
      <c r="B2260">
        <f ca="1">IF(OR(changes[[#This Row],[Type]]="Checklist",changes[[#This Row],[Type]]="checklist-flat"),1+IF(changes[[#This Row],[Type of change]] = "Edit",COUNTIFS($I$4:changes[[#This Row],[Name]],changes[[#This Row],[Name]], $E$4:changes[[#This Row],[Type of change]], "Edit")),B2259)</f>
        <v>2</v>
      </c>
      <c r="C2260" s="16">
        <v>44841</v>
      </c>
      <c r="D2260" s="1" t="s">
        <v>2924</v>
      </c>
      <c r="E2260" t="s">
        <v>15</v>
      </c>
      <c r="F2260" s="10" t="s">
        <v>9</v>
      </c>
      <c r="G2260" s="10" t="s">
        <v>1524</v>
      </c>
      <c r="H2260" s="2" t="s">
        <v>55</v>
      </c>
      <c r="I2260" s="18" t="s">
        <v>1506</v>
      </c>
      <c r="J2260" s="22"/>
      <c r="K2260" s="2" t="s">
        <v>2921</v>
      </c>
      <c r="L2260" s="2" t="s">
        <v>2925</v>
      </c>
      <c r="M2260" s="2"/>
    </row>
    <row r="2261" spans="1:13">
      <c r="A2261" t="s">
        <v>28</v>
      </c>
      <c r="B2261">
        <f ca="1">IF(OR(changes[[#This Row],[Type]]="Checklist",changes[[#This Row],[Type]]="checklist-flat"),1+IF(changes[[#This Row],[Type of change]] = "Edit",COUNTIFS($I$4:changes[[#This Row],[Name]],changes[[#This Row],[Name]], $E$4:changes[[#This Row],[Type of change]], "Edit")),B2260)</f>
        <v>2</v>
      </c>
      <c r="C2261" s="16">
        <v>44841</v>
      </c>
      <c r="D2261" s="1" t="s">
        <v>2924</v>
      </c>
      <c r="E2261" t="s">
        <v>15</v>
      </c>
      <c r="F2261" s="10" t="s">
        <v>9</v>
      </c>
      <c r="G2261" s="10" t="s">
        <v>1524</v>
      </c>
      <c r="H2261" s="59" t="s">
        <v>55</v>
      </c>
      <c r="I2261" s="58" t="s">
        <v>1533</v>
      </c>
      <c r="J2261" s="22"/>
      <c r="K2261" s="2" t="s">
        <v>2921</v>
      </c>
      <c r="L2261" s="2" t="s">
        <v>2925</v>
      </c>
      <c r="M2261" s="2"/>
    </row>
    <row r="2262" spans="1:13" ht="15.75">
      <c r="A2262" t="s">
        <v>28</v>
      </c>
      <c r="B2262">
        <f ca="1">IF(OR(changes[[#This Row],[Type]]="Checklist",changes[[#This Row],[Type]]="checklist-flat"),1+IF(changes[[#This Row],[Type of change]] = "Edit",COUNTIFS($I$4:changes[[#This Row],[Name]],changes[[#This Row],[Name]], $E$4:changes[[#This Row],[Type of change]], "Edit")),B2261)</f>
        <v>2</v>
      </c>
      <c r="C2262" s="16">
        <v>44841</v>
      </c>
      <c r="D2262" s="1" t="s">
        <v>2924</v>
      </c>
      <c r="E2262" t="s">
        <v>15</v>
      </c>
      <c r="F2262" s="10" t="s">
        <v>9</v>
      </c>
      <c r="G2262" s="10" t="s">
        <v>1524</v>
      </c>
      <c r="H2262" s="2" t="s">
        <v>55</v>
      </c>
      <c r="I2262" s="18" t="s">
        <v>1507</v>
      </c>
      <c r="J2262" s="23"/>
      <c r="K2262" s="2" t="s">
        <v>2921</v>
      </c>
      <c r="L2262" s="2" t="s">
        <v>2925</v>
      </c>
      <c r="M2262" s="2" t="s">
        <v>2929</v>
      </c>
    </row>
    <row r="2263" spans="1:13">
      <c r="A2263" t="s">
        <v>28</v>
      </c>
      <c r="B2263">
        <f ca="1">IF(OR(changes[[#This Row],[Type]]="Checklist",changes[[#This Row],[Type]]="checklist-flat"),1+IF(changes[[#This Row],[Type of change]] = "Edit",COUNTIFS($I$4:changes[[#This Row],[Name]],changes[[#This Row],[Name]], $E$4:changes[[#This Row],[Type of change]], "Edit")),B2262)</f>
        <v>2</v>
      </c>
      <c r="C2263" s="16">
        <v>44841</v>
      </c>
      <c r="D2263" s="1" t="s">
        <v>2924</v>
      </c>
      <c r="E2263" t="s">
        <v>15</v>
      </c>
      <c r="F2263" s="10" t="s">
        <v>9</v>
      </c>
      <c r="G2263" s="10" t="s">
        <v>1524</v>
      </c>
      <c r="H2263" s="2" t="s">
        <v>55</v>
      </c>
      <c r="I2263" s="30" t="s">
        <v>1513</v>
      </c>
      <c r="J2263" s="23"/>
      <c r="K2263" s="2" t="s">
        <v>2921</v>
      </c>
      <c r="L2263" s="2" t="s">
        <v>2925</v>
      </c>
      <c r="M2263" s="2"/>
    </row>
    <row r="2264" spans="1:13" ht="15.75">
      <c r="A2264" t="s">
        <v>28</v>
      </c>
      <c r="B2264">
        <f ca="1">IF(OR(changes[[#This Row],[Type]]="Checklist",changes[[#This Row],[Type]]="checklist-flat"),1+IF(changes[[#This Row],[Type of change]] = "Edit",COUNTIFS($I$4:changes[[#This Row],[Name]],changes[[#This Row],[Name]], $E$4:changes[[#This Row],[Type of change]], "Edit")),B2263)</f>
        <v>2</v>
      </c>
      <c r="C2264" s="16">
        <v>44841</v>
      </c>
      <c r="D2264" s="1" t="s">
        <v>2924</v>
      </c>
      <c r="E2264" t="s">
        <v>15</v>
      </c>
      <c r="F2264" s="10" t="s">
        <v>9</v>
      </c>
      <c r="G2264" s="10" t="s">
        <v>1524</v>
      </c>
      <c r="H2264" s="2" t="s">
        <v>479</v>
      </c>
      <c r="I2264" s="18" t="s">
        <v>1408</v>
      </c>
      <c r="J2264" s="23"/>
      <c r="K2264" s="2" t="s">
        <v>2921</v>
      </c>
      <c r="L2264" s="2" t="s">
        <v>2925</v>
      </c>
      <c r="M2264" s="2"/>
    </row>
    <row r="2265" spans="1:13">
      <c r="A2265" t="s">
        <v>28</v>
      </c>
      <c r="B2265">
        <f ca="1">IF(OR(changes[[#This Row],[Type]]="Checklist",changes[[#This Row],[Type]]="checklist-flat"),1+IF(changes[[#This Row],[Type of change]] = "Edit",COUNTIFS($I$4:changes[[#This Row],[Name]],changes[[#This Row],[Name]], $E$4:changes[[#This Row],[Type of change]], "Edit")),B2264)</f>
        <v>2</v>
      </c>
      <c r="C2265" s="16">
        <v>44841</v>
      </c>
      <c r="D2265" s="1" t="s">
        <v>2924</v>
      </c>
      <c r="E2265" t="s">
        <v>15</v>
      </c>
      <c r="F2265" s="10" t="s">
        <v>9</v>
      </c>
      <c r="G2265" s="10" t="s">
        <v>1524</v>
      </c>
      <c r="H2265" s="2" t="s">
        <v>55</v>
      </c>
      <c r="I2265" s="30" t="s">
        <v>1527</v>
      </c>
      <c r="J2265" s="23"/>
      <c r="K2265" s="2" t="s">
        <v>2921</v>
      </c>
      <c r="L2265" s="2" t="s">
        <v>2925</v>
      </c>
      <c r="M2265" s="2"/>
    </row>
    <row r="2266" spans="1:13" ht="15.75">
      <c r="A2266" t="s">
        <v>28</v>
      </c>
      <c r="B2266">
        <f ca="1">IF(OR(changes[[#This Row],[Type]]="Checklist",changes[[#This Row],[Type]]="checklist-flat"),1+IF(changes[[#This Row],[Type of change]] = "Edit",COUNTIFS($I$4:changes[[#This Row],[Name]],changes[[#This Row],[Name]], $E$4:changes[[#This Row],[Type of change]], "Edit")),B2265)</f>
        <v>2</v>
      </c>
      <c r="C2266" s="16">
        <v>44841</v>
      </c>
      <c r="D2266" s="1" t="s">
        <v>2924</v>
      </c>
      <c r="E2266" t="s">
        <v>15</v>
      </c>
      <c r="F2266" s="10" t="s">
        <v>9</v>
      </c>
      <c r="G2266" s="10" t="s">
        <v>1524</v>
      </c>
      <c r="H2266" s="2" t="s">
        <v>55</v>
      </c>
      <c r="I2266" s="18" t="s">
        <v>1520</v>
      </c>
      <c r="J2266" s="23"/>
      <c r="K2266" s="2" t="s">
        <v>2921</v>
      </c>
      <c r="L2266" s="2" t="s">
        <v>2925</v>
      </c>
      <c r="M2266" s="2"/>
    </row>
    <row r="2267" spans="1:13" ht="15.75">
      <c r="A2267" t="s">
        <v>28</v>
      </c>
      <c r="B2267">
        <f ca="1">IF(OR(changes[[#This Row],[Type]]="Checklist",changes[[#This Row],[Type]]="checklist-flat"),1+IF(changes[[#This Row],[Type of change]] = "Edit",COUNTIFS($I$4:changes[[#This Row],[Name]],changes[[#This Row],[Name]], $E$4:changes[[#This Row],[Type of change]], "Edit")),B2266)</f>
        <v>2</v>
      </c>
      <c r="C2267" s="16">
        <v>44841</v>
      </c>
      <c r="D2267" s="1" t="s">
        <v>2924</v>
      </c>
      <c r="E2267" t="s">
        <v>15</v>
      </c>
      <c r="F2267" s="10" t="s">
        <v>9</v>
      </c>
      <c r="G2267" s="10" t="s">
        <v>1524</v>
      </c>
      <c r="H2267" s="2" t="s">
        <v>479</v>
      </c>
      <c r="I2267" s="18" t="s">
        <v>1416</v>
      </c>
      <c r="J2267" s="23"/>
      <c r="K2267" s="2" t="s">
        <v>2921</v>
      </c>
      <c r="L2267" s="2" t="s">
        <v>2925</v>
      </c>
      <c r="M2267" s="2"/>
    </row>
    <row r="2268" spans="1:13" ht="15.75">
      <c r="A2268" t="s">
        <v>28</v>
      </c>
      <c r="B2268">
        <f ca="1">IF(OR(changes[[#This Row],[Type]]="Checklist",changes[[#This Row],[Type]]="checklist-flat"),1+IF(changes[[#This Row],[Type of change]] = "Edit",COUNTIFS($I$4:changes[[#This Row],[Name]],changes[[#This Row],[Name]], $E$4:changes[[#This Row],[Type of change]], "Edit")),B2267)</f>
        <v>2</v>
      </c>
      <c r="C2268" s="16">
        <v>44841</v>
      </c>
      <c r="D2268" s="1" t="s">
        <v>2924</v>
      </c>
      <c r="E2268" t="s">
        <v>15</v>
      </c>
      <c r="F2268" s="10" t="s">
        <v>9</v>
      </c>
      <c r="G2268" s="10" t="s">
        <v>1524</v>
      </c>
      <c r="H2268" s="2" t="s">
        <v>55</v>
      </c>
      <c r="I2268" s="18" t="s">
        <v>1528</v>
      </c>
      <c r="J2268" s="23"/>
      <c r="K2268" s="2" t="s">
        <v>2921</v>
      </c>
      <c r="L2268" s="2" t="s">
        <v>2925</v>
      </c>
      <c r="M2268" s="2"/>
    </row>
    <row r="2269" spans="1:13" ht="15.75">
      <c r="A2269" t="s">
        <v>28</v>
      </c>
      <c r="B2269">
        <f ca="1">IF(OR(changes[[#This Row],[Type]]="Checklist",changes[[#This Row],[Type]]="checklist-flat"),1+IF(changes[[#This Row],[Type of change]] = "Edit",COUNTIFS($I$4:changes[[#This Row],[Name]],changes[[#This Row],[Name]], $E$4:changes[[#This Row],[Type of change]], "Edit")),B2268)</f>
        <v>2</v>
      </c>
      <c r="C2269" s="16">
        <v>44841</v>
      </c>
      <c r="D2269" s="1" t="s">
        <v>2924</v>
      </c>
      <c r="E2269" t="s">
        <v>15</v>
      </c>
      <c r="F2269" s="10" t="s">
        <v>9</v>
      </c>
      <c r="G2269" s="10" t="s">
        <v>1524</v>
      </c>
      <c r="H2269" s="2" t="s">
        <v>55</v>
      </c>
      <c r="I2269" s="18" t="s">
        <v>1529</v>
      </c>
      <c r="J2269" s="23"/>
      <c r="K2269" s="2" t="s">
        <v>2921</v>
      </c>
      <c r="L2269" s="2" t="s">
        <v>2925</v>
      </c>
      <c r="M2269" s="2"/>
    </row>
    <row r="2270" spans="1:13" ht="15.75">
      <c r="A2270" t="s">
        <v>28</v>
      </c>
      <c r="B2270">
        <f ca="1">IF(OR(changes[[#This Row],[Type]]="Checklist",changes[[#This Row],[Type]]="checklist-flat"),1+IF(changes[[#This Row],[Type of change]] = "Edit",COUNTIFS($I$4:changes[[#This Row],[Name]],changes[[#This Row],[Name]], $E$4:changes[[#This Row],[Type of change]], "Edit")),B2269)</f>
        <v>2</v>
      </c>
      <c r="C2270" s="16">
        <v>44841</v>
      </c>
      <c r="D2270" s="1" t="s">
        <v>2924</v>
      </c>
      <c r="E2270" t="s">
        <v>15</v>
      </c>
      <c r="F2270" s="10" t="s">
        <v>9</v>
      </c>
      <c r="G2270" s="10" t="s">
        <v>1524</v>
      </c>
      <c r="H2270" s="2" t="s">
        <v>55</v>
      </c>
      <c r="I2270" s="18" t="s">
        <v>1523</v>
      </c>
      <c r="J2270" s="23"/>
      <c r="K2270" s="2" t="s">
        <v>2921</v>
      </c>
      <c r="L2270" s="2" t="s">
        <v>2925</v>
      </c>
      <c r="M2270" s="2"/>
    </row>
    <row r="2271" spans="1:13" ht="15.75">
      <c r="A2271" t="s">
        <v>28</v>
      </c>
      <c r="B2271">
        <f ca="1">IF(OR(changes[[#This Row],[Type]]="Checklist",changes[[#This Row],[Type]]="checklist-flat"),1+IF(changes[[#This Row],[Type of change]] = "Edit",COUNTIFS($I$4:changes[[#This Row],[Name]],changes[[#This Row],[Name]], $E$4:changes[[#This Row],[Type of change]], "Edit")),B2270)</f>
        <v>2</v>
      </c>
      <c r="C2271" s="16">
        <v>44841</v>
      </c>
      <c r="D2271" s="1" t="s">
        <v>2924</v>
      </c>
      <c r="E2271" t="s">
        <v>15</v>
      </c>
      <c r="F2271" s="10" t="s">
        <v>9</v>
      </c>
      <c r="G2271" s="10" t="s">
        <v>1524</v>
      </c>
      <c r="H2271" s="2" t="s">
        <v>55</v>
      </c>
      <c r="I2271" s="18" t="s">
        <v>93</v>
      </c>
      <c r="J2271" s="23"/>
      <c r="K2271" s="2" t="s">
        <v>2921</v>
      </c>
      <c r="L2271" s="2" t="s">
        <v>2925</v>
      </c>
      <c r="M2271" s="2"/>
    </row>
    <row r="2272" spans="1:13" ht="15.75">
      <c r="A2272" t="s">
        <v>28</v>
      </c>
      <c r="B2272">
        <f ca="1">IF(OR(changes[[#This Row],[Type]]="Checklist",changes[[#This Row],[Type]]="checklist-flat"),1+IF(changes[[#This Row],[Type of change]] = "Edit",COUNTIFS($I$4:changes[[#This Row],[Name]],changes[[#This Row],[Name]], $E$4:changes[[#This Row],[Type of change]], "Edit")),B2271)</f>
        <v>2</v>
      </c>
      <c r="C2272" s="16">
        <v>44841</v>
      </c>
      <c r="D2272" s="1" t="s">
        <v>2924</v>
      </c>
      <c r="E2272" t="s">
        <v>15</v>
      </c>
      <c r="F2272" s="10" t="s">
        <v>9</v>
      </c>
      <c r="G2272" s="10" t="s">
        <v>1524</v>
      </c>
      <c r="H2272" s="2" t="s">
        <v>64</v>
      </c>
      <c r="I2272" s="18" t="s">
        <v>94</v>
      </c>
      <c r="J2272" s="23"/>
      <c r="K2272" s="2" t="s">
        <v>2921</v>
      </c>
      <c r="L2272" s="2" t="s">
        <v>2925</v>
      </c>
      <c r="M2272" s="2"/>
    </row>
    <row r="2273" spans="1:13" ht="15.75">
      <c r="A2273" t="s">
        <v>11</v>
      </c>
      <c r="B2273">
        <f ca="1">IF(OR(changes[[#This Row],[Type]]="Checklist",changes[[#This Row],[Type]]="checklist-flat"),1+IF(changes[[#This Row],[Type of change]] = "Edit",COUNTIFS($I$4:changes[[#This Row],[Name]],changes[[#This Row],[Name]], $E$4:changes[[#This Row],[Type of change]], "Edit")),B2272)</f>
        <v>2</v>
      </c>
      <c r="C2273" s="16">
        <v>44841</v>
      </c>
      <c r="D2273" s="1" t="s">
        <v>2924</v>
      </c>
      <c r="E2273" t="s">
        <v>15</v>
      </c>
      <c r="F2273" s="10" t="s">
        <v>9</v>
      </c>
      <c r="G2273" s="10" t="s">
        <v>1530</v>
      </c>
      <c r="H2273" s="19" t="s">
        <v>478</v>
      </c>
      <c r="I2273" s="21" t="s">
        <v>1530</v>
      </c>
      <c r="J2273" s="22"/>
      <c r="K2273" s="2" t="s">
        <v>2921</v>
      </c>
      <c r="L2273" s="2" t="s">
        <v>2925</v>
      </c>
      <c r="M2273" s="2" t="s">
        <v>2930</v>
      </c>
    </row>
    <row r="2274" spans="1:13" ht="15.75">
      <c r="A2274" t="s">
        <v>11</v>
      </c>
      <c r="B2274">
        <f ca="1">IF(OR(changes[[#This Row],[Type]]="Checklist",changes[[#This Row],[Type]]="checklist-flat"),1+IF(changes[[#This Row],[Type of change]] = "Edit",COUNTIFS($I$4:changes[[#This Row],[Name]],changes[[#This Row],[Name]], $E$4:changes[[#This Row],[Type of change]], "Edit")),B2273)</f>
        <v>2</v>
      </c>
      <c r="C2274" s="16">
        <v>44841</v>
      </c>
      <c r="D2274" s="1" t="s">
        <v>2924</v>
      </c>
      <c r="E2274" t="s">
        <v>15</v>
      </c>
      <c r="F2274" s="10" t="s">
        <v>9</v>
      </c>
      <c r="G2274" s="10" t="s">
        <v>1530</v>
      </c>
      <c r="H2274" s="19" t="s">
        <v>479</v>
      </c>
      <c r="I2274" s="21" t="s">
        <v>1397</v>
      </c>
      <c r="J2274" s="22"/>
      <c r="K2274" s="2" t="s">
        <v>2921</v>
      </c>
      <c r="L2274" s="2" t="s">
        <v>2925</v>
      </c>
      <c r="M2274" s="2"/>
    </row>
    <row r="2275" spans="1:13" ht="15.75">
      <c r="A2275" t="s">
        <v>11</v>
      </c>
      <c r="B2275">
        <f ca="1">IF(OR(changes[[#This Row],[Type]]="Checklist",changes[[#This Row],[Type]]="checklist-flat"),1+IF(changes[[#This Row],[Type of change]] = "Edit",COUNTIFS($I$4:changes[[#This Row],[Name]],changes[[#This Row],[Name]], $E$4:changes[[#This Row],[Type of change]], "Edit")),B2274)</f>
        <v>2</v>
      </c>
      <c r="C2275" s="16">
        <v>44841</v>
      </c>
      <c r="D2275" s="1" t="s">
        <v>2924</v>
      </c>
      <c r="E2275" t="s">
        <v>15</v>
      </c>
      <c r="F2275" s="10" t="s">
        <v>9</v>
      </c>
      <c r="G2275" s="10" t="s">
        <v>1530</v>
      </c>
      <c r="H2275" s="19" t="s">
        <v>55</v>
      </c>
      <c r="I2275" s="21" t="s">
        <v>2928</v>
      </c>
      <c r="J2275" s="22"/>
      <c r="K2275" s="2" t="s">
        <v>2921</v>
      </c>
      <c r="L2275" s="2" t="s">
        <v>2925</v>
      </c>
      <c r="M2275" s="2"/>
    </row>
    <row r="2276" spans="1:13" ht="15.75">
      <c r="A2276" t="s">
        <v>11</v>
      </c>
      <c r="B2276">
        <f ca="1">IF(OR(changes[[#This Row],[Type]]="Checklist",changes[[#This Row],[Type]]="checklist-flat"),1+IF(changes[[#This Row],[Type of change]] = "Edit",COUNTIFS($I$4:changes[[#This Row],[Name]],changes[[#This Row],[Name]], $E$4:changes[[#This Row],[Type of change]], "Edit")),B2275)</f>
        <v>2</v>
      </c>
      <c r="C2276" s="16">
        <v>44841</v>
      </c>
      <c r="D2276" s="1" t="s">
        <v>2924</v>
      </c>
      <c r="E2276" t="s">
        <v>15</v>
      </c>
      <c r="F2276" s="10" t="s">
        <v>9</v>
      </c>
      <c r="G2276" s="10" t="s">
        <v>1530</v>
      </c>
      <c r="H2276" s="2" t="s">
        <v>55</v>
      </c>
      <c r="I2276" s="18" t="s">
        <v>1478</v>
      </c>
      <c r="J2276" s="23"/>
      <c r="K2276" s="2" t="s">
        <v>2921</v>
      </c>
      <c r="L2276" s="2" t="s">
        <v>2925</v>
      </c>
      <c r="M2276" s="2"/>
    </row>
    <row r="2277" spans="1:13" ht="15.75">
      <c r="A2277" t="s">
        <v>11</v>
      </c>
      <c r="B2277">
        <f ca="1">IF(OR(changes[[#This Row],[Type]]="Checklist",changes[[#This Row],[Type]]="checklist-flat"),1+IF(changes[[#This Row],[Type of change]] = "Edit",COUNTIFS($I$4:changes[[#This Row],[Name]],changes[[#This Row],[Name]], $E$4:changes[[#This Row],[Type of change]], "Edit")),B2276)</f>
        <v>2</v>
      </c>
      <c r="C2277" s="16">
        <v>44841</v>
      </c>
      <c r="D2277" s="1" t="s">
        <v>2924</v>
      </c>
      <c r="E2277" t="s">
        <v>15</v>
      </c>
      <c r="F2277" s="10" t="s">
        <v>9</v>
      </c>
      <c r="G2277" s="10" t="s">
        <v>1530</v>
      </c>
      <c r="H2277" s="2" t="s">
        <v>55</v>
      </c>
      <c r="I2277" s="18" t="s">
        <v>1479</v>
      </c>
      <c r="J2277" s="23"/>
      <c r="K2277" s="2" t="s">
        <v>2921</v>
      </c>
      <c r="L2277" s="2" t="s">
        <v>2925</v>
      </c>
      <c r="M2277" s="2"/>
    </row>
    <row r="2278" spans="1:13" ht="15.75">
      <c r="A2278" t="s">
        <v>11</v>
      </c>
      <c r="B2278">
        <f ca="1">IF(OR(changes[[#This Row],[Type]]="Checklist",changes[[#This Row],[Type]]="checklist-flat"),1+IF(changes[[#This Row],[Type of change]] = "Edit",COUNTIFS($I$4:changes[[#This Row],[Name]],changes[[#This Row],[Name]], $E$4:changes[[#This Row],[Type of change]], "Edit")),B2277)</f>
        <v>2</v>
      </c>
      <c r="C2278" s="16">
        <v>44841</v>
      </c>
      <c r="D2278" s="1" t="s">
        <v>2924</v>
      </c>
      <c r="E2278" t="s">
        <v>15</v>
      </c>
      <c r="F2278" s="10" t="s">
        <v>9</v>
      </c>
      <c r="G2278" s="10" t="s">
        <v>1530</v>
      </c>
      <c r="H2278" s="19" t="s">
        <v>479</v>
      </c>
      <c r="I2278" s="21" t="s">
        <v>1402</v>
      </c>
      <c r="J2278" s="22"/>
      <c r="K2278" s="2" t="s">
        <v>2921</v>
      </c>
      <c r="L2278" s="2" t="s">
        <v>2925</v>
      </c>
      <c r="M2278" s="2"/>
    </row>
    <row r="2279" spans="1:13" ht="15.75">
      <c r="A2279" t="s">
        <v>11</v>
      </c>
      <c r="B2279">
        <f ca="1">IF(OR(changes[[#This Row],[Type]]="Checklist",changes[[#This Row],[Type]]="checklist-flat"),1+IF(changes[[#This Row],[Type of change]] = "Edit",COUNTIFS($I$4:changes[[#This Row],[Name]],changes[[#This Row],[Name]], $E$4:changes[[#This Row],[Type of change]], "Edit")),B2278)</f>
        <v>2</v>
      </c>
      <c r="C2279" s="16">
        <v>44841</v>
      </c>
      <c r="D2279" s="1" t="s">
        <v>2924</v>
      </c>
      <c r="E2279" t="s">
        <v>15</v>
      </c>
      <c r="F2279" s="10" t="s">
        <v>9</v>
      </c>
      <c r="G2279" s="10" t="s">
        <v>1530</v>
      </c>
      <c r="H2279" s="2" t="s">
        <v>55</v>
      </c>
      <c r="I2279" s="18" t="s">
        <v>1525</v>
      </c>
      <c r="J2279" s="23"/>
      <c r="K2279" s="2" t="s">
        <v>2921</v>
      </c>
      <c r="L2279" s="2" t="s">
        <v>2925</v>
      </c>
      <c r="M2279" s="2"/>
    </row>
    <row r="2280" spans="1:13" ht="15.75">
      <c r="A2280" t="s">
        <v>11</v>
      </c>
      <c r="B2280">
        <f ca="1">IF(OR(changes[[#This Row],[Type]]="Checklist",changes[[#This Row],[Type]]="checklist-flat"),1+IF(changes[[#This Row],[Type of change]] = "Edit",COUNTIFS($I$4:changes[[#This Row],[Name]],changes[[#This Row],[Name]], $E$4:changes[[#This Row],[Type of change]], "Edit")),B2279)</f>
        <v>2</v>
      </c>
      <c r="C2280" s="16">
        <v>44841</v>
      </c>
      <c r="D2280" s="1" t="s">
        <v>2924</v>
      </c>
      <c r="E2280" t="s">
        <v>15</v>
      </c>
      <c r="F2280" s="10" t="s">
        <v>9</v>
      </c>
      <c r="G2280" s="10" t="s">
        <v>1530</v>
      </c>
      <c r="H2280" s="2" t="s">
        <v>55</v>
      </c>
      <c r="I2280" s="18" t="s">
        <v>1526</v>
      </c>
      <c r="J2280" s="23"/>
      <c r="K2280" s="2" t="s">
        <v>2921</v>
      </c>
      <c r="L2280" s="2" t="s">
        <v>2925</v>
      </c>
      <c r="M2280" s="2"/>
    </row>
    <row r="2281" spans="1:13" ht="15.75">
      <c r="A2281" t="s">
        <v>11</v>
      </c>
      <c r="B2281">
        <f ca="1">IF(OR(changes[[#This Row],[Type]]="Checklist",changes[[#This Row],[Type]]="checklist-flat"),1+IF(changes[[#This Row],[Type of change]] = "Edit",COUNTIFS($I$4:changes[[#This Row],[Name]],changes[[#This Row],[Name]], $E$4:changes[[#This Row],[Type of change]], "Edit")),B2280)</f>
        <v>2</v>
      </c>
      <c r="C2281" s="16">
        <v>44841</v>
      </c>
      <c r="D2281" s="1" t="s">
        <v>2924</v>
      </c>
      <c r="E2281" t="s">
        <v>15</v>
      </c>
      <c r="F2281" s="10" t="s">
        <v>9</v>
      </c>
      <c r="G2281" s="10" t="s">
        <v>1530</v>
      </c>
      <c r="H2281" s="2" t="s">
        <v>55</v>
      </c>
      <c r="I2281" s="18" t="s">
        <v>1507</v>
      </c>
      <c r="J2281" s="23"/>
      <c r="K2281" s="2" t="s">
        <v>2921</v>
      </c>
      <c r="L2281" s="2" t="s">
        <v>2925</v>
      </c>
      <c r="M2281" s="2"/>
    </row>
    <row r="2282" spans="1:13" ht="15.75">
      <c r="A2282" t="s">
        <v>11</v>
      </c>
      <c r="B2282">
        <f ca="1">IF(OR(changes[[#This Row],[Type]]="Checklist",changes[[#This Row],[Type]]="checklist-flat"),1+IF(changes[[#This Row],[Type of change]] = "Edit",COUNTIFS($I$4:changes[[#This Row],[Name]],changes[[#This Row],[Name]], $E$4:changes[[#This Row],[Type of change]], "Edit")),B2281)</f>
        <v>2</v>
      </c>
      <c r="C2282" s="16">
        <v>44841</v>
      </c>
      <c r="D2282" s="1" t="s">
        <v>2924</v>
      </c>
      <c r="E2282" t="s">
        <v>15</v>
      </c>
      <c r="F2282" s="10" t="s">
        <v>9</v>
      </c>
      <c r="G2282" s="10" t="s">
        <v>1530</v>
      </c>
      <c r="H2282" s="2" t="s">
        <v>55</v>
      </c>
      <c r="I2282" s="18" t="s">
        <v>1513</v>
      </c>
      <c r="J2282" s="23"/>
      <c r="K2282" s="2" t="s">
        <v>2921</v>
      </c>
      <c r="L2282" s="2" t="s">
        <v>2925</v>
      </c>
      <c r="M2282" s="2"/>
    </row>
    <row r="2283" spans="1:13" ht="15.75">
      <c r="A2283" t="s">
        <v>11</v>
      </c>
      <c r="B2283">
        <f ca="1">IF(OR(changes[[#This Row],[Type]]="Checklist",changes[[#This Row],[Type]]="checklist-flat"),1+IF(changes[[#This Row],[Type of change]] = "Edit",COUNTIFS($I$4:changes[[#This Row],[Name]],changes[[#This Row],[Name]], $E$4:changes[[#This Row],[Type of change]], "Edit")),B2282)</f>
        <v>2</v>
      </c>
      <c r="C2283" s="16">
        <v>44841</v>
      </c>
      <c r="D2283" s="1" t="s">
        <v>2924</v>
      </c>
      <c r="E2283" t="s">
        <v>15</v>
      </c>
      <c r="F2283" s="10" t="s">
        <v>9</v>
      </c>
      <c r="G2283" s="10" t="s">
        <v>1530</v>
      </c>
      <c r="H2283" s="19" t="s">
        <v>479</v>
      </c>
      <c r="I2283" s="21" t="s">
        <v>1408</v>
      </c>
      <c r="J2283" s="22"/>
      <c r="K2283" s="2" t="s">
        <v>2921</v>
      </c>
      <c r="L2283" s="2" t="s">
        <v>2925</v>
      </c>
      <c r="M2283" s="2"/>
    </row>
    <row r="2284" spans="1:13" ht="15.75">
      <c r="A2284" t="s">
        <v>11</v>
      </c>
      <c r="B2284">
        <f ca="1">IF(OR(changes[[#This Row],[Type]]="Checklist",changes[[#This Row],[Type]]="checklist-flat"),1+IF(changes[[#This Row],[Type of change]] = "Edit",COUNTIFS($I$4:changes[[#This Row],[Name]],changes[[#This Row],[Name]], $E$4:changes[[#This Row],[Type of change]], "Edit")),B2283)</f>
        <v>2</v>
      </c>
      <c r="C2284" s="16">
        <v>44841</v>
      </c>
      <c r="D2284" s="1" t="s">
        <v>2924</v>
      </c>
      <c r="E2284" t="s">
        <v>15</v>
      </c>
      <c r="F2284" s="10" t="s">
        <v>9</v>
      </c>
      <c r="G2284" s="10" t="s">
        <v>1530</v>
      </c>
      <c r="H2284" s="2" t="s">
        <v>55</v>
      </c>
      <c r="I2284" s="18" t="s">
        <v>1527</v>
      </c>
      <c r="J2284" s="23"/>
      <c r="K2284" s="2" t="s">
        <v>2921</v>
      </c>
      <c r="L2284" s="2" t="s">
        <v>2925</v>
      </c>
      <c r="M2284" s="2"/>
    </row>
    <row r="2285" spans="1:13" ht="15.75">
      <c r="A2285" t="s">
        <v>11</v>
      </c>
      <c r="B2285">
        <f ca="1">IF(OR(changes[[#This Row],[Type]]="Checklist",changes[[#This Row],[Type]]="checklist-flat"),1+IF(changes[[#This Row],[Type of change]] = "Edit",COUNTIFS($I$4:changes[[#This Row],[Name]],changes[[#This Row],[Name]], $E$4:changes[[#This Row],[Type of change]], "Edit")),B2284)</f>
        <v>2</v>
      </c>
      <c r="C2285" s="16">
        <v>44841</v>
      </c>
      <c r="D2285" s="1" t="s">
        <v>2924</v>
      </c>
      <c r="E2285" t="s">
        <v>15</v>
      </c>
      <c r="F2285" s="10" t="s">
        <v>9</v>
      </c>
      <c r="G2285" s="10" t="s">
        <v>1530</v>
      </c>
      <c r="H2285" s="2" t="s">
        <v>55</v>
      </c>
      <c r="I2285" s="18" t="s">
        <v>1520</v>
      </c>
      <c r="J2285" s="23"/>
      <c r="K2285" s="2" t="s">
        <v>2921</v>
      </c>
      <c r="L2285" s="2" t="s">
        <v>2925</v>
      </c>
      <c r="M2285" s="2"/>
    </row>
    <row r="2286" spans="1:13" ht="15.75">
      <c r="A2286" t="s">
        <v>11</v>
      </c>
      <c r="B2286">
        <f ca="1">IF(OR(changes[[#This Row],[Type]]="Checklist",changes[[#This Row],[Type]]="checklist-flat"),1+IF(changes[[#This Row],[Type of change]] = "Edit",COUNTIFS($I$4:changes[[#This Row],[Name]],changes[[#This Row],[Name]], $E$4:changes[[#This Row],[Type of change]], "Edit")),B2285)</f>
        <v>2</v>
      </c>
      <c r="C2286" s="16">
        <v>44841</v>
      </c>
      <c r="D2286" s="1" t="s">
        <v>2924</v>
      </c>
      <c r="E2286" t="s">
        <v>15</v>
      </c>
      <c r="F2286" s="10" t="s">
        <v>9</v>
      </c>
      <c r="G2286" s="10" t="s">
        <v>1530</v>
      </c>
      <c r="H2286" s="19" t="s">
        <v>479</v>
      </c>
      <c r="I2286" s="21" t="s">
        <v>1416</v>
      </c>
      <c r="J2286" s="22"/>
      <c r="K2286" s="2" t="s">
        <v>2921</v>
      </c>
      <c r="L2286" s="2" t="s">
        <v>2925</v>
      </c>
      <c r="M2286" s="2"/>
    </row>
    <row r="2287" spans="1:13" ht="15.75">
      <c r="A2287" t="s">
        <v>11</v>
      </c>
      <c r="B2287">
        <f ca="1">IF(OR(changes[[#This Row],[Type]]="Checklist",changes[[#This Row],[Type]]="checklist-flat"),1+IF(changes[[#This Row],[Type of change]] = "Edit",COUNTIFS($I$4:changes[[#This Row],[Name]],changes[[#This Row],[Name]], $E$4:changes[[#This Row],[Type of change]], "Edit")),B2286)</f>
        <v>2</v>
      </c>
      <c r="C2287" s="16">
        <v>44841</v>
      </c>
      <c r="D2287" s="1" t="s">
        <v>2924</v>
      </c>
      <c r="E2287" t="s">
        <v>15</v>
      </c>
      <c r="F2287" s="10" t="s">
        <v>9</v>
      </c>
      <c r="G2287" s="10" t="s">
        <v>1530</v>
      </c>
      <c r="H2287" s="19" t="s">
        <v>55</v>
      </c>
      <c r="I2287" s="21" t="s">
        <v>1523</v>
      </c>
      <c r="J2287" s="22"/>
      <c r="K2287" s="2" t="s">
        <v>2921</v>
      </c>
      <c r="L2287" s="2" t="s">
        <v>2925</v>
      </c>
      <c r="M2287" s="2"/>
    </row>
    <row r="2288" spans="1:13" ht="15.75">
      <c r="A2288" t="s">
        <v>11</v>
      </c>
      <c r="B2288">
        <f ca="1">IF(OR(changes[[#This Row],[Type]]="Checklist",changes[[#This Row],[Type]]="checklist-flat"),1+IF(changes[[#This Row],[Type of change]] = "Edit",COUNTIFS($I$4:changes[[#This Row],[Name]],changes[[#This Row],[Name]], $E$4:changes[[#This Row],[Type of change]], "Edit")),B2287)</f>
        <v>2</v>
      </c>
      <c r="C2288" s="16">
        <v>44841</v>
      </c>
      <c r="D2288" s="1" t="s">
        <v>2924</v>
      </c>
      <c r="E2288" t="s">
        <v>15</v>
      </c>
      <c r="F2288" s="10" t="s">
        <v>9</v>
      </c>
      <c r="G2288" s="10" t="s">
        <v>1530</v>
      </c>
      <c r="H2288" s="19" t="s">
        <v>55</v>
      </c>
      <c r="I2288" s="21" t="s">
        <v>93</v>
      </c>
      <c r="J2288" s="22"/>
      <c r="K2288" s="2" t="s">
        <v>2921</v>
      </c>
      <c r="L2288" s="2" t="s">
        <v>2925</v>
      </c>
      <c r="M2288" s="2"/>
    </row>
    <row r="2289" spans="1:14" ht="15.75">
      <c r="A2289" t="s">
        <v>11</v>
      </c>
      <c r="B2289">
        <f ca="1">IF(OR(changes[[#This Row],[Type]]="Checklist",changes[[#This Row],[Type]]="checklist-flat"),1+IF(changes[[#This Row],[Type of change]] = "Edit",COUNTIFS($I$4:changes[[#This Row],[Name]],changes[[#This Row],[Name]], $E$4:changes[[#This Row],[Type of change]], "Edit")),B2288)</f>
        <v>2</v>
      </c>
      <c r="C2289" s="16">
        <v>44841</v>
      </c>
      <c r="D2289" s="1" t="s">
        <v>2924</v>
      </c>
      <c r="E2289" t="s">
        <v>15</v>
      </c>
      <c r="F2289" s="10" t="s">
        <v>9</v>
      </c>
      <c r="G2289" s="10" t="s">
        <v>1530</v>
      </c>
      <c r="H2289" s="19" t="s">
        <v>64</v>
      </c>
      <c r="I2289" s="21" t="s">
        <v>94</v>
      </c>
      <c r="J2289" s="22"/>
      <c r="K2289" s="2" t="s">
        <v>2921</v>
      </c>
      <c r="L2289" s="2" t="s">
        <v>2925</v>
      </c>
      <c r="M2289" s="2"/>
    </row>
    <row r="2290" spans="1:14" ht="15.75">
      <c r="A2290" t="s">
        <v>28</v>
      </c>
      <c r="B2290">
        <f ca="1">IF(OR(changes[[#This Row],[Type]]="Checklist",changes[[#This Row],[Type]]="checklist-flat"),1+IF(changes[[#This Row],[Type of change]] = "Edit",COUNTIFS($I$4:changes[[#This Row],[Name]],changes[[#This Row],[Name]], $E$4:changes[[#This Row],[Type of change]], "Edit")),B2289)</f>
        <v>2</v>
      </c>
      <c r="C2290" s="16">
        <v>44861</v>
      </c>
      <c r="D2290" s="1" t="s">
        <v>2450</v>
      </c>
      <c r="E2290" t="s">
        <v>15</v>
      </c>
      <c r="F2290" s="10" t="s">
        <v>52</v>
      </c>
      <c r="G2290" s="21" t="s">
        <v>1585</v>
      </c>
      <c r="H2290" s="19" t="s">
        <v>478</v>
      </c>
      <c r="I2290" s="21" t="s">
        <v>1585</v>
      </c>
      <c r="J2290" s="22"/>
      <c r="K2290" s="2"/>
      <c r="M2290" s="2"/>
      <c r="N2290" t="s">
        <v>2931</v>
      </c>
    </row>
    <row r="2291" spans="1:14" ht="15.75">
      <c r="A2291" t="s">
        <v>28</v>
      </c>
      <c r="B2291">
        <f ca="1">IF(OR(changes[[#This Row],[Type]]="Checklist",changes[[#This Row],[Type]]="checklist-flat"),1+IF(changes[[#This Row],[Type of change]] = "Edit",COUNTIFS($I$4:changes[[#This Row],[Name]],changes[[#This Row],[Name]], $E$4:changes[[#This Row],[Type of change]], "Edit")),B2290)</f>
        <v>2</v>
      </c>
      <c r="C2291" s="16">
        <v>44861</v>
      </c>
      <c r="D2291" s="1" t="s">
        <v>2450</v>
      </c>
      <c r="E2291" t="s">
        <v>15</v>
      </c>
      <c r="F2291" s="10" t="s">
        <v>52</v>
      </c>
      <c r="G2291" s="21" t="s">
        <v>1585</v>
      </c>
      <c r="H2291" s="2" t="s">
        <v>479</v>
      </c>
      <c r="I2291" s="18" t="s">
        <v>1586</v>
      </c>
      <c r="J2291" s="23"/>
      <c r="K2291" s="2"/>
      <c r="M2291" s="2"/>
    </row>
    <row r="2292" spans="1:14" ht="15.75">
      <c r="A2292" t="s">
        <v>28</v>
      </c>
      <c r="B2292">
        <f ca="1">IF(OR(changes[[#This Row],[Type]]="Checklist",changes[[#This Row],[Type]]="checklist-flat"),1+IF(changes[[#This Row],[Type of change]] = "Edit",COUNTIFS($I$4:changes[[#This Row],[Name]],changes[[#This Row],[Name]], $E$4:changes[[#This Row],[Type of change]], "Edit")),B2291)</f>
        <v>2</v>
      </c>
      <c r="C2292" s="16">
        <v>44861</v>
      </c>
      <c r="D2292" s="1" t="s">
        <v>2450</v>
      </c>
      <c r="E2292" t="s">
        <v>15</v>
      </c>
      <c r="F2292" s="10" t="s">
        <v>52</v>
      </c>
      <c r="G2292" s="21" t="s">
        <v>1585</v>
      </c>
      <c r="H2292" s="2" t="s">
        <v>722</v>
      </c>
      <c r="I2292" s="18" t="s">
        <v>1586</v>
      </c>
      <c r="J2292" s="23"/>
      <c r="K2292" s="2"/>
      <c r="M2292" s="2"/>
    </row>
    <row r="2293" spans="1:14" ht="15.75">
      <c r="A2293" t="s">
        <v>28</v>
      </c>
      <c r="B2293">
        <f ca="1">IF(OR(changes[[#This Row],[Type]]="Checklist",changes[[#This Row],[Type]]="checklist-flat"),1+IF(changes[[#This Row],[Type of change]] = "Edit",COUNTIFS($I$4:changes[[#This Row],[Name]],changes[[#This Row],[Name]], $E$4:changes[[#This Row],[Type of change]], "Edit")),B2292)</f>
        <v>2</v>
      </c>
      <c r="C2293" s="16">
        <v>44861</v>
      </c>
      <c r="D2293" s="1" t="s">
        <v>2450</v>
      </c>
      <c r="E2293" t="s">
        <v>15</v>
      </c>
      <c r="F2293" s="10" t="s">
        <v>52</v>
      </c>
      <c r="G2293" s="21" t="s">
        <v>1585</v>
      </c>
      <c r="H2293" s="2" t="s">
        <v>214</v>
      </c>
      <c r="I2293" s="18" t="s">
        <v>1587</v>
      </c>
      <c r="J2293" s="23"/>
      <c r="K2293" s="2"/>
      <c r="M2293" s="2"/>
    </row>
    <row r="2294" spans="1:14" ht="15.75">
      <c r="A2294" t="s">
        <v>28</v>
      </c>
      <c r="B2294">
        <f ca="1">IF(OR(changes[[#This Row],[Type]]="Checklist",changes[[#This Row],[Type]]="checklist-flat"),1+IF(changes[[#This Row],[Type of change]] = "Edit",COUNTIFS($I$4:changes[[#This Row],[Name]],changes[[#This Row],[Name]], $E$4:changes[[#This Row],[Type of change]], "Edit")),B2293)</f>
        <v>2</v>
      </c>
      <c r="C2294" s="16">
        <v>44861</v>
      </c>
      <c r="D2294" s="1" t="s">
        <v>2450</v>
      </c>
      <c r="E2294" t="s">
        <v>15</v>
      </c>
      <c r="F2294" s="10" t="s">
        <v>52</v>
      </c>
      <c r="G2294" s="21" t="s">
        <v>1585</v>
      </c>
      <c r="H2294" s="2" t="s">
        <v>99</v>
      </c>
      <c r="I2294" s="18" t="s">
        <v>1588</v>
      </c>
      <c r="J2294" s="23"/>
      <c r="K2294" s="2"/>
      <c r="M2294" s="2"/>
    </row>
    <row r="2295" spans="1:14" ht="15.75">
      <c r="A2295" t="s">
        <v>28</v>
      </c>
      <c r="B2295">
        <f ca="1">IF(OR(changes[[#This Row],[Type]]="Checklist",changes[[#This Row],[Type]]="checklist-flat"),1+IF(changes[[#This Row],[Type of change]] = "Edit",COUNTIFS($I$4:changes[[#This Row],[Name]],changes[[#This Row],[Name]], $E$4:changes[[#This Row],[Type of change]], "Edit")),B2294)</f>
        <v>2</v>
      </c>
      <c r="C2295" s="16">
        <v>44861</v>
      </c>
      <c r="D2295" s="1" t="s">
        <v>2450</v>
      </c>
      <c r="E2295" t="s">
        <v>15</v>
      </c>
      <c r="F2295" s="10" t="s">
        <v>52</v>
      </c>
      <c r="G2295" s="21" t="s">
        <v>1585</v>
      </c>
      <c r="H2295" s="2" t="s">
        <v>99</v>
      </c>
      <c r="I2295" s="18" t="s">
        <v>1589</v>
      </c>
      <c r="J2295" s="23"/>
      <c r="K2295" s="2"/>
      <c r="M2295" s="2"/>
    </row>
    <row r="2296" spans="1:14" ht="15.75">
      <c r="A2296" t="s">
        <v>28</v>
      </c>
      <c r="B2296">
        <f ca="1">IF(OR(changes[[#This Row],[Type]]="Checklist",changes[[#This Row],[Type]]="checklist-flat"),1+IF(changes[[#This Row],[Type of change]] = "Edit",COUNTIFS($I$4:changes[[#This Row],[Name]],changes[[#This Row],[Name]], $E$4:changes[[#This Row],[Type of change]], "Edit")),B2295)</f>
        <v>2</v>
      </c>
      <c r="C2296" s="16">
        <v>44861</v>
      </c>
      <c r="D2296" s="1" t="s">
        <v>2450</v>
      </c>
      <c r="E2296" t="s">
        <v>15</v>
      </c>
      <c r="F2296" s="10" t="s">
        <v>52</v>
      </c>
      <c r="G2296" s="21" t="s">
        <v>1585</v>
      </c>
      <c r="H2296" s="2" t="s">
        <v>55</v>
      </c>
      <c r="I2296" s="18" t="s">
        <v>1590</v>
      </c>
      <c r="J2296" s="23"/>
      <c r="K2296" s="2"/>
      <c r="M2296" s="2"/>
    </row>
    <row r="2297" spans="1:14" ht="15.75">
      <c r="A2297" t="s">
        <v>28</v>
      </c>
      <c r="B2297">
        <f ca="1">IF(OR(changes[[#This Row],[Type]]="Checklist",changes[[#This Row],[Type]]="checklist-flat"),1+IF(changes[[#This Row],[Type of change]] = "Edit",COUNTIFS($I$4:changes[[#This Row],[Name]],changes[[#This Row],[Name]], $E$4:changes[[#This Row],[Type of change]], "Edit")),B2296)</f>
        <v>2</v>
      </c>
      <c r="C2297" s="16">
        <v>44861</v>
      </c>
      <c r="D2297" s="1" t="s">
        <v>2450</v>
      </c>
      <c r="E2297" t="s">
        <v>15</v>
      </c>
      <c r="F2297" s="10" t="s">
        <v>52</v>
      </c>
      <c r="G2297" s="21" t="s">
        <v>1585</v>
      </c>
      <c r="H2297" s="2" t="s">
        <v>55</v>
      </c>
      <c r="I2297" s="18" t="s">
        <v>1591</v>
      </c>
      <c r="J2297" s="23"/>
      <c r="K2297" s="2"/>
      <c r="M2297" s="2"/>
    </row>
    <row r="2298" spans="1:14" ht="15.75">
      <c r="A2298" t="s">
        <v>28</v>
      </c>
      <c r="B2298">
        <f ca="1">IF(OR(changes[[#This Row],[Type]]="Checklist",changes[[#This Row],[Type]]="checklist-flat"),1+IF(changes[[#This Row],[Type of change]] = "Edit",COUNTIFS($I$4:changes[[#This Row],[Name]],changes[[#This Row],[Name]], $E$4:changes[[#This Row],[Type of change]], "Edit")),B2297)</f>
        <v>2</v>
      </c>
      <c r="C2298" s="16">
        <v>44861</v>
      </c>
      <c r="D2298" s="1" t="s">
        <v>2450</v>
      </c>
      <c r="E2298" t="s">
        <v>15</v>
      </c>
      <c r="F2298" s="10" t="s">
        <v>52</v>
      </c>
      <c r="G2298" s="21" t="s">
        <v>1585</v>
      </c>
      <c r="H2298" s="2" t="s">
        <v>55</v>
      </c>
      <c r="I2298" s="18" t="s">
        <v>1592</v>
      </c>
      <c r="J2298" s="23"/>
      <c r="K2298" s="2"/>
      <c r="M2298" s="2"/>
    </row>
    <row r="2299" spans="1:14" ht="15.75">
      <c r="A2299" t="s">
        <v>28</v>
      </c>
      <c r="B2299">
        <f ca="1">IF(OR(changes[[#This Row],[Type]]="Checklist",changes[[#This Row],[Type]]="checklist-flat"),1+IF(changes[[#This Row],[Type of change]] = "Edit",COUNTIFS($I$4:changes[[#This Row],[Name]],changes[[#This Row],[Name]], $E$4:changes[[#This Row],[Type of change]], "Edit")),B2298)</f>
        <v>2</v>
      </c>
      <c r="C2299" s="16">
        <v>44861</v>
      </c>
      <c r="D2299" s="1" t="s">
        <v>2450</v>
      </c>
      <c r="E2299" t="s">
        <v>15</v>
      </c>
      <c r="F2299" s="10" t="s">
        <v>52</v>
      </c>
      <c r="G2299" s="21" t="s">
        <v>1585</v>
      </c>
      <c r="H2299" s="2" t="s">
        <v>55</v>
      </c>
      <c r="I2299" s="18" t="s">
        <v>1593</v>
      </c>
      <c r="J2299" s="23"/>
      <c r="K2299" s="2"/>
      <c r="M2299" s="2"/>
    </row>
    <row r="2300" spans="1:14" ht="15.75">
      <c r="A2300" t="s">
        <v>28</v>
      </c>
      <c r="B2300">
        <f ca="1">IF(OR(changes[[#This Row],[Type]]="Checklist",changes[[#This Row],[Type]]="checklist-flat"),1+IF(changes[[#This Row],[Type of change]] = "Edit",COUNTIFS($I$4:changes[[#This Row],[Name]],changes[[#This Row],[Name]], $E$4:changes[[#This Row],[Type of change]], "Edit")),B2299)</f>
        <v>2</v>
      </c>
      <c r="C2300" s="16">
        <v>44861</v>
      </c>
      <c r="D2300" s="1" t="s">
        <v>2450</v>
      </c>
      <c r="E2300" t="s">
        <v>15</v>
      </c>
      <c r="F2300" s="10" t="s">
        <v>52</v>
      </c>
      <c r="G2300" s="21" t="s">
        <v>1585</v>
      </c>
      <c r="H2300" s="2" t="s">
        <v>55</v>
      </c>
      <c r="I2300" s="18" t="s">
        <v>1594</v>
      </c>
      <c r="J2300" s="23"/>
      <c r="K2300" s="2"/>
      <c r="M2300" s="2"/>
    </row>
    <row r="2301" spans="1:14" ht="15.75">
      <c r="A2301" t="s">
        <v>28</v>
      </c>
      <c r="B2301">
        <f ca="1">IF(OR(changes[[#This Row],[Type]]="Checklist",changes[[#This Row],[Type]]="checklist-flat"),1+IF(changes[[#This Row],[Type of change]] = "Edit",COUNTIFS($I$4:changes[[#This Row],[Name]],changes[[#This Row],[Name]], $E$4:changes[[#This Row],[Type of change]], "Edit")),B2300)</f>
        <v>2</v>
      </c>
      <c r="C2301" s="16">
        <v>44861</v>
      </c>
      <c r="D2301" s="1" t="s">
        <v>2450</v>
      </c>
      <c r="E2301" t="s">
        <v>15</v>
      </c>
      <c r="F2301" s="10" t="s">
        <v>52</v>
      </c>
      <c r="G2301" s="56" t="s">
        <v>1585</v>
      </c>
      <c r="H2301" s="19" t="s">
        <v>55</v>
      </c>
      <c r="I2301" s="21" t="s">
        <v>1595</v>
      </c>
      <c r="J2301" s="22"/>
      <c r="K2301" s="2"/>
      <c r="M2301" s="2" t="s">
        <v>2856</v>
      </c>
    </row>
    <row r="2302" spans="1:14" ht="15.75">
      <c r="A2302" t="s">
        <v>28</v>
      </c>
      <c r="B2302">
        <f ca="1">IF(OR(changes[[#This Row],[Type]]="Checklist",changes[[#This Row],[Type]]="checklist-flat"),1+IF(changes[[#This Row],[Type of change]] = "Edit",COUNTIFS($I$4:changes[[#This Row],[Name]],changes[[#This Row],[Name]], $E$4:changes[[#This Row],[Type of change]], "Edit")),B2301)</f>
        <v>2</v>
      </c>
      <c r="C2302" s="16">
        <v>44861</v>
      </c>
      <c r="D2302" s="1" t="s">
        <v>2450</v>
      </c>
      <c r="E2302" t="s">
        <v>15</v>
      </c>
      <c r="F2302" s="10" t="s">
        <v>52</v>
      </c>
      <c r="G2302" s="21" t="s">
        <v>1585</v>
      </c>
      <c r="H2302" s="2" t="s">
        <v>479</v>
      </c>
      <c r="I2302" s="18" t="s">
        <v>1596</v>
      </c>
      <c r="J2302" s="23"/>
      <c r="K2302" s="2"/>
      <c r="M2302" s="2"/>
    </row>
    <row r="2303" spans="1:14" ht="15.75">
      <c r="A2303" t="s">
        <v>28</v>
      </c>
      <c r="B2303">
        <f ca="1">IF(OR(changes[[#This Row],[Type]]="Checklist",changes[[#This Row],[Type]]="checklist-flat"),1+IF(changes[[#This Row],[Type of change]] = "Edit",COUNTIFS($I$4:changes[[#This Row],[Name]],changes[[#This Row],[Name]], $E$4:changes[[#This Row],[Type of change]], "Edit")),B2302)</f>
        <v>2</v>
      </c>
      <c r="C2303" s="16">
        <v>44861</v>
      </c>
      <c r="D2303" s="1" t="s">
        <v>2450</v>
      </c>
      <c r="E2303" t="s">
        <v>15</v>
      </c>
      <c r="F2303" s="10" t="s">
        <v>52</v>
      </c>
      <c r="G2303" s="21" t="s">
        <v>1585</v>
      </c>
      <c r="H2303" s="2" t="s">
        <v>55</v>
      </c>
      <c r="I2303" s="18" t="s">
        <v>1597</v>
      </c>
      <c r="J2303" s="23"/>
      <c r="K2303" s="2"/>
      <c r="M2303" s="2"/>
    </row>
    <row r="2304" spans="1:14" ht="15.75">
      <c r="A2304" t="s">
        <v>28</v>
      </c>
      <c r="B2304">
        <f ca="1">IF(OR(changes[[#This Row],[Type]]="Checklist",changes[[#This Row],[Type]]="checklist-flat"),1+IF(changes[[#This Row],[Type of change]] = "Edit",COUNTIFS($I$4:changes[[#This Row],[Name]],changes[[#This Row],[Name]], $E$4:changes[[#This Row],[Type of change]], "Edit")),B2303)</f>
        <v>2</v>
      </c>
      <c r="C2304" s="16">
        <v>44861</v>
      </c>
      <c r="D2304" s="1" t="s">
        <v>2450</v>
      </c>
      <c r="E2304" t="s">
        <v>15</v>
      </c>
      <c r="F2304" s="10" t="s">
        <v>52</v>
      </c>
      <c r="G2304" s="21" t="s">
        <v>1585</v>
      </c>
      <c r="H2304" s="2" t="s">
        <v>55</v>
      </c>
      <c r="I2304" s="18" t="s">
        <v>1598</v>
      </c>
      <c r="J2304" s="23"/>
      <c r="K2304" s="2"/>
      <c r="M2304" s="2"/>
    </row>
    <row r="2305" spans="1:14" ht="15.75">
      <c r="A2305" t="s">
        <v>28</v>
      </c>
      <c r="B2305">
        <f ca="1">IF(OR(changes[[#This Row],[Type]]="Checklist",changes[[#This Row],[Type]]="checklist-flat"),1+IF(changes[[#This Row],[Type of change]] = "Edit",COUNTIFS($I$4:changes[[#This Row],[Name]],changes[[#This Row],[Name]], $E$4:changes[[#This Row],[Type of change]], "Edit")),B2304)</f>
        <v>2</v>
      </c>
      <c r="C2305" s="16">
        <v>44861</v>
      </c>
      <c r="D2305" s="1" t="s">
        <v>2450</v>
      </c>
      <c r="E2305" t="s">
        <v>15</v>
      </c>
      <c r="F2305" s="10" t="s">
        <v>52</v>
      </c>
      <c r="G2305" s="21" t="s">
        <v>1585</v>
      </c>
      <c r="H2305" s="2" t="s">
        <v>55</v>
      </c>
      <c r="I2305" s="18" t="s">
        <v>1599</v>
      </c>
      <c r="J2305" s="23"/>
      <c r="K2305" s="2"/>
      <c r="M2305" s="2"/>
    </row>
    <row r="2306" spans="1:14" ht="15.75">
      <c r="A2306" t="s">
        <v>28</v>
      </c>
      <c r="B2306">
        <f ca="1">IF(OR(changes[[#This Row],[Type]]="Checklist",changes[[#This Row],[Type]]="checklist-flat"),1+IF(changes[[#This Row],[Type of change]] = "Edit",COUNTIFS($I$4:changes[[#This Row],[Name]],changes[[#This Row],[Name]], $E$4:changes[[#This Row],[Type of change]], "Edit")),B2305)</f>
        <v>2</v>
      </c>
      <c r="C2306" s="16">
        <v>44861</v>
      </c>
      <c r="D2306" s="1" t="s">
        <v>2450</v>
      </c>
      <c r="E2306" t="s">
        <v>15</v>
      </c>
      <c r="F2306" s="10" t="s">
        <v>52</v>
      </c>
      <c r="G2306" s="21" t="s">
        <v>1585</v>
      </c>
      <c r="H2306" s="2" t="s">
        <v>55</v>
      </c>
      <c r="I2306" s="18" t="s">
        <v>1600</v>
      </c>
      <c r="J2306" s="23"/>
      <c r="K2306" s="2"/>
      <c r="M2306" s="2"/>
    </row>
    <row r="2307" spans="1:14" ht="15.75">
      <c r="A2307" t="s">
        <v>28</v>
      </c>
      <c r="B2307">
        <f ca="1">IF(OR(changes[[#This Row],[Type]]="Checklist",changes[[#This Row],[Type]]="checklist-flat"),1+IF(changes[[#This Row],[Type of change]] = "Edit",COUNTIFS($I$4:changes[[#This Row],[Name]],changes[[#This Row],[Name]], $E$4:changes[[#This Row],[Type of change]], "Edit")),B2306)</f>
        <v>2</v>
      </c>
      <c r="C2307" s="16">
        <v>44861</v>
      </c>
      <c r="D2307" s="1" t="s">
        <v>2450</v>
      </c>
      <c r="E2307" t="s">
        <v>15</v>
      </c>
      <c r="F2307" s="10" t="s">
        <v>52</v>
      </c>
      <c r="G2307" s="21" t="s">
        <v>1585</v>
      </c>
      <c r="H2307" s="2" t="s">
        <v>55</v>
      </c>
      <c r="I2307" s="18" t="s">
        <v>1601</v>
      </c>
      <c r="J2307" s="23"/>
      <c r="K2307" s="2"/>
      <c r="M2307" s="2"/>
    </row>
    <row r="2308" spans="1:14" ht="15.75">
      <c r="A2308" t="s">
        <v>28</v>
      </c>
      <c r="B2308">
        <f ca="1">IF(OR(changes[[#This Row],[Type]]="Checklist",changes[[#This Row],[Type]]="checklist-flat"),1+IF(changes[[#This Row],[Type of change]] = "Edit",COUNTIFS($I$4:changes[[#This Row],[Name]],changes[[#This Row],[Name]], $E$4:changes[[#This Row],[Type of change]], "Edit")),B2307)</f>
        <v>2</v>
      </c>
      <c r="C2308" s="16">
        <v>44861</v>
      </c>
      <c r="D2308" s="1" t="s">
        <v>2450</v>
      </c>
      <c r="E2308" t="s">
        <v>15</v>
      </c>
      <c r="F2308" s="10" t="s">
        <v>52</v>
      </c>
      <c r="G2308" s="21" t="s">
        <v>1585</v>
      </c>
      <c r="H2308" s="2" t="s">
        <v>55</v>
      </c>
      <c r="I2308" s="18" t="s">
        <v>1602</v>
      </c>
      <c r="J2308" s="23"/>
      <c r="K2308" s="2"/>
      <c r="M2308" s="2"/>
    </row>
    <row r="2309" spans="1:14" ht="15.75">
      <c r="A2309" t="s">
        <v>28</v>
      </c>
      <c r="B2309">
        <f ca="1">IF(OR(changes[[#This Row],[Type]]="Checklist",changes[[#This Row],[Type]]="checklist-flat"),1+IF(changes[[#This Row],[Type of change]] = "Edit",COUNTIFS($I$4:changes[[#This Row],[Name]],changes[[#This Row],[Name]], $E$4:changes[[#This Row],[Type of change]], "Edit")),B2308)</f>
        <v>2</v>
      </c>
      <c r="C2309" s="16">
        <v>44861</v>
      </c>
      <c r="D2309" s="1" t="s">
        <v>2450</v>
      </c>
      <c r="E2309" t="s">
        <v>15</v>
      </c>
      <c r="F2309" s="10" t="s">
        <v>52</v>
      </c>
      <c r="G2309" s="21" t="s">
        <v>1585</v>
      </c>
      <c r="H2309" s="2" t="s">
        <v>55</v>
      </c>
      <c r="I2309" s="18" t="s">
        <v>1603</v>
      </c>
      <c r="J2309" s="23"/>
      <c r="K2309" s="2"/>
      <c r="M2309" s="2"/>
    </row>
    <row r="2310" spans="1:14" ht="15.75">
      <c r="A2310" t="s">
        <v>28</v>
      </c>
      <c r="B2310">
        <f ca="1">IF(OR(changes[[#This Row],[Type]]="Checklist",changes[[#This Row],[Type]]="checklist-flat"),1+IF(changes[[#This Row],[Type of change]] = "Edit",COUNTIFS($I$4:changes[[#This Row],[Name]],changes[[#This Row],[Name]], $E$4:changes[[#This Row],[Type of change]], "Edit")),B2309)</f>
        <v>2</v>
      </c>
      <c r="C2310" s="16">
        <v>44861</v>
      </c>
      <c r="D2310" s="1" t="s">
        <v>2450</v>
      </c>
      <c r="E2310" t="s">
        <v>15</v>
      </c>
      <c r="F2310" s="10" t="s">
        <v>52</v>
      </c>
      <c r="G2310" s="21" t="s">
        <v>1585</v>
      </c>
      <c r="H2310" s="2" t="s">
        <v>55</v>
      </c>
      <c r="I2310" s="18" t="s">
        <v>1604</v>
      </c>
      <c r="J2310" s="23"/>
      <c r="K2310" s="2"/>
      <c r="M2310" s="2"/>
    </row>
    <row r="2311" spans="1:14" ht="15.75">
      <c r="A2311" t="s">
        <v>28</v>
      </c>
      <c r="B2311">
        <f ca="1">IF(OR(changes[[#This Row],[Type]]="Checklist",changes[[#This Row],[Type]]="checklist-flat"),1+IF(changes[[#This Row],[Type of change]] = "Edit",COUNTIFS($I$4:changes[[#This Row],[Name]],changes[[#This Row],[Name]], $E$4:changes[[#This Row],[Type of change]], "Edit")),B2310)</f>
        <v>2</v>
      </c>
      <c r="C2311" s="16">
        <v>44861</v>
      </c>
      <c r="D2311" s="1" t="s">
        <v>2450</v>
      </c>
      <c r="E2311" t="s">
        <v>15</v>
      </c>
      <c r="F2311" s="10" t="s">
        <v>52</v>
      </c>
      <c r="G2311" s="21" t="s">
        <v>1585</v>
      </c>
      <c r="H2311" s="2" t="s">
        <v>479</v>
      </c>
      <c r="I2311" s="18" t="s">
        <v>1605</v>
      </c>
      <c r="J2311" s="23"/>
      <c r="K2311" s="2"/>
      <c r="M2311" s="2"/>
    </row>
    <row r="2312" spans="1:14" ht="15.75">
      <c r="A2312" t="s">
        <v>28</v>
      </c>
      <c r="B2312">
        <f ca="1">IF(OR(changes[[#This Row],[Type]]="Checklist",changes[[#This Row],[Type]]="checklist-flat"),1+IF(changes[[#This Row],[Type of change]] = "Edit",COUNTIFS($I$4:changes[[#This Row],[Name]],changes[[#This Row],[Name]], $E$4:changes[[#This Row],[Type of change]], "Edit")),B2311)</f>
        <v>2</v>
      </c>
      <c r="C2312" s="16">
        <v>44861</v>
      </c>
      <c r="D2312" s="1" t="s">
        <v>2450</v>
      </c>
      <c r="E2312" t="s">
        <v>15</v>
      </c>
      <c r="F2312" s="10" t="s">
        <v>52</v>
      </c>
      <c r="G2312" s="21" t="s">
        <v>1585</v>
      </c>
      <c r="H2312" s="2" t="s">
        <v>722</v>
      </c>
      <c r="I2312" s="18" t="s">
        <v>1605</v>
      </c>
      <c r="J2312" s="23"/>
      <c r="K2312" s="2"/>
      <c r="M2312" s="2"/>
    </row>
    <row r="2313" spans="1:14" ht="15.75">
      <c r="A2313" t="s">
        <v>28</v>
      </c>
      <c r="B2313">
        <f ca="1">IF(OR(changes[[#This Row],[Type]]="Checklist",changes[[#This Row],[Type]]="checklist-flat"),1+IF(changes[[#This Row],[Type of change]] = "Edit",COUNTIFS($I$4:changes[[#This Row],[Name]],changes[[#This Row],[Name]], $E$4:changes[[#This Row],[Type of change]], "Edit")),B2312)</f>
        <v>2</v>
      </c>
      <c r="C2313" s="16">
        <v>44861</v>
      </c>
      <c r="D2313" s="1" t="s">
        <v>2450</v>
      </c>
      <c r="E2313" t="s">
        <v>15</v>
      </c>
      <c r="F2313" s="10" t="s">
        <v>52</v>
      </c>
      <c r="G2313" s="21" t="s">
        <v>1585</v>
      </c>
      <c r="H2313" s="2" t="s">
        <v>214</v>
      </c>
      <c r="I2313" s="18" t="s">
        <v>1606</v>
      </c>
      <c r="J2313" s="23"/>
      <c r="K2313" s="2"/>
      <c r="M2313" s="2"/>
    </row>
    <row r="2314" spans="1:14" ht="15.75">
      <c r="A2314" t="s">
        <v>28</v>
      </c>
      <c r="B2314">
        <f ca="1">IF(OR(changes[[#This Row],[Type]]="Checklist",changes[[#This Row],[Type]]="checklist-flat"),1+IF(changes[[#This Row],[Type of change]] = "Edit",COUNTIFS($I$4:changes[[#This Row],[Name]],changes[[#This Row],[Name]], $E$4:changes[[#This Row],[Type of change]], "Edit")),B2313)</f>
        <v>2</v>
      </c>
      <c r="C2314" s="16">
        <v>44861</v>
      </c>
      <c r="D2314" s="1" t="s">
        <v>2450</v>
      </c>
      <c r="E2314" t="s">
        <v>15</v>
      </c>
      <c r="F2314" s="10" t="s">
        <v>52</v>
      </c>
      <c r="G2314" s="21" t="s">
        <v>1585</v>
      </c>
      <c r="H2314" s="2" t="s">
        <v>55</v>
      </c>
      <c r="I2314" s="18" t="s">
        <v>1607</v>
      </c>
      <c r="J2314" s="23"/>
      <c r="K2314" s="2"/>
      <c r="M2314" s="2"/>
    </row>
    <row r="2315" spans="1:14" ht="15.75">
      <c r="A2315" t="s">
        <v>28</v>
      </c>
      <c r="B2315">
        <f ca="1">IF(OR(changes[[#This Row],[Type]]="Checklist",changes[[#This Row],[Type]]="checklist-flat"),1+IF(changes[[#This Row],[Type of change]] = "Edit",COUNTIFS($I$4:changes[[#This Row],[Name]],changes[[#This Row],[Name]], $E$4:changes[[#This Row],[Type of change]], "Edit")),B2314)</f>
        <v>2</v>
      </c>
      <c r="C2315" s="16">
        <v>44861</v>
      </c>
      <c r="D2315" s="1" t="s">
        <v>2450</v>
      </c>
      <c r="E2315" t="s">
        <v>15</v>
      </c>
      <c r="F2315" s="10" t="s">
        <v>52</v>
      </c>
      <c r="G2315" s="21" t="s">
        <v>1585</v>
      </c>
      <c r="H2315" s="2" t="s">
        <v>55</v>
      </c>
      <c r="I2315" s="18" t="s">
        <v>1608</v>
      </c>
      <c r="J2315" s="23"/>
      <c r="K2315" s="2"/>
      <c r="M2315" s="2"/>
    </row>
    <row r="2316" spans="1:14" ht="15.75">
      <c r="A2316" t="s">
        <v>28</v>
      </c>
      <c r="B2316">
        <f ca="1">IF(OR(changes[[#This Row],[Type]]="Checklist",changes[[#This Row],[Type]]="checklist-flat"),1+IF(changes[[#This Row],[Type of change]] = "Edit",COUNTIFS($I$4:changes[[#This Row],[Name]],changes[[#This Row],[Name]], $E$4:changes[[#This Row],[Type of change]], "Edit")),B2315)</f>
        <v>2</v>
      </c>
      <c r="C2316" s="16">
        <v>44861</v>
      </c>
      <c r="D2316" s="1" t="s">
        <v>2450</v>
      </c>
      <c r="E2316" t="s">
        <v>15</v>
      </c>
      <c r="F2316" s="10" t="s">
        <v>52</v>
      </c>
      <c r="G2316" s="21" t="s">
        <v>1585</v>
      </c>
      <c r="H2316" s="2" t="s">
        <v>55</v>
      </c>
      <c r="I2316" s="18" t="s">
        <v>1609</v>
      </c>
      <c r="J2316" s="23"/>
      <c r="K2316" s="2"/>
      <c r="M2316" s="2"/>
    </row>
    <row r="2317" spans="1:14" ht="15.75">
      <c r="A2317" t="s">
        <v>28</v>
      </c>
      <c r="B2317">
        <f ca="1">IF(OR(changes[[#This Row],[Type]]="Checklist",changes[[#This Row],[Type]]="checklist-flat"),1+IF(changes[[#This Row],[Type of change]] = "Edit",COUNTIFS($I$4:changes[[#This Row],[Name]],changes[[#This Row],[Name]], $E$4:changes[[#This Row],[Type of change]], "Edit")),B2316)</f>
        <v>2</v>
      </c>
      <c r="C2317" s="16">
        <v>44861</v>
      </c>
      <c r="D2317" s="1" t="s">
        <v>2450</v>
      </c>
      <c r="E2317" t="s">
        <v>15</v>
      </c>
      <c r="F2317" s="10" t="s">
        <v>9</v>
      </c>
      <c r="G2317" s="21" t="s">
        <v>1585</v>
      </c>
      <c r="H2317" s="2" t="s">
        <v>64</v>
      </c>
      <c r="I2317" s="18" t="s">
        <v>1610</v>
      </c>
      <c r="J2317" s="23"/>
      <c r="K2317" s="2"/>
      <c r="M2317" s="2"/>
    </row>
    <row r="2318" spans="1:14" ht="15.75">
      <c r="A2318" t="s">
        <v>28</v>
      </c>
      <c r="B2318">
        <f ca="1">IF(OR(changes[[#This Row],[Type]]="Checklist",changes[[#This Row],[Type]]="checklist-flat"),1+IF(changes[[#This Row],[Type of change]] = "Edit",COUNTIFS($I$4:changes[[#This Row],[Name]],changes[[#This Row],[Name]], $E$4:changes[[#This Row],[Type of change]], "Edit")),B2317)</f>
        <v>1</v>
      </c>
      <c r="C2318" s="16">
        <v>44861</v>
      </c>
      <c r="D2318" s="1" t="s">
        <v>2450</v>
      </c>
      <c r="E2318" t="s">
        <v>27</v>
      </c>
      <c r="F2318" s="10" t="s">
        <v>9</v>
      </c>
      <c r="G2318" s="21" t="s">
        <v>2932</v>
      </c>
      <c r="H2318" s="19" t="s">
        <v>47</v>
      </c>
      <c r="I2318" s="21" t="s">
        <v>2932</v>
      </c>
      <c r="J2318" s="22"/>
      <c r="K2318" s="2" t="s">
        <v>31</v>
      </c>
      <c r="L2318" t="s">
        <v>2933</v>
      </c>
      <c r="M2318" s="2"/>
      <c r="N2318" t="s">
        <v>2934</v>
      </c>
    </row>
    <row r="2319" spans="1:14" ht="15.75">
      <c r="A2319" t="s">
        <v>28</v>
      </c>
      <c r="B2319">
        <f ca="1">IF(OR(changes[[#This Row],[Type]]="Checklist",changes[[#This Row],[Type]]="checklist-flat"),1+IF(changes[[#This Row],[Type of change]] = "Edit",COUNTIFS($I$4:changes[[#This Row],[Name]],changes[[#This Row],[Name]], $E$4:changes[[#This Row],[Type of change]], "Edit")),B2318)</f>
        <v>1</v>
      </c>
      <c r="C2319" s="16">
        <v>44861</v>
      </c>
      <c r="D2319" s="1" t="s">
        <v>2450</v>
      </c>
      <c r="E2319" t="s">
        <v>27</v>
      </c>
      <c r="F2319" s="10" t="s">
        <v>9</v>
      </c>
      <c r="G2319" s="21" t="s">
        <v>2932</v>
      </c>
      <c r="H2319" s="2" t="s">
        <v>269</v>
      </c>
      <c r="I2319" s="18" t="s">
        <v>2935</v>
      </c>
      <c r="J2319" s="23"/>
      <c r="K2319" s="2" t="s">
        <v>31</v>
      </c>
      <c r="L2319" t="s">
        <v>2933</v>
      </c>
      <c r="M2319" s="2"/>
      <c r="N2319" t="s">
        <v>2936</v>
      </c>
    </row>
    <row r="2320" spans="1:14" ht="15.75">
      <c r="A2320" t="s">
        <v>28</v>
      </c>
      <c r="B2320">
        <f ca="1">IF(OR(changes[[#This Row],[Type]]="Checklist",changes[[#This Row],[Type]]="checklist-flat"),1+IF(changes[[#This Row],[Type of change]] = "Edit",COUNTIFS($I$4:changes[[#This Row],[Name]],changes[[#This Row],[Name]], $E$4:changes[[#This Row],[Type of change]], "Edit")),B2319)</f>
        <v>1</v>
      </c>
      <c r="C2320" s="16">
        <v>44861</v>
      </c>
      <c r="D2320" s="1" t="s">
        <v>2450</v>
      </c>
      <c r="E2320" t="s">
        <v>27</v>
      </c>
      <c r="F2320" s="10" t="s">
        <v>9</v>
      </c>
      <c r="G2320" s="21" t="s">
        <v>2932</v>
      </c>
      <c r="H2320" s="2" t="s">
        <v>214</v>
      </c>
      <c r="I2320" s="18" t="s">
        <v>2937</v>
      </c>
      <c r="J2320" s="23"/>
      <c r="K2320" s="2" t="s">
        <v>31</v>
      </c>
      <c r="L2320" t="s">
        <v>2933</v>
      </c>
      <c r="M2320" s="2"/>
      <c r="N2320" t="s">
        <v>2936</v>
      </c>
    </row>
    <row r="2321" spans="1:14" ht="15.75">
      <c r="A2321" t="s">
        <v>28</v>
      </c>
      <c r="B2321">
        <f ca="1">IF(OR(changes[[#This Row],[Type]]="Checklist",changes[[#This Row],[Type]]="checklist-flat"),1+IF(changes[[#This Row],[Type of change]] = "Edit",COUNTIFS($I$4:changes[[#This Row],[Name]],changes[[#This Row],[Name]], $E$4:changes[[#This Row],[Type of change]], "Edit")),B2320)</f>
        <v>1</v>
      </c>
      <c r="C2321" s="16">
        <v>44861</v>
      </c>
      <c r="D2321" s="1" t="s">
        <v>2450</v>
      </c>
      <c r="E2321" t="s">
        <v>27</v>
      </c>
      <c r="F2321" s="10" t="s">
        <v>9</v>
      </c>
      <c r="G2321" s="21" t="s">
        <v>2932</v>
      </c>
      <c r="H2321" s="2" t="s">
        <v>269</v>
      </c>
      <c r="I2321" s="18" t="s">
        <v>2938</v>
      </c>
      <c r="J2321" s="23"/>
      <c r="K2321" s="2" t="s">
        <v>31</v>
      </c>
      <c r="L2321" t="s">
        <v>2933</v>
      </c>
      <c r="M2321" s="2"/>
      <c r="N2321" t="s">
        <v>2936</v>
      </c>
    </row>
    <row r="2322" spans="1:14" ht="15.75">
      <c r="A2322" t="s">
        <v>28</v>
      </c>
      <c r="B2322">
        <f ca="1">IF(OR(changes[[#This Row],[Type]]="Checklist",changes[[#This Row],[Type]]="checklist-flat"),1+IF(changes[[#This Row],[Type of change]] = "Edit",COUNTIFS($I$4:changes[[#This Row],[Name]],changes[[#This Row],[Name]], $E$4:changes[[#This Row],[Type of change]], "Edit")),B2321)</f>
        <v>1</v>
      </c>
      <c r="C2322" s="16">
        <v>44861</v>
      </c>
      <c r="D2322" s="1" t="s">
        <v>2450</v>
      </c>
      <c r="E2322" t="s">
        <v>27</v>
      </c>
      <c r="F2322" s="10" t="s">
        <v>9</v>
      </c>
      <c r="G2322" s="21" t="s">
        <v>2932</v>
      </c>
      <c r="H2322" s="2" t="s">
        <v>269</v>
      </c>
      <c r="I2322" s="18" t="s">
        <v>2939</v>
      </c>
      <c r="J2322" s="23"/>
      <c r="K2322" s="2" t="s">
        <v>31</v>
      </c>
      <c r="L2322" t="s">
        <v>2933</v>
      </c>
      <c r="M2322" s="2"/>
      <c r="N2322" t="s">
        <v>2936</v>
      </c>
    </row>
    <row r="2323" spans="1:14" ht="15.75">
      <c r="A2323" t="s">
        <v>28</v>
      </c>
      <c r="B2323">
        <f ca="1">IF(OR(changes[[#This Row],[Type]]="Checklist",changes[[#This Row],[Type]]="checklist-flat"),1+IF(changes[[#This Row],[Type of change]] = "Edit",COUNTIFS($I$4:changes[[#This Row],[Name]],changes[[#This Row],[Name]], $E$4:changes[[#This Row],[Type of change]], "Edit")),B2322)</f>
        <v>1</v>
      </c>
      <c r="C2323" s="16">
        <v>44861</v>
      </c>
      <c r="D2323" s="1" t="s">
        <v>2450</v>
      </c>
      <c r="E2323" t="s">
        <v>27</v>
      </c>
      <c r="F2323" s="10" t="s">
        <v>9</v>
      </c>
      <c r="G2323" s="21" t="s">
        <v>2932</v>
      </c>
      <c r="H2323" s="2" t="s">
        <v>1047</v>
      </c>
      <c r="I2323" s="18" t="s">
        <v>2940</v>
      </c>
      <c r="J2323" s="23"/>
      <c r="K2323" s="2" t="s">
        <v>31</v>
      </c>
      <c r="L2323" t="s">
        <v>2933</v>
      </c>
      <c r="M2323" s="2"/>
      <c r="N2323" t="s">
        <v>2936</v>
      </c>
    </row>
    <row r="2324" spans="1:14" ht="15.75">
      <c r="A2324" t="s">
        <v>28</v>
      </c>
      <c r="B2324">
        <f ca="1">IF(OR(changes[[#This Row],[Type]]="Checklist",changes[[#This Row],[Type]]="checklist-flat"),1+IF(changes[[#This Row],[Type of change]] = "Edit",COUNTIFS($I$4:changes[[#This Row],[Name]],changes[[#This Row],[Name]], $E$4:changes[[#This Row],[Type of change]], "Edit")),B2323)</f>
        <v>1</v>
      </c>
      <c r="C2324" s="16">
        <v>44861</v>
      </c>
      <c r="D2324" s="1" t="s">
        <v>2450</v>
      </c>
      <c r="E2324" t="s">
        <v>27</v>
      </c>
      <c r="F2324" s="10" t="s">
        <v>9</v>
      </c>
      <c r="G2324" s="21" t="s">
        <v>2932</v>
      </c>
      <c r="H2324" s="2" t="s">
        <v>64</v>
      </c>
      <c r="I2324" s="18" t="s">
        <v>2941</v>
      </c>
      <c r="J2324" s="23"/>
      <c r="K2324" s="2" t="s">
        <v>31</v>
      </c>
      <c r="L2324" t="s">
        <v>2933</v>
      </c>
      <c r="M2324" s="2"/>
      <c r="N2324" t="s">
        <v>2936</v>
      </c>
    </row>
    <row r="2325" spans="1:14" ht="15.75">
      <c r="A2325" t="s">
        <v>20</v>
      </c>
      <c r="B2325">
        <f ca="1">IF(OR(changes[[#This Row],[Type]]="Checklist",changes[[#This Row],[Type]]="checklist-flat"),1+IF(changes[[#This Row],[Type of change]] = "Edit",COUNTIFS($I$4:changes[[#This Row],[Name]],changes[[#This Row],[Name]], $E$4:changes[[#This Row],[Type of change]], "Edit")),B2324)</f>
        <v>1</v>
      </c>
      <c r="C2325" s="16">
        <v>44867</v>
      </c>
      <c r="D2325" s="1" t="s">
        <v>2942</v>
      </c>
      <c r="E2325" t="s">
        <v>27</v>
      </c>
      <c r="F2325" s="10" t="s">
        <v>9</v>
      </c>
      <c r="G2325" s="21" t="s">
        <v>2943</v>
      </c>
      <c r="H2325" s="19" t="s">
        <v>1950</v>
      </c>
      <c r="I2325" s="21" t="s">
        <v>2943</v>
      </c>
      <c r="J2325" s="22"/>
      <c r="K2325" s="2" t="s">
        <v>6</v>
      </c>
      <c r="L2325" t="s">
        <v>2944</v>
      </c>
      <c r="M2325" s="2"/>
      <c r="N2325" t="s">
        <v>2945</v>
      </c>
    </row>
    <row r="2326" spans="1:14" ht="15.75">
      <c r="A2326" t="s">
        <v>20</v>
      </c>
      <c r="B2326">
        <f ca="1">IF(OR(changes[[#This Row],[Type]]="Checklist",changes[[#This Row],[Type]]="checklist-flat"),1+IF(changes[[#This Row],[Type of change]] = "Edit",COUNTIFS($I$4:changes[[#This Row],[Name]],changes[[#This Row],[Name]], $E$4:changes[[#This Row],[Type of change]], "Edit")),B2325)</f>
        <v>1</v>
      </c>
      <c r="C2326" s="16">
        <v>44867</v>
      </c>
      <c r="D2326" s="1" t="s">
        <v>2942</v>
      </c>
      <c r="E2326" t="s">
        <v>27</v>
      </c>
      <c r="F2326" s="10" t="s">
        <v>9</v>
      </c>
      <c r="G2326" s="21" t="s">
        <v>2943</v>
      </c>
      <c r="H2326" s="2" t="s">
        <v>55</v>
      </c>
      <c r="I2326" s="57" t="s">
        <v>2946</v>
      </c>
      <c r="J2326" s="23"/>
      <c r="K2326" s="2" t="s">
        <v>6</v>
      </c>
      <c r="L2326" t="s">
        <v>2944</v>
      </c>
      <c r="M2326" s="2"/>
    </row>
    <row r="2327" spans="1:14" ht="15.75">
      <c r="A2327" t="s">
        <v>20</v>
      </c>
      <c r="B2327">
        <f ca="1">IF(OR(changes[[#This Row],[Type]]="Checklist",changes[[#This Row],[Type]]="checklist-flat"),1+IF(changes[[#This Row],[Type of change]] = "Edit",COUNTIFS($I$4:changes[[#This Row],[Name]],changes[[#This Row],[Name]], $E$4:changes[[#This Row],[Type of change]], "Edit")),B2326)</f>
        <v>1</v>
      </c>
      <c r="C2327" s="16">
        <v>44867</v>
      </c>
      <c r="D2327" s="1" t="s">
        <v>2942</v>
      </c>
      <c r="E2327" t="s">
        <v>27</v>
      </c>
      <c r="F2327" s="10" t="s">
        <v>9</v>
      </c>
      <c r="G2327" s="21" t="s">
        <v>2943</v>
      </c>
      <c r="H2327" s="2" t="s">
        <v>55</v>
      </c>
      <c r="I2327" s="57" t="s">
        <v>2947</v>
      </c>
      <c r="J2327" s="23"/>
      <c r="K2327" s="2" t="s">
        <v>6</v>
      </c>
      <c r="L2327" t="s">
        <v>2944</v>
      </c>
      <c r="M2327" s="2"/>
    </row>
    <row r="2328" spans="1:14" ht="15.75">
      <c r="A2328" t="s">
        <v>20</v>
      </c>
      <c r="B2328">
        <f ca="1">IF(OR(changes[[#This Row],[Type]]="Checklist",changes[[#This Row],[Type]]="checklist-flat"),1+IF(changes[[#This Row],[Type of change]] = "Edit",COUNTIFS($I$4:changes[[#This Row],[Name]],changes[[#This Row],[Name]], $E$4:changes[[#This Row],[Type of change]], "Edit")),B2327)</f>
        <v>1</v>
      </c>
      <c r="C2328" s="16">
        <v>44867</v>
      </c>
      <c r="D2328" s="1" t="s">
        <v>2942</v>
      </c>
      <c r="E2328" t="s">
        <v>27</v>
      </c>
      <c r="F2328" s="10" t="s">
        <v>9</v>
      </c>
      <c r="G2328" s="21" t="s">
        <v>2943</v>
      </c>
      <c r="H2328" s="2" t="s">
        <v>55</v>
      </c>
      <c r="I2328" s="57" t="s">
        <v>2948</v>
      </c>
      <c r="J2328" s="23"/>
      <c r="K2328" s="2" t="s">
        <v>6</v>
      </c>
      <c r="L2328" t="s">
        <v>2944</v>
      </c>
      <c r="M2328" s="2"/>
    </row>
    <row r="2329" spans="1:14" ht="15.75">
      <c r="A2329" t="s">
        <v>20</v>
      </c>
      <c r="B2329">
        <f ca="1">IF(OR(changes[[#This Row],[Type]]="Checklist",changes[[#This Row],[Type]]="checklist-flat"),1+IF(changes[[#This Row],[Type of change]] = "Edit",COUNTIFS($I$4:changes[[#This Row],[Name]],changes[[#This Row],[Name]], $E$4:changes[[#This Row],[Type of change]], "Edit")),B2328)</f>
        <v>1</v>
      </c>
      <c r="C2329" s="16">
        <v>44867</v>
      </c>
      <c r="D2329" s="1" t="s">
        <v>2942</v>
      </c>
      <c r="E2329" t="s">
        <v>27</v>
      </c>
      <c r="F2329" s="10" t="s">
        <v>9</v>
      </c>
      <c r="G2329" s="21" t="s">
        <v>2943</v>
      </c>
      <c r="H2329" s="2" t="s">
        <v>55</v>
      </c>
      <c r="I2329" s="57" t="s">
        <v>2949</v>
      </c>
      <c r="J2329" s="23"/>
      <c r="K2329" s="2" t="s">
        <v>6</v>
      </c>
      <c r="L2329" t="s">
        <v>2944</v>
      </c>
      <c r="M2329" s="2"/>
    </row>
    <row r="2330" spans="1:14" ht="15.75">
      <c r="A2330" t="s">
        <v>20</v>
      </c>
      <c r="B2330">
        <f ca="1">IF(OR(changes[[#This Row],[Type]]="Checklist",changes[[#This Row],[Type]]="checklist-flat"),1+IF(changes[[#This Row],[Type of change]] = "Edit",COUNTIFS($I$4:changes[[#This Row],[Name]],changes[[#This Row],[Name]], $E$4:changes[[#This Row],[Type of change]], "Edit")),B2329)</f>
        <v>1</v>
      </c>
      <c r="C2330" s="16">
        <v>44867</v>
      </c>
      <c r="D2330" s="1" t="s">
        <v>2942</v>
      </c>
      <c r="E2330" t="s">
        <v>27</v>
      </c>
      <c r="F2330" s="10" t="s">
        <v>9</v>
      </c>
      <c r="G2330" s="21" t="s">
        <v>2943</v>
      </c>
      <c r="H2330" s="2" t="s">
        <v>55</v>
      </c>
      <c r="I2330" s="57" t="s">
        <v>2950</v>
      </c>
      <c r="J2330" s="23"/>
      <c r="K2330" s="2" t="s">
        <v>6</v>
      </c>
      <c r="L2330" t="s">
        <v>2944</v>
      </c>
      <c r="M2330" s="2"/>
    </row>
    <row r="2331" spans="1:14" ht="15.75">
      <c r="A2331" t="s">
        <v>20</v>
      </c>
      <c r="B2331">
        <f ca="1">IF(OR(changes[[#This Row],[Type]]="Checklist",changes[[#This Row],[Type]]="checklist-flat"),1+IF(changes[[#This Row],[Type of change]] = "Edit",COUNTIFS($I$4:changes[[#This Row],[Name]],changes[[#This Row],[Name]], $E$4:changes[[#This Row],[Type of change]], "Edit")),B2330)</f>
        <v>1</v>
      </c>
      <c r="C2331" s="16">
        <v>44867</v>
      </c>
      <c r="D2331" s="1" t="s">
        <v>2942</v>
      </c>
      <c r="E2331" t="s">
        <v>27</v>
      </c>
      <c r="F2331" s="10" t="s">
        <v>9</v>
      </c>
      <c r="G2331" s="21" t="s">
        <v>2943</v>
      </c>
      <c r="H2331" s="2" t="s">
        <v>55</v>
      </c>
      <c r="I2331" s="57" t="s">
        <v>2951</v>
      </c>
      <c r="J2331" s="23"/>
      <c r="K2331" s="2" t="s">
        <v>6</v>
      </c>
      <c r="L2331" t="s">
        <v>2944</v>
      </c>
      <c r="M2331" s="2"/>
    </row>
    <row r="2332" spans="1:14" ht="15.75">
      <c r="A2332" t="s">
        <v>20</v>
      </c>
      <c r="B2332">
        <f ca="1">IF(OR(changes[[#This Row],[Type]]="Checklist",changes[[#This Row],[Type]]="checklist-flat"),1+IF(changes[[#This Row],[Type of change]] = "Edit",COUNTIFS($I$4:changes[[#This Row],[Name]],changes[[#This Row],[Name]], $E$4:changes[[#This Row],[Type of change]], "Edit")),B2331)</f>
        <v>1</v>
      </c>
      <c r="C2332" s="16">
        <v>44867</v>
      </c>
      <c r="D2332" s="1" t="s">
        <v>2942</v>
      </c>
      <c r="E2332" t="s">
        <v>27</v>
      </c>
      <c r="F2332" s="10" t="s">
        <v>9</v>
      </c>
      <c r="G2332" s="21" t="s">
        <v>2943</v>
      </c>
      <c r="H2332" s="2" t="s">
        <v>55</v>
      </c>
      <c r="I2332" s="57" t="s">
        <v>2952</v>
      </c>
      <c r="J2332" s="23"/>
      <c r="K2332" s="2" t="s">
        <v>6</v>
      </c>
      <c r="L2332" t="s">
        <v>2944</v>
      </c>
      <c r="M2332" s="2"/>
    </row>
    <row r="2333" spans="1:14" ht="15.75">
      <c r="A2333" t="s">
        <v>20</v>
      </c>
      <c r="B2333">
        <f ca="1">IF(OR(changes[[#This Row],[Type]]="Checklist",changes[[#This Row],[Type]]="checklist-flat"),1+IF(changes[[#This Row],[Type of change]] = "Edit",COUNTIFS($I$4:changes[[#This Row],[Name]],changes[[#This Row],[Name]], $E$4:changes[[#This Row],[Type of change]], "Edit")),B2332)</f>
        <v>1</v>
      </c>
      <c r="C2333" s="16">
        <v>44867</v>
      </c>
      <c r="D2333" s="1" t="s">
        <v>2942</v>
      </c>
      <c r="E2333" t="s">
        <v>27</v>
      </c>
      <c r="F2333" s="10" t="s">
        <v>9</v>
      </c>
      <c r="G2333" s="21" t="s">
        <v>2943</v>
      </c>
      <c r="H2333" s="2" t="s">
        <v>55</v>
      </c>
      <c r="I2333" s="57" t="s">
        <v>2953</v>
      </c>
      <c r="J2333" s="23"/>
      <c r="K2333" s="2" t="s">
        <v>6</v>
      </c>
      <c r="L2333" t="s">
        <v>2944</v>
      </c>
      <c r="M2333" s="2"/>
    </row>
    <row r="2334" spans="1:14" ht="15.75">
      <c r="A2334" t="s">
        <v>20</v>
      </c>
      <c r="B2334">
        <f ca="1">IF(OR(changes[[#This Row],[Type]]="Checklist",changes[[#This Row],[Type]]="checklist-flat"),1+IF(changes[[#This Row],[Type of change]] = "Edit",COUNTIFS($I$4:changes[[#This Row],[Name]],changes[[#This Row],[Name]], $E$4:changes[[#This Row],[Type of change]], "Edit")),B2333)</f>
        <v>1</v>
      </c>
      <c r="C2334" s="16">
        <v>44867</v>
      </c>
      <c r="D2334" s="1" t="s">
        <v>2942</v>
      </c>
      <c r="E2334" t="s">
        <v>27</v>
      </c>
      <c r="F2334" s="10" t="s">
        <v>9</v>
      </c>
      <c r="G2334" s="21" t="s">
        <v>2943</v>
      </c>
      <c r="H2334" s="2" t="s">
        <v>55</v>
      </c>
      <c r="I2334" s="57" t="s">
        <v>2954</v>
      </c>
      <c r="J2334" s="23"/>
      <c r="K2334" s="2" t="s">
        <v>6</v>
      </c>
      <c r="L2334" t="s">
        <v>2944</v>
      </c>
      <c r="M2334" s="2"/>
    </row>
    <row r="2335" spans="1:14" ht="15.75">
      <c r="A2335" t="s">
        <v>20</v>
      </c>
      <c r="B2335">
        <f ca="1">IF(OR(changes[[#This Row],[Type]]="Checklist",changes[[#This Row],[Type]]="checklist-flat"),1+IF(changes[[#This Row],[Type of change]] = "Edit",COUNTIFS($I$4:changes[[#This Row],[Name]],changes[[#This Row],[Name]], $E$4:changes[[#This Row],[Type of change]], "Edit")),B2334)</f>
        <v>1</v>
      </c>
      <c r="C2335" s="16">
        <v>44867</v>
      </c>
      <c r="D2335" s="1" t="s">
        <v>2942</v>
      </c>
      <c r="E2335" t="s">
        <v>27</v>
      </c>
      <c r="F2335" s="10" t="s">
        <v>9</v>
      </c>
      <c r="G2335" s="21" t="s">
        <v>2943</v>
      </c>
      <c r="H2335" s="2" t="s">
        <v>55</v>
      </c>
      <c r="I2335" s="21" t="s">
        <v>2955</v>
      </c>
      <c r="J2335" s="22"/>
      <c r="K2335" s="2" t="s">
        <v>6</v>
      </c>
      <c r="L2335" t="s">
        <v>2944</v>
      </c>
      <c r="M2335" s="2"/>
    </row>
    <row r="2336" spans="1:14" ht="15.75">
      <c r="A2336" t="s">
        <v>20</v>
      </c>
      <c r="B2336">
        <f ca="1">IF(OR(changes[[#This Row],[Type]]="Checklist",changes[[#This Row],[Type]]="checklist-flat"),1+IF(changes[[#This Row],[Type of change]] = "Edit",COUNTIFS($I$4:changes[[#This Row],[Name]],changes[[#This Row],[Name]], $E$4:changes[[#This Row],[Type of change]], "Edit")),B2335)</f>
        <v>1</v>
      </c>
      <c r="C2336" s="16">
        <v>44867</v>
      </c>
      <c r="D2336" s="1" t="s">
        <v>2942</v>
      </c>
      <c r="E2336" t="s">
        <v>27</v>
      </c>
      <c r="F2336" s="10" t="s">
        <v>9</v>
      </c>
      <c r="G2336" s="21" t="s">
        <v>2943</v>
      </c>
      <c r="H2336" s="2" t="s">
        <v>55</v>
      </c>
      <c r="I2336" s="21" t="s">
        <v>2956</v>
      </c>
      <c r="J2336" s="22"/>
      <c r="K2336" s="2" t="s">
        <v>6</v>
      </c>
      <c r="L2336" t="s">
        <v>2944</v>
      </c>
      <c r="M2336" s="2"/>
    </row>
    <row r="2337" spans="1:13" ht="15.75">
      <c r="A2337" t="s">
        <v>20</v>
      </c>
      <c r="B2337">
        <f ca="1">IF(OR(changes[[#This Row],[Type]]="Checklist",changes[[#This Row],[Type]]="checklist-flat"),1+IF(changes[[#This Row],[Type of change]] = "Edit",COUNTIFS($I$4:changes[[#This Row],[Name]],changes[[#This Row],[Name]], $E$4:changes[[#This Row],[Type of change]], "Edit")),B2336)</f>
        <v>1</v>
      </c>
      <c r="C2337" s="16">
        <v>44867</v>
      </c>
      <c r="D2337" s="1" t="s">
        <v>2942</v>
      </c>
      <c r="E2337" t="s">
        <v>27</v>
      </c>
      <c r="F2337" s="10" t="s">
        <v>9</v>
      </c>
      <c r="G2337" s="21" t="s">
        <v>2943</v>
      </c>
      <c r="H2337" s="2" t="s">
        <v>55</v>
      </c>
      <c r="I2337" s="57" t="s">
        <v>2957</v>
      </c>
      <c r="J2337" s="23"/>
      <c r="K2337" s="2" t="s">
        <v>6</v>
      </c>
      <c r="L2337" t="s">
        <v>2944</v>
      </c>
      <c r="M2337" s="2"/>
    </row>
    <row r="2338" spans="1:13" ht="15.75">
      <c r="A2338" t="s">
        <v>20</v>
      </c>
      <c r="B2338">
        <f ca="1">IF(OR(changes[[#This Row],[Type]]="Checklist",changes[[#This Row],[Type]]="checklist-flat"),1+IF(changes[[#This Row],[Type of change]] = "Edit",COUNTIFS($I$4:changes[[#This Row],[Name]],changes[[#This Row],[Name]], $E$4:changes[[#This Row],[Type of change]], "Edit")),B2337)</f>
        <v>1</v>
      </c>
      <c r="C2338" s="16">
        <v>44867</v>
      </c>
      <c r="D2338" s="1" t="s">
        <v>2942</v>
      </c>
      <c r="E2338" t="s">
        <v>27</v>
      </c>
      <c r="F2338" s="10" t="s">
        <v>9</v>
      </c>
      <c r="G2338" s="21" t="s">
        <v>2943</v>
      </c>
      <c r="H2338" s="2" t="s">
        <v>55</v>
      </c>
      <c r="I2338" s="57" t="s">
        <v>2958</v>
      </c>
      <c r="J2338" s="23"/>
      <c r="K2338" s="2" t="s">
        <v>6</v>
      </c>
      <c r="L2338" t="s">
        <v>2944</v>
      </c>
      <c r="M2338" s="2"/>
    </row>
    <row r="2339" spans="1:13" ht="15.75">
      <c r="A2339" t="s">
        <v>20</v>
      </c>
      <c r="B2339">
        <f ca="1">IF(OR(changes[[#This Row],[Type]]="Checklist",changes[[#This Row],[Type]]="checklist-flat"),1+IF(changes[[#This Row],[Type of change]] = "Edit",COUNTIFS($I$4:changes[[#This Row],[Name]],changes[[#This Row],[Name]], $E$4:changes[[#This Row],[Type of change]], "Edit")),B2338)</f>
        <v>1</v>
      </c>
      <c r="C2339" s="16">
        <v>44867</v>
      </c>
      <c r="D2339" s="1" t="s">
        <v>2942</v>
      </c>
      <c r="E2339" t="s">
        <v>27</v>
      </c>
      <c r="F2339" s="10" t="s">
        <v>9</v>
      </c>
      <c r="G2339" s="21" t="s">
        <v>2943</v>
      </c>
      <c r="H2339" s="19" t="s">
        <v>55</v>
      </c>
      <c r="I2339" s="21" t="s">
        <v>1609</v>
      </c>
      <c r="J2339" s="22"/>
      <c r="K2339" s="2" t="s">
        <v>6</v>
      </c>
      <c r="L2339" t="s">
        <v>2944</v>
      </c>
      <c r="M2339" s="2"/>
    </row>
    <row r="2340" spans="1:13" ht="15.75">
      <c r="A2340" t="s">
        <v>20</v>
      </c>
      <c r="B2340">
        <f ca="1">IF(OR(changes[[#This Row],[Type]]="Checklist",changes[[#This Row],[Type]]="checklist-flat"),1+IF(changes[[#This Row],[Type of change]] = "Edit",COUNTIFS($I$4:changes[[#This Row],[Name]],changes[[#This Row],[Name]], $E$4:changes[[#This Row],[Type of change]], "Edit")),B2339)</f>
        <v>1</v>
      </c>
      <c r="C2340" s="16">
        <v>44867</v>
      </c>
      <c r="D2340" s="1" t="s">
        <v>2942</v>
      </c>
      <c r="E2340" t="s">
        <v>27</v>
      </c>
      <c r="F2340" s="10" t="s">
        <v>9</v>
      </c>
      <c r="G2340" s="21" t="s">
        <v>2943</v>
      </c>
      <c r="H2340" s="2" t="s">
        <v>64</v>
      </c>
      <c r="I2340" s="18" t="s">
        <v>1610</v>
      </c>
      <c r="J2340" s="23"/>
      <c r="K2340" s="2" t="s">
        <v>6</v>
      </c>
      <c r="L2340" t="s">
        <v>2944</v>
      </c>
      <c r="M2340" s="2"/>
    </row>
    <row r="2341" spans="1:13">
      <c r="A2341" t="s">
        <v>28</v>
      </c>
      <c r="B2341">
        <f ca="1">IF(OR(changes[[#This Row],[Type]]="Checklist",changes[[#This Row],[Type]]="checklist-flat"),1+IF(changes[[#This Row],[Type of change]] = "Edit",COUNTIFS($I$4:changes[[#This Row],[Name]],changes[[#This Row],[Name]], $E$4:changes[[#This Row],[Type of change]], "Edit")),B2340)</f>
        <v>1</v>
      </c>
      <c r="C2341" s="16">
        <v>44873</v>
      </c>
      <c r="D2341" s="1" t="s">
        <v>2920</v>
      </c>
      <c r="E2341" t="s">
        <v>27</v>
      </c>
      <c r="F2341" s="10" t="s">
        <v>52</v>
      </c>
      <c r="G2341" s="10" t="s">
        <v>1243</v>
      </c>
      <c r="H2341" s="10" t="s">
        <v>54</v>
      </c>
      <c r="I2341" s="10" t="s">
        <v>1243</v>
      </c>
      <c r="J2341" s="23"/>
      <c r="K2341" s="2" t="s">
        <v>6</v>
      </c>
      <c r="M2341" s="2"/>
    </row>
    <row r="2342" spans="1:13" ht="15.75">
      <c r="A2342" t="s">
        <v>28</v>
      </c>
      <c r="B2342">
        <f ca="1">IF(OR(changes[[#This Row],[Type]]="Checklist",changes[[#This Row],[Type]]="checklist-flat"),1+IF(changes[[#This Row],[Type of change]] = "Edit",COUNTIFS($I$4:changes[[#This Row],[Name]],changes[[#This Row],[Name]], $E$4:changes[[#This Row],[Type of change]], "Edit")),B2341)</f>
        <v>1</v>
      </c>
      <c r="C2342" s="16">
        <v>44873</v>
      </c>
      <c r="D2342" s="1" t="s">
        <v>2920</v>
      </c>
      <c r="E2342" t="s">
        <v>27</v>
      </c>
      <c r="F2342" s="10" t="s">
        <v>52</v>
      </c>
      <c r="G2342" s="18" t="s">
        <v>1243</v>
      </c>
      <c r="H2342" t="s">
        <v>55</v>
      </c>
      <c r="I2342" t="s">
        <v>62</v>
      </c>
      <c r="J2342" s="22"/>
      <c r="K2342" s="2" t="s">
        <v>6</v>
      </c>
      <c r="M2342" s="2"/>
    </row>
    <row r="2343" spans="1:13" ht="15.75">
      <c r="A2343" t="s">
        <v>28</v>
      </c>
      <c r="B2343">
        <f ca="1">IF(OR(changes[[#This Row],[Type]]="Checklist",changes[[#This Row],[Type]]="checklist-flat"),1+IF(changes[[#This Row],[Type of change]] = "Edit",COUNTIFS($I$4:changes[[#This Row],[Name]],changes[[#This Row],[Name]], $E$4:changes[[#This Row],[Type of change]], "Edit")),B2342)</f>
        <v>1</v>
      </c>
      <c r="C2343" s="16">
        <v>44873</v>
      </c>
      <c r="D2343" s="1" t="s">
        <v>2920</v>
      </c>
      <c r="E2343" t="s">
        <v>27</v>
      </c>
      <c r="F2343" s="10" t="s">
        <v>52</v>
      </c>
      <c r="G2343" s="18" t="s">
        <v>1243</v>
      </c>
      <c r="H2343" t="s">
        <v>55</v>
      </c>
      <c r="I2343" t="s">
        <v>63</v>
      </c>
      <c r="J2343" s="22"/>
      <c r="K2343" s="2" t="s">
        <v>6</v>
      </c>
      <c r="M2343" s="2"/>
    </row>
    <row r="2344" spans="1:13" ht="15.75">
      <c r="A2344" t="s">
        <v>28</v>
      </c>
      <c r="B2344">
        <f ca="1">IF(OR(changes[[#This Row],[Type]]="Checklist",changes[[#This Row],[Type]]="checklist-flat"),1+IF(changes[[#This Row],[Type of change]] = "Edit",COUNTIFS($I$4:changes[[#This Row],[Name]],changes[[#This Row],[Name]], $E$4:changes[[#This Row],[Type of change]], "Edit")),B2343)</f>
        <v>1</v>
      </c>
      <c r="C2344" s="16">
        <v>44873</v>
      </c>
      <c r="D2344" s="1" t="s">
        <v>2920</v>
      </c>
      <c r="E2344" t="s">
        <v>27</v>
      </c>
      <c r="F2344" s="10" t="s">
        <v>52</v>
      </c>
      <c r="G2344" s="18" t="s">
        <v>1243</v>
      </c>
      <c r="H2344" t="s">
        <v>64</v>
      </c>
      <c r="I2344" t="s">
        <v>65</v>
      </c>
      <c r="J2344" s="22"/>
      <c r="K2344" s="2" t="s">
        <v>6</v>
      </c>
      <c r="M2344" s="2"/>
    </row>
    <row r="2345" spans="1:13" ht="15.75">
      <c r="A2345" t="s">
        <v>28</v>
      </c>
      <c r="B2345">
        <f ca="1">IF(OR(changes[[#This Row],[Type]]="Checklist",changes[[#This Row],[Type]]="checklist-flat"),1+IF(changes[[#This Row],[Type of change]] = "Edit",COUNTIFS($I$4:changes[[#This Row],[Name]],changes[[#This Row],[Name]], $E$4:changes[[#This Row],[Type of change]], "Edit")),B2344)</f>
        <v>1</v>
      </c>
      <c r="C2345" s="16">
        <v>44873</v>
      </c>
      <c r="D2345" s="1" t="s">
        <v>2920</v>
      </c>
      <c r="E2345" t="s">
        <v>27</v>
      </c>
      <c r="F2345" s="10" t="s">
        <v>52</v>
      </c>
      <c r="G2345" s="18" t="s">
        <v>1243</v>
      </c>
      <c r="H2345" t="s">
        <v>55</v>
      </c>
      <c r="I2345" t="s">
        <v>660</v>
      </c>
      <c r="J2345" s="22"/>
      <c r="K2345" s="2" t="s">
        <v>6</v>
      </c>
      <c r="M2345" s="2"/>
    </row>
    <row r="2346" spans="1:13">
      <c r="A2346" t="s">
        <v>28</v>
      </c>
      <c r="B2346">
        <f ca="1">IF(OR(changes[[#This Row],[Type]]="Checklist",changes[[#This Row],[Type]]="checklist-flat"),1+IF(changes[[#This Row],[Type of change]] = "Edit",COUNTIFS($I$4:changes[[#This Row],[Name]],changes[[#This Row],[Name]], $E$4:changes[[#This Row],[Type of change]], "Edit")),B2345)</f>
        <v>1</v>
      </c>
      <c r="C2346" s="16">
        <v>44873</v>
      </c>
      <c r="D2346" s="1" t="s">
        <v>2920</v>
      </c>
      <c r="E2346" t="s">
        <v>27</v>
      </c>
      <c r="F2346" s="10" t="s">
        <v>52</v>
      </c>
      <c r="G2346" s="10" t="s">
        <v>1395</v>
      </c>
      <c r="H2346" s="10" t="s">
        <v>54</v>
      </c>
      <c r="I2346" s="10" t="s">
        <v>1395</v>
      </c>
      <c r="J2346" s="23"/>
      <c r="K2346" s="2"/>
      <c r="M2346" s="2"/>
    </row>
    <row r="2347" spans="1:13" ht="15.75">
      <c r="A2347" t="s">
        <v>28</v>
      </c>
      <c r="B2347">
        <f ca="1">IF(OR(changes[[#This Row],[Type]]="Checklist",changes[[#This Row],[Type]]="checklist-flat"),1+IF(changes[[#This Row],[Type of change]] = "Edit",COUNTIFS($I$4:changes[[#This Row],[Name]],changes[[#This Row],[Name]], $E$4:changes[[#This Row],[Type of change]], "Edit")),B2346)</f>
        <v>1</v>
      </c>
      <c r="C2347" s="16">
        <v>44873</v>
      </c>
      <c r="D2347" s="1" t="s">
        <v>2920</v>
      </c>
      <c r="E2347" t="s">
        <v>27</v>
      </c>
      <c r="F2347" s="10" t="s">
        <v>52</v>
      </c>
      <c r="G2347" s="18" t="s">
        <v>1395</v>
      </c>
      <c r="H2347" t="s">
        <v>55</v>
      </c>
      <c r="I2347" t="s">
        <v>62</v>
      </c>
      <c r="J2347" s="22"/>
      <c r="K2347" s="2"/>
      <c r="M2347" s="2"/>
    </row>
    <row r="2348" spans="1:13" ht="15.75">
      <c r="A2348" t="s">
        <v>28</v>
      </c>
      <c r="B2348">
        <f ca="1">IF(OR(changes[[#This Row],[Type]]="Checklist",changes[[#This Row],[Type]]="checklist-flat"),1+IF(changes[[#This Row],[Type of change]] = "Edit",COUNTIFS($I$4:changes[[#This Row],[Name]],changes[[#This Row],[Name]], $E$4:changes[[#This Row],[Type of change]], "Edit")),B2347)</f>
        <v>1</v>
      </c>
      <c r="C2348" s="16">
        <v>44873</v>
      </c>
      <c r="D2348" s="1" t="s">
        <v>2920</v>
      </c>
      <c r="E2348" t="s">
        <v>27</v>
      </c>
      <c r="F2348" s="10" t="s">
        <v>52</v>
      </c>
      <c r="G2348" s="18" t="s">
        <v>1395</v>
      </c>
      <c r="H2348" t="s">
        <v>55</v>
      </c>
      <c r="I2348" t="s">
        <v>63</v>
      </c>
      <c r="J2348" s="22"/>
      <c r="K2348" s="2"/>
      <c r="M2348" s="2"/>
    </row>
    <row r="2349" spans="1:13" ht="15.75">
      <c r="A2349" t="s">
        <v>28</v>
      </c>
      <c r="B2349">
        <f ca="1">IF(OR(changes[[#This Row],[Type]]="Checklist",changes[[#This Row],[Type]]="checklist-flat"),1+IF(changes[[#This Row],[Type of change]] = "Edit",COUNTIFS($I$4:changes[[#This Row],[Name]],changes[[#This Row],[Name]], $E$4:changes[[#This Row],[Type of change]], "Edit")),B2348)</f>
        <v>1</v>
      </c>
      <c r="C2349" s="16">
        <v>44873</v>
      </c>
      <c r="D2349" s="1" t="s">
        <v>2920</v>
      </c>
      <c r="E2349" t="s">
        <v>27</v>
      </c>
      <c r="F2349" s="10" t="s">
        <v>52</v>
      </c>
      <c r="G2349" s="18" t="s">
        <v>1395</v>
      </c>
      <c r="H2349" t="s">
        <v>64</v>
      </c>
      <c r="I2349" t="s">
        <v>65</v>
      </c>
      <c r="J2349" s="22"/>
      <c r="K2349" s="2"/>
      <c r="M2349" s="2"/>
    </row>
    <row r="2350" spans="1:13" ht="15.75">
      <c r="A2350" t="s">
        <v>28</v>
      </c>
      <c r="B2350">
        <f ca="1">IF(OR(changes[[#This Row],[Type]]="Checklist",changes[[#This Row],[Type]]="checklist-flat"),1+IF(changes[[#This Row],[Type of change]] = "Edit",COUNTIFS($I$4:changes[[#This Row],[Name]],changes[[#This Row],[Name]], $E$4:changes[[#This Row],[Type of change]], "Edit")),B2349)</f>
        <v>1</v>
      </c>
      <c r="C2350" s="16">
        <v>44873</v>
      </c>
      <c r="D2350" s="1" t="s">
        <v>2920</v>
      </c>
      <c r="E2350" t="s">
        <v>27</v>
      </c>
      <c r="F2350" s="10" t="s">
        <v>52</v>
      </c>
      <c r="G2350" s="18" t="s">
        <v>1395</v>
      </c>
      <c r="H2350" t="s">
        <v>55</v>
      </c>
      <c r="I2350" t="s">
        <v>660</v>
      </c>
      <c r="J2350" s="22"/>
      <c r="K2350" s="2"/>
      <c r="M2350" s="2"/>
    </row>
    <row r="2351" spans="1:13">
      <c r="A2351" t="s">
        <v>28</v>
      </c>
      <c r="B2351">
        <f ca="1">IF(OR(changes[[#This Row],[Type]]="Checklist",changes[[#This Row],[Type]]="checklist-flat"),1+IF(changes[[#This Row],[Type of change]] = "Edit",COUNTIFS($I$4:changes[[#This Row],[Name]],changes[[#This Row],[Name]], $E$4:changes[[#This Row],[Type of change]], "Edit")),B2350)</f>
        <v>1</v>
      </c>
      <c r="C2351" s="16">
        <v>44873</v>
      </c>
      <c r="D2351" s="1" t="s">
        <v>2920</v>
      </c>
      <c r="E2351" t="s">
        <v>27</v>
      </c>
      <c r="F2351" s="10" t="s">
        <v>52</v>
      </c>
      <c r="G2351" s="10" t="s">
        <v>659</v>
      </c>
      <c r="H2351" s="10" t="s">
        <v>54</v>
      </c>
      <c r="I2351" s="10" t="s">
        <v>659</v>
      </c>
      <c r="J2351" s="23"/>
      <c r="K2351" s="2"/>
      <c r="M2351" s="2"/>
    </row>
    <row r="2352" spans="1:13" ht="15.75">
      <c r="A2352" t="s">
        <v>28</v>
      </c>
      <c r="B2352">
        <f ca="1">IF(OR(changes[[#This Row],[Type]]="Checklist",changes[[#This Row],[Type]]="checklist-flat"),1+IF(changes[[#This Row],[Type of change]] = "Edit",COUNTIFS($I$4:changes[[#This Row],[Name]],changes[[#This Row],[Name]], $E$4:changes[[#This Row],[Type of change]], "Edit")),B2351)</f>
        <v>1</v>
      </c>
      <c r="C2352" s="16">
        <v>44873</v>
      </c>
      <c r="D2352" s="1" t="s">
        <v>2920</v>
      </c>
      <c r="E2352" t="s">
        <v>27</v>
      </c>
      <c r="F2352" s="10" t="s">
        <v>52</v>
      </c>
      <c r="G2352" s="18" t="s">
        <v>659</v>
      </c>
      <c r="H2352" t="s">
        <v>55</v>
      </c>
      <c r="I2352" t="s">
        <v>62</v>
      </c>
      <c r="J2352" s="22"/>
      <c r="K2352" s="2"/>
      <c r="M2352" s="2"/>
    </row>
    <row r="2353" spans="1:13" ht="15.75">
      <c r="A2353" t="s">
        <v>28</v>
      </c>
      <c r="B2353">
        <f ca="1">IF(OR(changes[[#This Row],[Type]]="Checklist",changes[[#This Row],[Type]]="checklist-flat"),1+IF(changes[[#This Row],[Type of change]] = "Edit",COUNTIFS($I$4:changes[[#This Row],[Name]],changes[[#This Row],[Name]], $E$4:changes[[#This Row],[Type of change]], "Edit")),B2352)</f>
        <v>1</v>
      </c>
      <c r="C2353" s="16">
        <v>44873</v>
      </c>
      <c r="D2353" s="1" t="s">
        <v>2920</v>
      </c>
      <c r="E2353" t="s">
        <v>27</v>
      </c>
      <c r="F2353" s="10" t="s">
        <v>52</v>
      </c>
      <c r="G2353" s="18" t="s">
        <v>659</v>
      </c>
      <c r="H2353" t="s">
        <v>55</v>
      </c>
      <c r="I2353" t="s">
        <v>63</v>
      </c>
      <c r="J2353" s="22"/>
      <c r="K2353" s="2"/>
      <c r="M2353" s="2"/>
    </row>
    <row r="2354" spans="1:13" ht="15.75">
      <c r="A2354" t="s">
        <v>28</v>
      </c>
      <c r="B2354">
        <f ca="1">IF(OR(changes[[#This Row],[Type]]="Checklist",changes[[#This Row],[Type]]="checklist-flat"),1+IF(changes[[#This Row],[Type of change]] = "Edit",COUNTIFS($I$4:changes[[#This Row],[Name]],changes[[#This Row],[Name]], $E$4:changes[[#This Row],[Type of change]], "Edit")),B2353)</f>
        <v>1</v>
      </c>
      <c r="C2354" s="16">
        <v>44873</v>
      </c>
      <c r="D2354" s="1" t="s">
        <v>2920</v>
      </c>
      <c r="E2354" t="s">
        <v>27</v>
      </c>
      <c r="F2354" s="10" t="s">
        <v>52</v>
      </c>
      <c r="G2354" s="18" t="s">
        <v>659</v>
      </c>
      <c r="H2354" t="s">
        <v>64</v>
      </c>
      <c r="I2354" t="s">
        <v>65</v>
      </c>
      <c r="J2354" s="22"/>
      <c r="K2354" s="2"/>
      <c r="M2354" s="2"/>
    </row>
    <row r="2355" spans="1:13" ht="15.75">
      <c r="A2355" t="s">
        <v>28</v>
      </c>
      <c r="B2355">
        <f ca="1">IF(OR(changes[[#This Row],[Type]]="Checklist",changes[[#This Row],[Type]]="checklist-flat"),1+IF(changes[[#This Row],[Type of change]] = "Edit",COUNTIFS($I$4:changes[[#This Row],[Name]],changes[[#This Row],[Name]], $E$4:changes[[#This Row],[Type of change]], "Edit")),B2354)</f>
        <v>1</v>
      </c>
      <c r="C2355" s="16">
        <v>44873</v>
      </c>
      <c r="D2355" s="1" t="s">
        <v>2920</v>
      </c>
      <c r="E2355" t="s">
        <v>27</v>
      </c>
      <c r="F2355" s="10" t="s">
        <v>52</v>
      </c>
      <c r="G2355" s="18" t="s">
        <v>659</v>
      </c>
      <c r="H2355" t="s">
        <v>55</v>
      </c>
      <c r="I2355" t="s">
        <v>660</v>
      </c>
      <c r="J2355" s="22"/>
      <c r="K2355" s="2"/>
      <c r="M2355" s="2"/>
    </row>
    <row r="2356" spans="1:13" ht="15.75">
      <c r="A2356" t="s">
        <v>28</v>
      </c>
      <c r="B2356">
        <f ca="1">IF(OR(changes[[#This Row],[Type]]="Checklist",changes[[#This Row],[Type]]="checklist-flat"),1+IF(changes[[#This Row],[Type of change]] = "Edit",COUNTIFS($I$4:changes[[#This Row],[Name]],changes[[#This Row],[Name]], $E$4:changes[[#This Row],[Type of change]], "Edit")),B2355)</f>
        <v>1</v>
      </c>
      <c r="C2356" s="16">
        <v>44873</v>
      </c>
      <c r="D2356" s="1" t="s">
        <v>2920</v>
      </c>
      <c r="E2356" s="10" t="s">
        <v>27</v>
      </c>
      <c r="F2356" s="18" t="s">
        <v>52</v>
      </c>
      <c r="G2356" s="18" t="s">
        <v>1068</v>
      </c>
      <c r="H2356" s="18" t="s">
        <v>54</v>
      </c>
      <c r="I2356" s="18" t="s">
        <v>1068</v>
      </c>
      <c r="J2356" s="23"/>
      <c r="K2356" s="2"/>
      <c r="M2356" s="2"/>
    </row>
    <row r="2357" spans="1:13" ht="15.75">
      <c r="A2357" t="s">
        <v>28</v>
      </c>
      <c r="B2357">
        <f ca="1">IF(OR(changes[[#This Row],[Type]]="Checklist",changes[[#This Row],[Type]]="checklist-flat"),1+IF(changes[[#This Row],[Type of change]] = "Edit",COUNTIFS($I$4:changes[[#This Row],[Name]],changes[[#This Row],[Name]], $E$4:changes[[#This Row],[Type of change]], "Edit")),B2356)</f>
        <v>1</v>
      </c>
      <c r="C2357" s="16">
        <v>44873</v>
      </c>
      <c r="D2357" s="1" t="s">
        <v>2920</v>
      </c>
      <c r="E2357" t="s">
        <v>27</v>
      </c>
      <c r="F2357" s="10" t="s">
        <v>52</v>
      </c>
      <c r="G2357" s="18" t="s">
        <v>1068</v>
      </c>
      <c r="H2357" s="19" t="s">
        <v>55</v>
      </c>
      <c r="I2357" s="21" t="s">
        <v>62</v>
      </c>
      <c r="J2357" s="22"/>
      <c r="K2357" s="2"/>
      <c r="M2357" s="2"/>
    </row>
    <row r="2358" spans="1:13" ht="15.75">
      <c r="A2358" t="s">
        <v>28</v>
      </c>
      <c r="B2358">
        <f ca="1">IF(OR(changes[[#This Row],[Type]]="Checklist",changes[[#This Row],[Type]]="checklist-flat"),1+IF(changes[[#This Row],[Type of change]] = "Edit",COUNTIFS($I$4:changes[[#This Row],[Name]],changes[[#This Row],[Name]], $E$4:changes[[#This Row],[Type of change]], "Edit")),B2357)</f>
        <v>1</v>
      </c>
      <c r="C2358" s="16">
        <v>44873</v>
      </c>
      <c r="D2358" s="1" t="s">
        <v>2920</v>
      </c>
      <c r="E2358" t="s">
        <v>27</v>
      </c>
      <c r="F2358" s="10" t="s">
        <v>52</v>
      </c>
      <c r="G2358" s="18" t="s">
        <v>1068</v>
      </c>
      <c r="H2358" s="2" t="s">
        <v>55</v>
      </c>
      <c r="I2358" s="18" t="s">
        <v>63</v>
      </c>
      <c r="J2358" s="23"/>
      <c r="K2358" s="2"/>
      <c r="M2358" s="2"/>
    </row>
    <row r="2359" spans="1:13" ht="15.75">
      <c r="A2359" t="s">
        <v>28</v>
      </c>
      <c r="B2359">
        <f ca="1">IF(OR(changes[[#This Row],[Type]]="Checklist",changes[[#This Row],[Type]]="checklist-flat"),1+IF(changes[[#This Row],[Type of change]] = "Edit",COUNTIFS($I$4:changes[[#This Row],[Name]],changes[[#This Row],[Name]], $E$4:changes[[#This Row],[Type of change]], "Edit")),B2358)</f>
        <v>1</v>
      </c>
      <c r="C2359" s="16">
        <v>44873</v>
      </c>
      <c r="D2359" s="1" t="s">
        <v>2920</v>
      </c>
      <c r="E2359" t="s">
        <v>27</v>
      </c>
      <c r="F2359" s="10" t="s">
        <v>52</v>
      </c>
      <c r="G2359" s="18" t="s">
        <v>1068</v>
      </c>
      <c r="H2359" s="2" t="s">
        <v>64</v>
      </c>
      <c r="I2359" s="18" t="s">
        <v>65</v>
      </c>
      <c r="J2359" s="23"/>
      <c r="K2359" s="2"/>
      <c r="M2359" s="2"/>
    </row>
    <row r="2360" spans="1:13" ht="15.75">
      <c r="A2360" t="s">
        <v>28</v>
      </c>
      <c r="B2360">
        <f ca="1">IF(OR(changes[[#This Row],[Type]]="Checklist",changes[[#This Row],[Type]]="checklist-flat"),1+IF(changes[[#This Row],[Type of change]] = "Edit",COUNTIFS($I$4:changes[[#This Row],[Name]],changes[[#This Row],[Name]], $E$4:changes[[#This Row],[Type of change]], "Edit")),B2359)</f>
        <v>1</v>
      </c>
      <c r="C2360" s="16">
        <v>44873</v>
      </c>
      <c r="D2360" s="1" t="s">
        <v>2920</v>
      </c>
      <c r="E2360" t="s">
        <v>27</v>
      </c>
      <c r="F2360" s="10" t="s">
        <v>52</v>
      </c>
      <c r="G2360" s="18" t="s">
        <v>1068</v>
      </c>
      <c r="H2360" s="2" t="s">
        <v>55</v>
      </c>
      <c r="I2360" s="18" t="s">
        <v>660</v>
      </c>
      <c r="J2360" s="23"/>
      <c r="K2360" s="2"/>
      <c r="M2360" s="2"/>
    </row>
    <row r="2361" spans="1:13" ht="15.75" customHeight="1">
      <c r="A2361" t="s">
        <v>28</v>
      </c>
      <c r="B2361">
        <f ca="1">IF(OR(changes[[#This Row],[Type]]="Checklist",changes[[#This Row],[Type]]="checklist-flat"),1+IF(changes[[#This Row],[Type of change]] = "Edit",COUNTIFS($I$4:changes[[#This Row],[Name]],changes[[#This Row],[Name]], $E$4:changes[[#This Row],[Type of change]], "Edit")),B2360)</f>
        <v>2</v>
      </c>
      <c r="C2361" s="16">
        <v>44880</v>
      </c>
      <c r="D2361" s="1" t="s">
        <v>2843</v>
      </c>
      <c r="E2361" t="s">
        <v>15</v>
      </c>
      <c r="F2361" s="10" t="s">
        <v>9</v>
      </c>
      <c r="G2361" s="10" t="s">
        <v>1493</v>
      </c>
      <c r="H2361" s="62" t="s">
        <v>478</v>
      </c>
      <c r="I2361" s="62" t="s">
        <v>1493</v>
      </c>
      <c r="J2361" s="22"/>
      <c r="K2361" s="2" t="s">
        <v>6</v>
      </c>
      <c r="L2361" t="s">
        <v>2925</v>
      </c>
      <c r="M2361" s="2"/>
    </row>
    <row r="2362" spans="1:13" ht="15.75">
      <c r="A2362" t="s">
        <v>28</v>
      </c>
      <c r="B2362">
        <f ca="1">IF(OR(changes[[#This Row],[Type]]="Checklist",changes[[#This Row],[Type]]="checklist-flat"),1+IF(changes[[#This Row],[Type of change]] = "Edit",COUNTIFS($I$4:changes[[#This Row],[Name]],changes[[#This Row],[Name]], $E$4:changes[[#This Row],[Type of change]], "Edit")),B2361)</f>
        <v>2</v>
      </c>
      <c r="C2362" s="16">
        <v>44880</v>
      </c>
      <c r="D2362" s="1" t="s">
        <v>2843</v>
      </c>
      <c r="E2362" t="s">
        <v>15</v>
      </c>
      <c r="F2362" s="10" t="s">
        <v>9</v>
      </c>
      <c r="G2362" s="10" t="s">
        <v>1493</v>
      </c>
      <c r="H2362" s="19" t="s">
        <v>479</v>
      </c>
      <c r="I2362" s="21" t="s">
        <v>1397</v>
      </c>
      <c r="J2362" s="22"/>
      <c r="K2362" s="2" t="s">
        <v>6</v>
      </c>
      <c r="L2362" t="s">
        <v>2925</v>
      </c>
      <c r="M2362" s="2"/>
    </row>
    <row r="2363" spans="1:13" ht="15.75">
      <c r="A2363" t="s">
        <v>28</v>
      </c>
      <c r="B2363">
        <f ca="1">IF(OR(changes[[#This Row],[Type]]="Checklist",changes[[#This Row],[Type]]="checklist-flat"),1+IF(changes[[#This Row],[Type of change]] = "Edit",COUNTIFS($I$4:changes[[#This Row],[Name]],changes[[#This Row],[Name]], $E$4:changes[[#This Row],[Type of change]], "Edit")),B2362)</f>
        <v>2</v>
      </c>
      <c r="C2363" s="16">
        <v>44880</v>
      </c>
      <c r="D2363" s="1" t="s">
        <v>2843</v>
      </c>
      <c r="E2363" t="s">
        <v>15</v>
      </c>
      <c r="F2363" s="10" t="s">
        <v>9</v>
      </c>
      <c r="G2363" s="10" t="s">
        <v>1493</v>
      </c>
      <c r="H2363" s="2" t="s">
        <v>55</v>
      </c>
      <c r="I2363" s="18" t="s">
        <v>1494</v>
      </c>
      <c r="J2363" s="23"/>
      <c r="K2363" s="2" t="s">
        <v>6</v>
      </c>
      <c r="L2363" t="s">
        <v>2925</v>
      </c>
      <c r="M2363" s="2"/>
    </row>
    <row r="2364" spans="1:13" ht="15.75" customHeight="1">
      <c r="A2364" t="s">
        <v>28</v>
      </c>
      <c r="B2364">
        <f ca="1">IF(OR(changes[[#This Row],[Type]]="Checklist",changes[[#This Row],[Type]]="checklist-flat"),1+IF(changes[[#This Row],[Type of change]] = "Edit",COUNTIFS($I$4:changes[[#This Row],[Name]],changes[[#This Row],[Name]], $E$4:changes[[#This Row],[Type of change]], "Edit")),B2363)</f>
        <v>2</v>
      </c>
      <c r="C2364" s="16">
        <v>44880</v>
      </c>
      <c r="D2364" s="1" t="s">
        <v>2843</v>
      </c>
      <c r="E2364" t="s">
        <v>15</v>
      </c>
      <c r="F2364" s="10" t="s">
        <v>9</v>
      </c>
      <c r="G2364" s="10" t="s">
        <v>1493</v>
      </c>
      <c r="H2364" s="63" t="s">
        <v>55</v>
      </c>
      <c r="I2364" s="63" t="s">
        <v>1495</v>
      </c>
      <c r="J2364" s="23"/>
      <c r="K2364" s="2" t="s">
        <v>6</v>
      </c>
      <c r="L2364" t="s">
        <v>2925</v>
      </c>
      <c r="M2364" s="2"/>
    </row>
    <row r="2365" spans="1:13" ht="15.75" customHeight="1">
      <c r="A2365" t="s">
        <v>28</v>
      </c>
      <c r="B2365">
        <f ca="1">IF(OR(changes[[#This Row],[Type]]="Checklist",changes[[#This Row],[Type]]="checklist-flat"),1+IF(changes[[#This Row],[Type of change]] = "Edit",COUNTIFS($I$4:changes[[#This Row],[Name]],changes[[#This Row],[Name]], $E$4:changes[[#This Row],[Type of change]], "Edit")),B2364)</f>
        <v>2</v>
      </c>
      <c r="C2365" s="16">
        <v>44880</v>
      </c>
      <c r="D2365" s="1" t="s">
        <v>2843</v>
      </c>
      <c r="E2365" t="s">
        <v>15</v>
      </c>
      <c r="F2365" s="10" t="s">
        <v>9</v>
      </c>
      <c r="G2365" s="10" t="s">
        <v>1493</v>
      </c>
      <c r="H2365" s="63" t="s">
        <v>55</v>
      </c>
      <c r="I2365" s="63" t="s">
        <v>1496</v>
      </c>
      <c r="J2365" s="23"/>
      <c r="K2365" s="2" t="s">
        <v>6</v>
      </c>
      <c r="L2365" t="s">
        <v>2925</v>
      </c>
      <c r="M2365" s="2"/>
    </row>
    <row r="2366" spans="1:13" ht="15.75" customHeight="1">
      <c r="A2366" t="s">
        <v>28</v>
      </c>
      <c r="B2366">
        <f ca="1">IF(OR(changes[[#This Row],[Type]]="Checklist",changes[[#This Row],[Type]]="checklist-flat"),1+IF(changes[[#This Row],[Type of change]] = "Edit",COUNTIFS($I$4:changes[[#This Row],[Name]],changes[[#This Row],[Name]], $E$4:changes[[#This Row],[Type of change]], "Edit")),B2365)</f>
        <v>2</v>
      </c>
      <c r="C2366" s="16">
        <v>44880</v>
      </c>
      <c r="D2366" s="1" t="s">
        <v>2843</v>
      </c>
      <c r="E2366" t="s">
        <v>15</v>
      </c>
      <c r="F2366" s="10" t="s">
        <v>9</v>
      </c>
      <c r="G2366" s="10" t="s">
        <v>1493</v>
      </c>
      <c r="H2366" s="10" t="s">
        <v>55</v>
      </c>
      <c r="I2366" s="10" t="s">
        <v>1497</v>
      </c>
      <c r="J2366" s="23"/>
      <c r="K2366" s="2" t="s">
        <v>6</v>
      </c>
      <c r="L2366" t="s">
        <v>2925</v>
      </c>
      <c r="M2366" s="2"/>
    </row>
    <row r="2367" spans="1:13" ht="15.75">
      <c r="A2367" t="s">
        <v>28</v>
      </c>
      <c r="B2367">
        <f ca="1">IF(OR(changes[[#This Row],[Type]]="Checklist",changes[[#This Row],[Type]]="checklist-flat"),1+IF(changes[[#This Row],[Type of change]] = "Edit",COUNTIFS($I$4:changes[[#This Row],[Name]],changes[[#This Row],[Name]], $E$4:changes[[#This Row],[Type of change]], "Edit")),B2366)</f>
        <v>2</v>
      </c>
      <c r="C2367" s="16">
        <v>44880</v>
      </c>
      <c r="D2367" s="1" t="s">
        <v>2843</v>
      </c>
      <c r="E2367" t="s">
        <v>15</v>
      </c>
      <c r="F2367" s="10" t="s">
        <v>9</v>
      </c>
      <c r="G2367" s="10" t="s">
        <v>1493</v>
      </c>
      <c r="H2367" s="2" t="s">
        <v>479</v>
      </c>
      <c r="I2367" s="18" t="s">
        <v>1402</v>
      </c>
      <c r="J2367" s="23"/>
      <c r="K2367" s="2" t="s">
        <v>6</v>
      </c>
      <c r="L2367" t="s">
        <v>2925</v>
      </c>
      <c r="M2367" s="2"/>
    </row>
    <row r="2368" spans="1:13" ht="15.75">
      <c r="A2368" t="s">
        <v>28</v>
      </c>
      <c r="B2368">
        <f ca="1">IF(OR(changes[[#This Row],[Type]]="Checklist",changes[[#This Row],[Type]]="checklist-flat"),1+IF(changes[[#This Row],[Type of change]] = "Edit",COUNTIFS($I$4:changes[[#This Row],[Name]],changes[[#This Row],[Name]], $E$4:changes[[#This Row],[Type of change]], "Edit")),B2367)</f>
        <v>2</v>
      </c>
      <c r="C2368" s="16">
        <v>44880</v>
      </c>
      <c r="D2368" s="1" t="s">
        <v>2843</v>
      </c>
      <c r="E2368" t="s">
        <v>15</v>
      </c>
      <c r="F2368" s="10" t="s">
        <v>9</v>
      </c>
      <c r="G2368" s="10" t="s">
        <v>1493</v>
      </c>
      <c r="H2368" s="2" t="s">
        <v>55</v>
      </c>
      <c r="I2368" s="18" t="s">
        <v>1324</v>
      </c>
      <c r="J2368" s="23"/>
      <c r="K2368" s="2" t="s">
        <v>6</v>
      </c>
      <c r="L2368" t="s">
        <v>2925</v>
      </c>
      <c r="M2368" s="2"/>
    </row>
    <row r="2369" spans="1:13" ht="15.75" customHeight="1">
      <c r="A2369" t="s">
        <v>28</v>
      </c>
      <c r="B2369">
        <f ca="1">IF(OR(changes[[#This Row],[Type]]="Checklist",changes[[#This Row],[Type]]="checklist-flat"),1+IF(changes[[#This Row],[Type of change]] = "Edit",COUNTIFS($I$4:changes[[#This Row],[Name]],changes[[#This Row],[Name]], $E$4:changes[[#This Row],[Type of change]], "Edit")),B2368)</f>
        <v>2</v>
      </c>
      <c r="C2369" s="16">
        <v>44880</v>
      </c>
      <c r="D2369" s="1" t="s">
        <v>2843</v>
      </c>
      <c r="E2369" t="s">
        <v>15</v>
      </c>
      <c r="F2369" s="10" t="s">
        <v>9</v>
      </c>
      <c r="G2369" s="10" t="s">
        <v>1493</v>
      </c>
      <c r="H2369" s="63" t="s">
        <v>55</v>
      </c>
      <c r="I2369" s="63" t="s">
        <v>1498</v>
      </c>
      <c r="J2369" s="23"/>
      <c r="K2369" s="2" t="s">
        <v>6</v>
      </c>
      <c r="L2369" t="s">
        <v>2925</v>
      </c>
      <c r="M2369" s="2"/>
    </row>
    <row r="2370" spans="1:13" ht="15.75" customHeight="1">
      <c r="A2370" t="s">
        <v>28</v>
      </c>
      <c r="B2370">
        <f ca="1">IF(OR(changes[[#This Row],[Type]]="Checklist",changes[[#This Row],[Type]]="checklist-flat"),1+IF(changes[[#This Row],[Type of change]] = "Edit",COUNTIFS($I$4:changes[[#This Row],[Name]],changes[[#This Row],[Name]], $E$4:changes[[#This Row],[Type of change]], "Edit")),B2369)</f>
        <v>2</v>
      </c>
      <c r="C2370" s="16">
        <v>44880</v>
      </c>
      <c r="D2370" s="1" t="s">
        <v>2843</v>
      </c>
      <c r="E2370" t="s">
        <v>15</v>
      </c>
      <c r="F2370" s="10" t="s">
        <v>9</v>
      </c>
      <c r="G2370" s="10" t="s">
        <v>1493</v>
      </c>
      <c r="H2370" s="63" t="s">
        <v>55</v>
      </c>
      <c r="I2370" s="63" t="s">
        <v>1499</v>
      </c>
      <c r="J2370" s="23"/>
      <c r="K2370" s="2" t="s">
        <v>6</v>
      </c>
      <c r="L2370" t="s">
        <v>2925</v>
      </c>
      <c r="M2370" s="2"/>
    </row>
    <row r="2371" spans="1:13" ht="15.75" customHeight="1">
      <c r="A2371" t="s">
        <v>28</v>
      </c>
      <c r="B2371">
        <f ca="1">IF(OR(changes[[#This Row],[Type]]="Checklist",changes[[#This Row],[Type]]="checklist-flat"),1+IF(changes[[#This Row],[Type of change]] = "Edit",COUNTIFS($I$4:changes[[#This Row],[Name]],changes[[#This Row],[Name]], $E$4:changes[[#This Row],[Type of change]], "Edit")),B2370)</f>
        <v>2</v>
      </c>
      <c r="C2371" s="16">
        <v>44880</v>
      </c>
      <c r="D2371" s="1" t="s">
        <v>2843</v>
      </c>
      <c r="E2371" t="s">
        <v>15</v>
      </c>
      <c r="F2371" s="10" t="s">
        <v>9</v>
      </c>
      <c r="G2371" s="10" t="s">
        <v>1493</v>
      </c>
      <c r="H2371" s="10" t="s">
        <v>55</v>
      </c>
      <c r="I2371" s="10" t="s">
        <v>1500</v>
      </c>
      <c r="J2371" s="23"/>
      <c r="K2371" s="2" t="s">
        <v>6</v>
      </c>
      <c r="L2371" t="s">
        <v>2925</v>
      </c>
      <c r="M2371" s="2"/>
    </row>
    <row r="2372" spans="1:13" ht="15.75">
      <c r="A2372" t="s">
        <v>28</v>
      </c>
      <c r="B2372">
        <f ca="1">IF(OR(changes[[#This Row],[Type]]="Checklist",changes[[#This Row],[Type]]="checklist-flat"),1+IF(changes[[#This Row],[Type of change]] = "Edit",COUNTIFS($I$4:changes[[#This Row],[Name]],changes[[#This Row],[Name]], $E$4:changes[[#This Row],[Type of change]], "Edit")),B2371)</f>
        <v>2</v>
      </c>
      <c r="C2372" s="16">
        <v>44880</v>
      </c>
      <c r="D2372" s="1" t="s">
        <v>2843</v>
      </c>
      <c r="E2372" t="s">
        <v>15</v>
      </c>
      <c r="F2372" s="10" t="s">
        <v>9</v>
      </c>
      <c r="G2372" s="10" t="s">
        <v>1493</v>
      </c>
      <c r="H2372" s="2" t="s">
        <v>55</v>
      </c>
      <c r="I2372" s="18" t="s">
        <v>1501</v>
      </c>
      <c r="J2372" s="23"/>
      <c r="K2372" s="2" t="s">
        <v>6</v>
      </c>
      <c r="L2372" t="s">
        <v>2925</v>
      </c>
      <c r="M2372" s="2" t="s">
        <v>2959</v>
      </c>
    </row>
    <row r="2373" spans="1:13" ht="15.75" customHeight="1">
      <c r="A2373" t="s">
        <v>28</v>
      </c>
      <c r="B2373">
        <f ca="1">IF(OR(changes[[#This Row],[Type]]="Checklist",changes[[#This Row],[Type]]="checklist-flat"),1+IF(changes[[#This Row],[Type of change]] = "Edit",COUNTIFS($I$4:changes[[#This Row],[Name]],changes[[#This Row],[Name]], $E$4:changes[[#This Row],[Type of change]], "Edit")),B2372)</f>
        <v>2</v>
      </c>
      <c r="C2373" s="16">
        <v>44880</v>
      </c>
      <c r="D2373" s="1" t="s">
        <v>2843</v>
      </c>
      <c r="E2373" t="s">
        <v>15</v>
      </c>
      <c r="F2373" s="10" t="s">
        <v>9</v>
      </c>
      <c r="G2373" s="10" t="s">
        <v>1493</v>
      </c>
      <c r="H2373" s="63" t="s">
        <v>55</v>
      </c>
      <c r="I2373" s="63" t="s">
        <v>1502</v>
      </c>
      <c r="J2373" s="23"/>
      <c r="K2373" s="2" t="s">
        <v>6</v>
      </c>
      <c r="L2373" t="s">
        <v>2925</v>
      </c>
      <c r="M2373" s="2" t="s">
        <v>2959</v>
      </c>
    </row>
    <row r="2374" spans="1:13" ht="15.75" customHeight="1">
      <c r="A2374" t="s">
        <v>28</v>
      </c>
      <c r="B2374">
        <f ca="1">IF(OR(changes[[#This Row],[Type]]="Checklist",changes[[#This Row],[Type]]="checklist-flat"),1+IF(changes[[#This Row],[Type of change]] = "Edit",COUNTIFS($I$4:changes[[#This Row],[Name]],changes[[#This Row],[Name]], $E$4:changes[[#This Row],[Type of change]], "Edit")),B2373)</f>
        <v>2</v>
      </c>
      <c r="C2374" s="16">
        <v>44880</v>
      </c>
      <c r="D2374" s="1" t="s">
        <v>2843</v>
      </c>
      <c r="E2374" t="s">
        <v>15</v>
      </c>
      <c r="F2374" s="10" t="s">
        <v>9</v>
      </c>
      <c r="G2374" s="10" t="s">
        <v>1493</v>
      </c>
      <c r="H2374" s="63" t="s">
        <v>55</v>
      </c>
      <c r="I2374" s="63" t="s">
        <v>1503</v>
      </c>
      <c r="J2374" s="23"/>
      <c r="K2374" s="2" t="s">
        <v>6</v>
      </c>
      <c r="L2374" t="s">
        <v>2925</v>
      </c>
      <c r="M2374" s="2" t="s">
        <v>2959</v>
      </c>
    </row>
    <row r="2375" spans="1:13" ht="15.75" customHeight="1">
      <c r="A2375" t="s">
        <v>28</v>
      </c>
      <c r="B2375">
        <f ca="1">IF(OR(changes[[#This Row],[Type]]="Checklist",changes[[#This Row],[Type]]="checklist-flat"),1+IF(changes[[#This Row],[Type of change]] = "Edit",COUNTIFS($I$4:changes[[#This Row],[Name]],changes[[#This Row],[Name]], $E$4:changes[[#This Row],[Type of change]], "Edit")),B2374)</f>
        <v>2</v>
      </c>
      <c r="C2375" s="16">
        <v>44880</v>
      </c>
      <c r="D2375" s="1" t="s">
        <v>2843</v>
      </c>
      <c r="E2375" t="s">
        <v>15</v>
      </c>
      <c r="F2375" s="10" t="s">
        <v>9</v>
      </c>
      <c r="G2375" s="10" t="s">
        <v>1493</v>
      </c>
      <c r="H2375" s="10" t="s">
        <v>55</v>
      </c>
      <c r="I2375" s="10" t="s">
        <v>1504</v>
      </c>
      <c r="J2375" s="23"/>
      <c r="K2375" s="2" t="s">
        <v>6</v>
      </c>
      <c r="L2375" t="s">
        <v>2925</v>
      </c>
      <c r="M2375" s="2" t="s">
        <v>2959</v>
      </c>
    </row>
    <row r="2376" spans="1:13" ht="15.75">
      <c r="A2376" t="s">
        <v>28</v>
      </c>
      <c r="B2376">
        <f ca="1">IF(OR(changes[[#This Row],[Type]]="Checklist",changes[[#This Row],[Type]]="checklist-flat"),1+IF(changes[[#This Row],[Type of change]] = "Edit",COUNTIFS($I$4:changes[[#This Row],[Name]],changes[[#This Row],[Name]], $E$4:changes[[#This Row],[Type of change]], "Edit")),B2375)</f>
        <v>2</v>
      </c>
      <c r="C2376" s="16">
        <v>44880</v>
      </c>
      <c r="D2376" s="1" t="s">
        <v>2843</v>
      </c>
      <c r="E2376" t="s">
        <v>15</v>
      </c>
      <c r="F2376" s="10" t="s">
        <v>9</v>
      </c>
      <c r="G2376" s="10" t="s">
        <v>1493</v>
      </c>
      <c r="H2376" s="2" t="s">
        <v>55</v>
      </c>
      <c r="I2376" s="18" t="s">
        <v>1505</v>
      </c>
      <c r="J2376" s="23"/>
      <c r="K2376" s="2" t="s">
        <v>6</v>
      </c>
      <c r="L2376" t="s">
        <v>2925</v>
      </c>
      <c r="M2376" s="2" t="s">
        <v>2959</v>
      </c>
    </row>
    <row r="2377" spans="1:13" ht="15.75">
      <c r="A2377" t="s">
        <v>28</v>
      </c>
      <c r="B2377">
        <f ca="1">IF(OR(changes[[#This Row],[Type]]="Checklist",changes[[#This Row],[Type]]="checklist-flat"),1+IF(changes[[#This Row],[Type of change]] = "Edit",COUNTIFS($I$4:changes[[#This Row],[Name]],changes[[#This Row],[Name]], $E$4:changes[[#This Row],[Type of change]], "Edit")),B2376)</f>
        <v>2</v>
      </c>
      <c r="C2377" s="16">
        <v>44880</v>
      </c>
      <c r="D2377" s="1" t="s">
        <v>2843</v>
      </c>
      <c r="E2377" t="s">
        <v>15</v>
      </c>
      <c r="F2377" s="10" t="s">
        <v>9</v>
      </c>
      <c r="G2377" s="10" t="s">
        <v>1493</v>
      </c>
      <c r="H2377" s="2" t="s">
        <v>55</v>
      </c>
      <c r="I2377" s="18" t="s">
        <v>1506</v>
      </c>
      <c r="J2377" s="23"/>
      <c r="K2377" s="2" t="s">
        <v>6</v>
      </c>
      <c r="L2377" t="s">
        <v>2925</v>
      </c>
      <c r="M2377" s="2" t="s">
        <v>2959</v>
      </c>
    </row>
    <row r="2378" spans="1:13" ht="15.75" customHeight="1">
      <c r="A2378" t="s">
        <v>28</v>
      </c>
      <c r="B2378">
        <f ca="1">IF(OR(changes[[#This Row],[Type]]="Checklist",changes[[#This Row],[Type]]="checklist-flat"),1+IF(changes[[#This Row],[Type of change]] = "Edit",COUNTIFS($I$4:changes[[#This Row],[Name]],changes[[#This Row],[Name]], $E$4:changes[[#This Row],[Type of change]], "Edit")),B2377)</f>
        <v>2</v>
      </c>
      <c r="C2378" s="16">
        <v>44880</v>
      </c>
      <c r="D2378" s="1" t="s">
        <v>2843</v>
      </c>
      <c r="E2378" t="s">
        <v>15</v>
      </c>
      <c r="F2378" s="10" t="s">
        <v>9</v>
      </c>
      <c r="G2378" s="10" t="s">
        <v>1493</v>
      </c>
      <c r="H2378" s="63" t="s">
        <v>55</v>
      </c>
      <c r="I2378" s="63" t="s">
        <v>1533</v>
      </c>
      <c r="J2378" s="23"/>
      <c r="K2378" s="2" t="s">
        <v>6</v>
      </c>
      <c r="L2378" t="s">
        <v>2925</v>
      </c>
      <c r="M2378" s="2" t="s">
        <v>2959</v>
      </c>
    </row>
    <row r="2379" spans="1:13" ht="15.75" customHeight="1">
      <c r="A2379" t="s">
        <v>28</v>
      </c>
      <c r="B2379">
        <f ca="1">IF(OR(changes[[#This Row],[Type]]="Checklist",changes[[#This Row],[Type]]="checklist-flat"),1+IF(changes[[#This Row],[Type of change]] = "Edit",COUNTIFS($I$4:changes[[#This Row],[Name]],changes[[#This Row],[Name]], $E$4:changes[[#This Row],[Type of change]], "Edit")),B2378)</f>
        <v>2</v>
      </c>
      <c r="C2379" s="16">
        <v>44880</v>
      </c>
      <c r="D2379" s="1" t="s">
        <v>2843</v>
      </c>
      <c r="E2379" t="s">
        <v>15</v>
      </c>
      <c r="F2379" s="10" t="s">
        <v>9</v>
      </c>
      <c r="G2379" s="10" t="s">
        <v>1493</v>
      </c>
      <c r="H2379" s="63" t="s">
        <v>55</v>
      </c>
      <c r="I2379" s="63" t="s">
        <v>1508</v>
      </c>
      <c r="J2379" s="23"/>
      <c r="K2379" s="2" t="s">
        <v>6</v>
      </c>
      <c r="L2379" t="s">
        <v>2925</v>
      </c>
      <c r="M2379" s="2"/>
    </row>
    <row r="2380" spans="1:13" ht="15.75" customHeight="1">
      <c r="A2380" t="s">
        <v>28</v>
      </c>
      <c r="B2380">
        <f ca="1">IF(OR(changes[[#This Row],[Type]]="Checklist",changes[[#This Row],[Type]]="checklist-flat"),1+IF(changes[[#This Row],[Type of change]] = "Edit",COUNTIFS($I$4:changes[[#This Row],[Name]],changes[[#This Row],[Name]], $E$4:changes[[#This Row],[Type of change]], "Edit")),B2379)</f>
        <v>2</v>
      </c>
      <c r="C2380" s="16">
        <v>44880</v>
      </c>
      <c r="D2380" s="1" t="s">
        <v>2843</v>
      </c>
      <c r="E2380" t="s">
        <v>15</v>
      </c>
      <c r="F2380" s="10" t="s">
        <v>9</v>
      </c>
      <c r="G2380" s="10" t="s">
        <v>1493</v>
      </c>
      <c r="H2380" s="10" t="s">
        <v>55</v>
      </c>
      <c r="I2380" s="10" t="s">
        <v>1509</v>
      </c>
      <c r="J2380" s="23"/>
      <c r="K2380" s="2" t="s">
        <v>6</v>
      </c>
      <c r="L2380" t="s">
        <v>2925</v>
      </c>
      <c r="M2380" s="2" t="s">
        <v>2959</v>
      </c>
    </row>
    <row r="2381" spans="1:13" ht="15.75">
      <c r="A2381" t="s">
        <v>28</v>
      </c>
      <c r="B2381">
        <f ca="1">IF(OR(changes[[#This Row],[Type]]="Checklist",changes[[#This Row],[Type]]="checklist-flat"),1+IF(changes[[#This Row],[Type of change]] = "Edit",COUNTIFS($I$4:changes[[#This Row],[Name]],changes[[#This Row],[Name]], $E$4:changes[[#This Row],[Type of change]], "Edit")),B2380)</f>
        <v>2</v>
      </c>
      <c r="C2381" s="16">
        <v>44880</v>
      </c>
      <c r="D2381" s="1" t="s">
        <v>2843</v>
      </c>
      <c r="E2381" t="s">
        <v>15</v>
      </c>
      <c r="F2381" s="10" t="s">
        <v>9</v>
      </c>
      <c r="G2381" s="10" t="s">
        <v>1493</v>
      </c>
      <c r="H2381" s="2" t="s">
        <v>55</v>
      </c>
      <c r="I2381" s="18" t="s">
        <v>1510</v>
      </c>
      <c r="J2381" s="23"/>
      <c r="K2381" s="2" t="s">
        <v>6</v>
      </c>
      <c r="L2381" t="s">
        <v>2925</v>
      </c>
      <c r="M2381" s="2" t="s">
        <v>2959</v>
      </c>
    </row>
    <row r="2382" spans="1:13" ht="15.75">
      <c r="A2382" t="s">
        <v>28</v>
      </c>
      <c r="B2382">
        <f ca="1">IF(OR(changes[[#This Row],[Type]]="Checklist",changes[[#This Row],[Type]]="checklist-flat"),1+IF(changes[[#This Row],[Type of change]] = "Edit",COUNTIFS($I$4:changes[[#This Row],[Name]],changes[[#This Row],[Name]], $E$4:changes[[#This Row],[Type of change]], "Edit")),B2381)</f>
        <v>2</v>
      </c>
      <c r="C2382" s="16">
        <v>44880</v>
      </c>
      <c r="D2382" s="1" t="s">
        <v>2843</v>
      </c>
      <c r="E2382" t="s">
        <v>15</v>
      </c>
      <c r="F2382" s="10" t="s">
        <v>9</v>
      </c>
      <c r="G2382" s="10" t="s">
        <v>1493</v>
      </c>
      <c r="H2382" s="2" t="s">
        <v>55</v>
      </c>
      <c r="I2382" s="18" t="s">
        <v>1511</v>
      </c>
      <c r="J2382" s="23"/>
      <c r="K2382" s="2" t="s">
        <v>6</v>
      </c>
      <c r="L2382" t="s">
        <v>2925</v>
      </c>
      <c r="M2382" s="2" t="s">
        <v>2959</v>
      </c>
    </row>
    <row r="2383" spans="1:13" ht="15.75" customHeight="1">
      <c r="A2383" t="s">
        <v>28</v>
      </c>
      <c r="B2383">
        <f ca="1">IF(OR(changes[[#This Row],[Type]]="Checklist",changes[[#This Row],[Type]]="checklist-flat"),1+IF(changes[[#This Row],[Type of change]] = "Edit",COUNTIFS($I$4:changes[[#This Row],[Name]],changes[[#This Row],[Name]], $E$4:changes[[#This Row],[Type of change]], "Edit")),B2382)</f>
        <v>2</v>
      </c>
      <c r="C2383" s="16">
        <v>44880</v>
      </c>
      <c r="D2383" s="1" t="s">
        <v>2843</v>
      </c>
      <c r="E2383" t="s">
        <v>15</v>
      </c>
      <c r="F2383" s="10" t="s">
        <v>9</v>
      </c>
      <c r="G2383" s="10" t="s">
        <v>1493</v>
      </c>
      <c r="H2383" s="63" t="s">
        <v>55</v>
      </c>
      <c r="I2383" s="63" t="s">
        <v>1512</v>
      </c>
      <c r="J2383" s="23"/>
      <c r="K2383" s="2" t="s">
        <v>6</v>
      </c>
      <c r="L2383" t="s">
        <v>2925</v>
      </c>
      <c r="M2383" s="2"/>
    </row>
    <row r="2384" spans="1:13" ht="15.75" customHeight="1">
      <c r="A2384" t="s">
        <v>28</v>
      </c>
      <c r="B2384">
        <f ca="1">IF(OR(changes[[#This Row],[Type]]="Checklist",changes[[#This Row],[Type]]="checklist-flat"),1+IF(changes[[#This Row],[Type of change]] = "Edit",COUNTIFS($I$4:changes[[#This Row],[Name]],changes[[#This Row],[Name]], $E$4:changes[[#This Row],[Type of change]], "Edit")),B2383)</f>
        <v>2</v>
      </c>
      <c r="C2384" s="16">
        <v>44880</v>
      </c>
      <c r="D2384" s="1" t="s">
        <v>2843</v>
      </c>
      <c r="E2384" t="s">
        <v>15</v>
      </c>
      <c r="F2384" s="10" t="s">
        <v>9</v>
      </c>
      <c r="G2384" s="10" t="s">
        <v>1493</v>
      </c>
      <c r="H2384" s="63" t="s">
        <v>55</v>
      </c>
      <c r="I2384" s="63" t="s">
        <v>1513</v>
      </c>
      <c r="J2384" s="23"/>
      <c r="K2384" s="2" t="s">
        <v>6</v>
      </c>
      <c r="L2384" t="s">
        <v>2925</v>
      </c>
      <c r="M2384" s="2"/>
    </row>
    <row r="2385" spans="1:13" ht="15.75" customHeight="1">
      <c r="A2385" t="s">
        <v>28</v>
      </c>
      <c r="B2385">
        <f ca="1">IF(OR(changes[[#This Row],[Type]]="Checklist",changes[[#This Row],[Type]]="checklist-flat"),1+IF(changes[[#This Row],[Type of change]] = "Edit",COUNTIFS($I$4:changes[[#This Row],[Name]],changes[[#This Row],[Name]], $E$4:changes[[#This Row],[Type of change]], "Edit")),B2384)</f>
        <v>2</v>
      </c>
      <c r="C2385" s="16">
        <v>44880</v>
      </c>
      <c r="D2385" s="1" t="s">
        <v>2843</v>
      </c>
      <c r="E2385" t="s">
        <v>15</v>
      </c>
      <c r="F2385" s="10" t="s">
        <v>9</v>
      </c>
      <c r="G2385" s="10" t="s">
        <v>1493</v>
      </c>
      <c r="H2385" s="10" t="s">
        <v>479</v>
      </c>
      <c r="I2385" s="10" t="s">
        <v>1408</v>
      </c>
      <c r="J2385" s="23"/>
      <c r="K2385" s="2" t="s">
        <v>6</v>
      </c>
      <c r="L2385" t="s">
        <v>2925</v>
      </c>
      <c r="M2385" s="2"/>
    </row>
    <row r="2386" spans="1:13" ht="15.75">
      <c r="A2386" t="s">
        <v>28</v>
      </c>
      <c r="B2386">
        <f ca="1">IF(OR(changes[[#This Row],[Type]]="Checklist",changes[[#This Row],[Type]]="checklist-flat"),1+IF(changes[[#This Row],[Type of change]] = "Edit",COUNTIFS($I$4:changes[[#This Row],[Name]],changes[[#This Row],[Name]], $E$4:changes[[#This Row],[Type of change]], "Edit")),B2385)</f>
        <v>2</v>
      </c>
      <c r="C2386" s="16">
        <v>44880</v>
      </c>
      <c r="D2386" s="1" t="s">
        <v>2843</v>
      </c>
      <c r="E2386" t="s">
        <v>15</v>
      </c>
      <c r="F2386" s="10" t="s">
        <v>9</v>
      </c>
      <c r="G2386" s="10" t="s">
        <v>1493</v>
      </c>
      <c r="H2386" s="2" t="s">
        <v>55</v>
      </c>
      <c r="I2386" s="18" t="s">
        <v>1514</v>
      </c>
      <c r="J2386" s="23"/>
      <c r="K2386" s="2" t="s">
        <v>6</v>
      </c>
      <c r="L2386" t="s">
        <v>2925</v>
      </c>
      <c r="M2386" s="2"/>
    </row>
    <row r="2387" spans="1:13" ht="15.75">
      <c r="A2387" t="s">
        <v>28</v>
      </c>
      <c r="B2387">
        <f ca="1">IF(OR(changes[[#This Row],[Type]]="Checklist",changes[[#This Row],[Type]]="checklist-flat"),1+IF(changes[[#This Row],[Type of change]] = "Edit",COUNTIFS($I$4:changes[[#This Row],[Name]],changes[[#This Row],[Name]], $E$4:changes[[#This Row],[Type of change]], "Edit")),B2386)</f>
        <v>2</v>
      </c>
      <c r="C2387" s="16">
        <v>44880</v>
      </c>
      <c r="D2387" s="1" t="s">
        <v>2843</v>
      </c>
      <c r="E2387" t="s">
        <v>15</v>
      </c>
      <c r="F2387" s="10" t="s">
        <v>9</v>
      </c>
      <c r="G2387" s="10" t="s">
        <v>1493</v>
      </c>
      <c r="H2387" s="2" t="s">
        <v>55</v>
      </c>
      <c r="I2387" s="18" t="s">
        <v>1515</v>
      </c>
      <c r="J2387" s="23"/>
      <c r="K2387" s="2" t="s">
        <v>6</v>
      </c>
      <c r="L2387" t="s">
        <v>2925</v>
      </c>
      <c r="M2387" s="2"/>
    </row>
    <row r="2388" spans="1:13" ht="15.75" customHeight="1">
      <c r="A2388" t="s">
        <v>28</v>
      </c>
      <c r="B2388">
        <f ca="1">IF(OR(changes[[#This Row],[Type]]="Checklist",changes[[#This Row],[Type]]="checklist-flat"),1+IF(changes[[#This Row],[Type of change]] = "Edit",COUNTIFS($I$4:changes[[#This Row],[Name]],changes[[#This Row],[Name]], $E$4:changes[[#This Row],[Type of change]], "Edit")),B2387)</f>
        <v>2</v>
      </c>
      <c r="C2388" s="16">
        <v>44880</v>
      </c>
      <c r="D2388" s="1" t="s">
        <v>2843</v>
      </c>
      <c r="E2388" t="s">
        <v>15</v>
      </c>
      <c r="F2388" s="10" t="s">
        <v>9</v>
      </c>
      <c r="G2388" s="10" t="s">
        <v>1493</v>
      </c>
      <c r="H2388" s="63" t="s">
        <v>55</v>
      </c>
      <c r="I2388" s="63" t="s">
        <v>1516</v>
      </c>
      <c r="J2388" s="23"/>
      <c r="K2388" s="2" t="s">
        <v>6</v>
      </c>
      <c r="L2388" t="s">
        <v>2925</v>
      </c>
      <c r="M2388" s="2"/>
    </row>
    <row r="2389" spans="1:13" ht="15.75" customHeight="1">
      <c r="A2389" t="s">
        <v>28</v>
      </c>
      <c r="B2389">
        <f ca="1">IF(OR(changes[[#This Row],[Type]]="Checklist",changes[[#This Row],[Type]]="checklist-flat"),1+IF(changes[[#This Row],[Type of change]] = "Edit",COUNTIFS($I$4:changes[[#This Row],[Name]],changes[[#This Row],[Name]], $E$4:changes[[#This Row],[Type of change]], "Edit")),B2388)</f>
        <v>2</v>
      </c>
      <c r="C2389" s="16">
        <v>44880</v>
      </c>
      <c r="D2389" s="1" t="s">
        <v>2843</v>
      </c>
      <c r="E2389" t="s">
        <v>15</v>
      </c>
      <c r="F2389" s="10" t="s">
        <v>9</v>
      </c>
      <c r="G2389" s="10" t="s">
        <v>1493</v>
      </c>
      <c r="H2389" s="63" t="s">
        <v>55</v>
      </c>
      <c r="I2389" s="63" t="s">
        <v>1517</v>
      </c>
      <c r="J2389" s="23"/>
      <c r="K2389" s="2" t="s">
        <v>6</v>
      </c>
      <c r="L2389" t="s">
        <v>2925</v>
      </c>
      <c r="M2389" s="2"/>
    </row>
    <row r="2390" spans="1:13" ht="15.75" customHeight="1">
      <c r="A2390" t="s">
        <v>28</v>
      </c>
      <c r="B2390">
        <f ca="1">IF(OR(changes[[#This Row],[Type]]="Checklist",changes[[#This Row],[Type]]="checklist-flat"),1+IF(changes[[#This Row],[Type of change]] = "Edit",COUNTIFS($I$4:changes[[#This Row],[Name]],changes[[#This Row],[Name]], $E$4:changes[[#This Row],[Type of change]], "Edit")),B2389)</f>
        <v>2</v>
      </c>
      <c r="C2390" s="16">
        <v>44880</v>
      </c>
      <c r="D2390" s="1" t="s">
        <v>2843</v>
      </c>
      <c r="E2390" t="s">
        <v>15</v>
      </c>
      <c r="F2390" s="10" t="s">
        <v>9</v>
      </c>
      <c r="G2390" s="10" t="s">
        <v>1493</v>
      </c>
      <c r="H2390" s="10" t="s">
        <v>55</v>
      </c>
      <c r="I2390" s="10" t="s">
        <v>1518</v>
      </c>
      <c r="J2390" s="23"/>
      <c r="K2390" s="2" t="s">
        <v>6</v>
      </c>
      <c r="L2390" t="s">
        <v>2925</v>
      </c>
      <c r="M2390" s="2"/>
    </row>
    <row r="2391" spans="1:13" ht="15.75">
      <c r="A2391" t="s">
        <v>28</v>
      </c>
      <c r="B2391">
        <f ca="1">IF(OR(changes[[#This Row],[Type]]="Checklist",changes[[#This Row],[Type]]="checklist-flat"),1+IF(changes[[#This Row],[Type of change]] = "Edit",COUNTIFS($I$4:changes[[#This Row],[Name]],changes[[#This Row],[Name]], $E$4:changes[[#This Row],[Type of change]], "Edit")),B2390)</f>
        <v>2</v>
      </c>
      <c r="C2391" s="16">
        <v>44880</v>
      </c>
      <c r="D2391" s="1" t="s">
        <v>2843</v>
      </c>
      <c r="E2391" t="s">
        <v>15</v>
      </c>
      <c r="F2391" s="10" t="s">
        <v>9</v>
      </c>
      <c r="G2391" s="10" t="s">
        <v>1493</v>
      </c>
      <c r="H2391" s="2" t="s">
        <v>55</v>
      </c>
      <c r="I2391" s="18" t="s">
        <v>1519</v>
      </c>
      <c r="J2391" s="23"/>
      <c r="K2391" s="2" t="s">
        <v>6</v>
      </c>
      <c r="L2391" t="s">
        <v>2925</v>
      </c>
      <c r="M2391" s="2"/>
    </row>
    <row r="2392" spans="1:13" ht="15.75">
      <c r="A2392" t="s">
        <v>28</v>
      </c>
      <c r="B2392">
        <f ca="1">IF(OR(changes[[#This Row],[Type]]="Checklist",changes[[#This Row],[Type]]="checklist-flat"),1+IF(changes[[#This Row],[Type of change]] = "Edit",COUNTIFS($I$4:changes[[#This Row],[Name]],changes[[#This Row],[Name]], $E$4:changes[[#This Row],[Type of change]], "Edit")),B2391)</f>
        <v>2</v>
      </c>
      <c r="C2392" s="16">
        <v>44880</v>
      </c>
      <c r="D2392" s="1" t="s">
        <v>2843</v>
      </c>
      <c r="E2392" t="s">
        <v>15</v>
      </c>
      <c r="F2392" s="10" t="s">
        <v>9</v>
      </c>
      <c r="G2392" s="10" t="s">
        <v>1493</v>
      </c>
      <c r="H2392" s="2" t="s">
        <v>55</v>
      </c>
      <c r="I2392" s="18" t="s">
        <v>1520</v>
      </c>
      <c r="J2392" s="23"/>
      <c r="K2392" s="2" t="s">
        <v>6</v>
      </c>
      <c r="L2392" t="s">
        <v>2925</v>
      </c>
      <c r="M2392" s="2"/>
    </row>
    <row r="2393" spans="1:13" ht="15.75" customHeight="1">
      <c r="A2393" t="s">
        <v>28</v>
      </c>
      <c r="B2393">
        <f ca="1">IF(OR(changes[[#This Row],[Type]]="Checklist",changes[[#This Row],[Type]]="checklist-flat"),1+IF(changes[[#This Row],[Type of change]] = "Edit",COUNTIFS($I$4:changes[[#This Row],[Name]],changes[[#This Row],[Name]], $E$4:changes[[#This Row],[Type of change]], "Edit")),B2392)</f>
        <v>2</v>
      </c>
      <c r="C2393" s="16">
        <v>44880</v>
      </c>
      <c r="D2393" s="1" t="s">
        <v>2843</v>
      </c>
      <c r="E2393" t="s">
        <v>15</v>
      </c>
      <c r="F2393" s="10" t="s">
        <v>9</v>
      </c>
      <c r="G2393" s="10" t="s">
        <v>1493</v>
      </c>
      <c r="H2393" s="10" t="s">
        <v>479</v>
      </c>
      <c r="I2393" s="10" t="s">
        <v>1416</v>
      </c>
      <c r="J2393" s="23"/>
      <c r="K2393" s="2" t="s">
        <v>6</v>
      </c>
      <c r="L2393" t="s">
        <v>2925</v>
      </c>
      <c r="M2393" s="2"/>
    </row>
    <row r="2394" spans="1:13" ht="15.75" customHeight="1">
      <c r="A2394" t="s">
        <v>28</v>
      </c>
      <c r="B2394">
        <f ca="1">IF(OR(changes[[#This Row],[Type]]="Checklist",changes[[#This Row],[Type]]="checklist-flat"),1+IF(changes[[#This Row],[Type of change]] = "Edit",COUNTIFS($I$4:changes[[#This Row],[Name]],changes[[#This Row],[Name]], $E$4:changes[[#This Row],[Type of change]], "Edit")),B2393)</f>
        <v>2</v>
      </c>
      <c r="C2394" s="16">
        <v>44880</v>
      </c>
      <c r="D2394" s="1" t="s">
        <v>2843</v>
      </c>
      <c r="E2394" t="s">
        <v>15</v>
      </c>
      <c r="F2394" s="10" t="s">
        <v>9</v>
      </c>
      <c r="G2394" s="10" t="s">
        <v>1493</v>
      </c>
      <c r="H2394" s="63" t="s">
        <v>55</v>
      </c>
      <c r="I2394" s="63" t="s">
        <v>1521</v>
      </c>
      <c r="J2394" s="23"/>
      <c r="K2394" s="2" t="s">
        <v>6</v>
      </c>
      <c r="L2394" t="s">
        <v>2925</v>
      </c>
      <c r="M2394" s="2"/>
    </row>
    <row r="2395" spans="1:13" ht="15.75" customHeight="1">
      <c r="A2395" t="s">
        <v>28</v>
      </c>
      <c r="B2395">
        <f ca="1">IF(OR(changes[[#This Row],[Type]]="Checklist",changes[[#This Row],[Type]]="checklist-flat"),1+IF(changes[[#This Row],[Type of change]] = "Edit",COUNTIFS($I$4:changes[[#This Row],[Name]],changes[[#This Row],[Name]], $E$4:changes[[#This Row],[Type of change]], "Edit")),B2394)</f>
        <v>2</v>
      </c>
      <c r="C2395" s="16">
        <v>44880</v>
      </c>
      <c r="D2395" s="1" t="s">
        <v>2843</v>
      </c>
      <c r="E2395" t="s">
        <v>15</v>
      </c>
      <c r="F2395" s="10" t="s">
        <v>9</v>
      </c>
      <c r="G2395" s="10" t="s">
        <v>1493</v>
      </c>
      <c r="H2395" s="10" t="s">
        <v>55</v>
      </c>
      <c r="I2395" s="10" t="s">
        <v>1522</v>
      </c>
      <c r="J2395" s="23"/>
      <c r="K2395" s="2" t="s">
        <v>6</v>
      </c>
      <c r="L2395" t="s">
        <v>2925</v>
      </c>
      <c r="M2395" s="2"/>
    </row>
    <row r="2396" spans="1:13" ht="15.75">
      <c r="A2396" t="s">
        <v>28</v>
      </c>
      <c r="B2396">
        <f ca="1">IF(OR(changes[[#This Row],[Type]]="Checklist",changes[[#This Row],[Type]]="checklist-flat"),1+IF(changes[[#This Row],[Type of change]] = "Edit",COUNTIFS($I$4:changes[[#This Row],[Name]],changes[[#This Row],[Name]], $E$4:changes[[#This Row],[Type of change]], "Edit")),B2395)</f>
        <v>2</v>
      </c>
      <c r="C2396" s="16">
        <v>44880</v>
      </c>
      <c r="D2396" s="1" t="s">
        <v>2843</v>
      </c>
      <c r="E2396" t="s">
        <v>15</v>
      </c>
      <c r="F2396" s="10" t="s">
        <v>9</v>
      </c>
      <c r="G2396" s="10" t="s">
        <v>1493</v>
      </c>
      <c r="H2396" s="2" t="s">
        <v>55</v>
      </c>
      <c r="I2396" s="18" t="s">
        <v>1523</v>
      </c>
      <c r="J2396" s="23"/>
      <c r="K2396" s="2" t="s">
        <v>6</v>
      </c>
      <c r="L2396" t="s">
        <v>2925</v>
      </c>
      <c r="M2396" s="2"/>
    </row>
    <row r="2397" spans="1:13" ht="15.75">
      <c r="A2397" t="s">
        <v>28</v>
      </c>
      <c r="B2397">
        <f ca="1">IF(OR(changes[[#This Row],[Type]]="Checklist",changes[[#This Row],[Type]]="checklist-flat"),1+IF(changes[[#This Row],[Type of change]] = "Edit",COUNTIFS($I$4:changes[[#This Row],[Name]],changes[[#This Row],[Name]], $E$4:changes[[#This Row],[Type of change]], "Edit")),B2396)</f>
        <v>2</v>
      </c>
      <c r="C2397" s="16">
        <v>44880</v>
      </c>
      <c r="D2397" s="1" t="s">
        <v>2843</v>
      </c>
      <c r="E2397" t="s">
        <v>15</v>
      </c>
      <c r="F2397" s="10" t="s">
        <v>9</v>
      </c>
      <c r="G2397" s="10" t="s">
        <v>1493</v>
      </c>
      <c r="H2397" s="2" t="s">
        <v>55</v>
      </c>
      <c r="I2397" s="18" t="s">
        <v>93</v>
      </c>
      <c r="J2397" s="23"/>
      <c r="K2397" s="2" t="s">
        <v>6</v>
      </c>
      <c r="L2397" t="s">
        <v>2925</v>
      </c>
      <c r="M2397" s="2"/>
    </row>
    <row r="2398" spans="1:13">
      <c r="A2398" t="s">
        <v>28</v>
      </c>
      <c r="B2398">
        <f ca="1">IF(OR(changes[[#This Row],[Type]]="Checklist",changes[[#This Row],[Type]]="checklist-flat"),1+IF(changes[[#This Row],[Type of change]] = "Edit",COUNTIFS($I$4:changes[[#This Row],[Name]],changes[[#This Row],[Name]], $E$4:changes[[#This Row],[Type of change]], "Edit")),B2397)</f>
        <v>2</v>
      </c>
      <c r="C2398" s="16">
        <v>44880</v>
      </c>
      <c r="D2398" s="1" t="s">
        <v>2843</v>
      </c>
      <c r="E2398" t="s">
        <v>15</v>
      </c>
      <c r="F2398" s="10" t="s">
        <v>9</v>
      </c>
      <c r="G2398" s="10" t="s">
        <v>1493</v>
      </c>
      <c r="H2398" s="59" t="s">
        <v>64</v>
      </c>
      <c r="I2398" s="58" t="s">
        <v>94</v>
      </c>
      <c r="J2398" s="23"/>
      <c r="K2398" s="2" t="s">
        <v>6</v>
      </c>
      <c r="L2398" t="s">
        <v>2925</v>
      </c>
      <c r="M2398" s="2"/>
    </row>
    <row r="2399" spans="1:13">
      <c r="A2399" t="s">
        <v>28</v>
      </c>
      <c r="B2399">
        <f ca="1">IF(OR(changes[[#This Row],[Type]]="Checklist",changes[[#This Row],[Type]]="checklist-flat"),1+IF(changes[[#This Row],[Type of change]] = "Edit",COUNTIFS($I$4:changes[[#This Row],[Name]],changes[[#This Row],[Name]], $E$4:changes[[#This Row],[Type of change]], "Edit")),B2398)</f>
        <v>3</v>
      </c>
      <c r="C2399" s="16">
        <v>44880</v>
      </c>
      <c r="D2399" s="1" t="s">
        <v>2843</v>
      </c>
      <c r="E2399" t="s">
        <v>15</v>
      </c>
      <c r="F2399" s="10" t="s">
        <v>9</v>
      </c>
      <c r="G2399" s="10" t="s">
        <v>1530</v>
      </c>
      <c r="H2399" s="10" t="s">
        <v>478</v>
      </c>
      <c r="I2399" s="10" t="s">
        <v>1530</v>
      </c>
      <c r="J2399" s="10"/>
      <c r="K2399" s="10" t="s">
        <v>6</v>
      </c>
      <c r="L2399" t="s">
        <v>2925</v>
      </c>
      <c r="M2399" s="2"/>
    </row>
    <row r="2400" spans="1:13">
      <c r="A2400" t="s">
        <v>28</v>
      </c>
      <c r="B2400">
        <f ca="1">IF(OR(changes[[#This Row],[Type]]="Checklist",changes[[#This Row],[Type]]="checklist-flat"),1+IF(changes[[#This Row],[Type of change]] = "Edit",COUNTIFS($I$4:changes[[#This Row],[Name]],changes[[#This Row],[Name]], $E$4:changes[[#This Row],[Type of change]], "Edit")),B2399)</f>
        <v>3</v>
      </c>
      <c r="C2400" s="16">
        <v>44880</v>
      </c>
      <c r="D2400" s="1" t="s">
        <v>2843</v>
      </c>
      <c r="E2400" t="s">
        <v>15</v>
      </c>
      <c r="F2400" s="10" t="s">
        <v>9</v>
      </c>
      <c r="G2400" s="10" t="s">
        <v>1530</v>
      </c>
      <c r="H2400" s="10" t="s">
        <v>479</v>
      </c>
      <c r="I2400" s="10" t="s">
        <v>1397</v>
      </c>
      <c r="J2400" s="10"/>
      <c r="K2400" s="10" t="s">
        <v>6</v>
      </c>
      <c r="L2400" t="s">
        <v>2925</v>
      </c>
      <c r="M2400" s="2"/>
    </row>
    <row r="2401" spans="1:13">
      <c r="A2401" t="s">
        <v>28</v>
      </c>
      <c r="B2401">
        <f ca="1">IF(OR(changes[[#This Row],[Type]]="Checklist",changes[[#This Row],[Type]]="checklist-flat"),1+IF(changes[[#This Row],[Type of change]] = "Edit",COUNTIFS($I$4:changes[[#This Row],[Name]],changes[[#This Row],[Name]], $E$4:changes[[#This Row],[Type of change]], "Edit")),B2400)</f>
        <v>3</v>
      </c>
      <c r="C2401" s="16">
        <v>44880</v>
      </c>
      <c r="D2401" s="1" t="s">
        <v>2843</v>
      </c>
      <c r="E2401" t="s">
        <v>15</v>
      </c>
      <c r="F2401" s="10" t="s">
        <v>9</v>
      </c>
      <c r="G2401" s="10" t="s">
        <v>1530</v>
      </c>
      <c r="H2401" s="10" t="s">
        <v>55</v>
      </c>
      <c r="I2401" s="10" t="s">
        <v>2928</v>
      </c>
      <c r="J2401" s="10"/>
      <c r="K2401" s="10" t="s">
        <v>6</v>
      </c>
      <c r="L2401" t="s">
        <v>2925</v>
      </c>
      <c r="M2401" s="2"/>
    </row>
    <row r="2402" spans="1:13">
      <c r="A2402" t="s">
        <v>28</v>
      </c>
      <c r="B2402">
        <f ca="1">IF(OR(changes[[#This Row],[Type]]="Checklist",changes[[#This Row],[Type]]="checklist-flat"),1+IF(changes[[#This Row],[Type of change]] = "Edit",COUNTIFS($I$4:changes[[#This Row],[Name]],changes[[#This Row],[Name]], $E$4:changes[[#This Row],[Type of change]], "Edit")),B2401)</f>
        <v>3</v>
      </c>
      <c r="C2402" s="16">
        <v>44880</v>
      </c>
      <c r="D2402" s="1" t="s">
        <v>2843</v>
      </c>
      <c r="E2402" t="s">
        <v>15</v>
      </c>
      <c r="F2402" s="10" t="s">
        <v>9</v>
      </c>
      <c r="G2402" s="10" t="s">
        <v>1530</v>
      </c>
      <c r="H2402" s="10" t="s">
        <v>55</v>
      </c>
      <c r="I2402" s="10" t="s">
        <v>1478</v>
      </c>
      <c r="J2402" s="10"/>
      <c r="K2402" s="10" t="s">
        <v>6</v>
      </c>
      <c r="L2402" t="s">
        <v>2925</v>
      </c>
      <c r="M2402" s="2"/>
    </row>
    <row r="2403" spans="1:13">
      <c r="A2403" t="s">
        <v>28</v>
      </c>
      <c r="B2403">
        <f ca="1">IF(OR(changes[[#This Row],[Type]]="Checklist",changes[[#This Row],[Type]]="checklist-flat"),1+IF(changes[[#This Row],[Type of change]] = "Edit",COUNTIFS($I$4:changes[[#This Row],[Name]],changes[[#This Row],[Name]], $E$4:changes[[#This Row],[Type of change]], "Edit")),B2402)</f>
        <v>3</v>
      </c>
      <c r="C2403" s="16">
        <v>44880</v>
      </c>
      <c r="D2403" s="1" t="s">
        <v>2843</v>
      </c>
      <c r="E2403" t="s">
        <v>15</v>
      </c>
      <c r="F2403" s="10" t="s">
        <v>9</v>
      </c>
      <c r="G2403" s="10" t="s">
        <v>1530</v>
      </c>
      <c r="H2403" s="10" t="s">
        <v>55</v>
      </c>
      <c r="I2403" s="10" t="s">
        <v>1479</v>
      </c>
      <c r="J2403" s="10"/>
      <c r="K2403" s="10" t="s">
        <v>6</v>
      </c>
      <c r="L2403" t="s">
        <v>2925</v>
      </c>
      <c r="M2403" s="2"/>
    </row>
    <row r="2404" spans="1:13">
      <c r="A2404" t="s">
        <v>28</v>
      </c>
      <c r="B2404">
        <f ca="1">IF(OR(changes[[#This Row],[Type]]="Checklist",changes[[#This Row],[Type]]="checklist-flat"),1+IF(changes[[#This Row],[Type of change]] = "Edit",COUNTIFS($I$4:changes[[#This Row],[Name]],changes[[#This Row],[Name]], $E$4:changes[[#This Row],[Type of change]], "Edit")),B2403)</f>
        <v>3</v>
      </c>
      <c r="C2404" s="16">
        <v>44880</v>
      </c>
      <c r="D2404" s="1" t="s">
        <v>2843</v>
      </c>
      <c r="E2404" t="s">
        <v>15</v>
      </c>
      <c r="F2404" s="10" t="s">
        <v>9</v>
      </c>
      <c r="G2404" s="10" t="s">
        <v>1530</v>
      </c>
      <c r="H2404" s="10" t="s">
        <v>479</v>
      </c>
      <c r="I2404" s="10" t="s">
        <v>1402</v>
      </c>
      <c r="J2404" s="10"/>
      <c r="K2404" s="10" t="s">
        <v>6</v>
      </c>
      <c r="L2404" t="s">
        <v>2925</v>
      </c>
      <c r="M2404" s="2"/>
    </row>
    <row r="2405" spans="1:13">
      <c r="A2405" t="s">
        <v>28</v>
      </c>
      <c r="B2405">
        <f ca="1">IF(OR(changes[[#This Row],[Type]]="Checklist",changes[[#This Row],[Type]]="checklist-flat"),1+IF(changes[[#This Row],[Type of change]] = "Edit",COUNTIFS($I$4:changes[[#This Row],[Name]],changes[[#This Row],[Name]], $E$4:changes[[#This Row],[Type of change]], "Edit")),B2404)</f>
        <v>3</v>
      </c>
      <c r="C2405" s="16">
        <v>44880</v>
      </c>
      <c r="D2405" s="1" t="s">
        <v>2843</v>
      </c>
      <c r="E2405" t="s">
        <v>15</v>
      </c>
      <c r="F2405" s="10" t="s">
        <v>9</v>
      </c>
      <c r="G2405" s="10" t="s">
        <v>1530</v>
      </c>
      <c r="H2405" s="10" t="s">
        <v>55</v>
      </c>
      <c r="I2405" s="10" t="s">
        <v>1525</v>
      </c>
      <c r="J2405" s="10"/>
      <c r="K2405" s="10" t="s">
        <v>6</v>
      </c>
      <c r="L2405" t="s">
        <v>2925</v>
      </c>
      <c r="M2405" s="2"/>
    </row>
    <row r="2406" spans="1:13">
      <c r="A2406" t="s">
        <v>28</v>
      </c>
      <c r="B2406">
        <f ca="1">IF(OR(changes[[#This Row],[Type]]="Checklist",changes[[#This Row],[Type]]="checklist-flat"),1+IF(changes[[#This Row],[Type of change]] = "Edit",COUNTIFS($I$4:changes[[#This Row],[Name]],changes[[#This Row],[Name]], $E$4:changes[[#This Row],[Type of change]], "Edit")),B2405)</f>
        <v>3</v>
      </c>
      <c r="C2406" s="16">
        <v>44880</v>
      </c>
      <c r="D2406" s="1" t="s">
        <v>2843</v>
      </c>
      <c r="E2406" t="s">
        <v>15</v>
      </c>
      <c r="F2406" s="10" t="s">
        <v>9</v>
      </c>
      <c r="G2406" s="10" t="s">
        <v>1530</v>
      </c>
      <c r="H2406" s="10" t="s">
        <v>55</v>
      </c>
      <c r="I2406" s="10" t="s">
        <v>1526</v>
      </c>
      <c r="J2406" s="10"/>
      <c r="K2406" s="10" t="s">
        <v>6</v>
      </c>
      <c r="L2406" t="s">
        <v>2925</v>
      </c>
      <c r="M2406" s="2"/>
    </row>
    <row r="2407" spans="1:13" ht="15.75" customHeight="1">
      <c r="A2407" t="s">
        <v>28</v>
      </c>
      <c r="B2407">
        <f ca="1">IF(OR(changes[[#This Row],[Type]]="Checklist",changes[[#This Row],[Type]]="checklist-flat"),1+IF(changes[[#This Row],[Type of change]] = "Edit",COUNTIFS($I$4:changes[[#This Row],[Name]],changes[[#This Row],[Name]], $E$4:changes[[#This Row],[Type of change]], "Edit")),B2406)</f>
        <v>3</v>
      </c>
      <c r="C2407" s="16">
        <v>44880</v>
      </c>
      <c r="D2407" s="1" t="s">
        <v>2843</v>
      </c>
      <c r="E2407" t="s">
        <v>15</v>
      </c>
      <c r="F2407" s="10" t="s">
        <v>9</v>
      </c>
      <c r="G2407" s="10" t="s">
        <v>1530</v>
      </c>
      <c r="H2407" s="10" t="s">
        <v>55</v>
      </c>
      <c r="I2407" s="10" t="s">
        <v>1500</v>
      </c>
      <c r="J2407" s="10"/>
      <c r="K2407" s="10" t="s">
        <v>6</v>
      </c>
      <c r="L2407" t="s">
        <v>2925</v>
      </c>
      <c r="M2407" s="2"/>
    </row>
    <row r="2408" spans="1:13">
      <c r="A2408" t="s">
        <v>28</v>
      </c>
      <c r="B2408">
        <f ca="1">IF(OR(changes[[#This Row],[Type]]="Checklist",changes[[#This Row],[Type]]="checklist-flat"),1+IF(changes[[#This Row],[Type of change]] = "Edit",COUNTIFS($I$4:changes[[#This Row],[Name]],changes[[#This Row],[Name]], $E$4:changes[[#This Row],[Type of change]], "Edit")),B2407)</f>
        <v>3</v>
      </c>
      <c r="C2408" s="16">
        <v>44880</v>
      </c>
      <c r="D2408" s="1" t="s">
        <v>2843</v>
      </c>
      <c r="E2408" t="s">
        <v>15</v>
      </c>
      <c r="F2408" s="10" t="s">
        <v>9</v>
      </c>
      <c r="G2408" s="10" t="s">
        <v>1530</v>
      </c>
      <c r="H2408" s="10" t="s">
        <v>55</v>
      </c>
      <c r="I2408" s="10" t="s">
        <v>1501</v>
      </c>
      <c r="J2408" s="10"/>
      <c r="K2408" s="10" t="s">
        <v>6</v>
      </c>
      <c r="L2408" t="s">
        <v>2925</v>
      </c>
      <c r="M2408" s="2" t="s">
        <v>2959</v>
      </c>
    </row>
    <row r="2409" spans="1:13">
      <c r="A2409" t="s">
        <v>28</v>
      </c>
      <c r="B2409">
        <f ca="1">IF(OR(changes[[#This Row],[Type]]="Checklist",changes[[#This Row],[Type]]="checklist-flat"),1+IF(changes[[#This Row],[Type of change]] = "Edit",COUNTIFS($I$4:changes[[#This Row],[Name]],changes[[#This Row],[Name]], $E$4:changes[[#This Row],[Type of change]], "Edit")),B2408)</f>
        <v>3</v>
      </c>
      <c r="C2409" s="16">
        <v>44880</v>
      </c>
      <c r="D2409" s="1" t="s">
        <v>2843</v>
      </c>
      <c r="E2409" t="s">
        <v>15</v>
      </c>
      <c r="F2409" s="10" t="s">
        <v>9</v>
      </c>
      <c r="G2409" s="10" t="s">
        <v>1530</v>
      </c>
      <c r="H2409" s="10" t="s">
        <v>55</v>
      </c>
      <c r="I2409" s="10" t="s">
        <v>1532</v>
      </c>
      <c r="J2409" s="10"/>
      <c r="K2409" s="10" t="s">
        <v>6</v>
      </c>
      <c r="L2409" t="s">
        <v>2925</v>
      </c>
      <c r="M2409" s="2" t="s">
        <v>2959</v>
      </c>
    </row>
    <row r="2410" spans="1:13" ht="14.25" customHeight="1">
      <c r="A2410" t="s">
        <v>28</v>
      </c>
      <c r="B2410">
        <f ca="1">IF(OR(changes[[#This Row],[Type]]="Checklist",changes[[#This Row],[Type]]="checklist-flat"),1+IF(changes[[#This Row],[Type of change]] = "Edit",COUNTIFS($I$4:changes[[#This Row],[Name]],changes[[#This Row],[Name]], $E$4:changes[[#This Row],[Type of change]], "Edit")),B2409)</f>
        <v>3</v>
      </c>
      <c r="C2410" s="16">
        <v>44880</v>
      </c>
      <c r="D2410" s="1" t="s">
        <v>2843</v>
      </c>
      <c r="E2410" t="s">
        <v>15</v>
      </c>
      <c r="F2410" s="10" t="s">
        <v>9</v>
      </c>
      <c r="G2410" s="10" t="s">
        <v>1530</v>
      </c>
      <c r="H2410" s="10" t="s">
        <v>55</v>
      </c>
      <c r="I2410" s="10" t="s">
        <v>1502</v>
      </c>
      <c r="J2410" s="10"/>
      <c r="K2410" s="10" t="s">
        <v>6</v>
      </c>
      <c r="L2410" t="s">
        <v>2925</v>
      </c>
      <c r="M2410" s="2" t="s">
        <v>2959</v>
      </c>
    </row>
    <row r="2411" spans="1:13">
      <c r="A2411" t="s">
        <v>28</v>
      </c>
      <c r="B2411">
        <f ca="1">IF(OR(changes[[#This Row],[Type]]="Checklist",changes[[#This Row],[Type]]="checklist-flat"),1+IF(changes[[#This Row],[Type of change]] = "Edit",COUNTIFS($I$4:changes[[#This Row],[Name]],changes[[#This Row],[Name]], $E$4:changes[[#This Row],[Type of change]], "Edit")),B2410)</f>
        <v>3</v>
      </c>
      <c r="C2411" s="16">
        <v>44880</v>
      </c>
      <c r="D2411" s="1" t="s">
        <v>2843</v>
      </c>
      <c r="E2411" t="s">
        <v>15</v>
      </c>
      <c r="F2411" s="10" t="s">
        <v>9</v>
      </c>
      <c r="G2411" s="10" t="s">
        <v>1530</v>
      </c>
      <c r="H2411" s="10" t="s">
        <v>55</v>
      </c>
      <c r="I2411" s="10" t="s">
        <v>1503</v>
      </c>
      <c r="J2411" s="10"/>
      <c r="K2411" s="10" t="s">
        <v>6</v>
      </c>
      <c r="L2411" t="s">
        <v>2925</v>
      </c>
      <c r="M2411" s="2" t="s">
        <v>2959</v>
      </c>
    </row>
    <row r="2412" spans="1:13">
      <c r="A2412" t="s">
        <v>28</v>
      </c>
      <c r="B2412">
        <f ca="1">IF(OR(changes[[#This Row],[Type]]="Checklist",changes[[#This Row],[Type]]="checklist-flat"),1+IF(changes[[#This Row],[Type of change]] = "Edit",COUNTIFS($I$4:changes[[#This Row],[Name]],changes[[#This Row],[Name]], $E$4:changes[[#This Row],[Type of change]], "Edit")),B2411)</f>
        <v>3</v>
      </c>
      <c r="C2412" s="16">
        <v>44880</v>
      </c>
      <c r="D2412" s="1" t="s">
        <v>2843</v>
      </c>
      <c r="E2412" t="s">
        <v>15</v>
      </c>
      <c r="F2412" s="10" t="s">
        <v>9</v>
      </c>
      <c r="G2412" s="10" t="s">
        <v>1530</v>
      </c>
      <c r="H2412" s="10" t="s">
        <v>55</v>
      </c>
      <c r="I2412" s="10" t="s">
        <v>1504</v>
      </c>
      <c r="J2412" s="10"/>
      <c r="K2412" s="10" t="s">
        <v>6</v>
      </c>
      <c r="L2412" t="s">
        <v>2925</v>
      </c>
      <c r="M2412" s="2" t="s">
        <v>2959</v>
      </c>
    </row>
    <row r="2413" spans="1:13">
      <c r="A2413" t="s">
        <v>28</v>
      </c>
      <c r="B2413">
        <f ca="1">IF(OR(changes[[#This Row],[Type]]="Checklist",changes[[#This Row],[Type]]="checklist-flat"),1+IF(changes[[#This Row],[Type of change]] = "Edit",COUNTIFS($I$4:changes[[#This Row],[Name]],changes[[#This Row],[Name]], $E$4:changes[[#This Row],[Type of change]], "Edit")),B2412)</f>
        <v>3</v>
      </c>
      <c r="C2413" s="16">
        <v>44880</v>
      </c>
      <c r="D2413" s="1" t="s">
        <v>2843</v>
      </c>
      <c r="E2413" t="s">
        <v>15</v>
      </c>
      <c r="F2413" s="10" t="s">
        <v>9</v>
      </c>
      <c r="G2413" s="10" t="s">
        <v>1530</v>
      </c>
      <c r="H2413" s="10" t="s">
        <v>55</v>
      </c>
      <c r="I2413" s="10" t="s">
        <v>1505</v>
      </c>
      <c r="J2413" s="10"/>
      <c r="K2413" s="10" t="s">
        <v>6</v>
      </c>
      <c r="L2413" t="s">
        <v>2925</v>
      </c>
      <c r="M2413" s="2" t="s">
        <v>2959</v>
      </c>
    </row>
    <row r="2414" spans="1:13">
      <c r="A2414" t="s">
        <v>28</v>
      </c>
      <c r="B2414">
        <f ca="1">IF(OR(changes[[#This Row],[Type]]="Checklist",changes[[#This Row],[Type]]="checklist-flat"),1+IF(changes[[#This Row],[Type of change]] = "Edit",COUNTIFS($I$4:changes[[#This Row],[Name]],changes[[#This Row],[Name]], $E$4:changes[[#This Row],[Type of change]], "Edit")),B2413)</f>
        <v>3</v>
      </c>
      <c r="C2414" s="16">
        <v>44880</v>
      </c>
      <c r="D2414" s="1" t="s">
        <v>2843</v>
      </c>
      <c r="E2414" t="s">
        <v>15</v>
      </c>
      <c r="F2414" s="10" t="s">
        <v>9</v>
      </c>
      <c r="G2414" s="10" t="s">
        <v>1530</v>
      </c>
      <c r="H2414" s="10" t="s">
        <v>55</v>
      </c>
      <c r="I2414" s="10" t="s">
        <v>1506</v>
      </c>
      <c r="J2414" s="10"/>
      <c r="K2414" s="10" t="s">
        <v>6</v>
      </c>
      <c r="L2414" t="s">
        <v>2925</v>
      </c>
      <c r="M2414" s="2" t="s">
        <v>2959</v>
      </c>
    </row>
    <row r="2415" spans="1:13">
      <c r="A2415" t="s">
        <v>28</v>
      </c>
      <c r="B2415">
        <f ca="1">IF(OR(changes[[#This Row],[Type]]="Checklist",changes[[#This Row],[Type]]="checklist-flat"),1+IF(changes[[#This Row],[Type of change]] = "Edit",COUNTIFS($I$4:changes[[#This Row],[Name]],changes[[#This Row],[Name]], $E$4:changes[[#This Row],[Type of change]], "Edit")),B2414)</f>
        <v>3</v>
      </c>
      <c r="C2415" s="16">
        <v>44880</v>
      </c>
      <c r="D2415" s="1" t="s">
        <v>2843</v>
      </c>
      <c r="E2415" t="s">
        <v>15</v>
      </c>
      <c r="F2415" s="10" t="s">
        <v>9</v>
      </c>
      <c r="G2415" s="10" t="s">
        <v>1530</v>
      </c>
      <c r="H2415" s="10" t="s">
        <v>55</v>
      </c>
      <c r="I2415" s="10" t="s">
        <v>1533</v>
      </c>
      <c r="J2415" s="10"/>
      <c r="K2415" s="10" t="s">
        <v>6</v>
      </c>
      <c r="L2415" t="s">
        <v>2925</v>
      </c>
      <c r="M2415" s="2" t="s">
        <v>2959</v>
      </c>
    </row>
    <row r="2416" spans="1:13" ht="15.75" customHeight="1">
      <c r="A2416" t="s">
        <v>28</v>
      </c>
      <c r="B2416">
        <f ca="1">IF(OR(changes[[#This Row],[Type]]="Checklist",changes[[#This Row],[Type]]="checklist-flat"),1+IF(changes[[#This Row],[Type of change]] = "Edit",COUNTIFS($I$4:changes[[#This Row],[Name]],changes[[#This Row],[Name]], $E$4:changes[[#This Row],[Type of change]], "Edit")),B2415)</f>
        <v>3</v>
      </c>
      <c r="C2416" s="16">
        <v>44880</v>
      </c>
      <c r="D2416" s="1" t="s">
        <v>2843</v>
      </c>
      <c r="E2416" t="s">
        <v>15</v>
      </c>
      <c r="F2416" s="10" t="s">
        <v>9</v>
      </c>
      <c r="G2416" s="10" t="s">
        <v>1530</v>
      </c>
      <c r="H2416" s="10" t="s">
        <v>55</v>
      </c>
      <c r="I2416" s="10" t="s">
        <v>1513</v>
      </c>
      <c r="J2416" s="10"/>
      <c r="K2416" s="10" t="s">
        <v>6</v>
      </c>
      <c r="L2416" t="s">
        <v>2925</v>
      </c>
      <c r="M2416" s="2"/>
    </row>
    <row r="2417" spans="1:13" ht="14.25" customHeight="1">
      <c r="A2417" t="s">
        <v>28</v>
      </c>
      <c r="B2417">
        <f ca="1">IF(OR(changes[[#This Row],[Type]]="Checklist",changes[[#This Row],[Type]]="checklist-flat"),1+IF(changes[[#This Row],[Type of change]] = "Edit",COUNTIFS($I$4:changes[[#This Row],[Name]],changes[[#This Row],[Name]], $E$4:changes[[#This Row],[Type of change]], "Edit")),B2416)</f>
        <v>3</v>
      </c>
      <c r="C2417" s="16">
        <v>44880</v>
      </c>
      <c r="D2417" s="1" t="s">
        <v>2843</v>
      </c>
      <c r="E2417" t="s">
        <v>15</v>
      </c>
      <c r="F2417" s="10" t="s">
        <v>9</v>
      </c>
      <c r="G2417" s="10" t="s">
        <v>1530</v>
      </c>
      <c r="H2417" s="10" t="s">
        <v>479</v>
      </c>
      <c r="I2417" s="10" t="s">
        <v>1408</v>
      </c>
      <c r="J2417" s="10"/>
      <c r="K2417" s="10" t="s">
        <v>6</v>
      </c>
      <c r="L2417" t="s">
        <v>2925</v>
      </c>
      <c r="M2417" s="2"/>
    </row>
    <row r="2418" spans="1:13" ht="14.25" customHeight="1">
      <c r="A2418" t="s">
        <v>28</v>
      </c>
      <c r="B2418">
        <f ca="1">IF(OR(changes[[#This Row],[Type]]="Checklist",changes[[#This Row],[Type]]="checklist-flat"),1+IF(changes[[#This Row],[Type of change]] = "Edit",COUNTIFS($I$4:changes[[#This Row],[Name]],changes[[#This Row],[Name]], $E$4:changes[[#This Row],[Type of change]], "Edit")),B2417)</f>
        <v>3</v>
      </c>
      <c r="C2418" s="16">
        <v>44880</v>
      </c>
      <c r="D2418" s="1" t="s">
        <v>2843</v>
      </c>
      <c r="E2418" t="s">
        <v>15</v>
      </c>
      <c r="F2418" s="10" t="s">
        <v>9</v>
      </c>
      <c r="G2418" s="10" t="s">
        <v>1530</v>
      </c>
      <c r="H2418" s="10" t="s">
        <v>55</v>
      </c>
      <c r="I2418" s="10" t="s">
        <v>1527</v>
      </c>
      <c r="J2418" s="10"/>
      <c r="K2418" s="10" t="s">
        <v>6</v>
      </c>
      <c r="L2418" t="s">
        <v>2925</v>
      </c>
      <c r="M2418" s="2"/>
    </row>
    <row r="2419" spans="1:13">
      <c r="A2419" t="s">
        <v>28</v>
      </c>
      <c r="B2419">
        <f ca="1">IF(OR(changes[[#This Row],[Type]]="Checklist",changes[[#This Row],[Type]]="checklist-flat"),1+IF(changes[[#This Row],[Type of change]] = "Edit",COUNTIFS($I$4:changes[[#This Row],[Name]],changes[[#This Row],[Name]], $E$4:changes[[#This Row],[Type of change]], "Edit")),B2418)</f>
        <v>3</v>
      </c>
      <c r="C2419" s="16">
        <v>44880</v>
      </c>
      <c r="D2419" s="1" t="s">
        <v>2843</v>
      </c>
      <c r="E2419" t="s">
        <v>15</v>
      </c>
      <c r="F2419" s="10" t="s">
        <v>9</v>
      </c>
      <c r="G2419" s="10" t="s">
        <v>1530</v>
      </c>
      <c r="H2419" s="10" t="s">
        <v>55</v>
      </c>
      <c r="I2419" s="10" t="s">
        <v>1520</v>
      </c>
      <c r="J2419" s="10"/>
      <c r="K2419" s="10" t="s">
        <v>6</v>
      </c>
      <c r="L2419" t="s">
        <v>2925</v>
      </c>
      <c r="M2419" s="2"/>
    </row>
    <row r="2420" spans="1:13" ht="15.75" customHeight="1">
      <c r="A2420" t="s">
        <v>28</v>
      </c>
      <c r="B2420">
        <f ca="1">IF(OR(changes[[#This Row],[Type]]="Checklist",changes[[#This Row],[Type]]="checklist-flat"),1+IF(changes[[#This Row],[Type of change]] = "Edit",COUNTIFS($I$4:changes[[#This Row],[Name]],changes[[#This Row],[Name]], $E$4:changes[[#This Row],[Type of change]], "Edit")),B2419)</f>
        <v>3</v>
      </c>
      <c r="C2420" s="16">
        <v>44880</v>
      </c>
      <c r="D2420" s="1" t="s">
        <v>2843</v>
      </c>
      <c r="E2420" t="s">
        <v>15</v>
      </c>
      <c r="F2420" s="10" t="s">
        <v>9</v>
      </c>
      <c r="G2420" s="10" t="s">
        <v>1530</v>
      </c>
      <c r="H2420" s="10" t="s">
        <v>479</v>
      </c>
      <c r="I2420" s="10" t="s">
        <v>1416</v>
      </c>
      <c r="J2420" s="10"/>
      <c r="K2420" s="10" t="s">
        <v>6</v>
      </c>
      <c r="L2420" t="s">
        <v>2925</v>
      </c>
      <c r="M2420" s="2"/>
    </row>
    <row r="2421" spans="1:13" ht="15.75" customHeight="1">
      <c r="A2421" t="s">
        <v>28</v>
      </c>
      <c r="B2421">
        <f ca="1">IF(OR(changes[[#This Row],[Type]]="Checklist",changes[[#This Row],[Type]]="checklist-flat"),1+IF(changes[[#This Row],[Type of change]] = "Edit",COUNTIFS($I$4:changes[[#This Row],[Name]],changes[[#This Row],[Name]], $E$4:changes[[#This Row],[Type of change]], "Edit")),B2420)</f>
        <v>3</v>
      </c>
      <c r="C2421" s="16">
        <v>44880</v>
      </c>
      <c r="D2421" s="1" t="s">
        <v>2843</v>
      </c>
      <c r="E2421" t="s">
        <v>15</v>
      </c>
      <c r="F2421" s="10" t="s">
        <v>9</v>
      </c>
      <c r="G2421" s="10" t="s">
        <v>1530</v>
      </c>
      <c r="H2421" s="10" t="s">
        <v>55</v>
      </c>
      <c r="I2421" s="10" t="s">
        <v>1523</v>
      </c>
      <c r="J2421" s="10"/>
      <c r="K2421" s="10" t="s">
        <v>6</v>
      </c>
      <c r="L2421" t="s">
        <v>2925</v>
      </c>
      <c r="M2421" s="2"/>
    </row>
    <row r="2422" spans="1:13" ht="14.25" customHeight="1">
      <c r="A2422" t="s">
        <v>28</v>
      </c>
      <c r="B2422">
        <f ca="1">IF(OR(changes[[#This Row],[Type]]="Checklist",changes[[#This Row],[Type]]="checklist-flat"),1+IF(changes[[#This Row],[Type of change]] = "Edit",COUNTIFS($I$4:changes[[#This Row],[Name]],changes[[#This Row],[Name]], $E$4:changes[[#This Row],[Type of change]], "Edit")),B2421)</f>
        <v>3</v>
      </c>
      <c r="C2422" s="16">
        <v>44880</v>
      </c>
      <c r="D2422" s="1" t="s">
        <v>2843</v>
      </c>
      <c r="E2422" t="s">
        <v>15</v>
      </c>
      <c r="F2422" s="10" t="s">
        <v>9</v>
      </c>
      <c r="G2422" s="10" t="s">
        <v>1530</v>
      </c>
      <c r="H2422" s="10" t="s">
        <v>55</v>
      </c>
      <c r="I2422" s="10" t="s">
        <v>93</v>
      </c>
      <c r="J2422" s="10"/>
      <c r="K2422" s="10" t="s">
        <v>6</v>
      </c>
      <c r="L2422" t="s">
        <v>2925</v>
      </c>
      <c r="M2422" s="2"/>
    </row>
    <row r="2423" spans="1:13" ht="14.25" customHeight="1">
      <c r="A2423" t="s">
        <v>28</v>
      </c>
      <c r="B2423">
        <f ca="1">IF(OR(changes[[#This Row],[Type]]="Checklist",changes[[#This Row],[Type]]="checklist-flat"),1+IF(changes[[#This Row],[Type of change]] = "Edit",COUNTIFS($I$4:changes[[#This Row],[Name]],changes[[#This Row],[Name]], $E$4:changes[[#This Row],[Type of change]], "Edit")),B2422)</f>
        <v>3</v>
      </c>
      <c r="C2423" s="16">
        <v>44880</v>
      </c>
      <c r="D2423" s="1" t="s">
        <v>2843</v>
      </c>
      <c r="E2423" t="s">
        <v>15</v>
      </c>
      <c r="F2423" s="10" t="s">
        <v>9</v>
      </c>
      <c r="G2423" s="10" t="s">
        <v>1530</v>
      </c>
      <c r="H2423" s="10" t="s">
        <v>64</v>
      </c>
      <c r="I2423" s="10" t="s">
        <v>94</v>
      </c>
      <c r="J2423" s="10"/>
      <c r="K2423" s="10" t="s">
        <v>6</v>
      </c>
      <c r="L2423" t="s">
        <v>2925</v>
      </c>
      <c r="M2423" s="2"/>
    </row>
    <row r="2424" spans="1:13" ht="14.25" customHeight="1">
      <c r="A2424" t="s">
        <v>28</v>
      </c>
      <c r="B2424">
        <f ca="1">IF(OR(changes[[#This Row],[Type]]="Checklist",changes[[#This Row],[Type]]="checklist-flat"),1+IF(changes[[#This Row],[Type of change]] = "Edit",COUNTIFS($I$4:changes[[#This Row],[Name]],changes[[#This Row],[Name]], $E$4:changes[[#This Row],[Type of change]], "Edit")),B2423)</f>
        <v>2</v>
      </c>
      <c r="C2424" s="16">
        <v>44881</v>
      </c>
      <c r="D2424" s="1" t="s">
        <v>2920</v>
      </c>
      <c r="E2424" t="s">
        <v>15</v>
      </c>
      <c r="F2424" s="10" t="s">
        <v>9</v>
      </c>
      <c r="G2424" s="10" t="s">
        <v>2960</v>
      </c>
      <c r="H2424" s="10" t="s">
        <v>54</v>
      </c>
      <c r="I2424" s="10" t="s">
        <v>781</v>
      </c>
      <c r="J2424" s="10"/>
      <c r="K2424" s="10" t="s">
        <v>6</v>
      </c>
      <c r="L2424" t="s">
        <v>2961</v>
      </c>
      <c r="M2424" s="2"/>
    </row>
    <row r="2425" spans="1:13" ht="15.75">
      <c r="A2425" t="s">
        <v>28</v>
      </c>
      <c r="B2425">
        <f ca="1">IF(OR(changes[[#This Row],[Type]]="Checklist",changes[[#This Row],[Type]]="checklist-flat"),1+IF(changes[[#This Row],[Type of change]] = "Edit",COUNTIFS($I$4:changes[[#This Row],[Name]],changes[[#This Row],[Name]], $E$4:changes[[#This Row],[Type of change]], "Edit")),B2424)</f>
        <v>2</v>
      </c>
      <c r="C2425" s="16">
        <v>44881</v>
      </c>
      <c r="D2425" s="1" t="s">
        <v>2920</v>
      </c>
      <c r="E2425" t="s">
        <v>15</v>
      </c>
      <c r="F2425" s="10" t="s">
        <v>9</v>
      </c>
      <c r="G2425" s="18" t="s">
        <v>2960</v>
      </c>
      <c r="H2425" s="60" t="s">
        <v>55</v>
      </c>
      <c r="I2425" s="18" t="s">
        <v>782</v>
      </c>
      <c r="J2425" s="61"/>
      <c r="K2425" s="2" t="s">
        <v>6</v>
      </c>
      <c r="L2425" t="s">
        <v>2961</v>
      </c>
      <c r="M2425" s="2"/>
    </row>
    <row r="2426" spans="1:13" ht="15.75">
      <c r="A2426" t="s">
        <v>28</v>
      </c>
      <c r="B2426">
        <f ca="1">IF(OR(changes[[#This Row],[Type]]="Checklist",changes[[#This Row],[Type]]="checklist-flat"),1+IF(changes[[#This Row],[Type of change]] = "Edit",COUNTIFS($I$4:changes[[#This Row],[Name]],changes[[#This Row],[Name]], $E$4:changes[[#This Row],[Type of change]], "Edit")),B2425)</f>
        <v>2</v>
      </c>
      <c r="C2426" s="16">
        <v>44881</v>
      </c>
      <c r="D2426" s="1" t="s">
        <v>2920</v>
      </c>
      <c r="E2426" t="s">
        <v>15</v>
      </c>
      <c r="F2426" s="10" t="s">
        <v>9</v>
      </c>
      <c r="G2426" s="18" t="s">
        <v>2960</v>
      </c>
      <c r="H2426" s="60" t="s">
        <v>55</v>
      </c>
      <c r="I2426" s="18" t="s">
        <v>783</v>
      </c>
      <c r="J2426" s="61"/>
      <c r="K2426" s="2" t="s">
        <v>6</v>
      </c>
      <c r="L2426" t="s">
        <v>2961</v>
      </c>
      <c r="M2426" s="2"/>
    </row>
    <row r="2427" spans="1:13" ht="14.25" customHeight="1">
      <c r="A2427" t="s">
        <v>28</v>
      </c>
      <c r="B2427">
        <f ca="1">IF(OR(changes[[#This Row],[Type]]="Checklist",changes[[#This Row],[Type]]="checklist-flat"),1+IF(changes[[#This Row],[Type of change]] = "Edit",COUNTIFS($I$4:changes[[#This Row],[Name]],changes[[#This Row],[Name]], $E$4:changes[[#This Row],[Type of change]], "Edit")),B2426)</f>
        <v>2</v>
      </c>
      <c r="C2427" s="16">
        <v>44881</v>
      </c>
      <c r="D2427" s="1" t="s">
        <v>2920</v>
      </c>
      <c r="E2427" t="s">
        <v>15</v>
      </c>
      <c r="F2427" s="10" t="s">
        <v>9</v>
      </c>
      <c r="G2427" s="18" t="s">
        <v>2960</v>
      </c>
      <c r="H2427" s="64" t="s">
        <v>55</v>
      </c>
      <c r="I2427" s="21" t="s">
        <v>784</v>
      </c>
      <c r="J2427" s="61"/>
      <c r="K2427" s="2" t="s">
        <v>6</v>
      </c>
      <c r="L2427" t="s">
        <v>2961</v>
      </c>
      <c r="M2427" s="2" t="s">
        <v>2856</v>
      </c>
    </row>
    <row r="2428" spans="1:13" ht="14.25" customHeight="1">
      <c r="A2428" t="s">
        <v>28</v>
      </c>
      <c r="B2428">
        <f ca="1">IF(OR(changes[[#This Row],[Type]]="Checklist",changes[[#This Row],[Type]]="checklist-flat"),1+IF(changes[[#This Row],[Type of change]] = "Edit",COUNTIFS($I$4:changes[[#This Row],[Name]],changes[[#This Row],[Name]], $E$4:changes[[#This Row],[Type of change]], "Edit")),B2427)</f>
        <v>2</v>
      </c>
      <c r="C2428" s="16">
        <v>44881</v>
      </c>
      <c r="D2428" s="1" t="s">
        <v>2920</v>
      </c>
      <c r="E2428" t="s">
        <v>15</v>
      </c>
      <c r="F2428" s="10" t="s">
        <v>9</v>
      </c>
      <c r="G2428" s="18" t="s">
        <v>2960</v>
      </c>
      <c r="H2428" s="64" t="s">
        <v>55</v>
      </c>
      <c r="I2428" s="20" t="s">
        <v>785</v>
      </c>
      <c r="J2428" s="61"/>
      <c r="K2428" s="2" t="s">
        <v>6</v>
      </c>
      <c r="L2428" t="s">
        <v>2961</v>
      </c>
      <c r="M2428" s="2" t="s">
        <v>2856</v>
      </c>
    </row>
    <row r="2429" spans="1:13" ht="14.25" customHeight="1">
      <c r="A2429" t="s">
        <v>28</v>
      </c>
      <c r="B2429">
        <f ca="1">IF(OR(changes[[#This Row],[Type]]="Checklist",changes[[#This Row],[Type]]="checklist-flat"),1+IF(changes[[#This Row],[Type of change]] = "Edit",COUNTIFS($I$4:changes[[#This Row],[Name]],changes[[#This Row],[Name]], $E$4:changes[[#This Row],[Type of change]], "Edit")),B2428)</f>
        <v>2</v>
      </c>
      <c r="C2429" s="16">
        <v>44881</v>
      </c>
      <c r="D2429" s="1" t="s">
        <v>2920</v>
      </c>
      <c r="E2429" t="s">
        <v>15</v>
      </c>
      <c r="F2429" s="10" t="s">
        <v>9</v>
      </c>
      <c r="G2429" s="18" t="s">
        <v>2960</v>
      </c>
      <c r="H2429" s="60" t="s">
        <v>55</v>
      </c>
      <c r="I2429" s="18" t="s">
        <v>786</v>
      </c>
      <c r="J2429" s="61"/>
      <c r="K2429" s="2" t="s">
        <v>6</v>
      </c>
      <c r="L2429" t="s">
        <v>2961</v>
      </c>
      <c r="M2429" s="2"/>
    </row>
    <row r="2430" spans="1:13" ht="15.75">
      <c r="A2430" t="s">
        <v>28</v>
      </c>
      <c r="B2430">
        <f ca="1">IF(OR(changes[[#This Row],[Type]]="Checklist",changes[[#This Row],[Type]]="checklist-flat"),1+IF(changes[[#This Row],[Type of change]] = "Edit",COUNTIFS($I$4:changes[[#This Row],[Name]],changes[[#This Row],[Name]], $E$4:changes[[#This Row],[Type of change]], "Edit")),B2429)</f>
        <v>2</v>
      </c>
      <c r="C2430" s="16">
        <v>44881</v>
      </c>
      <c r="D2430" s="1" t="s">
        <v>2920</v>
      </c>
      <c r="E2430" t="s">
        <v>15</v>
      </c>
      <c r="F2430" s="10" t="s">
        <v>9</v>
      </c>
      <c r="G2430" s="18" t="s">
        <v>2960</v>
      </c>
      <c r="H2430" s="60" t="s">
        <v>55</v>
      </c>
      <c r="I2430" s="18" t="s">
        <v>787</v>
      </c>
      <c r="J2430" s="61"/>
      <c r="K2430" s="2" t="s">
        <v>6</v>
      </c>
      <c r="L2430" t="s">
        <v>2961</v>
      </c>
      <c r="M2430" s="2"/>
    </row>
    <row r="2431" spans="1:13" ht="15.75">
      <c r="A2431" t="s">
        <v>28</v>
      </c>
      <c r="B2431">
        <f ca="1">IF(OR(changes[[#This Row],[Type]]="Checklist",changes[[#This Row],[Type]]="checklist-flat"),1+IF(changes[[#This Row],[Type of change]] = "Edit",COUNTIFS($I$4:changes[[#This Row],[Name]],changes[[#This Row],[Name]], $E$4:changes[[#This Row],[Type of change]], "Edit")),B2430)</f>
        <v>2</v>
      </c>
      <c r="C2431" s="16">
        <v>44881</v>
      </c>
      <c r="D2431" s="1" t="s">
        <v>2920</v>
      </c>
      <c r="E2431" t="s">
        <v>15</v>
      </c>
      <c r="F2431" s="10" t="s">
        <v>9</v>
      </c>
      <c r="G2431" s="18" t="s">
        <v>2960</v>
      </c>
      <c r="H2431" s="60" t="s">
        <v>55</v>
      </c>
      <c r="I2431" s="18" t="s">
        <v>788</v>
      </c>
      <c r="J2431" s="61"/>
      <c r="K2431" s="2" t="s">
        <v>6</v>
      </c>
      <c r="L2431" t="s">
        <v>2961</v>
      </c>
      <c r="M2431" s="2"/>
    </row>
    <row r="2432" spans="1:13" ht="14.25" customHeight="1">
      <c r="A2432" t="s">
        <v>28</v>
      </c>
      <c r="B2432">
        <f ca="1">IF(OR(changes[[#This Row],[Type]]="Checklist",changes[[#This Row],[Type]]="checklist-flat"),1+IF(changes[[#This Row],[Type of change]] = "Edit",COUNTIFS($I$4:changes[[#This Row],[Name]],changes[[#This Row],[Name]], $E$4:changes[[#This Row],[Type of change]], "Edit")),B2431)</f>
        <v>2</v>
      </c>
      <c r="C2432" s="16">
        <v>44881</v>
      </c>
      <c r="D2432" s="1" t="s">
        <v>2920</v>
      </c>
      <c r="E2432" t="s">
        <v>15</v>
      </c>
      <c r="F2432" s="10" t="s">
        <v>9</v>
      </c>
      <c r="G2432" s="18" t="s">
        <v>2960</v>
      </c>
      <c r="H2432" s="60" t="s">
        <v>64</v>
      </c>
      <c r="I2432" s="18" t="s">
        <v>772</v>
      </c>
      <c r="J2432" s="61"/>
      <c r="K2432" s="2" t="s">
        <v>6</v>
      </c>
      <c r="L2432" t="s">
        <v>2961</v>
      </c>
      <c r="M2432" s="2"/>
    </row>
    <row r="2433" spans="1:14" ht="14.25" customHeight="1">
      <c r="A2433" t="s">
        <v>28</v>
      </c>
      <c r="B2433">
        <f ca="1">IF(OR(changes[[#This Row],[Type]]="Checklist",changes[[#This Row],[Type]]="checklist-flat"),1+IF(changes[[#This Row],[Type of change]] = "Edit",COUNTIFS($I$4:changes[[#This Row],[Name]],changes[[#This Row],[Name]], $E$4:changes[[#This Row],[Type of change]], "Edit")),B2432)</f>
        <v>2</v>
      </c>
      <c r="C2433" s="16">
        <v>44881</v>
      </c>
      <c r="D2433" s="1" t="s">
        <v>2920</v>
      </c>
      <c r="E2433" t="s">
        <v>15</v>
      </c>
      <c r="F2433" s="10" t="s">
        <v>9</v>
      </c>
      <c r="G2433" s="18" t="s">
        <v>2960</v>
      </c>
      <c r="H2433" s="64" t="s">
        <v>55</v>
      </c>
      <c r="I2433" s="21" t="s">
        <v>93</v>
      </c>
      <c r="J2433" s="61"/>
      <c r="K2433" s="2" t="s">
        <v>6</v>
      </c>
      <c r="L2433" t="s">
        <v>2961</v>
      </c>
      <c r="M2433" s="2"/>
    </row>
    <row r="2434" spans="1:14" ht="14.25" customHeight="1">
      <c r="A2434" t="s">
        <v>28</v>
      </c>
      <c r="B2434">
        <f ca="1">IF(OR(changes[[#This Row],[Type]]="Checklist",changes[[#This Row],[Type]]="checklist-flat"),1+IF(changes[[#This Row],[Type of change]] = "Edit",COUNTIFS($I$4:changes[[#This Row],[Name]],changes[[#This Row],[Name]], $E$4:changes[[#This Row],[Type of change]], "Edit")),B2433)</f>
        <v>2</v>
      </c>
      <c r="C2434" s="16">
        <v>44881</v>
      </c>
      <c r="D2434" s="1" t="s">
        <v>2920</v>
      </c>
      <c r="E2434" t="s">
        <v>15</v>
      </c>
      <c r="F2434" s="10" t="s">
        <v>9</v>
      </c>
      <c r="G2434" s="18" t="s">
        <v>2960</v>
      </c>
      <c r="H2434" s="60" t="s">
        <v>64</v>
      </c>
      <c r="I2434" s="18" t="s">
        <v>94</v>
      </c>
      <c r="J2434" s="61"/>
      <c r="K2434" s="2" t="s">
        <v>6</v>
      </c>
      <c r="L2434" t="s">
        <v>2961</v>
      </c>
      <c r="M2434" s="2"/>
    </row>
    <row r="2435" spans="1:14" ht="15.75">
      <c r="A2435" t="s">
        <v>28</v>
      </c>
      <c r="B2435">
        <f ca="1">IF(OR(changes[[#This Row],[Type]]="Checklist",changes[[#This Row],[Type]]="checklist-flat"),1+IF(changes[[#This Row],[Type of change]] = "Edit",COUNTIFS($I$4:changes[[#This Row],[Name]],changes[[#This Row],[Name]], $E$4:changes[[#This Row],[Type of change]], "Edit")),B2434)</f>
        <v>1</v>
      </c>
      <c r="C2435" s="16">
        <v>44882</v>
      </c>
      <c r="D2435" s="1" t="s">
        <v>2458</v>
      </c>
      <c r="E2435" t="s">
        <v>27</v>
      </c>
      <c r="F2435" s="10" t="s">
        <v>52</v>
      </c>
      <c r="G2435" s="18" t="s">
        <v>74</v>
      </c>
      <c r="H2435" s="2" t="s">
        <v>54</v>
      </c>
      <c r="I2435" s="18" t="s">
        <v>74</v>
      </c>
      <c r="J2435" s="23"/>
      <c r="K2435" s="2" t="s">
        <v>6</v>
      </c>
      <c r="M2435" s="2"/>
    </row>
    <row r="2436" spans="1:14" ht="15.75">
      <c r="A2436" t="s">
        <v>28</v>
      </c>
      <c r="B2436">
        <f ca="1">IF(OR(changes[[#This Row],[Type]]="Checklist",changes[[#This Row],[Type]]="checklist-flat"),1+IF(changes[[#This Row],[Type of change]] = "Edit",COUNTIFS($I$4:changes[[#This Row],[Name]],changes[[#This Row],[Name]], $E$4:changes[[#This Row],[Type of change]], "Edit")),B2435)</f>
        <v>1</v>
      </c>
      <c r="C2436" s="16">
        <v>44882</v>
      </c>
      <c r="D2436" s="1" t="s">
        <v>2458</v>
      </c>
      <c r="E2436" t="s">
        <v>27</v>
      </c>
      <c r="F2436" s="10" t="s">
        <v>52</v>
      </c>
      <c r="G2436" s="18" t="s">
        <v>74</v>
      </c>
      <c r="H2436" s="2" t="s">
        <v>55</v>
      </c>
      <c r="I2436" s="18" t="s">
        <v>62</v>
      </c>
      <c r="J2436" s="23"/>
      <c r="K2436" s="2" t="s">
        <v>6</v>
      </c>
      <c r="M2436" s="2"/>
    </row>
    <row r="2437" spans="1:14" ht="14.25" customHeight="1">
      <c r="A2437" t="s">
        <v>28</v>
      </c>
      <c r="B2437">
        <f ca="1">IF(OR(changes[[#This Row],[Type]]="Checklist",changes[[#This Row],[Type]]="checklist-flat"),1+IF(changes[[#This Row],[Type of change]] = "Edit",COUNTIFS($I$4:changes[[#This Row],[Name]],changes[[#This Row],[Name]], $E$4:changes[[#This Row],[Type of change]], "Edit")),B2436)</f>
        <v>1</v>
      </c>
      <c r="C2437" s="16">
        <v>44882</v>
      </c>
      <c r="D2437" s="1" t="s">
        <v>2458</v>
      </c>
      <c r="E2437" t="s">
        <v>27</v>
      </c>
      <c r="F2437" s="10" t="s">
        <v>52</v>
      </c>
      <c r="G2437" s="18" t="s">
        <v>74</v>
      </c>
      <c r="H2437" s="39" t="s">
        <v>55</v>
      </c>
      <c r="I2437" s="21" t="s">
        <v>63</v>
      </c>
      <c r="J2437" s="23"/>
      <c r="K2437" s="2" t="s">
        <v>6</v>
      </c>
      <c r="M2437" s="2"/>
    </row>
    <row r="2438" spans="1:14" ht="14.25" customHeight="1">
      <c r="A2438" t="s">
        <v>28</v>
      </c>
      <c r="B2438">
        <f ca="1">IF(OR(changes[[#This Row],[Type]]="Checklist",changes[[#This Row],[Type]]="checklist-flat"),1+IF(changes[[#This Row],[Type of change]] = "Edit",COUNTIFS($I$4:changes[[#This Row],[Name]],changes[[#This Row],[Name]], $E$4:changes[[#This Row],[Type of change]], "Edit")),B2437)</f>
        <v>1</v>
      </c>
      <c r="C2438" s="16">
        <v>44882</v>
      </c>
      <c r="D2438" s="1" t="s">
        <v>2458</v>
      </c>
      <c r="E2438" t="s">
        <v>27</v>
      </c>
      <c r="F2438" s="10" t="s">
        <v>52</v>
      </c>
      <c r="G2438" s="18" t="s">
        <v>74</v>
      </c>
      <c r="H2438" s="2" t="s">
        <v>64</v>
      </c>
      <c r="I2438" s="18" t="s">
        <v>65</v>
      </c>
      <c r="J2438" s="23"/>
      <c r="K2438" s="2" t="s">
        <v>6</v>
      </c>
      <c r="M2438" s="2"/>
    </row>
    <row r="2439" spans="1:14" ht="14.25" customHeight="1">
      <c r="A2439" t="s">
        <v>28</v>
      </c>
      <c r="B2439">
        <f ca="1">IF(OR(changes[[#This Row],[Type]]="Checklist",changes[[#This Row],[Type]]="checklist-flat"),1+IF(changes[[#This Row],[Type of change]] = "Edit",COUNTIFS($I$4:changes[[#This Row],[Name]],changes[[#This Row],[Name]], $E$4:changes[[#This Row],[Type of change]], "Edit")),B2438)</f>
        <v>1</v>
      </c>
      <c r="C2439" s="16">
        <v>44882</v>
      </c>
      <c r="D2439" s="1" t="s">
        <v>2458</v>
      </c>
      <c r="E2439" t="s">
        <v>27</v>
      </c>
      <c r="F2439" s="10" t="s">
        <v>52</v>
      </c>
      <c r="G2439" s="18" t="s">
        <v>74</v>
      </c>
      <c r="H2439" s="2" t="s">
        <v>55</v>
      </c>
      <c r="I2439" s="18" t="s">
        <v>75</v>
      </c>
      <c r="J2439" s="23"/>
      <c r="K2439" s="2" t="s">
        <v>6</v>
      </c>
      <c r="M2439" s="2"/>
    </row>
    <row r="2440" spans="1:14" ht="15.75" customHeight="1">
      <c r="A2440" t="s">
        <v>28</v>
      </c>
      <c r="B2440">
        <f ca="1">IF(OR(changes[[#This Row],[Type]]="Checklist",changes[[#This Row],[Type]]="checklist-flat"),1+IF(changes[[#This Row],[Type of change]] = "Edit",COUNTIFS($I$4:changes[[#This Row],[Name]],changes[[#This Row],[Name]], $E$4:changes[[#This Row],[Type of change]], "Edit")),B2439)</f>
        <v>1</v>
      </c>
      <c r="C2440" s="16">
        <v>44882</v>
      </c>
      <c r="D2440" s="1" t="s">
        <v>2458</v>
      </c>
      <c r="E2440" t="s">
        <v>27</v>
      </c>
      <c r="F2440" s="10" t="s">
        <v>52</v>
      </c>
      <c r="G2440" s="10" t="s">
        <v>1638</v>
      </c>
      <c r="H2440" s="10" t="s">
        <v>54</v>
      </c>
      <c r="I2440" s="10" t="s">
        <v>1638</v>
      </c>
      <c r="J2440" s="65"/>
      <c r="K2440" s="2" t="s">
        <v>6</v>
      </c>
      <c r="M2440" s="2"/>
    </row>
    <row r="2441" spans="1:14" ht="15.75">
      <c r="A2441" t="s">
        <v>28</v>
      </c>
      <c r="B2441">
        <f ca="1">IF(OR(changes[[#This Row],[Type]]="Checklist",changes[[#This Row],[Type]]="checklist-flat"),1+IF(changes[[#This Row],[Type of change]] = "Edit",COUNTIFS($I$4:changes[[#This Row],[Name]],changes[[#This Row],[Name]], $E$4:changes[[#This Row],[Type of change]], "Edit")),B2440)</f>
        <v>1</v>
      </c>
      <c r="C2441" s="16">
        <v>44882</v>
      </c>
      <c r="D2441" s="1" t="s">
        <v>2458</v>
      </c>
      <c r="E2441" t="s">
        <v>27</v>
      </c>
      <c r="F2441" s="10" t="s">
        <v>52</v>
      </c>
      <c r="G2441" s="10" t="s">
        <v>1638</v>
      </c>
      <c r="H2441" s="2" t="s">
        <v>55</v>
      </c>
      <c r="I2441" s="18" t="s">
        <v>62</v>
      </c>
      <c r="J2441" s="23"/>
      <c r="K2441" s="2" t="s">
        <v>6</v>
      </c>
      <c r="M2441" s="2"/>
    </row>
    <row r="2442" spans="1:14" ht="14.25" customHeight="1">
      <c r="A2442" t="s">
        <v>28</v>
      </c>
      <c r="B2442">
        <f ca="1">IF(OR(changes[[#This Row],[Type]]="Checklist",changes[[#This Row],[Type]]="checklist-flat"),1+IF(changes[[#This Row],[Type of change]] = "Edit",COUNTIFS($I$4:changes[[#This Row],[Name]],changes[[#This Row],[Name]], $E$4:changes[[#This Row],[Type of change]], "Edit")),B2441)</f>
        <v>1</v>
      </c>
      <c r="C2442" s="16">
        <v>44882</v>
      </c>
      <c r="D2442" s="1" t="s">
        <v>2458</v>
      </c>
      <c r="E2442" t="s">
        <v>27</v>
      </c>
      <c r="F2442" s="10" t="s">
        <v>52</v>
      </c>
      <c r="G2442" s="10" t="s">
        <v>1638</v>
      </c>
      <c r="H2442" s="39" t="s">
        <v>55</v>
      </c>
      <c r="I2442" s="21" t="s">
        <v>63</v>
      </c>
      <c r="J2442" s="23"/>
      <c r="K2442" s="2" t="s">
        <v>6</v>
      </c>
      <c r="M2442" s="2"/>
    </row>
    <row r="2443" spans="1:14" ht="14.25" customHeight="1">
      <c r="A2443" t="s">
        <v>28</v>
      </c>
      <c r="B2443">
        <f ca="1">IF(OR(changes[[#This Row],[Type]]="Checklist",changes[[#This Row],[Type]]="checklist-flat"),1+IF(changes[[#This Row],[Type of change]] = "Edit",COUNTIFS($I$4:changes[[#This Row],[Name]],changes[[#This Row],[Name]], $E$4:changes[[#This Row],[Type of change]], "Edit")),B2442)</f>
        <v>1</v>
      </c>
      <c r="C2443" s="16">
        <v>44882</v>
      </c>
      <c r="D2443" s="1" t="s">
        <v>2458</v>
      </c>
      <c r="E2443" t="s">
        <v>27</v>
      </c>
      <c r="F2443" s="10" t="s">
        <v>52</v>
      </c>
      <c r="G2443" s="10" t="s">
        <v>1638</v>
      </c>
      <c r="H2443" s="2" t="s">
        <v>64</v>
      </c>
      <c r="I2443" s="18" t="s">
        <v>65</v>
      </c>
      <c r="J2443" s="23"/>
      <c r="K2443" s="2" t="s">
        <v>6</v>
      </c>
      <c r="M2443" s="2"/>
    </row>
    <row r="2444" spans="1:14">
      <c r="A2444" t="s">
        <v>28</v>
      </c>
      <c r="B2444">
        <f ca="1">IF(OR(changes[[#This Row],[Type]]="Checklist",changes[[#This Row],[Type]]="checklist-flat"),1+IF(changes[[#This Row],[Type of change]] = "Edit",COUNTIFS($I$4:changes[[#This Row],[Name]],changes[[#This Row],[Name]], $E$4:changes[[#This Row],[Type of change]], "Edit")),B2443)</f>
        <v>1</v>
      </c>
      <c r="C2444" s="16">
        <v>44882</v>
      </c>
      <c r="D2444" s="1" t="s">
        <v>2458</v>
      </c>
      <c r="E2444" s="1" t="s">
        <v>27</v>
      </c>
      <c r="F2444" s="1" t="s">
        <v>52</v>
      </c>
      <c r="G2444" s="1" t="s">
        <v>1638</v>
      </c>
      <c r="H2444" s="1" t="s">
        <v>55</v>
      </c>
      <c r="I2444" s="1" t="s">
        <v>1639</v>
      </c>
      <c r="J2444" s="66"/>
      <c r="K2444" s="1" t="s">
        <v>6</v>
      </c>
      <c r="M2444" s="2"/>
    </row>
    <row r="2445" spans="1:14">
      <c r="A2445" t="s">
        <v>28</v>
      </c>
      <c r="B2445">
        <f ca="1">IF(OR(changes[[#This Row],[Type]]="Checklist",changes[[#This Row],[Type]]="checklist-flat"),1+IF(changes[[#This Row],[Type of change]] = "Edit",COUNTIFS($I$4:changes[[#This Row],[Name]],changes[[#This Row],[Name]], $E$4:changes[[#This Row],[Type of change]], "Edit")),B2444)</f>
        <v>2</v>
      </c>
      <c r="C2445" s="16">
        <v>44886</v>
      </c>
      <c r="D2445" s="1" t="s">
        <v>2450</v>
      </c>
      <c r="E2445" t="s">
        <v>15</v>
      </c>
      <c r="F2445" s="10" t="s">
        <v>52</v>
      </c>
      <c r="G2445" s="10" t="s">
        <v>710</v>
      </c>
      <c r="H2445" s="10" t="s">
        <v>478</v>
      </c>
      <c r="I2445" s="10" t="s">
        <v>710</v>
      </c>
      <c r="J2445" s="10"/>
      <c r="K2445" s="1" t="s">
        <v>6</v>
      </c>
      <c r="L2445" t="s">
        <v>2962</v>
      </c>
      <c r="M2445" s="2"/>
      <c r="N2445" t="s">
        <v>2963</v>
      </c>
    </row>
    <row r="2446" spans="1:14" ht="14.25" customHeight="1">
      <c r="A2446" t="s">
        <v>28</v>
      </c>
      <c r="B2446">
        <f ca="1">IF(OR(changes[[#This Row],[Type]]="Checklist",changes[[#This Row],[Type]]="checklist-flat"),1+IF(changes[[#This Row],[Type of change]] = "Edit",COUNTIFS($I$4:changes[[#This Row],[Name]],changes[[#This Row],[Name]], $E$4:changes[[#This Row],[Type of change]], "Edit")),B2445)</f>
        <v>2</v>
      </c>
      <c r="C2446" s="16">
        <v>44886</v>
      </c>
      <c r="D2446" s="1" t="s">
        <v>2450</v>
      </c>
      <c r="E2446" t="s">
        <v>15</v>
      </c>
      <c r="F2446" s="10" t="s">
        <v>52</v>
      </c>
      <c r="G2446" s="10" t="s">
        <v>710</v>
      </c>
      <c r="H2446" s="10" t="s">
        <v>479</v>
      </c>
      <c r="I2446" s="10" t="s">
        <v>711</v>
      </c>
      <c r="J2446" s="10"/>
      <c r="K2446" s="1" t="s">
        <v>6</v>
      </c>
      <c r="L2446" t="s">
        <v>2962</v>
      </c>
      <c r="M2446" s="2"/>
      <c r="N2446" t="s">
        <v>2964</v>
      </c>
    </row>
    <row r="2447" spans="1:14" ht="14.25" customHeight="1">
      <c r="A2447" t="s">
        <v>28</v>
      </c>
      <c r="B2447">
        <f ca="1">IF(OR(changes[[#This Row],[Type]]="Checklist",changes[[#This Row],[Type]]="checklist-flat"),1+IF(changes[[#This Row],[Type of change]] = "Edit",COUNTIFS($I$4:changes[[#This Row],[Name]],changes[[#This Row],[Name]], $E$4:changes[[#This Row],[Type of change]], "Edit")),B2446)</f>
        <v>2</v>
      </c>
      <c r="C2447" s="16">
        <v>44886</v>
      </c>
      <c r="D2447" s="1" t="s">
        <v>2450</v>
      </c>
      <c r="E2447" t="s">
        <v>15</v>
      </c>
      <c r="F2447" s="10" t="s">
        <v>52</v>
      </c>
      <c r="G2447" s="10" t="s">
        <v>710</v>
      </c>
      <c r="H2447" s="10" t="s">
        <v>55</v>
      </c>
      <c r="I2447" s="10" t="s">
        <v>712</v>
      </c>
      <c r="J2447" s="10"/>
      <c r="K2447" s="1" t="s">
        <v>6</v>
      </c>
      <c r="L2447" t="s">
        <v>2962</v>
      </c>
      <c r="M2447" s="2"/>
    </row>
    <row r="2448" spans="1:14" ht="14.25" customHeight="1">
      <c r="A2448" t="s">
        <v>28</v>
      </c>
      <c r="B2448">
        <f ca="1">IF(OR(changes[[#This Row],[Type]]="Checklist",changes[[#This Row],[Type]]="checklist-flat"),1+IF(changes[[#This Row],[Type of change]] = "Edit",COUNTIFS($I$4:changes[[#This Row],[Name]],changes[[#This Row],[Name]], $E$4:changes[[#This Row],[Type of change]], "Edit")),B2447)</f>
        <v>2</v>
      </c>
      <c r="C2448" s="16">
        <v>44886</v>
      </c>
      <c r="D2448" s="1" t="s">
        <v>2450</v>
      </c>
      <c r="E2448" t="s">
        <v>15</v>
      </c>
      <c r="F2448" s="10" t="s">
        <v>52</v>
      </c>
      <c r="G2448" s="10" t="s">
        <v>710</v>
      </c>
      <c r="H2448" s="10" t="s">
        <v>55</v>
      </c>
      <c r="I2448" s="10" t="s">
        <v>713</v>
      </c>
      <c r="J2448" s="10"/>
      <c r="K2448" s="1" t="s">
        <v>6</v>
      </c>
      <c r="L2448" t="s">
        <v>2962</v>
      </c>
      <c r="M2448" s="2"/>
    </row>
    <row r="2449" spans="1:13">
      <c r="A2449" t="s">
        <v>28</v>
      </c>
      <c r="B2449">
        <f ca="1">IF(OR(changes[[#This Row],[Type]]="Checklist",changes[[#This Row],[Type]]="checklist-flat"),1+IF(changes[[#This Row],[Type of change]] = "Edit",COUNTIFS($I$4:changes[[#This Row],[Name]],changes[[#This Row],[Name]], $E$4:changes[[#This Row],[Type of change]], "Edit")),B2448)</f>
        <v>2</v>
      </c>
      <c r="C2449" s="16">
        <v>44886</v>
      </c>
      <c r="D2449" s="1" t="s">
        <v>2450</v>
      </c>
      <c r="E2449" t="s">
        <v>15</v>
      </c>
      <c r="F2449" s="10" t="s">
        <v>52</v>
      </c>
      <c r="G2449" s="10" t="s">
        <v>710</v>
      </c>
      <c r="H2449" s="10" t="s">
        <v>479</v>
      </c>
      <c r="I2449" s="10" t="s">
        <v>714</v>
      </c>
      <c r="J2449" s="10"/>
      <c r="K2449" s="1" t="s">
        <v>6</v>
      </c>
      <c r="L2449" t="s">
        <v>2962</v>
      </c>
      <c r="M2449" s="2"/>
    </row>
    <row r="2450" spans="1:13">
      <c r="A2450" t="s">
        <v>28</v>
      </c>
      <c r="B2450">
        <f ca="1">IF(OR(changes[[#This Row],[Type]]="Checklist",changes[[#This Row],[Type]]="checklist-flat"),1+IF(changes[[#This Row],[Type of change]] = "Edit",COUNTIFS($I$4:changes[[#This Row],[Name]],changes[[#This Row],[Name]], $E$4:changes[[#This Row],[Type of change]], "Edit")),B2449)</f>
        <v>2</v>
      </c>
      <c r="C2450" s="16">
        <v>44886</v>
      </c>
      <c r="D2450" s="1" t="s">
        <v>2450</v>
      </c>
      <c r="E2450" t="s">
        <v>15</v>
      </c>
      <c r="F2450" s="10" t="s">
        <v>52</v>
      </c>
      <c r="G2450" s="10" t="s">
        <v>710</v>
      </c>
      <c r="H2450" s="10" t="s">
        <v>55</v>
      </c>
      <c r="I2450" s="10" t="s">
        <v>715</v>
      </c>
      <c r="J2450" s="10"/>
      <c r="K2450" s="1" t="s">
        <v>6</v>
      </c>
      <c r="L2450" t="s">
        <v>2962</v>
      </c>
      <c r="M2450" s="2"/>
    </row>
    <row r="2451" spans="1:13" ht="14.25" customHeight="1">
      <c r="A2451" t="s">
        <v>28</v>
      </c>
      <c r="B2451">
        <f ca="1">IF(OR(changes[[#This Row],[Type]]="Checklist",changes[[#This Row],[Type]]="checklist-flat"),1+IF(changes[[#This Row],[Type of change]] = "Edit",COUNTIFS($I$4:changes[[#This Row],[Name]],changes[[#This Row],[Name]], $E$4:changes[[#This Row],[Type of change]], "Edit")),B2450)</f>
        <v>2</v>
      </c>
      <c r="C2451" s="16">
        <v>44886</v>
      </c>
      <c r="D2451" s="1" t="s">
        <v>2450</v>
      </c>
      <c r="E2451" t="s">
        <v>15</v>
      </c>
      <c r="F2451" s="10" t="s">
        <v>52</v>
      </c>
      <c r="G2451" s="10" t="s">
        <v>710</v>
      </c>
      <c r="H2451" s="10" t="s">
        <v>55</v>
      </c>
      <c r="I2451" s="10" t="s">
        <v>716</v>
      </c>
      <c r="J2451" s="10"/>
      <c r="K2451" s="1" t="s">
        <v>6</v>
      </c>
      <c r="L2451" t="s">
        <v>2962</v>
      </c>
      <c r="M2451" s="2"/>
    </row>
    <row r="2452" spans="1:13" ht="14.25" customHeight="1">
      <c r="A2452" t="s">
        <v>28</v>
      </c>
      <c r="B2452">
        <f ca="1">IF(OR(changes[[#This Row],[Type]]="Checklist",changes[[#This Row],[Type]]="checklist-flat"),1+IF(changes[[#This Row],[Type of change]] = "Edit",COUNTIFS($I$4:changes[[#This Row],[Name]],changes[[#This Row],[Name]], $E$4:changes[[#This Row],[Type of change]], "Edit")),B2451)</f>
        <v>2</v>
      </c>
      <c r="C2452" s="16">
        <v>44886</v>
      </c>
      <c r="D2452" s="1" t="s">
        <v>2450</v>
      </c>
      <c r="E2452" t="s">
        <v>15</v>
      </c>
      <c r="F2452" s="10" t="s">
        <v>52</v>
      </c>
      <c r="G2452" s="10" t="s">
        <v>710</v>
      </c>
      <c r="H2452" s="10" t="s">
        <v>55</v>
      </c>
      <c r="I2452" s="10" t="s">
        <v>717</v>
      </c>
      <c r="J2452" s="10"/>
      <c r="K2452" s="1" t="s">
        <v>6</v>
      </c>
      <c r="L2452" t="s">
        <v>2962</v>
      </c>
      <c r="M2452" s="2"/>
    </row>
    <row r="2453" spans="1:13" ht="14.25" customHeight="1">
      <c r="A2453" t="s">
        <v>28</v>
      </c>
      <c r="B2453">
        <f ca="1">IF(OR(changes[[#This Row],[Type]]="Checklist",changes[[#This Row],[Type]]="checklist-flat"),1+IF(changes[[#This Row],[Type of change]] = "Edit",COUNTIFS($I$4:changes[[#This Row],[Name]],changes[[#This Row],[Name]], $E$4:changes[[#This Row],[Type of change]], "Edit")),B2452)</f>
        <v>2</v>
      </c>
      <c r="C2453" s="16">
        <v>44886</v>
      </c>
      <c r="D2453" s="1" t="s">
        <v>2450</v>
      </c>
      <c r="E2453" t="s">
        <v>15</v>
      </c>
      <c r="F2453" s="10" t="s">
        <v>52</v>
      </c>
      <c r="G2453" s="10" t="s">
        <v>710</v>
      </c>
      <c r="H2453" s="10" t="s">
        <v>55</v>
      </c>
      <c r="I2453" s="10" t="s">
        <v>718</v>
      </c>
      <c r="J2453" s="10"/>
      <c r="K2453" s="1" t="s">
        <v>6</v>
      </c>
      <c r="L2453" t="s">
        <v>2962</v>
      </c>
      <c r="M2453" s="2"/>
    </row>
    <row r="2454" spans="1:13">
      <c r="A2454" t="s">
        <v>28</v>
      </c>
      <c r="B2454">
        <f ca="1">IF(OR(changes[[#This Row],[Type]]="Checklist",changes[[#This Row],[Type]]="checklist-flat"),1+IF(changes[[#This Row],[Type of change]] = "Edit",COUNTIFS($I$4:changes[[#This Row],[Name]],changes[[#This Row],[Name]], $E$4:changes[[#This Row],[Type of change]], "Edit")),B2453)</f>
        <v>2</v>
      </c>
      <c r="C2454" s="16">
        <v>44886</v>
      </c>
      <c r="D2454" s="1" t="s">
        <v>2450</v>
      </c>
      <c r="E2454" t="s">
        <v>15</v>
      </c>
      <c r="F2454" s="10" t="s">
        <v>52</v>
      </c>
      <c r="G2454" s="10" t="s">
        <v>710</v>
      </c>
      <c r="H2454" s="10" t="s">
        <v>55</v>
      </c>
      <c r="I2454" s="10" t="s">
        <v>719</v>
      </c>
      <c r="J2454" s="10"/>
      <c r="K2454" s="1" t="s">
        <v>6</v>
      </c>
      <c r="L2454" t="s">
        <v>2962</v>
      </c>
      <c r="M2454" s="2"/>
    </row>
    <row r="2455" spans="1:13" ht="14.25" customHeight="1">
      <c r="A2455" t="s">
        <v>28</v>
      </c>
      <c r="B2455">
        <f ca="1">IF(OR(changes[[#This Row],[Type]]="Checklist",changes[[#This Row],[Type]]="checklist-flat"),1+IF(changes[[#This Row],[Type of change]] = "Edit",COUNTIFS($I$4:changes[[#This Row],[Name]],changes[[#This Row],[Name]], $E$4:changes[[#This Row],[Type of change]], "Edit")),B2454)</f>
        <v>2</v>
      </c>
      <c r="C2455" s="16">
        <v>44886</v>
      </c>
      <c r="D2455" s="1" t="s">
        <v>2450</v>
      </c>
      <c r="E2455" t="s">
        <v>15</v>
      </c>
      <c r="F2455" s="10" t="s">
        <v>52</v>
      </c>
      <c r="G2455" s="10" t="s">
        <v>710</v>
      </c>
      <c r="H2455" s="10" t="s">
        <v>55</v>
      </c>
      <c r="I2455" s="10" t="s">
        <v>720</v>
      </c>
      <c r="J2455" s="10"/>
      <c r="K2455" s="1" t="s">
        <v>6</v>
      </c>
      <c r="L2455" t="s">
        <v>2962</v>
      </c>
      <c r="M2455" s="2"/>
    </row>
    <row r="2456" spans="1:13">
      <c r="A2456" t="s">
        <v>28</v>
      </c>
      <c r="B2456">
        <f ca="1">IF(OR(changes[[#This Row],[Type]]="Checklist",changes[[#This Row],[Type]]="checklist-flat"),1+IF(changes[[#This Row],[Type of change]] = "Edit",COUNTIFS($I$4:changes[[#This Row],[Name]],changes[[#This Row],[Name]], $E$4:changes[[#This Row],[Type of change]], "Edit")),B2455)</f>
        <v>2</v>
      </c>
      <c r="C2456" s="16">
        <v>44886</v>
      </c>
      <c r="D2456" s="1" t="s">
        <v>2450</v>
      </c>
      <c r="E2456" t="s">
        <v>15</v>
      </c>
      <c r="F2456" s="10" t="s">
        <v>52</v>
      </c>
      <c r="G2456" s="10" t="s">
        <v>710</v>
      </c>
      <c r="H2456" s="10" t="s">
        <v>479</v>
      </c>
      <c r="I2456" s="10" t="s">
        <v>721</v>
      </c>
      <c r="J2456" s="10"/>
      <c r="K2456" s="1" t="s">
        <v>6</v>
      </c>
      <c r="L2456" t="s">
        <v>2962</v>
      </c>
      <c r="M2456" s="2"/>
    </row>
    <row r="2457" spans="1:13">
      <c r="A2457" t="s">
        <v>28</v>
      </c>
      <c r="B2457">
        <f ca="1">IF(OR(changes[[#This Row],[Type]]="Checklist",changes[[#This Row],[Type]]="checklist-flat"),1+IF(changes[[#This Row],[Type of change]] = "Edit",COUNTIFS($I$4:changes[[#This Row],[Name]],changes[[#This Row],[Name]], $E$4:changes[[#This Row],[Type of change]], "Edit")),B2456)</f>
        <v>2</v>
      </c>
      <c r="C2457" s="16">
        <v>44886</v>
      </c>
      <c r="D2457" s="1" t="s">
        <v>2450</v>
      </c>
      <c r="E2457" t="s">
        <v>15</v>
      </c>
      <c r="F2457" s="10" t="s">
        <v>52</v>
      </c>
      <c r="G2457" s="10" t="s">
        <v>710</v>
      </c>
      <c r="H2457" s="19" t="s">
        <v>722</v>
      </c>
      <c r="I2457" s="10" t="s">
        <v>723</v>
      </c>
      <c r="J2457" s="22"/>
      <c r="K2457" s="1" t="s">
        <v>6</v>
      </c>
      <c r="L2457" t="s">
        <v>2962</v>
      </c>
      <c r="M2457" s="2"/>
    </row>
    <row r="2458" spans="1:13" ht="14.25" customHeight="1">
      <c r="A2458" t="s">
        <v>28</v>
      </c>
      <c r="B2458">
        <f ca="1">IF(OR(changes[[#This Row],[Type]]="Checklist",changes[[#This Row],[Type]]="checklist-flat"),1+IF(changes[[#This Row],[Type of change]] = "Edit",COUNTIFS($I$4:changes[[#This Row],[Name]],changes[[#This Row],[Name]], $E$4:changes[[#This Row],[Type of change]], "Edit")),B2457)</f>
        <v>2</v>
      </c>
      <c r="C2458" s="16">
        <v>44886</v>
      </c>
      <c r="D2458" s="1" t="s">
        <v>2450</v>
      </c>
      <c r="E2458" t="s">
        <v>15</v>
      </c>
      <c r="F2458" s="10" t="s">
        <v>52</v>
      </c>
      <c r="G2458" s="10" t="s">
        <v>710</v>
      </c>
      <c r="H2458" s="10" t="s">
        <v>724</v>
      </c>
      <c r="I2458" s="10" t="s">
        <v>723</v>
      </c>
      <c r="J2458" s="10"/>
      <c r="K2458" s="1" t="s">
        <v>6</v>
      </c>
      <c r="L2458" t="s">
        <v>2962</v>
      </c>
      <c r="M2458" s="2"/>
    </row>
    <row r="2459" spans="1:13" ht="14.25" customHeight="1">
      <c r="A2459" t="s">
        <v>28</v>
      </c>
      <c r="B2459">
        <f ca="1">IF(OR(changes[[#This Row],[Type]]="Checklist",changes[[#This Row],[Type]]="checklist-flat"),1+IF(changes[[#This Row],[Type of change]] = "Edit",COUNTIFS($I$4:changes[[#This Row],[Name]],changes[[#This Row],[Name]], $E$4:changes[[#This Row],[Type of change]], "Edit")),B2458)</f>
        <v>2</v>
      </c>
      <c r="C2459" s="16">
        <v>44886</v>
      </c>
      <c r="D2459" s="1" t="s">
        <v>2450</v>
      </c>
      <c r="E2459" t="s">
        <v>15</v>
      </c>
      <c r="F2459" s="10" t="s">
        <v>52</v>
      </c>
      <c r="G2459" s="10" t="s">
        <v>710</v>
      </c>
      <c r="H2459" s="10" t="s">
        <v>55</v>
      </c>
      <c r="I2459" s="10" t="s">
        <v>725</v>
      </c>
      <c r="J2459" s="10"/>
      <c r="K2459" s="1" t="s">
        <v>6</v>
      </c>
      <c r="L2459" t="s">
        <v>2962</v>
      </c>
      <c r="M2459" s="2"/>
    </row>
    <row r="2460" spans="1:13" ht="14.25" customHeight="1">
      <c r="A2460" t="s">
        <v>28</v>
      </c>
      <c r="B2460">
        <f ca="1">IF(OR(changes[[#This Row],[Type]]="Checklist",changes[[#This Row],[Type]]="checklist-flat"),1+IF(changes[[#This Row],[Type of change]] = "Edit",COUNTIFS($I$4:changes[[#This Row],[Name]],changes[[#This Row],[Name]], $E$4:changes[[#This Row],[Type of change]], "Edit")),B2459)</f>
        <v>2</v>
      </c>
      <c r="C2460" s="16">
        <v>44886</v>
      </c>
      <c r="D2460" s="1" t="s">
        <v>2450</v>
      </c>
      <c r="E2460" t="s">
        <v>15</v>
      </c>
      <c r="F2460" s="10" t="s">
        <v>52</v>
      </c>
      <c r="G2460" s="10" t="s">
        <v>710</v>
      </c>
      <c r="H2460" s="10" t="s">
        <v>420</v>
      </c>
      <c r="I2460" s="10" t="s">
        <v>726</v>
      </c>
      <c r="J2460" s="10"/>
      <c r="K2460" s="1" t="s">
        <v>6</v>
      </c>
      <c r="L2460" t="s">
        <v>2962</v>
      </c>
      <c r="M2460" s="2"/>
    </row>
    <row r="2461" spans="1:13">
      <c r="A2461" t="s">
        <v>28</v>
      </c>
      <c r="B2461">
        <f ca="1">IF(OR(changes[[#This Row],[Type]]="Checklist",changes[[#This Row],[Type]]="checklist-flat"),1+IF(changes[[#This Row],[Type of change]] = "Edit",COUNTIFS($I$4:changes[[#This Row],[Name]],changes[[#This Row],[Name]], $E$4:changes[[#This Row],[Type of change]], "Edit")),B2460)</f>
        <v>2</v>
      </c>
      <c r="C2461" s="16">
        <v>44886</v>
      </c>
      <c r="D2461" s="1" t="s">
        <v>2450</v>
      </c>
      <c r="E2461" t="s">
        <v>15</v>
      </c>
      <c r="F2461" s="10" t="s">
        <v>52</v>
      </c>
      <c r="G2461" s="10" t="s">
        <v>710</v>
      </c>
      <c r="H2461" s="10" t="s">
        <v>55</v>
      </c>
      <c r="I2461" s="10" t="s">
        <v>727</v>
      </c>
      <c r="J2461" s="10"/>
      <c r="K2461" s="1" t="s">
        <v>6</v>
      </c>
      <c r="L2461" t="s">
        <v>2962</v>
      </c>
      <c r="M2461" s="2"/>
    </row>
    <row r="2462" spans="1:13">
      <c r="A2462" t="s">
        <v>28</v>
      </c>
      <c r="B2462">
        <f ca="1">IF(OR(changes[[#This Row],[Type]]="Checklist",changes[[#This Row],[Type]]="checklist-flat"),1+IF(changes[[#This Row],[Type of change]] = "Edit",COUNTIFS($I$4:changes[[#This Row],[Name]],changes[[#This Row],[Name]], $E$4:changes[[#This Row],[Type of change]], "Edit")),B2461)</f>
        <v>2</v>
      </c>
      <c r="C2462" s="16">
        <v>44886</v>
      </c>
      <c r="D2462" s="1" t="s">
        <v>2450</v>
      </c>
      <c r="E2462" t="s">
        <v>15</v>
      </c>
      <c r="F2462" s="10" t="s">
        <v>52</v>
      </c>
      <c r="G2462" s="10" t="s">
        <v>710</v>
      </c>
      <c r="H2462" s="10" t="s">
        <v>420</v>
      </c>
      <c r="I2462" s="10" t="s">
        <v>728</v>
      </c>
      <c r="J2462" s="10"/>
      <c r="K2462" s="1" t="s">
        <v>6</v>
      </c>
      <c r="L2462" t="s">
        <v>2962</v>
      </c>
      <c r="M2462" s="2"/>
    </row>
    <row r="2463" spans="1:13">
      <c r="A2463" t="s">
        <v>28</v>
      </c>
      <c r="B2463">
        <f ca="1">IF(OR(changes[[#This Row],[Type]]="Checklist",changes[[#This Row],[Type]]="checklist-flat"),1+IF(changes[[#This Row],[Type of change]] = "Edit",COUNTIFS($I$4:changes[[#This Row],[Name]],changes[[#This Row],[Name]], $E$4:changes[[#This Row],[Type of change]], "Edit")),B2462)</f>
        <v>2</v>
      </c>
      <c r="C2463" s="16">
        <v>44886</v>
      </c>
      <c r="D2463" s="1" t="s">
        <v>2450</v>
      </c>
      <c r="E2463" t="s">
        <v>15</v>
      </c>
      <c r="F2463" s="10" t="s">
        <v>52</v>
      </c>
      <c r="G2463" s="10" t="s">
        <v>710</v>
      </c>
      <c r="H2463" s="10" t="s">
        <v>55</v>
      </c>
      <c r="I2463" s="10" t="s">
        <v>729</v>
      </c>
      <c r="J2463" s="10"/>
      <c r="K2463" s="1" t="s">
        <v>6</v>
      </c>
      <c r="L2463" t="s">
        <v>2962</v>
      </c>
      <c r="M2463" s="2"/>
    </row>
    <row r="2464" spans="1:13">
      <c r="A2464" t="s">
        <v>28</v>
      </c>
      <c r="B2464">
        <f ca="1">IF(OR(changes[[#This Row],[Type]]="Checklist",changes[[#This Row],[Type]]="checklist-flat"),1+IF(changes[[#This Row],[Type of change]] = "Edit",COUNTIFS($I$4:changes[[#This Row],[Name]],changes[[#This Row],[Name]], $E$4:changes[[#This Row],[Type of change]], "Edit")),B2463)</f>
        <v>2</v>
      </c>
      <c r="C2464" s="16">
        <v>44886</v>
      </c>
      <c r="D2464" s="1" t="s">
        <v>2450</v>
      </c>
      <c r="E2464" t="s">
        <v>15</v>
      </c>
      <c r="F2464" s="10" t="s">
        <v>52</v>
      </c>
      <c r="G2464" s="10" t="s">
        <v>710</v>
      </c>
      <c r="H2464" s="10" t="s">
        <v>55</v>
      </c>
      <c r="I2464" s="10" t="s">
        <v>730</v>
      </c>
      <c r="J2464" s="10"/>
      <c r="K2464" s="1" t="s">
        <v>6</v>
      </c>
      <c r="L2464" t="s">
        <v>2962</v>
      </c>
      <c r="M2464" s="2"/>
    </row>
    <row r="2465" spans="1:13">
      <c r="A2465" t="s">
        <v>28</v>
      </c>
      <c r="B2465">
        <f ca="1">IF(OR(changes[[#This Row],[Type]]="Checklist",changes[[#This Row],[Type]]="checklist-flat"),1+IF(changes[[#This Row],[Type of change]] = "Edit",COUNTIFS($I$4:changes[[#This Row],[Name]],changes[[#This Row],[Name]], $E$4:changes[[#This Row],[Type of change]], "Edit")),B2464)</f>
        <v>2</v>
      </c>
      <c r="C2465" s="16">
        <v>44886</v>
      </c>
      <c r="D2465" s="1" t="s">
        <v>2450</v>
      </c>
      <c r="E2465" t="s">
        <v>15</v>
      </c>
      <c r="F2465" s="10" t="s">
        <v>52</v>
      </c>
      <c r="G2465" s="10" t="s">
        <v>710</v>
      </c>
      <c r="H2465" s="10" t="s">
        <v>724</v>
      </c>
      <c r="I2465" s="10" t="s">
        <v>731</v>
      </c>
      <c r="J2465" s="10"/>
      <c r="K2465" s="1" t="s">
        <v>6</v>
      </c>
      <c r="L2465" t="s">
        <v>2962</v>
      </c>
      <c r="M2465" s="2"/>
    </row>
    <row r="2466" spans="1:13">
      <c r="A2466" t="s">
        <v>28</v>
      </c>
      <c r="B2466">
        <f ca="1">IF(OR(changes[[#This Row],[Type]]="Checklist",changes[[#This Row],[Type]]="checklist-flat"),1+IF(changes[[#This Row],[Type of change]] = "Edit",COUNTIFS($I$4:changes[[#This Row],[Name]],changes[[#This Row],[Name]], $E$4:changes[[#This Row],[Type of change]], "Edit")),B2465)</f>
        <v>2</v>
      </c>
      <c r="C2466" s="16">
        <v>44886</v>
      </c>
      <c r="D2466" s="1" t="s">
        <v>2450</v>
      </c>
      <c r="E2466" t="s">
        <v>15</v>
      </c>
      <c r="F2466" s="10" t="s">
        <v>52</v>
      </c>
      <c r="G2466" s="10" t="s">
        <v>710</v>
      </c>
      <c r="H2466" s="10" t="s">
        <v>64</v>
      </c>
      <c r="I2466" s="10" t="s">
        <v>94</v>
      </c>
      <c r="J2466" s="10"/>
      <c r="K2466" s="1" t="s">
        <v>6</v>
      </c>
      <c r="L2466" t="s">
        <v>2962</v>
      </c>
      <c r="M2466" s="2"/>
    </row>
    <row r="2467" spans="1:13">
      <c r="A2467" t="s">
        <v>28</v>
      </c>
      <c r="B2467">
        <f ca="1">IF(OR(changes[[#This Row],[Type]]="Checklist",changes[[#This Row],[Type]]="checklist-flat"),1+IF(changes[[#This Row],[Type of change]] = "Edit",COUNTIFS($I$4:changes[[#This Row],[Name]],changes[[#This Row],[Name]], $E$4:changes[[#This Row],[Type of change]], "Edit")),B2466)</f>
        <v>2</v>
      </c>
      <c r="C2467" s="16">
        <v>44886</v>
      </c>
      <c r="D2467" s="1" t="s">
        <v>2450</v>
      </c>
      <c r="E2467" t="s">
        <v>15</v>
      </c>
      <c r="F2467" s="10" t="s">
        <v>52</v>
      </c>
      <c r="G2467" s="10" t="s">
        <v>710</v>
      </c>
      <c r="H2467" s="10" t="s">
        <v>479</v>
      </c>
      <c r="I2467" s="10" t="s">
        <v>732</v>
      </c>
      <c r="J2467" s="10"/>
      <c r="K2467" s="1" t="s">
        <v>6</v>
      </c>
      <c r="L2467" t="s">
        <v>2962</v>
      </c>
      <c r="M2467" s="2"/>
    </row>
    <row r="2468" spans="1:13">
      <c r="A2468" t="s">
        <v>28</v>
      </c>
      <c r="B2468">
        <f ca="1">IF(OR(changes[[#This Row],[Type]]="Checklist",changes[[#This Row],[Type]]="checklist-flat"),1+IF(changes[[#This Row],[Type of change]] = "Edit",COUNTIFS($I$4:changes[[#This Row],[Name]],changes[[#This Row],[Name]], $E$4:changes[[#This Row],[Type of change]], "Edit")),B2467)</f>
        <v>2</v>
      </c>
      <c r="C2468" s="16">
        <v>44886</v>
      </c>
      <c r="D2468" s="1" t="s">
        <v>2450</v>
      </c>
      <c r="E2468" t="s">
        <v>15</v>
      </c>
      <c r="F2468" s="10" t="s">
        <v>52</v>
      </c>
      <c r="G2468" s="10" t="s">
        <v>710</v>
      </c>
      <c r="H2468" s="10" t="s">
        <v>55</v>
      </c>
      <c r="I2468" s="10" t="s">
        <v>725</v>
      </c>
      <c r="J2468" s="10"/>
      <c r="K2468" s="1" t="s">
        <v>6</v>
      </c>
      <c r="L2468" t="s">
        <v>2962</v>
      </c>
      <c r="M2468" s="2"/>
    </row>
    <row r="2469" spans="1:13">
      <c r="A2469" t="s">
        <v>28</v>
      </c>
      <c r="B2469">
        <f ca="1">IF(OR(changes[[#This Row],[Type]]="Checklist",changes[[#This Row],[Type]]="checklist-flat"),1+IF(changes[[#This Row],[Type of change]] = "Edit",COUNTIFS($I$4:changes[[#This Row],[Name]],changes[[#This Row],[Name]], $E$4:changes[[#This Row],[Type of change]], "Edit")),B2468)</f>
        <v>2</v>
      </c>
      <c r="C2469" s="16">
        <v>44886</v>
      </c>
      <c r="D2469" s="1" t="s">
        <v>2450</v>
      </c>
      <c r="E2469" t="s">
        <v>15</v>
      </c>
      <c r="F2469" s="10" t="s">
        <v>52</v>
      </c>
      <c r="G2469" s="10" t="s">
        <v>710</v>
      </c>
      <c r="H2469" s="10" t="s">
        <v>420</v>
      </c>
      <c r="I2469" s="10" t="s">
        <v>726</v>
      </c>
      <c r="J2469" s="10"/>
      <c r="K2469" s="1" t="s">
        <v>6</v>
      </c>
      <c r="L2469" t="s">
        <v>2962</v>
      </c>
      <c r="M2469" s="2"/>
    </row>
    <row r="2470" spans="1:13">
      <c r="A2470" t="s">
        <v>28</v>
      </c>
      <c r="B2470">
        <f ca="1">IF(OR(changes[[#This Row],[Type]]="Checklist",changes[[#This Row],[Type]]="checklist-flat"),1+IF(changes[[#This Row],[Type of change]] = "Edit",COUNTIFS($I$4:changes[[#This Row],[Name]],changes[[#This Row],[Name]], $E$4:changes[[#This Row],[Type of change]], "Edit")),B2469)</f>
        <v>2</v>
      </c>
      <c r="C2470" s="16">
        <v>44886</v>
      </c>
      <c r="D2470" s="1" t="s">
        <v>2450</v>
      </c>
      <c r="E2470" t="s">
        <v>15</v>
      </c>
      <c r="F2470" s="10" t="s">
        <v>52</v>
      </c>
      <c r="G2470" s="10" t="s">
        <v>710</v>
      </c>
      <c r="H2470" s="10" t="s">
        <v>55</v>
      </c>
      <c r="I2470" s="10" t="s">
        <v>727</v>
      </c>
      <c r="J2470" s="10"/>
      <c r="K2470" s="1" t="s">
        <v>6</v>
      </c>
      <c r="L2470" t="s">
        <v>2962</v>
      </c>
      <c r="M2470" s="2"/>
    </row>
    <row r="2471" spans="1:13">
      <c r="A2471" t="s">
        <v>28</v>
      </c>
      <c r="B2471">
        <f ca="1">IF(OR(changes[[#This Row],[Type]]="Checklist",changes[[#This Row],[Type]]="checklist-flat"),1+IF(changes[[#This Row],[Type of change]] = "Edit",COUNTIFS($I$4:changes[[#This Row],[Name]],changes[[#This Row],[Name]], $E$4:changes[[#This Row],[Type of change]], "Edit")),B2470)</f>
        <v>2</v>
      </c>
      <c r="C2471" s="16">
        <v>44886</v>
      </c>
      <c r="D2471" s="1" t="s">
        <v>2450</v>
      </c>
      <c r="E2471" t="s">
        <v>15</v>
      </c>
      <c r="F2471" s="10" t="s">
        <v>52</v>
      </c>
      <c r="G2471" s="10" t="s">
        <v>710</v>
      </c>
      <c r="H2471" s="10" t="s">
        <v>420</v>
      </c>
      <c r="I2471" s="10" t="s">
        <v>728</v>
      </c>
      <c r="J2471" s="10"/>
      <c r="K2471" s="1" t="s">
        <v>6</v>
      </c>
      <c r="L2471" t="s">
        <v>2962</v>
      </c>
      <c r="M2471" s="2"/>
    </row>
    <row r="2472" spans="1:13">
      <c r="A2472" t="s">
        <v>28</v>
      </c>
      <c r="B2472">
        <f ca="1">IF(OR(changes[[#This Row],[Type]]="Checklist",changes[[#This Row],[Type]]="checklist-flat"),1+IF(changes[[#This Row],[Type of change]] = "Edit",COUNTIFS($I$4:changes[[#This Row],[Name]],changes[[#This Row],[Name]], $E$4:changes[[#This Row],[Type of change]], "Edit")),B2471)</f>
        <v>2</v>
      </c>
      <c r="C2472" s="16">
        <v>44886</v>
      </c>
      <c r="D2472" s="1" t="s">
        <v>2450</v>
      </c>
      <c r="E2472" t="s">
        <v>15</v>
      </c>
      <c r="F2472" s="10" t="s">
        <v>52</v>
      </c>
      <c r="G2472" s="10" t="s">
        <v>710</v>
      </c>
      <c r="H2472" s="10" t="s">
        <v>55</v>
      </c>
      <c r="I2472" s="10" t="s">
        <v>729</v>
      </c>
      <c r="J2472" s="10"/>
      <c r="K2472" s="1" t="s">
        <v>6</v>
      </c>
      <c r="L2472" t="s">
        <v>2962</v>
      </c>
      <c r="M2472" s="2"/>
    </row>
    <row r="2473" spans="1:13">
      <c r="A2473" t="s">
        <v>28</v>
      </c>
      <c r="B2473">
        <f ca="1">IF(OR(changes[[#This Row],[Type]]="Checklist",changes[[#This Row],[Type]]="checklist-flat"),1+IF(changes[[#This Row],[Type of change]] = "Edit",COUNTIFS($I$4:changes[[#This Row],[Name]],changes[[#This Row],[Name]], $E$4:changes[[#This Row],[Type of change]], "Edit")),B2472)</f>
        <v>2</v>
      </c>
      <c r="C2473" s="16">
        <v>44886</v>
      </c>
      <c r="D2473" s="1" t="s">
        <v>2450</v>
      </c>
      <c r="E2473" t="s">
        <v>15</v>
      </c>
      <c r="F2473" s="10" t="s">
        <v>52</v>
      </c>
      <c r="G2473" s="10" t="s">
        <v>710</v>
      </c>
      <c r="H2473" s="10" t="s">
        <v>55</v>
      </c>
      <c r="I2473" s="10" t="s">
        <v>730</v>
      </c>
      <c r="J2473" s="10"/>
      <c r="K2473" s="1" t="s">
        <v>6</v>
      </c>
      <c r="L2473" t="s">
        <v>2962</v>
      </c>
      <c r="M2473" s="2"/>
    </row>
    <row r="2474" spans="1:13">
      <c r="A2474" t="s">
        <v>28</v>
      </c>
      <c r="B2474">
        <f ca="1">IF(OR(changes[[#This Row],[Type]]="Checklist",changes[[#This Row],[Type]]="checklist-flat"),1+IF(changes[[#This Row],[Type of change]] = "Edit",COUNTIFS($I$4:changes[[#This Row],[Name]],changes[[#This Row],[Name]], $E$4:changes[[#This Row],[Type of change]], "Edit")),B2473)</f>
        <v>2</v>
      </c>
      <c r="C2474" s="16">
        <v>44886</v>
      </c>
      <c r="D2474" s="1" t="s">
        <v>2450</v>
      </c>
      <c r="E2474" t="s">
        <v>15</v>
      </c>
      <c r="F2474" s="10" t="s">
        <v>52</v>
      </c>
      <c r="G2474" s="10" t="s">
        <v>710</v>
      </c>
      <c r="H2474" s="10" t="s">
        <v>724</v>
      </c>
      <c r="I2474" s="10" t="s">
        <v>731</v>
      </c>
      <c r="J2474" s="10"/>
      <c r="K2474" s="1" t="s">
        <v>6</v>
      </c>
      <c r="L2474" t="s">
        <v>2962</v>
      </c>
      <c r="M2474" s="2"/>
    </row>
    <row r="2475" spans="1:13">
      <c r="A2475" t="s">
        <v>28</v>
      </c>
      <c r="B2475">
        <f ca="1">IF(OR(changes[[#This Row],[Type]]="Checklist",changes[[#This Row],[Type]]="checklist-flat"),1+IF(changes[[#This Row],[Type of change]] = "Edit",COUNTIFS($I$4:changes[[#This Row],[Name]],changes[[#This Row],[Name]], $E$4:changes[[#This Row],[Type of change]], "Edit")),B2474)</f>
        <v>2</v>
      </c>
      <c r="C2475" s="16">
        <v>44886</v>
      </c>
      <c r="D2475" s="1" t="s">
        <v>2450</v>
      </c>
      <c r="E2475" t="s">
        <v>15</v>
      </c>
      <c r="F2475" s="10" t="s">
        <v>52</v>
      </c>
      <c r="G2475" s="10" t="s">
        <v>710</v>
      </c>
      <c r="H2475" s="10" t="s">
        <v>64</v>
      </c>
      <c r="I2475" s="10" t="s">
        <v>733</v>
      </c>
      <c r="J2475" s="10"/>
      <c r="K2475" s="1" t="s">
        <v>6</v>
      </c>
      <c r="L2475" t="s">
        <v>2962</v>
      </c>
      <c r="M2475" s="2"/>
    </row>
    <row r="2476" spans="1:13">
      <c r="A2476" t="s">
        <v>24</v>
      </c>
      <c r="B2476">
        <f ca="1">IF(OR(changes[[#This Row],[Type]]="Checklist",changes[[#This Row],[Type]]="checklist-flat"),1+IF(changes[[#This Row],[Type of change]] = "Edit",COUNTIFS($I$4:changes[[#This Row],[Name]],changes[[#This Row],[Name]], $E$4:changes[[#This Row],[Type of change]], "Edit")),B2475)</f>
        <v>1</v>
      </c>
      <c r="C2476" s="16">
        <v>44886</v>
      </c>
      <c r="D2476" s="1" t="s">
        <v>2450</v>
      </c>
      <c r="E2476" t="s">
        <v>27</v>
      </c>
      <c r="F2476" s="10" t="s">
        <v>52</v>
      </c>
      <c r="G2476" s="10" t="s">
        <v>631</v>
      </c>
      <c r="H2476" s="10" t="s">
        <v>478</v>
      </c>
      <c r="I2476" s="10" t="s">
        <v>631</v>
      </c>
      <c r="J2476" s="10"/>
      <c r="K2476" s="1" t="s">
        <v>6</v>
      </c>
      <c r="M2476" s="2"/>
    </row>
    <row r="2477" spans="1:13">
      <c r="A2477" t="s">
        <v>24</v>
      </c>
      <c r="B2477">
        <f ca="1">IF(OR(changes[[#This Row],[Type]]="Checklist",changes[[#This Row],[Type]]="checklist-flat"),1+IF(changes[[#This Row],[Type of change]] = "Edit",COUNTIFS($I$4:changes[[#This Row],[Name]],changes[[#This Row],[Name]], $E$4:changes[[#This Row],[Type of change]], "Edit")),B2476)</f>
        <v>1</v>
      </c>
      <c r="C2477" s="16">
        <v>44886</v>
      </c>
      <c r="D2477" s="1" t="s">
        <v>2450</v>
      </c>
      <c r="E2477" t="s">
        <v>27</v>
      </c>
      <c r="F2477" s="10" t="s">
        <v>52</v>
      </c>
      <c r="G2477" s="10" t="s">
        <v>631</v>
      </c>
      <c r="H2477" s="10" t="s">
        <v>55</v>
      </c>
      <c r="I2477" s="10" t="s">
        <v>632</v>
      </c>
      <c r="J2477" s="10"/>
      <c r="K2477" s="1" t="s">
        <v>6</v>
      </c>
      <c r="M2477" s="2"/>
    </row>
    <row r="2478" spans="1:13" ht="15.75">
      <c r="A2478" t="s">
        <v>24</v>
      </c>
      <c r="B2478">
        <f ca="1">IF(OR(changes[[#This Row],[Type]]="Checklist",changes[[#This Row],[Type]]="checklist-flat"),1+IF(changes[[#This Row],[Type of change]] = "Edit",COUNTIFS($I$4:changes[[#This Row],[Name]],changes[[#This Row],[Name]], $E$4:changes[[#This Row],[Type of change]], "Edit")),B2477)</f>
        <v>1</v>
      </c>
      <c r="C2478" s="16">
        <v>44886</v>
      </c>
      <c r="D2478" s="1" t="s">
        <v>2450</v>
      </c>
      <c r="E2478" t="s">
        <v>27</v>
      </c>
      <c r="F2478" s="10" t="s">
        <v>52</v>
      </c>
      <c r="G2478" s="10" t="s">
        <v>631</v>
      </c>
      <c r="H2478" s="19" t="s">
        <v>420</v>
      </c>
      <c r="I2478" s="21" t="s">
        <v>633</v>
      </c>
      <c r="J2478" s="22"/>
      <c r="K2478" s="1" t="s">
        <v>6</v>
      </c>
      <c r="M2478" s="2"/>
    </row>
    <row r="2479" spans="1:13">
      <c r="A2479" t="s">
        <v>24</v>
      </c>
      <c r="B2479">
        <f ca="1">IF(OR(changes[[#This Row],[Type]]="Checklist",changes[[#This Row],[Type]]="checklist-flat"),1+IF(changes[[#This Row],[Type of change]] = "Edit",COUNTIFS($I$4:changes[[#This Row],[Name]],changes[[#This Row],[Name]], $E$4:changes[[#This Row],[Type of change]], "Edit")),B2478)</f>
        <v>1</v>
      </c>
      <c r="C2479" s="16">
        <v>44886</v>
      </c>
      <c r="D2479" s="1" t="s">
        <v>2450</v>
      </c>
      <c r="E2479" t="s">
        <v>27</v>
      </c>
      <c r="F2479" s="10" t="s">
        <v>52</v>
      </c>
      <c r="G2479" s="10" t="s">
        <v>631</v>
      </c>
      <c r="H2479" s="10" t="s">
        <v>55</v>
      </c>
      <c r="I2479" s="10" t="s">
        <v>634</v>
      </c>
      <c r="J2479" s="10"/>
      <c r="K2479" s="1" t="s">
        <v>6</v>
      </c>
      <c r="M2479" s="2"/>
    </row>
    <row r="2480" spans="1:13" ht="15.75" customHeight="1">
      <c r="A2480" t="s">
        <v>24</v>
      </c>
      <c r="B2480">
        <f ca="1">IF(OR(changes[[#This Row],[Type]]="Checklist",changes[[#This Row],[Type]]="checklist-flat"),1+IF(changes[[#This Row],[Type of change]] = "Edit",COUNTIFS($I$4:changes[[#This Row],[Name]],changes[[#This Row],[Name]], $E$4:changes[[#This Row],[Type of change]], "Edit")),B2479)</f>
        <v>1</v>
      </c>
      <c r="C2480" s="16">
        <v>44886</v>
      </c>
      <c r="D2480" s="1" t="s">
        <v>2450</v>
      </c>
      <c r="E2480" t="s">
        <v>27</v>
      </c>
      <c r="F2480" s="10" t="s">
        <v>52</v>
      </c>
      <c r="G2480" s="10" t="s">
        <v>631</v>
      </c>
      <c r="H2480" s="19" t="s">
        <v>420</v>
      </c>
      <c r="I2480" s="21" t="s">
        <v>633</v>
      </c>
      <c r="J2480" s="22"/>
      <c r="K2480" s="1" t="s">
        <v>6</v>
      </c>
      <c r="M2480" s="2"/>
    </row>
    <row r="2481" spans="1:13">
      <c r="A2481" t="s">
        <v>24</v>
      </c>
      <c r="B2481">
        <f ca="1">IF(OR(changes[[#This Row],[Type]]="Checklist",changes[[#This Row],[Type]]="checklist-flat"),1+IF(changes[[#This Row],[Type of change]] = "Edit",COUNTIFS($I$4:changes[[#This Row],[Name]],changes[[#This Row],[Name]], $E$4:changes[[#This Row],[Type of change]], "Edit")),B2480)</f>
        <v>1</v>
      </c>
      <c r="C2481" s="16">
        <v>44886</v>
      </c>
      <c r="D2481" s="1" t="s">
        <v>2450</v>
      </c>
      <c r="E2481" t="s">
        <v>27</v>
      </c>
      <c r="F2481" s="10" t="s">
        <v>52</v>
      </c>
      <c r="G2481" s="10" t="s">
        <v>631</v>
      </c>
      <c r="H2481" s="10" t="s">
        <v>214</v>
      </c>
      <c r="I2481" s="10" t="s">
        <v>443</v>
      </c>
      <c r="J2481" s="10"/>
      <c r="K2481" s="1" t="s">
        <v>6</v>
      </c>
      <c r="M2481" s="2"/>
    </row>
    <row r="2482" spans="1:13">
      <c r="A2482" t="s">
        <v>24</v>
      </c>
      <c r="B2482">
        <f ca="1">IF(OR(changes[[#This Row],[Type]]="Checklist",changes[[#This Row],[Type]]="checklist-flat"),1+IF(changes[[#This Row],[Type of change]] = "Edit",COUNTIFS($I$4:changes[[#This Row],[Name]],changes[[#This Row],[Name]], $E$4:changes[[#This Row],[Type of change]], "Edit")),B2481)</f>
        <v>1</v>
      </c>
      <c r="C2482" s="16">
        <v>44886</v>
      </c>
      <c r="D2482" s="1" t="s">
        <v>2450</v>
      </c>
      <c r="E2482" t="s">
        <v>27</v>
      </c>
      <c r="F2482" s="10" t="s">
        <v>52</v>
      </c>
      <c r="G2482" s="10" t="s">
        <v>631</v>
      </c>
      <c r="H2482" s="10" t="s">
        <v>55</v>
      </c>
      <c r="I2482" s="10" t="s">
        <v>442</v>
      </c>
      <c r="J2482" s="10"/>
      <c r="K2482" s="1" t="s">
        <v>6</v>
      </c>
      <c r="M2482" s="2"/>
    </row>
    <row r="2483" spans="1:13">
      <c r="A2483" t="s">
        <v>28</v>
      </c>
      <c r="B2483">
        <f ca="1">IF(OR(changes[[#This Row],[Type]]="Checklist",changes[[#This Row],[Type]]="checklist-flat"),1+IF(changes[[#This Row],[Type of change]] = "Edit",COUNTIFS($I$4:changes[[#This Row],[Name]],changes[[#This Row],[Name]], $E$4:changes[[#This Row],[Type of change]], "Edit")),B2482)</f>
        <v>1</v>
      </c>
      <c r="C2483" s="16">
        <v>44889</v>
      </c>
      <c r="D2483" s="1" t="s">
        <v>2636</v>
      </c>
      <c r="E2483" s="1" t="s">
        <v>27</v>
      </c>
      <c r="F2483" s="1" t="s">
        <v>9</v>
      </c>
      <c r="G2483" s="1" t="s">
        <v>2965</v>
      </c>
      <c r="H2483" s="1" t="s">
        <v>54</v>
      </c>
      <c r="I2483" s="1" t="s">
        <v>1778</v>
      </c>
      <c r="J2483" s="1"/>
      <c r="K2483" s="1" t="s">
        <v>6</v>
      </c>
      <c r="L2483" t="s">
        <v>2933</v>
      </c>
      <c r="M2483" s="2"/>
    </row>
    <row r="2484" spans="1:13">
      <c r="A2484" t="s">
        <v>28</v>
      </c>
      <c r="B2484">
        <f ca="1">IF(OR(changes[[#This Row],[Type]]="Checklist",changes[[#This Row],[Type]]="checklist-flat"),1+IF(changes[[#This Row],[Type of change]] = "Edit",COUNTIFS($I$4:changes[[#This Row],[Name]],changes[[#This Row],[Name]], $E$4:changes[[#This Row],[Type of change]], "Edit")),B2483)</f>
        <v>1</v>
      </c>
      <c r="C2484" s="16">
        <v>44889</v>
      </c>
      <c r="D2484" s="1" t="s">
        <v>2636</v>
      </c>
      <c r="E2484" s="1" t="s">
        <v>27</v>
      </c>
      <c r="F2484" s="1" t="s">
        <v>9</v>
      </c>
      <c r="G2484" s="1" t="s">
        <v>2965</v>
      </c>
      <c r="H2484" s="1" t="s">
        <v>479</v>
      </c>
      <c r="I2484" s="1" t="s">
        <v>1716</v>
      </c>
      <c r="J2484" s="1"/>
      <c r="K2484" s="1" t="s">
        <v>6</v>
      </c>
      <c r="L2484" t="s">
        <v>2933</v>
      </c>
      <c r="M2484" s="2"/>
    </row>
    <row r="2485" spans="1:13">
      <c r="A2485" t="s">
        <v>28</v>
      </c>
      <c r="B2485">
        <f ca="1">IF(OR(changes[[#This Row],[Type]]="Checklist",changes[[#This Row],[Type]]="checklist-flat"),1+IF(changes[[#This Row],[Type of change]] = "Edit",COUNTIFS($I$4:changes[[#This Row],[Name]],changes[[#This Row],[Name]], $E$4:changes[[#This Row],[Type of change]], "Edit")),B2484)</f>
        <v>1</v>
      </c>
      <c r="C2485" s="16">
        <v>44889</v>
      </c>
      <c r="D2485" s="1" t="s">
        <v>2636</v>
      </c>
      <c r="E2485" s="1" t="s">
        <v>27</v>
      </c>
      <c r="F2485" s="1" t="s">
        <v>9</v>
      </c>
      <c r="G2485" s="1" t="s">
        <v>2965</v>
      </c>
      <c r="H2485" s="1" t="s">
        <v>55</v>
      </c>
      <c r="I2485" s="1" t="s">
        <v>1779</v>
      </c>
      <c r="J2485" s="1"/>
      <c r="K2485" s="1" t="s">
        <v>6</v>
      </c>
      <c r="L2485" t="s">
        <v>2933</v>
      </c>
      <c r="M2485" s="2"/>
    </row>
    <row r="2486" spans="1:13">
      <c r="A2486" t="s">
        <v>28</v>
      </c>
      <c r="B2486">
        <f ca="1">IF(OR(changes[[#This Row],[Type]]="Checklist",changes[[#This Row],[Type]]="checklist-flat"),1+IF(changes[[#This Row],[Type of change]] = "Edit",COUNTIFS($I$4:changes[[#This Row],[Name]],changes[[#This Row],[Name]], $E$4:changes[[#This Row],[Type of change]], "Edit")),B2485)</f>
        <v>1</v>
      </c>
      <c r="C2486" s="16">
        <v>44889</v>
      </c>
      <c r="D2486" s="1" t="s">
        <v>2636</v>
      </c>
      <c r="E2486" s="1" t="s">
        <v>27</v>
      </c>
      <c r="F2486" s="1" t="s">
        <v>9</v>
      </c>
      <c r="G2486" s="1" t="s">
        <v>2965</v>
      </c>
      <c r="H2486" s="1" t="s">
        <v>214</v>
      </c>
      <c r="I2486" s="1" t="s">
        <v>1613</v>
      </c>
      <c r="J2486" s="1"/>
      <c r="K2486" s="1" t="s">
        <v>6</v>
      </c>
      <c r="L2486" t="s">
        <v>2933</v>
      </c>
      <c r="M2486" s="2"/>
    </row>
    <row r="2487" spans="1:13">
      <c r="A2487" t="s">
        <v>28</v>
      </c>
      <c r="B2487">
        <f ca="1">IF(OR(changes[[#This Row],[Type]]="Checklist",changes[[#This Row],[Type]]="checklist-flat"),1+IF(changes[[#This Row],[Type of change]] = "Edit",COUNTIFS($I$4:changes[[#This Row],[Name]],changes[[#This Row],[Name]], $E$4:changes[[#This Row],[Type of change]], "Edit")),B2486)</f>
        <v>1</v>
      </c>
      <c r="C2487" s="16">
        <v>44889</v>
      </c>
      <c r="D2487" s="1" t="s">
        <v>2636</v>
      </c>
      <c r="E2487" s="1" t="s">
        <v>27</v>
      </c>
      <c r="F2487" s="1" t="s">
        <v>9</v>
      </c>
      <c r="G2487" s="1" t="s">
        <v>2965</v>
      </c>
      <c r="H2487" s="1" t="s">
        <v>214</v>
      </c>
      <c r="I2487" s="1" t="s">
        <v>1614</v>
      </c>
      <c r="J2487" s="1"/>
      <c r="K2487" s="1" t="s">
        <v>6</v>
      </c>
      <c r="L2487" t="s">
        <v>2933</v>
      </c>
      <c r="M2487" s="2"/>
    </row>
    <row r="2488" spans="1:13">
      <c r="A2488" t="s">
        <v>28</v>
      </c>
      <c r="B2488">
        <f ca="1">IF(OR(changes[[#This Row],[Type]]="Checklist",changes[[#This Row],[Type]]="checklist-flat"),1+IF(changes[[#This Row],[Type of change]] = "Edit",COUNTIFS($I$4:changes[[#This Row],[Name]],changes[[#This Row],[Name]], $E$4:changes[[#This Row],[Type of change]], "Edit")),B2487)</f>
        <v>1</v>
      </c>
      <c r="C2488" s="16">
        <v>44889</v>
      </c>
      <c r="D2488" s="1" t="s">
        <v>2636</v>
      </c>
      <c r="E2488" s="1" t="s">
        <v>27</v>
      </c>
      <c r="F2488" s="1" t="s">
        <v>9</v>
      </c>
      <c r="G2488" s="1" t="s">
        <v>2965</v>
      </c>
      <c r="H2488" s="1" t="s">
        <v>55</v>
      </c>
      <c r="I2488" s="1" t="s">
        <v>1718</v>
      </c>
      <c r="J2488" s="1"/>
      <c r="K2488" s="1" t="s">
        <v>6</v>
      </c>
      <c r="L2488" t="s">
        <v>2933</v>
      </c>
      <c r="M2488" s="2"/>
    </row>
    <row r="2489" spans="1:13">
      <c r="A2489" t="s">
        <v>28</v>
      </c>
      <c r="B2489">
        <f ca="1">IF(OR(changes[[#This Row],[Type]]="Checklist",changes[[#This Row],[Type]]="checklist-flat"),1+IF(changes[[#This Row],[Type of change]] = "Edit",COUNTIFS($I$4:changes[[#This Row],[Name]],changes[[#This Row],[Name]], $E$4:changes[[#This Row],[Type of change]], "Edit")),B2488)</f>
        <v>1</v>
      </c>
      <c r="C2489" s="16">
        <v>44889</v>
      </c>
      <c r="D2489" s="1" t="s">
        <v>2636</v>
      </c>
      <c r="E2489" s="1" t="s">
        <v>27</v>
      </c>
      <c r="F2489" s="1" t="s">
        <v>9</v>
      </c>
      <c r="G2489" s="1" t="s">
        <v>2965</v>
      </c>
      <c r="H2489" s="1" t="s">
        <v>479</v>
      </c>
      <c r="I2489" s="1" t="s">
        <v>1780</v>
      </c>
      <c r="J2489" s="1"/>
      <c r="K2489" s="1" t="s">
        <v>6</v>
      </c>
      <c r="L2489" t="s">
        <v>2933</v>
      </c>
      <c r="M2489" s="2"/>
    </row>
    <row r="2490" spans="1:13">
      <c r="A2490" t="s">
        <v>28</v>
      </c>
      <c r="B2490">
        <f ca="1">IF(OR(changes[[#This Row],[Type]]="Checklist",changes[[#This Row],[Type]]="checklist-flat"),1+IF(changes[[#This Row],[Type of change]] = "Edit",COUNTIFS($I$4:changes[[#This Row],[Name]],changes[[#This Row],[Name]], $E$4:changes[[#This Row],[Type of change]], "Edit")),B2489)</f>
        <v>1</v>
      </c>
      <c r="C2490" s="16">
        <v>44889</v>
      </c>
      <c r="D2490" s="1" t="s">
        <v>2636</v>
      </c>
      <c r="E2490" s="1" t="s">
        <v>27</v>
      </c>
      <c r="F2490" s="1" t="s">
        <v>9</v>
      </c>
      <c r="G2490" s="1" t="s">
        <v>2965</v>
      </c>
      <c r="H2490" s="1" t="s">
        <v>55</v>
      </c>
      <c r="I2490" s="1" t="s">
        <v>1781</v>
      </c>
      <c r="J2490" s="1"/>
      <c r="K2490" s="1" t="s">
        <v>6</v>
      </c>
      <c r="L2490" t="s">
        <v>2933</v>
      </c>
      <c r="M2490" s="2"/>
    </row>
    <row r="2491" spans="1:13">
      <c r="A2491" t="s">
        <v>28</v>
      </c>
      <c r="B2491">
        <f ca="1">IF(OR(changes[[#This Row],[Type]]="Checklist",changes[[#This Row],[Type]]="checklist-flat"),1+IF(changes[[#This Row],[Type of change]] = "Edit",COUNTIFS($I$4:changes[[#This Row],[Name]],changes[[#This Row],[Name]], $E$4:changes[[#This Row],[Type of change]], "Edit")),B2490)</f>
        <v>1</v>
      </c>
      <c r="C2491" s="16">
        <v>44889</v>
      </c>
      <c r="D2491" s="1" t="s">
        <v>2636</v>
      </c>
      <c r="E2491" s="1" t="s">
        <v>27</v>
      </c>
      <c r="F2491" s="1" t="s">
        <v>9</v>
      </c>
      <c r="G2491" s="1" t="s">
        <v>2965</v>
      </c>
      <c r="H2491" s="1" t="s">
        <v>55</v>
      </c>
      <c r="I2491" s="1" t="s">
        <v>475</v>
      </c>
      <c r="J2491" s="1"/>
      <c r="K2491" s="1" t="s">
        <v>6</v>
      </c>
      <c r="L2491" t="s">
        <v>2933</v>
      </c>
      <c r="M2491" s="2"/>
    </row>
    <row r="2492" spans="1:13">
      <c r="A2492" t="s">
        <v>28</v>
      </c>
      <c r="B2492">
        <f ca="1">IF(OR(changes[[#This Row],[Type]]="Checklist",changes[[#This Row],[Type]]="checklist-flat"),1+IF(changes[[#This Row],[Type of change]] = "Edit",COUNTIFS($I$4:changes[[#This Row],[Name]],changes[[#This Row],[Name]], $E$4:changes[[#This Row],[Type of change]], "Edit")),B2491)</f>
        <v>1</v>
      </c>
      <c r="C2492" s="16">
        <v>44889</v>
      </c>
      <c r="D2492" s="1" t="s">
        <v>2636</v>
      </c>
      <c r="E2492" s="1" t="s">
        <v>27</v>
      </c>
      <c r="F2492" s="1" t="s">
        <v>9</v>
      </c>
      <c r="G2492" s="1" t="s">
        <v>2965</v>
      </c>
      <c r="H2492" s="1" t="s">
        <v>55</v>
      </c>
      <c r="I2492" s="1" t="s">
        <v>1782</v>
      </c>
      <c r="J2492" s="1"/>
      <c r="K2492" s="1" t="s">
        <v>6</v>
      </c>
      <c r="L2492" t="s">
        <v>2933</v>
      </c>
      <c r="M2492" s="2"/>
    </row>
    <row r="2493" spans="1:13">
      <c r="A2493" t="s">
        <v>28</v>
      </c>
      <c r="B2493">
        <f ca="1">IF(OR(changes[[#This Row],[Type]]="Checklist",changes[[#This Row],[Type]]="checklist-flat"),1+IF(changes[[#This Row],[Type of change]] = "Edit",COUNTIFS($I$4:changes[[#This Row],[Name]],changes[[#This Row],[Name]], $E$4:changes[[#This Row],[Type of change]], "Edit")),B2492)</f>
        <v>1</v>
      </c>
      <c r="C2493" s="16">
        <v>44889</v>
      </c>
      <c r="D2493" s="1" t="s">
        <v>2636</v>
      </c>
      <c r="E2493" s="1" t="s">
        <v>27</v>
      </c>
      <c r="F2493" s="1" t="s">
        <v>9</v>
      </c>
      <c r="G2493" s="1" t="s">
        <v>2965</v>
      </c>
      <c r="H2493" s="1" t="s">
        <v>479</v>
      </c>
      <c r="I2493" s="1" t="s">
        <v>1721</v>
      </c>
      <c r="J2493" s="1"/>
      <c r="K2493" s="1" t="s">
        <v>6</v>
      </c>
      <c r="L2493" t="s">
        <v>2933</v>
      </c>
      <c r="M2493" s="2"/>
    </row>
    <row r="2494" spans="1:13">
      <c r="A2494" t="s">
        <v>28</v>
      </c>
      <c r="B2494">
        <f ca="1">IF(OR(changes[[#This Row],[Type]]="Checklist",changes[[#This Row],[Type]]="checklist-flat"),1+IF(changes[[#This Row],[Type of change]] = "Edit",COUNTIFS($I$4:changes[[#This Row],[Name]],changes[[#This Row],[Name]], $E$4:changes[[#This Row],[Type of change]], "Edit")),B2493)</f>
        <v>1</v>
      </c>
      <c r="C2494" s="16">
        <v>44889</v>
      </c>
      <c r="D2494" s="1" t="s">
        <v>2636</v>
      </c>
      <c r="E2494" s="1" t="s">
        <v>27</v>
      </c>
      <c r="F2494" s="1" t="s">
        <v>9</v>
      </c>
      <c r="G2494" s="1" t="s">
        <v>2965</v>
      </c>
      <c r="H2494" s="1" t="s">
        <v>55</v>
      </c>
      <c r="I2494" s="1" t="s">
        <v>1722</v>
      </c>
      <c r="J2494" s="1"/>
      <c r="K2494" s="1" t="s">
        <v>6</v>
      </c>
      <c r="L2494" t="s">
        <v>2933</v>
      </c>
      <c r="M2494" s="2"/>
    </row>
    <row r="2495" spans="1:13">
      <c r="A2495" t="s">
        <v>28</v>
      </c>
      <c r="B2495">
        <f ca="1">IF(OR(changes[[#This Row],[Type]]="Checklist",changes[[#This Row],[Type]]="checklist-flat"),1+IF(changes[[#This Row],[Type of change]] = "Edit",COUNTIFS($I$4:changes[[#This Row],[Name]],changes[[#This Row],[Name]], $E$4:changes[[#This Row],[Type of change]], "Edit")),B2494)</f>
        <v>1</v>
      </c>
      <c r="C2495" s="16">
        <v>44889</v>
      </c>
      <c r="D2495" s="1" t="s">
        <v>2636</v>
      </c>
      <c r="E2495" s="1" t="s">
        <v>27</v>
      </c>
      <c r="F2495" s="1" t="s">
        <v>9</v>
      </c>
      <c r="G2495" s="1" t="s">
        <v>2965</v>
      </c>
      <c r="H2495" s="1" t="s">
        <v>479</v>
      </c>
      <c r="I2495" s="1" t="s">
        <v>1734</v>
      </c>
      <c r="J2495" s="1"/>
      <c r="K2495" s="1" t="s">
        <v>6</v>
      </c>
      <c r="L2495" t="s">
        <v>2933</v>
      </c>
      <c r="M2495" s="2"/>
    </row>
    <row r="2496" spans="1:13">
      <c r="A2496" t="s">
        <v>28</v>
      </c>
      <c r="B2496">
        <f ca="1">IF(OR(changes[[#This Row],[Type]]="Checklist",changes[[#This Row],[Type]]="checklist-flat"),1+IF(changes[[#This Row],[Type of change]] = "Edit",COUNTIFS($I$4:changes[[#This Row],[Name]],changes[[#This Row],[Name]], $E$4:changes[[#This Row],[Type of change]], "Edit")),B2495)</f>
        <v>1</v>
      </c>
      <c r="C2496" s="16">
        <v>44889</v>
      </c>
      <c r="D2496" s="1" t="s">
        <v>2636</v>
      </c>
      <c r="E2496" s="1" t="s">
        <v>27</v>
      </c>
      <c r="F2496" s="1" t="s">
        <v>9</v>
      </c>
      <c r="G2496" s="1" t="s">
        <v>2965</v>
      </c>
      <c r="H2496" s="1" t="s">
        <v>55</v>
      </c>
      <c r="I2496" s="1" t="s">
        <v>1783</v>
      </c>
      <c r="J2496" s="1"/>
      <c r="K2496" s="1" t="s">
        <v>6</v>
      </c>
      <c r="L2496" t="s">
        <v>2933</v>
      </c>
      <c r="M2496" s="2"/>
    </row>
    <row r="2497" spans="1:13">
      <c r="A2497" t="s">
        <v>28</v>
      </c>
      <c r="B2497">
        <f ca="1">IF(OR(changes[[#This Row],[Type]]="Checklist",changes[[#This Row],[Type]]="checklist-flat"),1+IF(changes[[#This Row],[Type of change]] = "Edit",COUNTIFS($I$4:changes[[#This Row],[Name]],changes[[#This Row],[Name]], $E$4:changes[[#This Row],[Type of change]], "Edit")),B2496)</f>
        <v>1</v>
      </c>
      <c r="C2497" s="16">
        <v>44889</v>
      </c>
      <c r="D2497" s="1" t="s">
        <v>2636</v>
      </c>
      <c r="E2497" s="1" t="s">
        <v>27</v>
      </c>
      <c r="F2497" s="1" t="s">
        <v>9</v>
      </c>
      <c r="G2497" s="1" t="s">
        <v>2965</v>
      </c>
      <c r="H2497" s="1" t="s">
        <v>55</v>
      </c>
      <c r="I2497" s="1" t="s">
        <v>1737</v>
      </c>
      <c r="J2497" s="1"/>
      <c r="K2497" s="1" t="s">
        <v>6</v>
      </c>
      <c r="L2497" t="s">
        <v>2933</v>
      </c>
      <c r="M2497" s="2"/>
    </row>
    <row r="2498" spans="1:13">
      <c r="A2498" t="s">
        <v>28</v>
      </c>
      <c r="B2498">
        <f ca="1">IF(OR(changes[[#This Row],[Type]]="Checklist",changes[[#This Row],[Type]]="checklist-flat"),1+IF(changes[[#This Row],[Type of change]] = "Edit",COUNTIFS($I$4:changes[[#This Row],[Name]],changes[[#This Row],[Name]], $E$4:changes[[#This Row],[Type of change]], "Edit")),B2497)</f>
        <v>1</v>
      </c>
      <c r="C2498" s="16">
        <v>44889</v>
      </c>
      <c r="D2498" s="1" t="s">
        <v>2636</v>
      </c>
      <c r="E2498" s="1" t="s">
        <v>27</v>
      </c>
      <c r="F2498" s="1" t="s">
        <v>9</v>
      </c>
      <c r="G2498" s="1" t="s">
        <v>2965</v>
      </c>
      <c r="H2498" s="1" t="s">
        <v>64</v>
      </c>
      <c r="I2498" s="1" t="s">
        <v>65</v>
      </c>
      <c r="J2498" s="1"/>
      <c r="K2498" s="1" t="s">
        <v>6</v>
      </c>
      <c r="L2498" t="s">
        <v>2933</v>
      </c>
      <c r="M2498" s="2"/>
    </row>
    <row r="2499" spans="1:13">
      <c r="A2499" t="s">
        <v>28</v>
      </c>
      <c r="B2499">
        <f ca="1">IF(OR(changes[[#This Row],[Type]]="Checklist",changes[[#This Row],[Type]]="checklist-flat"),1+IF(changes[[#This Row],[Type of change]] = "Edit",COUNTIFS($I$4:changes[[#This Row],[Name]],changes[[#This Row],[Name]], $E$4:changes[[#This Row],[Type of change]], "Edit")),B2498)</f>
        <v>1</v>
      </c>
      <c r="C2499" s="16">
        <v>44889</v>
      </c>
      <c r="D2499" s="1" t="s">
        <v>2636</v>
      </c>
      <c r="E2499" s="1" t="s">
        <v>27</v>
      </c>
      <c r="F2499" s="1" t="s">
        <v>9</v>
      </c>
      <c r="G2499" s="1" t="s">
        <v>2965</v>
      </c>
      <c r="H2499" s="1" t="s">
        <v>55</v>
      </c>
      <c r="I2499" s="1" t="s">
        <v>1784</v>
      </c>
      <c r="J2499" s="1"/>
      <c r="K2499" s="1" t="s">
        <v>6</v>
      </c>
      <c r="L2499" t="s">
        <v>2933</v>
      </c>
      <c r="M2499" s="2"/>
    </row>
    <row r="2500" spans="1:13">
      <c r="A2500" t="s">
        <v>28</v>
      </c>
      <c r="B2500">
        <f ca="1">IF(OR(changes[[#This Row],[Type]]="Checklist",changes[[#This Row],[Type]]="checklist-flat"),1+IF(changes[[#This Row],[Type of change]] = "Edit",COUNTIFS($I$4:changes[[#This Row],[Name]],changes[[#This Row],[Name]], $E$4:changes[[#This Row],[Type of change]], "Edit")),B2499)</f>
        <v>1</v>
      </c>
      <c r="C2500" s="16">
        <v>44889</v>
      </c>
      <c r="D2500" s="1" t="s">
        <v>2636</v>
      </c>
      <c r="E2500" s="1" t="s">
        <v>27</v>
      </c>
      <c r="F2500" s="1" t="s">
        <v>9</v>
      </c>
      <c r="G2500" s="1" t="s">
        <v>2965</v>
      </c>
      <c r="H2500" s="1" t="s">
        <v>55</v>
      </c>
      <c r="I2500" s="1" t="s">
        <v>1738</v>
      </c>
      <c r="J2500" s="1"/>
      <c r="K2500" s="1" t="s">
        <v>6</v>
      </c>
      <c r="L2500" t="s">
        <v>2933</v>
      </c>
      <c r="M2500" s="2"/>
    </row>
    <row r="2501" spans="1:13">
      <c r="A2501" t="s">
        <v>28</v>
      </c>
      <c r="B2501">
        <f ca="1">IF(OR(changes[[#This Row],[Type]]="Checklist",changes[[#This Row],[Type]]="checklist-flat"),1+IF(changes[[#This Row],[Type of change]] = "Edit",COUNTIFS($I$4:changes[[#This Row],[Name]],changes[[#This Row],[Name]], $E$4:changes[[#This Row],[Type of change]], "Edit")),B2500)</f>
        <v>1</v>
      </c>
      <c r="C2501" s="16">
        <v>44889</v>
      </c>
      <c r="D2501" s="1" t="s">
        <v>2636</v>
      </c>
      <c r="E2501" s="1" t="s">
        <v>27</v>
      </c>
      <c r="F2501" s="1" t="s">
        <v>9</v>
      </c>
      <c r="G2501" s="1" t="s">
        <v>2965</v>
      </c>
      <c r="H2501" s="1" t="s">
        <v>479</v>
      </c>
      <c r="I2501" s="1" t="s">
        <v>1739</v>
      </c>
      <c r="J2501" s="1"/>
      <c r="K2501" s="1" t="s">
        <v>6</v>
      </c>
      <c r="L2501" t="s">
        <v>2933</v>
      </c>
      <c r="M2501" s="2"/>
    </row>
    <row r="2502" spans="1:13">
      <c r="A2502" t="s">
        <v>28</v>
      </c>
      <c r="B2502">
        <f ca="1">IF(OR(changes[[#This Row],[Type]]="Checklist",changes[[#This Row],[Type]]="checklist-flat"),1+IF(changes[[#This Row],[Type of change]] = "Edit",COUNTIFS($I$4:changes[[#This Row],[Name]],changes[[#This Row],[Name]], $E$4:changes[[#This Row],[Type of change]], "Edit")),B2501)</f>
        <v>1</v>
      </c>
      <c r="C2502" s="16">
        <v>44889</v>
      </c>
      <c r="D2502" s="1" t="s">
        <v>2636</v>
      </c>
      <c r="E2502" s="1" t="s">
        <v>27</v>
      </c>
      <c r="F2502" s="1" t="s">
        <v>9</v>
      </c>
      <c r="G2502" s="1" t="s">
        <v>2965</v>
      </c>
      <c r="H2502" s="1" t="s">
        <v>55</v>
      </c>
      <c r="I2502" s="1" t="s">
        <v>1621</v>
      </c>
      <c r="J2502" s="1"/>
      <c r="K2502" s="1" t="s">
        <v>6</v>
      </c>
      <c r="L2502" t="s">
        <v>2933</v>
      </c>
      <c r="M2502" s="2"/>
    </row>
    <row r="2503" spans="1:13">
      <c r="A2503" t="s">
        <v>28</v>
      </c>
      <c r="B2503">
        <f ca="1">IF(OR(changes[[#This Row],[Type]]="Checklist",changes[[#This Row],[Type]]="checklist-flat"),1+IF(changes[[#This Row],[Type of change]] = "Edit",COUNTIFS($I$4:changes[[#This Row],[Name]],changes[[#This Row],[Name]], $E$4:changes[[#This Row],[Type of change]], "Edit")),B2502)</f>
        <v>1</v>
      </c>
      <c r="C2503" s="16">
        <v>44889</v>
      </c>
      <c r="D2503" s="1" t="s">
        <v>2636</v>
      </c>
      <c r="E2503" s="1" t="s">
        <v>27</v>
      </c>
      <c r="F2503" s="1" t="s">
        <v>9</v>
      </c>
      <c r="G2503" s="1" t="s">
        <v>2965</v>
      </c>
      <c r="H2503" s="1" t="s">
        <v>55</v>
      </c>
      <c r="I2503" s="1" t="s">
        <v>1582</v>
      </c>
      <c r="J2503" s="1"/>
      <c r="K2503" s="1" t="s">
        <v>6</v>
      </c>
      <c r="L2503" t="s">
        <v>2933</v>
      </c>
      <c r="M2503" s="2"/>
    </row>
    <row r="2504" spans="1:13">
      <c r="A2504" t="s">
        <v>28</v>
      </c>
      <c r="B2504">
        <f ca="1">IF(OR(changes[[#This Row],[Type]]="Checklist",changes[[#This Row],[Type]]="checklist-flat"),1+IF(changes[[#This Row],[Type of change]] = "Edit",COUNTIFS($I$4:changes[[#This Row],[Name]],changes[[#This Row],[Name]], $E$4:changes[[#This Row],[Type of change]], "Edit")),B2503)</f>
        <v>1</v>
      </c>
      <c r="C2504" s="16">
        <v>44889</v>
      </c>
      <c r="D2504" s="1" t="s">
        <v>2636</v>
      </c>
      <c r="E2504" s="1" t="s">
        <v>27</v>
      </c>
      <c r="F2504" s="1" t="s">
        <v>9</v>
      </c>
      <c r="G2504" s="1" t="s">
        <v>2965</v>
      </c>
      <c r="H2504" s="1" t="s">
        <v>55</v>
      </c>
      <c r="I2504" s="1" t="s">
        <v>1581</v>
      </c>
      <c r="J2504" s="1"/>
      <c r="K2504" s="1" t="s">
        <v>6</v>
      </c>
      <c r="L2504" t="s">
        <v>2933</v>
      </c>
      <c r="M2504" s="2"/>
    </row>
    <row r="2505" spans="1:13">
      <c r="A2505" t="s">
        <v>28</v>
      </c>
      <c r="B2505">
        <f ca="1">IF(OR(changes[[#This Row],[Type]]="Checklist",changes[[#This Row],[Type]]="checklist-flat"),1+IF(changes[[#This Row],[Type of change]] = "Edit",COUNTIFS($I$4:changes[[#This Row],[Name]],changes[[#This Row],[Name]], $E$4:changes[[#This Row],[Type of change]], "Edit")),B2504)</f>
        <v>1</v>
      </c>
      <c r="C2505" s="16">
        <v>44889</v>
      </c>
      <c r="D2505" s="1" t="s">
        <v>2636</v>
      </c>
      <c r="E2505" s="1" t="s">
        <v>27</v>
      </c>
      <c r="F2505" s="1" t="s">
        <v>9</v>
      </c>
      <c r="G2505" s="1" t="s">
        <v>2965</v>
      </c>
      <c r="H2505" s="1" t="s">
        <v>479</v>
      </c>
      <c r="I2505" s="1" t="s">
        <v>1751</v>
      </c>
      <c r="J2505" s="1"/>
      <c r="K2505" s="1" t="s">
        <v>6</v>
      </c>
      <c r="L2505" t="s">
        <v>2933</v>
      </c>
      <c r="M2505" s="2"/>
    </row>
    <row r="2506" spans="1:13">
      <c r="A2506" t="s">
        <v>28</v>
      </c>
      <c r="B2506">
        <f ca="1">IF(OR(changes[[#This Row],[Type]]="Checklist",changes[[#This Row],[Type]]="checklist-flat"),1+IF(changes[[#This Row],[Type of change]] = "Edit",COUNTIFS($I$4:changes[[#This Row],[Name]],changes[[#This Row],[Name]], $E$4:changes[[#This Row],[Type of change]], "Edit")),B2505)</f>
        <v>1</v>
      </c>
      <c r="C2506" s="16">
        <v>44889</v>
      </c>
      <c r="D2506" s="1" t="s">
        <v>2636</v>
      </c>
      <c r="E2506" s="1" t="s">
        <v>27</v>
      </c>
      <c r="F2506" s="1" t="s">
        <v>9</v>
      </c>
      <c r="G2506" s="1" t="s">
        <v>2965</v>
      </c>
      <c r="H2506" s="1" t="s">
        <v>55</v>
      </c>
      <c r="I2506" s="1" t="s">
        <v>1752</v>
      </c>
      <c r="J2506" s="1"/>
      <c r="K2506" s="1" t="s">
        <v>6</v>
      </c>
      <c r="L2506" t="s">
        <v>2933</v>
      </c>
      <c r="M2506" s="2"/>
    </row>
    <row r="2507" spans="1:13">
      <c r="A2507" t="s">
        <v>28</v>
      </c>
      <c r="B2507">
        <f ca="1">IF(OR(changes[[#This Row],[Type]]="Checklist",changes[[#This Row],[Type]]="checklist-flat"),1+IF(changes[[#This Row],[Type of change]] = "Edit",COUNTIFS($I$4:changes[[#This Row],[Name]],changes[[#This Row],[Name]], $E$4:changes[[#This Row],[Type of change]], "Edit")),B2506)</f>
        <v>1</v>
      </c>
      <c r="C2507" s="16">
        <v>44889</v>
      </c>
      <c r="D2507" s="1" t="s">
        <v>2636</v>
      </c>
      <c r="E2507" s="1" t="s">
        <v>27</v>
      </c>
      <c r="F2507" s="1" t="s">
        <v>9</v>
      </c>
      <c r="G2507" s="1" t="s">
        <v>2965</v>
      </c>
      <c r="H2507" s="1" t="s">
        <v>64</v>
      </c>
      <c r="I2507" s="1" t="s">
        <v>65</v>
      </c>
      <c r="J2507" s="1"/>
      <c r="K2507" s="1" t="s">
        <v>6</v>
      </c>
      <c r="L2507" t="s">
        <v>2933</v>
      </c>
      <c r="M2507" s="2"/>
    </row>
    <row r="2508" spans="1:13">
      <c r="A2508" t="s">
        <v>28</v>
      </c>
      <c r="B2508">
        <f ca="1">IF(OR(changes[[#This Row],[Type]]="Checklist",changes[[#This Row],[Type]]="checklist-flat"),1+IF(changes[[#This Row],[Type of change]] = "Edit",COUNTIFS($I$4:changes[[#This Row],[Name]],changes[[#This Row],[Name]], $E$4:changes[[#This Row],[Type of change]], "Edit")),B2507)</f>
        <v>1</v>
      </c>
      <c r="C2508" s="16">
        <v>44889</v>
      </c>
      <c r="D2508" s="1" t="s">
        <v>2636</v>
      </c>
      <c r="E2508" s="1" t="s">
        <v>27</v>
      </c>
      <c r="F2508" s="1" t="s">
        <v>9</v>
      </c>
      <c r="G2508" s="1" t="s">
        <v>2965</v>
      </c>
      <c r="H2508" s="1" t="s">
        <v>55</v>
      </c>
      <c r="I2508" s="1" t="s">
        <v>1754</v>
      </c>
      <c r="J2508" s="1"/>
      <c r="K2508" s="1" t="s">
        <v>6</v>
      </c>
      <c r="L2508" t="s">
        <v>2933</v>
      </c>
      <c r="M2508" s="2"/>
    </row>
    <row r="2509" spans="1:13">
      <c r="A2509" t="s">
        <v>28</v>
      </c>
      <c r="B2509">
        <f ca="1">IF(OR(changes[[#This Row],[Type]]="Checklist",changes[[#This Row],[Type]]="checklist-flat"),1+IF(changes[[#This Row],[Type of change]] = "Edit",COUNTIFS($I$4:changes[[#This Row],[Name]],changes[[#This Row],[Name]], $E$4:changes[[#This Row],[Type of change]], "Edit")),B2508)</f>
        <v>1</v>
      </c>
      <c r="C2509" s="16">
        <v>44889</v>
      </c>
      <c r="D2509" s="1" t="s">
        <v>2636</v>
      </c>
      <c r="E2509" s="1" t="s">
        <v>27</v>
      </c>
      <c r="F2509" s="1" t="s">
        <v>9</v>
      </c>
      <c r="G2509" s="1" t="s">
        <v>2965</v>
      </c>
      <c r="H2509" s="1" t="s">
        <v>55</v>
      </c>
      <c r="I2509" s="1" t="s">
        <v>93</v>
      </c>
      <c r="J2509" s="1"/>
      <c r="K2509" s="1" t="s">
        <v>6</v>
      </c>
      <c r="L2509" t="s">
        <v>2933</v>
      </c>
      <c r="M2509" s="2"/>
    </row>
    <row r="2510" spans="1:13">
      <c r="A2510" t="s">
        <v>28</v>
      </c>
      <c r="B2510">
        <f ca="1">IF(OR(changes[[#This Row],[Type]]="Checklist",changes[[#This Row],[Type]]="checklist-flat"),1+IF(changes[[#This Row],[Type of change]] = "Edit",COUNTIFS($I$4:changes[[#This Row],[Name]],changes[[#This Row],[Name]], $E$4:changes[[#This Row],[Type of change]], "Edit")),B2509)</f>
        <v>1</v>
      </c>
      <c r="C2510" s="16">
        <v>44889</v>
      </c>
      <c r="D2510" s="1" t="s">
        <v>2636</v>
      </c>
      <c r="E2510" s="1" t="s">
        <v>27</v>
      </c>
      <c r="F2510" s="1" t="s">
        <v>9</v>
      </c>
      <c r="G2510" s="1" t="s">
        <v>2965</v>
      </c>
      <c r="H2510" s="1" t="s">
        <v>64</v>
      </c>
      <c r="I2510" s="1" t="s">
        <v>733</v>
      </c>
      <c r="J2510" s="1"/>
      <c r="K2510" s="1" t="s">
        <v>6</v>
      </c>
      <c r="L2510" t="s">
        <v>2933</v>
      </c>
      <c r="M2510" s="2"/>
    </row>
    <row r="2511" spans="1:13">
      <c r="A2511" t="s">
        <v>28</v>
      </c>
      <c r="B2511">
        <f ca="1">IF(OR(changes[[#This Row],[Type]]="Checklist",changes[[#This Row],[Type]]="checklist-flat"),1+IF(changes[[#This Row],[Type of change]] = "Edit",COUNTIFS($I$4:changes[[#This Row],[Name]],changes[[#This Row],[Name]], $E$4:changes[[#This Row],[Type of change]], "Edit")),B2510)</f>
        <v>1</v>
      </c>
      <c r="C2511" s="16">
        <v>44889</v>
      </c>
      <c r="D2511" s="1" t="s">
        <v>2636</v>
      </c>
      <c r="E2511" s="1" t="s">
        <v>27</v>
      </c>
      <c r="F2511" s="1" t="s">
        <v>52</v>
      </c>
      <c r="G2511" s="1" t="s">
        <v>1629</v>
      </c>
      <c r="H2511" s="1" t="s">
        <v>54</v>
      </c>
      <c r="I2511" s="1" t="s">
        <v>1629</v>
      </c>
      <c r="J2511" s="1"/>
      <c r="K2511" s="1" t="s">
        <v>31</v>
      </c>
      <c r="M2511" s="2"/>
    </row>
    <row r="2512" spans="1:13">
      <c r="A2512" t="s">
        <v>28</v>
      </c>
      <c r="B2512">
        <f ca="1">IF(OR(changes[[#This Row],[Type]]="Checklist",changes[[#This Row],[Type]]="checklist-flat"),1+IF(changes[[#This Row],[Type of change]] = "Edit",COUNTIFS($I$4:changes[[#This Row],[Name]],changes[[#This Row],[Name]], $E$4:changes[[#This Row],[Type of change]], "Edit")),B2511)</f>
        <v>1</v>
      </c>
      <c r="C2512" s="16">
        <v>44889</v>
      </c>
      <c r="D2512" s="1" t="s">
        <v>2636</v>
      </c>
      <c r="E2512" s="1" t="s">
        <v>27</v>
      </c>
      <c r="F2512" s="1" t="s">
        <v>52</v>
      </c>
      <c r="G2512" s="1" t="s">
        <v>1629</v>
      </c>
      <c r="H2512" s="1" t="s">
        <v>55</v>
      </c>
      <c r="I2512" s="1" t="s">
        <v>62</v>
      </c>
      <c r="J2512" s="1"/>
      <c r="K2512" s="1" t="s">
        <v>31</v>
      </c>
      <c r="M2512" s="2"/>
    </row>
    <row r="2513" spans="1:13">
      <c r="A2513" t="s">
        <v>28</v>
      </c>
      <c r="B2513">
        <f ca="1">IF(OR(changes[[#This Row],[Type]]="Checklist",changes[[#This Row],[Type]]="checklist-flat"),1+IF(changes[[#This Row],[Type of change]] = "Edit",COUNTIFS($I$4:changes[[#This Row],[Name]],changes[[#This Row],[Name]], $E$4:changes[[#This Row],[Type of change]], "Edit")),B2512)</f>
        <v>1</v>
      </c>
      <c r="C2513" s="16">
        <v>44889</v>
      </c>
      <c r="D2513" s="1" t="s">
        <v>2636</v>
      </c>
      <c r="E2513" s="1" t="s">
        <v>27</v>
      </c>
      <c r="F2513" s="1" t="s">
        <v>52</v>
      </c>
      <c r="G2513" s="1" t="s">
        <v>1629</v>
      </c>
      <c r="H2513" s="1" t="s">
        <v>55</v>
      </c>
      <c r="I2513" s="1" t="s">
        <v>1581</v>
      </c>
      <c r="J2513" s="1"/>
      <c r="K2513" s="1" t="s">
        <v>31</v>
      </c>
      <c r="M2513" s="2"/>
    </row>
    <row r="2514" spans="1:13">
      <c r="A2514" t="s">
        <v>28</v>
      </c>
      <c r="B2514">
        <f ca="1">IF(OR(changes[[#This Row],[Type]]="Checklist",changes[[#This Row],[Type]]="checklist-flat"),1+IF(changes[[#This Row],[Type of change]] = "Edit",COUNTIFS($I$4:changes[[#This Row],[Name]],changes[[#This Row],[Name]], $E$4:changes[[#This Row],[Type of change]], "Edit")),B2513)</f>
        <v>1</v>
      </c>
      <c r="C2514" s="16">
        <v>44889</v>
      </c>
      <c r="D2514" s="1" t="s">
        <v>2636</v>
      </c>
      <c r="E2514" s="1" t="s">
        <v>27</v>
      </c>
      <c r="F2514" s="1" t="s">
        <v>52</v>
      </c>
      <c r="G2514" s="1" t="s">
        <v>1629</v>
      </c>
      <c r="H2514" s="1" t="s">
        <v>55</v>
      </c>
      <c r="I2514" s="1" t="s">
        <v>1582</v>
      </c>
      <c r="J2514" s="1"/>
      <c r="K2514" s="1" t="s">
        <v>31</v>
      </c>
      <c r="M2514" s="2"/>
    </row>
    <row r="2515" spans="1:13">
      <c r="A2515" t="s">
        <v>28</v>
      </c>
      <c r="B2515">
        <f ca="1">IF(OR(changes[[#This Row],[Type]]="Checklist",changes[[#This Row],[Type]]="checklist-flat"),1+IF(changes[[#This Row],[Type of change]] = "Edit",COUNTIFS($I$4:changes[[#This Row],[Name]],changes[[#This Row],[Name]], $E$4:changes[[#This Row],[Type of change]], "Edit")),B2514)</f>
        <v>1</v>
      </c>
      <c r="C2515" s="16">
        <v>44889</v>
      </c>
      <c r="D2515" s="1" t="s">
        <v>2636</v>
      </c>
      <c r="E2515" s="1" t="s">
        <v>27</v>
      </c>
      <c r="F2515" s="1" t="s">
        <v>52</v>
      </c>
      <c r="G2515" s="1" t="s">
        <v>1629</v>
      </c>
      <c r="H2515" s="1" t="s">
        <v>55</v>
      </c>
      <c r="I2515" s="1" t="s">
        <v>63</v>
      </c>
      <c r="J2515" s="1"/>
      <c r="K2515" s="1" t="s">
        <v>31</v>
      </c>
      <c r="M2515" s="2"/>
    </row>
    <row r="2516" spans="1:13">
      <c r="A2516" t="s">
        <v>28</v>
      </c>
      <c r="B2516">
        <f ca="1">IF(OR(changes[[#This Row],[Type]]="Checklist",changes[[#This Row],[Type]]="checklist-flat"),1+IF(changes[[#This Row],[Type of change]] = "Edit",COUNTIFS($I$4:changes[[#This Row],[Name]],changes[[#This Row],[Name]], $E$4:changes[[#This Row],[Type of change]], "Edit")),B2515)</f>
        <v>1</v>
      </c>
      <c r="C2516" s="16">
        <v>44889</v>
      </c>
      <c r="D2516" s="1" t="s">
        <v>2636</v>
      </c>
      <c r="E2516" s="1" t="s">
        <v>27</v>
      </c>
      <c r="F2516" s="1" t="s">
        <v>52</v>
      </c>
      <c r="G2516" s="1" t="s">
        <v>1629</v>
      </c>
      <c r="H2516" s="1" t="s">
        <v>64</v>
      </c>
      <c r="I2516" s="1" t="s">
        <v>65</v>
      </c>
      <c r="J2516" s="1"/>
      <c r="K2516" s="1" t="s">
        <v>31</v>
      </c>
      <c r="M2516" s="2"/>
    </row>
    <row r="2517" spans="1:13">
      <c r="A2517" t="s">
        <v>28</v>
      </c>
      <c r="B2517">
        <f ca="1">IF(OR(changes[[#This Row],[Type]]="Checklist",changes[[#This Row],[Type]]="checklist-flat"),1+IF(changes[[#This Row],[Type of change]] = "Edit",COUNTIFS($I$4:changes[[#This Row],[Name]],changes[[#This Row],[Name]], $E$4:changes[[#This Row],[Type of change]], "Edit")),B2516)</f>
        <v>1</v>
      </c>
      <c r="C2517" s="16">
        <v>44889</v>
      </c>
      <c r="D2517" s="1" t="s">
        <v>2636</v>
      </c>
      <c r="E2517" s="1" t="s">
        <v>27</v>
      </c>
      <c r="F2517" s="1" t="s">
        <v>52</v>
      </c>
      <c r="G2517" s="1" t="s">
        <v>1629</v>
      </c>
      <c r="H2517" s="1" t="s">
        <v>55</v>
      </c>
      <c r="I2517" s="1" t="s">
        <v>1630</v>
      </c>
      <c r="J2517" s="1"/>
      <c r="K2517" s="1" t="s">
        <v>31</v>
      </c>
      <c r="M2517" s="2"/>
    </row>
    <row r="2518" spans="1:13">
      <c r="A2518" t="s">
        <v>28</v>
      </c>
      <c r="B2518">
        <f ca="1">IF(OR(changes[[#This Row],[Type]]="Checklist",changes[[#This Row],[Type]]="checklist-flat"),1+IF(changes[[#This Row],[Type of change]] = "Edit",COUNTIFS($I$4:changes[[#This Row],[Name]],changes[[#This Row],[Name]], $E$4:changes[[#This Row],[Type of change]], "Edit")),B2517)</f>
        <v>1</v>
      </c>
      <c r="C2518" s="16">
        <v>44889</v>
      </c>
      <c r="D2518" s="1" t="s">
        <v>2636</v>
      </c>
      <c r="E2518" s="1" t="s">
        <v>27</v>
      </c>
      <c r="F2518" s="1" t="s">
        <v>52</v>
      </c>
      <c r="G2518" s="1" t="s">
        <v>1629</v>
      </c>
      <c r="H2518" s="1" t="s">
        <v>55</v>
      </c>
      <c r="I2518" s="1" t="s">
        <v>1609</v>
      </c>
      <c r="J2518" s="1"/>
      <c r="K2518" s="1" t="s">
        <v>31</v>
      </c>
      <c r="M2518" s="2"/>
    </row>
    <row r="2519" spans="1:13">
      <c r="A2519" t="s">
        <v>28</v>
      </c>
      <c r="B2519">
        <f ca="1">IF(OR(changes[[#This Row],[Type]]="Checklist",changes[[#This Row],[Type]]="checklist-flat"),1+IF(changes[[#This Row],[Type of change]] = "Edit",COUNTIFS($I$4:changes[[#This Row],[Name]],changes[[#This Row],[Name]], $E$4:changes[[#This Row],[Type of change]], "Edit")),B2518)</f>
        <v>1</v>
      </c>
      <c r="C2519" s="16">
        <v>44889</v>
      </c>
      <c r="D2519" s="1" t="s">
        <v>2636</v>
      </c>
      <c r="E2519" s="1" t="s">
        <v>27</v>
      </c>
      <c r="F2519" s="1" t="s">
        <v>52</v>
      </c>
      <c r="G2519" s="1" t="s">
        <v>1629</v>
      </c>
      <c r="H2519" s="1" t="s">
        <v>64</v>
      </c>
      <c r="I2519" s="1" t="s">
        <v>1610</v>
      </c>
      <c r="J2519" s="1"/>
      <c r="K2519" s="1" t="s">
        <v>31</v>
      </c>
      <c r="M2519" s="2"/>
    </row>
    <row r="2520" spans="1:13" ht="15.75">
      <c r="A2520" t="s">
        <v>28</v>
      </c>
      <c r="B2520">
        <f ca="1">IF(OR(changes[[#This Row],[Type]]="Checklist",changes[[#This Row],[Type]]="checklist-flat"),1+IF(changes[[#This Row],[Type of change]] = "Edit",COUNTIFS($I$4:changes[[#This Row],[Name]],changes[[#This Row],[Name]], $E$4:changes[[#This Row],[Type of change]], "Edit")),B2519)</f>
        <v>1</v>
      </c>
      <c r="C2520" s="16">
        <v>44889</v>
      </c>
      <c r="D2520" s="1" t="s">
        <v>2636</v>
      </c>
      <c r="E2520" t="s">
        <v>19</v>
      </c>
      <c r="F2520" s="1" t="s">
        <v>52</v>
      </c>
      <c r="G2520" s="21" t="s">
        <v>2461</v>
      </c>
      <c r="H2520" s="19" t="s">
        <v>478</v>
      </c>
      <c r="I2520" s="21" t="s">
        <v>2461</v>
      </c>
      <c r="J2520" s="22"/>
      <c r="K2520" s="1" t="s">
        <v>6</v>
      </c>
      <c r="M2520" s="2" t="s">
        <v>2966</v>
      </c>
    </row>
    <row r="2521" spans="1:13" ht="15.75">
      <c r="A2521" t="s">
        <v>28</v>
      </c>
      <c r="B2521">
        <f ca="1">IF(OR(changes[[#This Row],[Type]]="Checklist",changes[[#This Row],[Type]]="checklist-flat"),1+IF(changes[[#This Row],[Type of change]] = "Edit",COUNTIFS($I$4:changes[[#This Row],[Name]],changes[[#This Row],[Name]], $E$4:changes[[#This Row],[Type of change]], "Edit")),B2520)</f>
        <v>1</v>
      </c>
      <c r="C2521" s="16">
        <v>44889</v>
      </c>
      <c r="D2521" s="1" t="s">
        <v>2636</v>
      </c>
      <c r="E2521" t="s">
        <v>19</v>
      </c>
      <c r="F2521" s="1" t="s">
        <v>52</v>
      </c>
      <c r="G2521" s="21" t="s">
        <v>2461</v>
      </c>
      <c r="H2521" s="2" t="s">
        <v>479</v>
      </c>
      <c r="I2521" s="18" t="s">
        <v>1716</v>
      </c>
      <c r="J2521" s="23"/>
      <c r="K2521" s="1" t="s">
        <v>6</v>
      </c>
      <c r="M2521" s="2"/>
    </row>
    <row r="2522" spans="1:13" ht="15.75">
      <c r="A2522" t="s">
        <v>28</v>
      </c>
      <c r="B2522">
        <f ca="1">IF(OR(changes[[#This Row],[Type]]="Checklist",changes[[#This Row],[Type]]="checklist-flat"),1+IF(changes[[#This Row],[Type of change]] = "Edit",COUNTIFS($I$4:changes[[#This Row],[Name]],changes[[#This Row],[Name]], $E$4:changes[[#This Row],[Type of change]], "Edit")),B2521)</f>
        <v>1</v>
      </c>
      <c r="C2522" s="16">
        <v>44889</v>
      </c>
      <c r="D2522" s="1" t="s">
        <v>2636</v>
      </c>
      <c r="E2522" t="s">
        <v>19</v>
      </c>
      <c r="F2522" s="1" t="s">
        <v>52</v>
      </c>
      <c r="G2522" s="21" t="s">
        <v>2461</v>
      </c>
      <c r="H2522" s="2" t="s">
        <v>55</v>
      </c>
      <c r="I2522" s="18" t="s">
        <v>1779</v>
      </c>
      <c r="J2522" s="23"/>
      <c r="K2522" s="1" t="s">
        <v>6</v>
      </c>
      <c r="M2522" s="2"/>
    </row>
    <row r="2523" spans="1:13" ht="15.75">
      <c r="A2523" t="s">
        <v>28</v>
      </c>
      <c r="B2523">
        <f ca="1">IF(OR(changes[[#This Row],[Type]]="Checklist",changes[[#This Row],[Type]]="checklist-flat"),1+IF(changes[[#This Row],[Type of change]] = "Edit",COUNTIFS($I$4:changes[[#This Row],[Name]],changes[[#This Row],[Name]], $E$4:changes[[#This Row],[Type of change]], "Edit")),B2522)</f>
        <v>1</v>
      </c>
      <c r="C2523" s="16">
        <v>44889</v>
      </c>
      <c r="D2523" s="1" t="s">
        <v>2636</v>
      </c>
      <c r="E2523" t="s">
        <v>19</v>
      </c>
      <c r="F2523" s="1" t="s">
        <v>52</v>
      </c>
      <c r="G2523" s="21" t="s">
        <v>2461</v>
      </c>
      <c r="H2523" s="2" t="s">
        <v>214</v>
      </c>
      <c r="I2523" s="18" t="s">
        <v>1613</v>
      </c>
      <c r="J2523" s="23"/>
      <c r="K2523" s="1" t="s">
        <v>6</v>
      </c>
      <c r="M2523" s="2"/>
    </row>
    <row r="2524" spans="1:13" ht="15.75">
      <c r="A2524" t="s">
        <v>28</v>
      </c>
      <c r="B2524">
        <f ca="1">IF(OR(changes[[#This Row],[Type]]="Checklist",changes[[#This Row],[Type]]="checklist-flat"),1+IF(changes[[#This Row],[Type of change]] = "Edit",COUNTIFS($I$4:changes[[#This Row],[Name]],changes[[#This Row],[Name]], $E$4:changes[[#This Row],[Type of change]], "Edit")),B2523)</f>
        <v>1</v>
      </c>
      <c r="C2524" s="16">
        <v>44889</v>
      </c>
      <c r="D2524" s="1" t="s">
        <v>2636</v>
      </c>
      <c r="E2524" t="s">
        <v>19</v>
      </c>
      <c r="F2524" s="1" t="s">
        <v>52</v>
      </c>
      <c r="G2524" s="21" t="s">
        <v>2461</v>
      </c>
      <c r="H2524" s="2" t="s">
        <v>214</v>
      </c>
      <c r="I2524" s="18" t="s">
        <v>1614</v>
      </c>
      <c r="J2524" s="23"/>
      <c r="K2524" s="1" t="s">
        <v>6</v>
      </c>
      <c r="M2524" s="2"/>
    </row>
    <row r="2525" spans="1:13" ht="15.75">
      <c r="A2525" t="s">
        <v>28</v>
      </c>
      <c r="B2525">
        <f ca="1">IF(OR(changes[[#This Row],[Type]]="Checklist",changes[[#This Row],[Type]]="checklist-flat"),1+IF(changes[[#This Row],[Type of change]] = "Edit",COUNTIFS($I$4:changes[[#This Row],[Name]],changes[[#This Row],[Name]], $E$4:changes[[#This Row],[Type of change]], "Edit")),B2524)</f>
        <v>1</v>
      </c>
      <c r="C2525" s="16">
        <v>44889</v>
      </c>
      <c r="D2525" s="1" t="s">
        <v>2636</v>
      </c>
      <c r="E2525" t="s">
        <v>19</v>
      </c>
      <c r="F2525" s="1" t="s">
        <v>52</v>
      </c>
      <c r="G2525" s="21" t="s">
        <v>2461</v>
      </c>
      <c r="H2525" s="2" t="s">
        <v>55</v>
      </c>
      <c r="I2525" s="18" t="s">
        <v>1718</v>
      </c>
      <c r="J2525" s="23"/>
      <c r="K2525" s="1" t="s">
        <v>6</v>
      </c>
      <c r="M2525" s="2"/>
    </row>
    <row r="2526" spans="1:13" ht="15.75">
      <c r="A2526" t="s">
        <v>28</v>
      </c>
      <c r="B2526">
        <f ca="1">IF(OR(changes[[#This Row],[Type]]="Checklist",changes[[#This Row],[Type]]="checklist-flat"),1+IF(changes[[#This Row],[Type of change]] = "Edit",COUNTIFS($I$4:changes[[#This Row],[Name]],changes[[#This Row],[Name]], $E$4:changes[[#This Row],[Type of change]], "Edit")),B2525)</f>
        <v>1</v>
      </c>
      <c r="C2526" s="16">
        <v>44889</v>
      </c>
      <c r="D2526" s="1" t="s">
        <v>2636</v>
      </c>
      <c r="E2526" t="s">
        <v>19</v>
      </c>
      <c r="F2526" s="1" t="s">
        <v>52</v>
      </c>
      <c r="G2526" s="21" t="s">
        <v>2461</v>
      </c>
      <c r="H2526" s="2" t="s">
        <v>479</v>
      </c>
      <c r="I2526" s="18" t="s">
        <v>1780</v>
      </c>
      <c r="J2526" s="23"/>
      <c r="K2526" s="1" t="s">
        <v>6</v>
      </c>
      <c r="M2526" s="2"/>
    </row>
    <row r="2527" spans="1:13" ht="15.75">
      <c r="A2527" t="s">
        <v>28</v>
      </c>
      <c r="B2527">
        <f ca="1">IF(OR(changes[[#This Row],[Type]]="Checklist",changes[[#This Row],[Type]]="checklist-flat"),1+IF(changes[[#This Row],[Type of change]] = "Edit",COUNTIFS($I$4:changes[[#This Row],[Name]],changes[[#This Row],[Name]], $E$4:changes[[#This Row],[Type of change]], "Edit")),B2526)</f>
        <v>1</v>
      </c>
      <c r="C2527" s="16">
        <v>44889</v>
      </c>
      <c r="D2527" s="1" t="s">
        <v>2636</v>
      </c>
      <c r="E2527" t="s">
        <v>19</v>
      </c>
      <c r="F2527" s="1" t="s">
        <v>52</v>
      </c>
      <c r="G2527" s="21" t="s">
        <v>2461</v>
      </c>
      <c r="H2527" s="2" t="s">
        <v>55</v>
      </c>
      <c r="I2527" s="18" t="s">
        <v>1781</v>
      </c>
      <c r="J2527" s="23"/>
      <c r="K2527" s="1" t="s">
        <v>6</v>
      </c>
      <c r="M2527" s="2"/>
    </row>
    <row r="2528" spans="1:13" ht="15.75">
      <c r="A2528" t="s">
        <v>28</v>
      </c>
      <c r="B2528">
        <f ca="1">IF(OR(changes[[#This Row],[Type]]="Checklist",changes[[#This Row],[Type]]="checklist-flat"),1+IF(changes[[#This Row],[Type of change]] = "Edit",COUNTIFS($I$4:changes[[#This Row],[Name]],changes[[#This Row],[Name]], $E$4:changes[[#This Row],[Type of change]], "Edit")),B2527)</f>
        <v>1</v>
      </c>
      <c r="C2528" s="16">
        <v>44889</v>
      </c>
      <c r="D2528" s="1" t="s">
        <v>2636</v>
      </c>
      <c r="E2528" t="s">
        <v>19</v>
      </c>
      <c r="F2528" s="1" t="s">
        <v>52</v>
      </c>
      <c r="G2528" s="21" t="s">
        <v>2461</v>
      </c>
      <c r="H2528" s="2" t="s">
        <v>55</v>
      </c>
      <c r="I2528" s="18" t="s">
        <v>475</v>
      </c>
      <c r="J2528" s="23"/>
      <c r="K2528" s="1" t="s">
        <v>6</v>
      </c>
      <c r="M2528" s="2"/>
    </row>
    <row r="2529" spans="1:13" ht="15.75">
      <c r="A2529" t="s">
        <v>28</v>
      </c>
      <c r="B2529">
        <f ca="1">IF(OR(changes[[#This Row],[Type]]="Checklist",changes[[#This Row],[Type]]="checklist-flat"),1+IF(changes[[#This Row],[Type of change]] = "Edit",COUNTIFS($I$4:changes[[#This Row],[Name]],changes[[#This Row],[Name]], $E$4:changes[[#This Row],[Type of change]], "Edit")),B2528)</f>
        <v>1</v>
      </c>
      <c r="C2529" s="16">
        <v>44889</v>
      </c>
      <c r="D2529" s="1" t="s">
        <v>2636</v>
      </c>
      <c r="E2529" t="s">
        <v>19</v>
      </c>
      <c r="F2529" s="1" t="s">
        <v>52</v>
      </c>
      <c r="G2529" s="21" t="s">
        <v>2461</v>
      </c>
      <c r="H2529" s="2" t="s">
        <v>479</v>
      </c>
      <c r="I2529" s="18" t="s">
        <v>1721</v>
      </c>
      <c r="J2529" s="23"/>
      <c r="K2529" s="1" t="s">
        <v>6</v>
      </c>
      <c r="M2529" s="2"/>
    </row>
    <row r="2530" spans="1:13" ht="15.75">
      <c r="A2530" t="s">
        <v>28</v>
      </c>
      <c r="B2530">
        <f ca="1">IF(OR(changes[[#This Row],[Type]]="Checklist",changes[[#This Row],[Type]]="checklist-flat"),1+IF(changes[[#This Row],[Type of change]] = "Edit",COUNTIFS($I$4:changes[[#This Row],[Name]],changes[[#This Row],[Name]], $E$4:changes[[#This Row],[Type of change]], "Edit")),B2529)</f>
        <v>1</v>
      </c>
      <c r="C2530" s="16">
        <v>44889</v>
      </c>
      <c r="D2530" s="1" t="s">
        <v>2636</v>
      </c>
      <c r="E2530" t="s">
        <v>19</v>
      </c>
      <c r="F2530" s="1" t="s">
        <v>52</v>
      </c>
      <c r="G2530" s="21" t="s">
        <v>2461</v>
      </c>
      <c r="H2530" s="2" t="s">
        <v>55</v>
      </c>
      <c r="I2530" s="18" t="s">
        <v>1722</v>
      </c>
      <c r="J2530" s="23"/>
      <c r="K2530" s="1" t="s">
        <v>6</v>
      </c>
      <c r="M2530" s="2"/>
    </row>
    <row r="2531" spans="1:13" ht="15.75">
      <c r="A2531" t="s">
        <v>28</v>
      </c>
      <c r="B2531">
        <f ca="1">IF(OR(changes[[#This Row],[Type]]="Checklist",changes[[#This Row],[Type]]="checklist-flat"),1+IF(changes[[#This Row],[Type of change]] = "Edit",COUNTIFS($I$4:changes[[#This Row],[Name]],changes[[#This Row],[Name]], $E$4:changes[[#This Row],[Type of change]], "Edit")),B2530)</f>
        <v>1</v>
      </c>
      <c r="C2531" s="16">
        <v>44889</v>
      </c>
      <c r="D2531" s="1" t="s">
        <v>2636</v>
      </c>
      <c r="E2531" t="s">
        <v>19</v>
      </c>
      <c r="F2531" s="1" t="s">
        <v>52</v>
      </c>
      <c r="G2531" s="21" t="s">
        <v>2461</v>
      </c>
      <c r="H2531" s="2" t="s">
        <v>479</v>
      </c>
      <c r="I2531" s="18" t="s">
        <v>1734</v>
      </c>
      <c r="J2531" s="23"/>
      <c r="K2531" s="1" t="s">
        <v>6</v>
      </c>
      <c r="M2531" s="2"/>
    </row>
    <row r="2532" spans="1:13" ht="15.75">
      <c r="A2532" t="s">
        <v>28</v>
      </c>
      <c r="B2532">
        <f ca="1">IF(OR(changes[[#This Row],[Type]]="Checklist",changes[[#This Row],[Type]]="checklist-flat"),1+IF(changes[[#This Row],[Type of change]] = "Edit",COUNTIFS($I$4:changes[[#This Row],[Name]],changes[[#This Row],[Name]], $E$4:changes[[#This Row],[Type of change]], "Edit")),B2531)</f>
        <v>1</v>
      </c>
      <c r="C2532" s="16">
        <v>44889</v>
      </c>
      <c r="D2532" s="1" t="s">
        <v>2636</v>
      </c>
      <c r="E2532" t="s">
        <v>19</v>
      </c>
      <c r="F2532" s="1" t="s">
        <v>52</v>
      </c>
      <c r="G2532" s="21" t="s">
        <v>2461</v>
      </c>
      <c r="H2532" s="2" t="s">
        <v>55</v>
      </c>
      <c r="I2532" s="18" t="s">
        <v>1737</v>
      </c>
      <c r="J2532" s="23"/>
      <c r="K2532" s="1" t="s">
        <v>6</v>
      </c>
      <c r="M2532" s="2"/>
    </row>
    <row r="2533" spans="1:13" ht="15.75">
      <c r="A2533" t="s">
        <v>28</v>
      </c>
      <c r="B2533">
        <f ca="1">IF(OR(changes[[#This Row],[Type]]="Checklist",changes[[#This Row],[Type]]="checklist-flat"),1+IF(changes[[#This Row],[Type of change]] = "Edit",COUNTIFS($I$4:changes[[#This Row],[Name]],changes[[#This Row],[Name]], $E$4:changes[[#This Row],[Type of change]], "Edit")),B2532)</f>
        <v>1</v>
      </c>
      <c r="C2533" s="16">
        <v>44889</v>
      </c>
      <c r="D2533" s="1" t="s">
        <v>2636</v>
      </c>
      <c r="E2533" t="s">
        <v>19</v>
      </c>
      <c r="F2533" s="1" t="s">
        <v>52</v>
      </c>
      <c r="G2533" s="21" t="s">
        <v>2461</v>
      </c>
      <c r="H2533" s="2" t="s">
        <v>64</v>
      </c>
      <c r="I2533" s="18" t="s">
        <v>65</v>
      </c>
      <c r="J2533" s="23"/>
      <c r="K2533" s="1" t="s">
        <v>6</v>
      </c>
      <c r="M2533" s="2"/>
    </row>
    <row r="2534" spans="1:13" ht="15.75">
      <c r="A2534" t="s">
        <v>28</v>
      </c>
      <c r="B2534">
        <f ca="1">IF(OR(changes[[#This Row],[Type]]="Checklist",changes[[#This Row],[Type]]="checklist-flat"),1+IF(changes[[#This Row],[Type of change]] = "Edit",COUNTIFS($I$4:changes[[#This Row],[Name]],changes[[#This Row],[Name]], $E$4:changes[[#This Row],[Type of change]], "Edit")),B2533)</f>
        <v>1</v>
      </c>
      <c r="C2534" s="16">
        <v>44889</v>
      </c>
      <c r="D2534" s="1" t="s">
        <v>2636</v>
      </c>
      <c r="E2534" t="s">
        <v>19</v>
      </c>
      <c r="F2534" s="1" t="s">
        <v>52</v>
      </c>
      <c r="G2534" s="21" t="s">
        <v>2461</v>
      </c>
      <c r="H2534" s="2" t="s">
        <v>55</v>
      </c>
      <c r="I2534" s="18" t="s">
        <v>1784</v>
      </c>
      <c r="J2534" s="23"/>
      <c r="K2534" s="1" t="s">
        <v>6</v>
      </c>
      <c r="M2534" s="2"/>
    </row>
    <row r="2535" spans="1:13" ht="15.75">
      <c r="A2535" t="s">
        <v>28</v>
      </c>
      <c r="B2535">
        <f ca="1">IF(OR(changes[[#This Row],[Type]]="Checklist",changes[[#This Row],[Type]]="checklist-flat"),1+IF(changes[[#This Row],[Type of change]] = "Edit",COUNTIFS($I$4:changes[[#This Row],[Name]],changes[[#This Row],[Name]], $E$4:changes[[#This Row],[Type of change]], "Edit")),B2534)</f>
        <v>1</v>
      </c>
      <c r="C2535" s="16">
        <v>44889</v>
      </c>
      <c r="D2535" s="1" t="s">
        <v>2636</v>
      </c>
      <c r="E2535" t="s">
        <v>19</v>
      </c>
      <c r="F2535" s="1" t="s">
        <v>52</v>
      </c>
      <c r="G2535" s="21" t="s">
        <v>2461</v>
      </c>
      <c r="H2535" s="2" t="s">
        <v>55</v>
      </c>
      <c r="I2535" s="18" t="s">
        <v>1738</v>
      </c>
      <c r="J2535" s="23"/>
      <c r="K2535" s="1" t="s">
        <v>6</v>
      </c>
      <c r="M2535" s="2"/>
    </row>
    <row r="2536" spans="1:13" ht="15.75">
      <c r="A2536" t="s">
        <v>28</v>
      </c>
      <c r="B2536">
        <f ca="1">IF(OR(changes[[#This Row],[Type]]="Checklist",changes[[#This Row],[Type]]="checklist-flat"),1+IF(changes[[#This Row],[Type of change]] = "Edit",COUNTIFS($I$4:changes[[#This Row],[Name]],changes[[#This Row],[Name]], $E$4:changes[[#This Row],[Type of change]], "Edit")),B2535)</f>
        <v>1</v>
      </c>
      <c r="C2536" s="16">
        <v>44889</v>
      </c>
      <c r="D2536" s="1" t="s">
        <v>2636</v>
      </c>
      <c r="E2536" t="s">
        <v>19</v>
      </c>
      <c r="F2536" s="1" t="s">
        <v>52</v>
      </c>
      <c r="G2536" s="21" t="s">
        <v>2461</v>
      </c>
      <c r="H2536" s="2" t="s">
        <v>479</v>
      </c>
      <c r="I2536" s="18" t="s">
        <v>1739</v>
      </c>
      <c r="J2536" s="23"/>
      <c r="K2536" s="1" t="s">
        <v>6</v>
      </c>
      <c r="M2536" s="2"/>
    </row>
    <row r="2537" spans="1:13" ht="15.75">
      <c r="A2537" t="s">
        <v>28</v>
      </c>
      <c r="B2537">
        <f ca="1">IF(OR(changes[[#This Row],[Type]]="Checklist",changes[[#This Row],[Type]]="checklist-flat"),1+IF(changes[[#This Row],[Type of change]] = "Edit",COUNTIFS($I$4:changes[[#This Row],[Name]],changes[[#This Row],[Name]], $E$4:changes[[#This Row],[Type of change]], "Edit")),B2536)</f>
        <v>1</v>
      </c>
      <c r="C2537" s="16">
        <v>44889</v>
      </c>
      <c r="D2537" s="1" t="s">
        <v>2636</v>
      </c>
      <c r="E2537" t="s">
        <v>19</v>
      </c>
      <c r="F2537" s="1" t="s">
        <v>52</v>
      </c>
      <c r="G2537" s="21" t="s">
        <v>2461</v>
      </c>
      <c r="H2537" s="2" t="s">
        <v>55</v>
      </c>
      <c r="I2537" s="18" t="s">
        <v>1621</v>
      </c>
      <c r="J2537" s="23"/>
      <c r="K2537" s="1" t="s">
        <v>6</v>
      </c>
      <c r="M2537" s="2"/>
    </row>
    <row r="2538" spans="1:13" ht="15.75">
      <c r="A2538" t="s">
        <v>28</v>
      </c>
      <c r="B2538">
        <f ca="1">IF(OR(changes[[#This Row],[Type]]="Checklist",changes[[#This Row],[Type]]="checklist-flat"),1+IF(changes[[#This Row],[Type of change]] = "Edit",COUNTIFS($I$4:changes[[#This Row],[Name]],changes[[#This Row],[Name]], $E$4:changes[[#This Row],[Type of change]], "Edit")),B2537)</f>
        <v>1</v>
      </c>
      <c r="C2538" s="16">
        <v>44889</v>
      </c>
      <c r="D2538" s="1" t="s">
        <v>2636</v>
      </c>
      <c r="E2538" t="s">
        <v>19</v>
      </c>
      <c r="F2538" s="1" t="s">
        <v>52</v>
      </c>
      <c r="G2538" s="21" t="s">
        <v>2461</v>
      </c>
      <c r="H2538" s="2" t="s">
        <v>55</v>
      </c>
      <c r="I2538" s="18" t="s">
        <v>1581</v>
      </c>
      <c r="J2538" s="23"/>
      <c r="K2538" s="1" t="s">
        <v>6</v>
      </c>
      <c r="M2538" s="2"/>
    </row>
    <row r="2539" spans="1:13" ht="15.75">
      <c r="A2539" t="s">
        <v>28</v>
      </c>
      <c r="B2539">
        <f ca="1">IF(OR(changes[[#This Row],[Type]]="Checklist",changes[[#This Row],[Type]]="checklist-flat"),1+IF(changes[[#This Row],[Type of change]] = "Edit",COUNTIFS($I$4:changes[[#This Row],[Name]],changes[[#This Row],[Name]], $E$4:changes[[#This Row],[Type of change]], "Edit")),B2538)</f>
        <v>1</v>
      </c>
      <c r="C2539" s="16">
        <v>44889</v>
      </c>
      <c r="D2539" s="1" t="s">
        <v>2636</v>
      </c>
      <c r="E2539" t="s">
        <v>19</v>
      </c>
      <c r="F2539" s="1" t="s">
        <v>52</v>
      </c>
      <c r="G2539" s="21" t="s">
        <v>2461</v>
      </c>
      <c r="H2539" s="2" t="s">
        <v>479</v>
      </c>
      <c r="I2539" s="18" t="s">
        <v>1751</v>
      </c>
      <c r="J2539" s="23"/>
      <c r="K2539" s="1" t="s">
        <v>6</v>
      </c>
      <c r="M2539" s="2"/>
    </row>
    <row r="2540" spans="1:13" ht="15.75">
      <c r="A2540" t="s">
        <v>28</v>
      </c>
      <c r="B2540">
        <f ca="1">IF(OR(changes[[#This Row],[Type]]="Checklist",changes[[#This Row],[Type]]="checklist-flat"),1+IF(changes[[#This Row],[Type of change]] = "Edit",COUNTIFS($I$4:changes[[#This Row],[Name]],changes[[#This Row],[Name]], $E$4:changes[[#This Row],[Type of change]], "Edit")),B2539)</f>
        <v>1</v>
      </c>
      <c r="C2540" s="16">
        <v>44889</v>
      </c>
      <c r="D2540" s="1" t="s">
        <v>2636</v>
      </c>
      <c r="E2540" t="s">
        <v>19</v>
      </c>
      <c r="F2540" s="1" t="s">
        <v>52</v>
      </c>
      <c r="G2540" s="21" t="s">
        <v>2461</v>
      </c>
      <c r="H2540" s="2" t="s">
        <v>55</v>
      </c>
      <c r="I2540" s="18" t="s">
        <v>1752</v>
      </c>
      <c r="J2540" s="23"/>
      <c r="K2540" s="1" t="s">
        <v>6</v>
      </c>
      <c r="M2540" s="2"/>
    </row>
    <row r="2541" spans="1:13" ht="15.75">
      <c r="A2541" t="s">
        <v>28</v>
      </c>
      <c r="B2541">
        <f ca="1">IF(OR(changes[[#This Row],[Type]]="Checklist",changes[[#This Row],[Type]]="checklist-flat"),1+IF(changes[[#This Row],[Type of change]] = "Edit",COUNTIFS($I$4:changes[[#This Row],[Name]],changes[[#This Row],[Name]], $E$4:changes[[#This Row],[Type of change]], "Edit")),B2540)</f>
        <v>1</v>
      </c>
      <c r="C2541" s="16">
        <v>44889</v>
      </c>
      <c r="D2541" s="1" t="s">
        <v>2636</v>
      </c>
      <c r="E2541" t="s">
        <v>19</v>
      </c>
      <c r="F2541" s="1" t="s">
        <v>52</v>
      </c>
      <c r="G2541" s="21" t="s">
        <v>2461</v>
      </c>
      <c r="H2541" s="2" t="s">
        <v>64</v>
      </c>
      <c r="I2541" s="18" t="s">
        <v>65</v>
      </c>
      <c r="J2541" s="23"/>
      <c r="K2541" s="1" t="s">
        <v>6</v>
      </c>
      <c r="M2541" s="2"/>
    </row>
    <row r="2542" spans="1:13" ht="15.75">
      <c r="A2542" t="s">
        <v>28</v>
      </c>
      <c r="B2542">
        <f ca="1">IF(OR(changes[[#This Row],[Type]]="Checklist",changes[[#This Row],[Type]]="checklist-flat"),1+IF(changes[[#This Row],[Type of change]] = "Edit",COUNTIFS($I$4:changes[[#This Row],[Name]],changes[[#This Row],[Name]], $E$4:changes[[#This Row],[Type of change]], "Edit")),B2541)</f>
        <v>1</v>
      </c>
      <c r="C2542" s="16">
        <v>44889</v>
      </c>
      <c r="D2542" s="1" t="s">
        <v>2636</v>
      </c>
      <c r="E2542" t="s">
        <v>19</v>
      </c>
      <c r="F2542" s="1" t="s">
        <v>52</v>
      </c>
      <c r="G2542" s="21" t="s">
        <v>2461</v>
      </c>
      <c r="H2542" s="2" t="s">
        <v>55</v>
      </c>
      <c r="I2542" s="18" t="s">
        <v>1754</v>
      </c>
      <c r="J2542" s="23"/>
      <c r="K2542" s="1" t="s">
        <v>6</v>
      </c>
      <c r="M2542" s="2"/>
    </row>
    <row r="2543" spans="1:13" ht="15.75">
      <c r="A2543" t="s">
        <v>28</v>
      </c>
      <c r="B2543">
        <f ca="1">IF(OR(changes[[#This Row],[Type]]="Checklist",changes[[#This Row],[Type]]="checklist-flat"),1+IF(changes[[#This Row],[Type of change]] = "Edit",COUNTIFS($I$4:changes[[#This Row],[Name]],changes[[#This Row],[Name]], $E$4:changes[[#This Row],[Type of change]], "Edit")),B2542)</f>
        <v>1</v>
      </c>
      <c r="C2543" s="16">
        <v>44889</v>
      </c>
      <c r="D2543" s="1" t="s">
        <v>2636</v>
      </c>
      <c r="E2543" t="s">
        <v>19</v>
      </c>
      <c r="F2543" s="1" t="s">
        <v>52</v>
      </c>
      <c r="G2543" s="21" t="s">
        <v>2461</v>
      </c>
      <c r="H2543" s="2" t="s">
        <v>55</v>
      </c>
      <c r="I2543" s="18" t="s">
        <v>93</v>
      </c>
      <c r="J2543" s="23"/>
      <c r="K2543" s="1" t="s">
        <v>6</v>
      </c>
      <c r="M2543" s="2"/>
    </row>
    <row r="2544" spans="1:13" ht="15.75">
      <c r="A2544" t="s">
        <v>28</v>
      </c>
      <c r="B2544">
        <f ca="1">IF(OR(changes[[#This Row],[Type]]="Checklist",changes[[#This Row],[Type]]="checklist-flat"),1+IF(changes[[#This Row],[Type of change]] = "Edit",COUNTIFS($I$4:changes[[#This Row],[Name]],changes[[#This Row],[Name]], $E$4:changes[[#This Row],[Type of change]], "Edit")),B2543)</f>
        <v>1</v>
      </c>
      <c r="C2544" s="16">
        <v>44889</v>
      </c>
      <c r="D2544" s="1" t="s">
        <v>2636</v>
      </c>
      <c r="E2544" t="s">
        <v>19</v>
      </c>
      <c r="F2544" s="1" t="s">
        <v>52</v>
      </c>
      <c r="G2544" s="21" t="s">
        <v>2461</v>
      </c>
      <c r="H2544" s="2" t="s">
        <v>64</v>
      </c>
      <c r="I2544" s="18" t="s">
        <v>94</v>
      </c>
      <c r="J2544" s="23"/>
      <c r="K2544" s="1" t="s">
        <v>6</v>
      </c>
      <c r="M2544" s="2"/>
    </row>
    <row r="2545" spans="1:14" ht="15.75">
      <c r="A2545" t="s">
        <v>11</v>
      </c>
      <c r="B2545">
        <f ca="1">IF(OR(changes[[#This Row],[Type]]="Checklist",changes[[#This Row],[Type]]="checklist-flat"),1+IF(changes[[#This Row],[Type of change]] = "Edit",COUNTIFS($I$4:changes[[#This Row],[Name]],changes[[#This Row],[Name]], $E$4:changes[[#This Row],[Type of change]], "Edit")),#REF!)</f>
        <v>2</v>
      </c>
      <c r="C2545" s="16">
        <v>44890</v>
      </c>
      <c r="D2545" s="1" t="s">
        <v>2450</v>
      </c>
      <c r="E2545" t="s">
        <v>15</v>
      </c>
      <c r="F2545" s="1" t="s">
        <v>9</v>
      </c>
      <c r="G2545" s="21" t="s">
        <v>2967</v>
      </c>
      <c r="H2545" s="19" t="s">
        <v>54</v>
      </c>
      <c r="I2545" s="21" t="s">
        <v>2967</v>
      </c>
      <c r="J2545" s="22"/>
      <c r="K2545" s="2" t="s">
        <v>2904</v>
      </c>
      <c r="M2545" t="s">
        <v>2968</v>
      </c>
      <c r="N2545" t="s">
        <v>2969</v>
      </c>
    </row>
    <row r="2546" spans="1:14" ht="15.75">
      <c r="A2546" t="s">
        <v>11</v>
      </c>
      <c r="B2546">
        <f ca="1">IF(OR(changes[[#This Row],[Type]]="Checklist",changes[[#This Row],[Type]]="checklist-flat"),1+IF(changes[[#This Row],[Type of change]] = "Edit",COUNTIFS($I$4:changes[[#This Row],[Name]],changes[[#This Row],[Name]], $E$4:changes[[#This Row],[Type of change]], "Edit")),B2545)</f>
        <v>2</v>
      </c>
      <c r="C2546" s="16">
        <v>44890</v>
      </c>
      <c r="D2546" s="1" t="s">
        <v>2450</v>
      </c>
      <c r="E2546" t="s">
        <v>15</v>
      </c>
      <c r="F2546" s="1" t="s">
        <v>9</v>
      </c>
      <c r="G2546" s="21" t="s">
        <v>2967</v>
      </c>
      <c r="H2546" s="2" t="s">
        <v>55</v>
      </c>
      <c r="I2546" s="18" t="s">
        <v>471</v>
      </c>
      <c r="J2546" s="23"/>
      <c r="K2546" s="2" t="s">
        <v>2904</v>
      </c>
      <c r="M2546" t="s">
        <v>2968</v>
      </c>
    </row>
    <row r="2547" spans="1:14" ht="15.75">
      <c r="A2547" t="s">
        <v>11</v>
      </c>
      <c r="B2547">
        <f ca="1">IF(OR(changes[[#This Row],[Type]]="Checklist",changes[[#This Row],[Type]]="checklist-flat"),1+IF(changes[[#This Row],[Type of change]] = "Edit",COUNTIFS($I$4:changes[[#This Row],[Name]],changes[[#This Row],[Name]], $E$4:changes[[#This Row],[Type of change]], "Edit")),B2546)</f>
        <v>2</v>
      </c>
      <c r="C2547" s="16">
        <v>44890</v>
      </c>
      <c r="D2547" s="1" t="s">
        <v>2450</v>
      </c>
      <c r="E2547" t="s">
        <v>15</v>
      </c>
      <c r="F2547" s="1" t="s">
        <v>9</v>
      </c>
      <c r="G2547" s="21" t="s">
        <v>2967</v>
      </c>
      <c r="H2547" s="2" t="s">
        <v>55</v>
      </c>
      <c r="I2547" s="18" t="s">
        <v>472</v>
      </c>
      <c r="J2547" s="23"/>
      <c r="K2547" s="2" t="s">
        <v>2904</v>
      </c>
      <c r="M2547" t="s">
        <v>2968</v>
      </c>
    </row>
    <row r="2548" spans="1:14" ht="15.75">
      <c r="A2548" t="s">
        <v>11</v>
      </c>
      <c r="B2548">
        <f ca="1">IF(OR(changes[[#This Row],[Type]]="Checklist",changes[[#This Row],[Type]]="checklist-flat"),1+IF(changes[[#This Row],[Type of change]] = "Edit",COUNTIFS($I$4:changes[[#This Row],[Name]],changes[[#This Row],[Name]], $E$4:changes[[#This Row],[Type of change]], "Edit")),B2547)</f>
        <v>2</v>
      </c>
      <c r="C2548" s="16">
        <v>44890</v>
      </c>
      <c r="D2548" s="1" t="s">
        <v>2450</v>
      </c>
      <c r="E2548" t="s">
        <v>15</v>
      </c>
      <c r="F2548" s="1" t="s">
        <v>9</v>
      </c>
      <c r="G2548" s="21" t="s">
        <v>2967</v>
      </c>
      <c r="H2548" s="2" t="s">
        <v>55</v>
      </c>
      <c r="I2548" s="18" t="s">
        <v>473</v>
      </c>
      <c r="J2548" s="23"/>
      <c r="K2548" s="2" t="s">
        <v>2904</v>
      </c>
      <c r="M2548" t="s">
        <v>2968</v>
      </c>
    </row>
    <row r="2549" spans="1:14" ht="15.75">
      <c r="A2549" t="s">
        <v>11</v>
      </c>
      <c r="B2549">
        <f ca="1">IF(OR(changes[[#This Row],[Type]]="Checklist",changes[[#This Row],[Type]]="checklist-flat"),1+IF(changes[[#This Row],[Type of change]] = "Edit",COUNTIFS($I$4:changes[[#This Row],[Name]],changes[[#This Row],[Name]], $E$4:changes[[#This Row],[Type of change]], "Edit")),B2548)</f>
        <v>2</v>
      </c>
      <c r="C2549" s="16">
        <v>44890</v>
      </c>
      <c r="D2549" s="1" t="s">
        <v>2450</v>
      </c>
      <c r="E2549" t="s">
        <v>15</v>
      </c>
      <c r="F2549" s="1" t="s">
        <v>9</v>
      </c>
      <c r="G2549" s="21" t="s">
        <v>2967</v>
      </c>
      <c r="H2549" s="2" t="s">
        <v>55</v>
      </c>
      <c r="I2549" s="18" t="s">
        <v>474</v>
      </c>
      <c r="J2549" s="23"/>
      <c r="K2549" s="2" t="s">
        <v>2904</v>
      </c>
      <c r="M2549" t="s">
        <v>2968</v>
      </c>
    </row>
    <row r="2550" spans="1:14" ht="15.75">
      <c r="A2550" t="s">
        <v>11</v>
      </c>
      <c r="B2550">
        <f ca="1">IF(OR(changes[[#This Row],[Type]]="Checklist",changes[[#This Row],[Type]]="checklist-flat"),1+IF(changes[[#This Row],[Type of change]] = "Edit",COUNTIFS($I$4:changes[[#This Row],[Name]],changes[[#This Row],[Name]], $E$4:changes[[#This Row],[Type of change]], "Edit")),B2549)</f>
        <v>2</v>
      </c>
      <c r="C2550" s="16">
        <v>44890</v>
      </c>
      <c r="D2550" s="1" t="s">
        <v>2450</v>
      </c>
      <c r="E2550" t="s">
        <v>15</v>
      </c>
      <c r="F2550" s="1" t="s">
        <v>9</v>
      </c>
      <c r="G2550" s="21" t="s">
        <v>2967</v>
      </c>
      <c r="H2550" s="2" t="s">
        <v>55</v>
      </c>
      <c r="I2550" s="18" t="s">
        <v>475</v>
      </c>
      <c r="J2550" s="23"/>
      <c r="K2550" s="2" t="s">
        <v>2904</v>
      </c>
      <c r="M2550" t="s">
        <v>2968</v>
      </c>
    </row>
    <row r="2551" spans="1:14" ht="15.75">
      <c r="A2551" t="s">
        <v>11</v>
      </c>
      <c r="B2551">
        <f ca="1">IF(OR(changes[[#This Row],[Type]]="Checklist",changes[[#This Row],[Type]]="checklist-flat"),1+IF(changes[[#This Row],[Type of change]] = "Edit",COUNTIFS($I$4:changes[[#This Row],[Name]],changes[[#This Row],[Name]], $E$4:changes[[#This Row],[Type of change]], "Edit")),B2550)</f>
        <v>2</v>
      </c>
      <c r="C2551" s="16">
        <v>44890</v>
      </c>
      <c r="D2551" s="1" t="s">
        <v>2450</v>
      </c>
      <c r="E2551" t="s">
        <v>15</v>
      </c>
      <c r="F2551" s="1" t="s">
        <v>9</v>
      </c>
      <c r="G2551" s="21" t="s">
        <v>2967</v>
      </c>
      <c r="H2551" s="2" t="s">
        <v>55</v>
      </c>
      <c r="I2551" s="18" t="s">
        <v>476</v>
      </c>
      <c r="J2551" s="23"/>
      <c r="K2551" s="2" t="s">
        <v>2904</v>
      </c>
      <c r="M2551" t="s">
        <v>2968</v>
      </c>
    </row>
    <row r="2552" spans="1:14" ht="15.75">
      <c r="A2552" t="s">
        <v>11</v>
      </c>
      <c r="B2552">
        <f ca="1">IF(OR(changes[[#This Row],[Type]]="Checklist",changes[[#This Row],[Type]]="checklist-flat"),1+IF(changes[[#This Row],[Type of change]] = "Edit",COUNTIFS($I$4:changes[[#This Row],[Name]],changes[[#This Row],[Name]], $E$4:changes[[#This Row],[Type of change]], "Edit")),B2551)</f>
        <v>2</v>
      </c>
      <c r="C2552" s="16">
        <v>44890</v>
      </c>
      <c r="D2552" s="1" t="s">
        <v>2450</v>
      </c>
      <c r="E2552" t="s">
        <v>15</v>
      </c>
      <c r="F2552" s="1" t="s">
        <v>9</v>
      </c>
      <c r="G2552" s="21" t="s">
        <v>2967</v>
      </c>
      <c r="H2552" s="2" t="s">
        <v>64</v>
      </c>
      <c r="I2552" s="18" t="s">
        <v>733</v>
      </c>
      <c r="J2552" s="23"/>
      <c r="K2552" s="2" t="s">
        <v>2904</v>
      </c>
      <c r="M2552" t="s">
        <v>2968</v>
      </c>
    </row>
    <row r="2553" spans="1:14" ht="15.75">
      <c r="A2553" t="s">
        <v>11</v>
      </c>
      <c r="B2553">
        <f ca="1">IF(OR(changes[[#This Row],[Type]]="Checklist",changes[[#This Row],[Type]]="checklist-flat"),1+IF(changes[[#This Row],[Type of change]] = "Edit",COUNTIFS($I$4:changes[[#This Row],[Name]],changes[[#This Row],[Name]], $E$4:changes[[#This Row],[Type of change]], "Edit")),B2552)</f>
        <v>2</v>
      </c>
      <c r="C2553" s="16">
        <v>44890</v>
      </c>
      <c r="D2553" s="1" t="s">
        <v>2450</v>
      </c>
      <c r="E2553" t="s">
        <v>15</v>
      </c>
      <c r="F2553" s="1" t="s">
        <v>9</v>
      </c>
      <c r="G2553" s="21" t="s">
        <v>1768</v>
      </c>
      <c r="H2553" s="19" t="s">
        <v>54</v>
      </c>
      <c r="I2553" s="21" t="s">
        <v>1768</v>
      </c>
      <c r="J2553" s="22"/>
      <c r="K2553" s="2" t="s">
        <v>2904</v>
      </c>
      <c r="M2553" t="s">
        <v>2968</v>
      </c>
      <c r="N2553" t="s">
        <v>2969</v>
      </c>
    </row>
    <row r="2554" spans="1:14" ht="15.75">
      <c r="A2554" t="s">
        <v>11</v>
      </c>
      <c r="B2554">
        <f ca="1">IF(OR(changes[[#This Row],[Type]]="Checklist",changes[[#This Row],[Type]]="checklist-flat"),1+IF(changes[[#This Row],[Type of change]] = "Edit",COUNTIFS($I$4:changes[[#This Row],[Name]],changes[[#This Row],[Name]], $E$4:changes[[#This Row],[Type of change]], "Edit")),B2553)</f>
        <v>2</v>
      </c>
      <c r="C2554" s="16">
        <v>44890</v>
      </c>
      <c r="D2554" s="1" t="s">
        <v>2450</v>
      </c>
      <c r="E2554" t="s">
        <v>15</v>
      </c>
      <c r="F2554" s="1" t="s">
        <v>9</v>
      </c>
      <c r="G2554" s="21" t="s">
        <v>1768</v>
      </c>
      <c r="H2554" s="2" t="s">
        <v>55</v>
      </c>
      <c r="I2554" s="18" t="s">
        <v>1769</v>
      </c>
      <c r="J2554" s="23"/>
      <c r="K2554" s="2" t="s">
        <v>2904</v>
      </c>
      <c r="M2554" t="s">
        <v>2968</v>
      </c>
    </row>
    <row r="2555" spans="1:14" ht="15.75">
      <c r="A2555" t="s">
        <v>11</v>
      </c>
      <c r="B2555">
        <f ca="1">IF(OR(changes[[#This Row],[Type]]="Checklist",changes[[#This Row],[Type]]="checklist-flat"),1+IF(changes[[#This Row],[Type of change]] = "Edit",COUNTIFS($I$4:changes[[#This Row],[Name]],changes[[#This Row],[Name]], $E$4:changes[[#This Row],[Type of change]], "Edit")),B2554)</f>
        <v>2</v>
      </c>
      <c r="C2555" s="16">
        <v>44890</v>
      </c>
      <c r="D2555" s="1" t="s">
        <v>2450</v>
      </c>
      <c r="E2555" t="s">
        <v>15</v>
      </c>
      <c r="F2555" s="1" t="s">
        <v>9</v>
      </c>
      <c r="G2555" s="21" t="s">
        <v>1768</v>
      </c>
      <c r="H2555" s="2" t="s">
        <v>55</v>
      </c>
      <c r="I2555" s="18" t="s">
        <v>1770</v>
      </c>
      <c r="J2555" s="23"/>
      <c r="K2555" s="2" t="s">
        <v>2904</v>
      </c>
      <c r="M2555" t="s">
        <v>2968</v>
      </c>
    </row>
    <row r="2556" spans="1:14" ht="15.75">
      <c r="A2556" t="s">
        <v>11</v>
      </c>
      <c r="B2556">
        <f ca="1">IF(OR(changes[[#This Row],[Type]]="Checklist",changes[[#This Row],[Type]]="checklist-flat"),1+IF(changes[[#This Row],[Type of change]] = "Edit",COUNTIFS($I$4:changes[[#This Row],[Name]],changes[[#This Row],[Name]], $E$4:changes[[#This Row],[Type of change]], "Edit")),B2555)</f>
        <v>2</v>
      </c>
      <c r="C2556" s="16">
        <v>44890</v>
      </c>
      <c r="D2556" s="1" t="s">
        <v>2450</v>
      </c>
      <c r="E2556" t="s">
        <v>15</v>
      </c>
      <c r="F2556" s="1" t="s">
        <v>9</v>
      </c>
      <c r="G2556" s="21" t="s">
        <v>1768</v>
      </c>
      <c r="H2556" s="2" t="s">
        <v>55</v>
      </c>
      <c r="I2556" s="18" t="s">
        <v>1771</v>
      </c>
      <c r="J2556" s="23"/>
      <c r="K2556" s="2" t="s">
        <v>2904</v>
      </c>
      <c r="M2556" t="s">
        <v>2968</v>
      </c>
    </row>
    <row r="2557" spans="1:14" ht="15.75">
      <c r="A2557" t="s">
        <v>11</v>
      </c>
      <c r="B2557">
        <f ca="1">IF(OR(changes[[#This Row],[Type]]="Checklist",changes[[#This Row],[Type]]="checklist-flat"),1+IF(changes[[#This Row],[Type of change]] = "Edit",COUNTIFS($I$4:changes[[#This Row],[Name]],changes[[#This Row],[Name]], $E$4:changes[[#This Row],[Type of change]], "Edit")),B2556)</f>
        <v>2</v>
      </c>
      <c r="C2557" s="16">
        <v>44890</v>
      </c>
      <c r="D2557" s="1" t="s">
        <v>2450</v>
      </c>
      <c r="E2557" t="s">
        <v>15</v>
      </c>
      <c r="F2557" s="1" t="s">
        <v>9</v>
      </c>
      <c r="G2557" s="21" t="s">
        <v>1768</v>
      </c>
      <c r="H2557" s="2" t="s">
        <v>55</v>
      </c>
      <c r="I2557" s="18" t="s">
        <v>1772</v>
      </c>
      <c r="J2557" s="23"/>
      <c r="K2557" s="2" t="s">
        <v>2904</v>
      </c>
      <c r="M2557" t="s">
        <v>2968</v>
      </c>
    </row>
    <row r="2558" spans="1:14" ht="15.75">
      <c r="A2558" t="s">
        <v>11</v>
      </c>
      <c r="B2558">
        <f ca="1">IF(OR(changes[[#This Row],[Type]]="Checklist",changes[[#This Row],[Type]]="checklist-flat"),1+IF(changes[[#This Row],[Type of change]] = "Edit",COUNTIFS($I$4:changes[[#This Row],[Name]],changes[[#This Row],[Name]], $E$4:changes[[#This Row],[Type of change]], "Edit")),B2557)</f>
        <v>2</v>
      </c>
      <c r="C2558" s="16">
        <v>44890</v>
      </c>
      <c r="D2558" s="1" t="s">
        <v>2450</v>
      </c>
      <c r="E2558" t="s">
        <v>15</v>
      </c>
      <c r="F2558" s="1" t="s">
        <v>9</v>
      </c>
      <c r="G2558" s="21" t="s">
        <v>1768</v>
      </c>
      <c r="H2558" s="2" t="s">
        <v>55</v>
      </c>
      <c r="I2558" s="18" t="s">
        <v>1773</v>
      </c>
      <c r="J2558" s="23"/>
      <c r="K2558" s="2" t="s">
        <v>2904</v>
      </c>
      <c r="M2558" t="s">
        <v>2968</v>
      </c>
    </row>
    <row r="2559" spans="1:14" ht="15.75">
      <c r="A2559" t="s">
        <v>11</v>
      </c>
      <c r="B2559">
        <f ca="1">IF(OR(changes[[#This Row],[Type]]="Checklist",changes[[#This Row],[Type]]="checklist-flat"),1+IF(changes[[#This Row],[Type of change]] = "Edit",COUNTIFS($I$4:changes[[#This Row],[Name]],changes[[#This Row],[Name]], $E$4:changes[[#This Row],[Type of change]], "Edit")),B2558)</f>
        <v>2</v>
      </c>
      <c r="C2559" s="16">
        <v>44890</v>
      </c>
      <c r="D2559" s="1" t="s">
        <v>2450</v>
      </c>
      <c r="E2559" t="s">
        <v>15</v>
      </c>
      <c r="F2559" s="1" t="s">
        <v>9</v>
      </c>
      <c r="G2559" s="21" t="s">
        <v>1768</v>
      </c>
      <c r="H2559" s="2" t="s">
        <v>55</v>
      </c>
      <c r="I2559" s="18" t="s">
        <v>1774</v>
      </c>
      <c r="J2559" s="23"/>
      <c r="K2559" s="2" t="s">
        <v>2904</v>
      </c>
      <c r="M2559" t="s">
        <v>2968</v>
      </c>
    </row>
    <row r="2560" spans="1:14" ht="15.75">
      <c r="A2560" t="s">
        <v>11</v>
      </c>
      <c r="B2560">
        <f ca="1">IF(OR(changes[[#This Row],[Type]]="Checklist",changes[[#This Row],[Type]]="checklist-flat"),1+IF(changes[[#This Row],[Type of change]] = "Edit",COUNTIFS($I$4:changes[[#This Row],[Name]],changes[[#This Row],[Name]], $E$4:changes[[#This Row],[Type of change]], "Edit")),B2559)</f>
        <v>2</v>
      </c>
      <c r="C2560" s="16">
        <v>44890</v>
      </c>
      <c r="D2560" s="1" t="s">
        <v>2450</v>
      </c>
      <c r="E2560" t="s">
        <v>15</v>
      </c>
      <c r="F2560" s="1" t="s">
        <v>9</v>
      </c>
      <c r="G2560" s="21" t="s">
        <v>1768</v>
      </c>
      <c r="H2560" s="2" t="s">
        <v>55</v>
      </c>
      <c r="I2560" s="18" t="s">
        <v>1775</v>
      </c>
      <c r="J2560" s="23"/>
      <c r="K2560" s="2" t="s">
        <v>2904</v>
      </c>
      <c r="M2560" t="s">
        <v>2968</v>
      </c>
    </row>
    <row r="2561" spans="1:13" ht="15.75">
      <c r="A2561" t="s">
        <v>11</v>
      </c>
      <c r="B2561">
        <f ca="1">IF(OR(changes[[#This Row],[Type]]="Checklist",changes[[#This Row],[Type]]="checklist-flat"),1+IF(changes[[#This Row],[Type of change]] = "Edit",COUNTIFS($I$4:changes[[#This Row],[Name]],changes[[#This Row],[Name]], $E$4:changes[[#This Row],[Type of change]], "Edit")),B2560)</f>
        <v>2</v>
      </c>
      <c r="C2561" s="16">
        <v>44890</v>
      </c>
      <c r="D2561" s="1" t="s">
        <v>2450</v>
      </c>
      <c r="E2561" t="s">
        <v>15</v>
      </c>
      <c r="F2561" s="1" t="s">
        <v>9</v>
      </c>
      <c r="G2561" s="21" t="s">
        <v>1768</v>
      </c>
      <c r="H2561" s="2" t="s">
        <v>55</v>
      </c>
      <c r="I2561" s="18" t="s">
        <v>1776</v>
      </c>
      <c r="J2561" s="23"/>
      <c r="K2561" s="2" t="s">
        <v>2904</v>
      </c>
      <c r="M2561" t="s">
        <v>2968</v>
      </c>
    </row>
    <row r="2562" spans="1:13" ht="15.75">
      <c r="A2562" t="s">
        <v>11</v>
      </c>
      <c r="B2562">
        <f ca="1">IF(OR(changes[[#This Row],[Type]]="Checklist",changes[[#This Row],[Type]]="checklist-flat"),1+IF(changes[[#This Row],[Type of change]] = "Edit",COUNTIFS($I$4:changes[[#This Row],[Name]],changes[[#This Row],[Name]], $E$4:changes[[#This Row],[Type of change]], "Edit")),B2561)</f>
        <v>2</v>
      </c>
      <c r="C2562" s="16">
        <v>44890</v>
      </c>
      <c r="D2562" s="1" t="s">
        <v>2450</v>
      </c>
      <c r="E2562" t="s">
        <v>15</v>
      </c>
      <c r="F2562" s="1" t="s">
        <v>9</v>
      </c>
      <c r="G2562" s="21" t="s">
        <v>1768</v>
      </c>
      <c r="H2562" s="2" t="s">
        <v>55</v>
      </c>
      <c r="I2562" s="18" t="s">
        <v>1777</v>
      </c>
      <c r="J2562" s="23"/>
      <c r="K2562" s="2" t="s">
        <v>2904</v>
      </c>
      <c r="M2562" t="s">
        <v>2968</v>
      </c>
    </row>
    <row r="2563" spans="1:13" ht="15.75">
      <c r="A2563" t="s">
        <v>11</v>
      </c>
      <c r="B2563">
        <f ca="1">IF(OR(changes[[#This Row],[Type]]="Checklist",changes[[#This Row],[Type]]="checklist-flat"),1+IF(changes[[#This Row],[Type of change]] = "Edit",COUNTIFS($I$4:changes[[#This Row],[Name]],changes[[#This Row],[Name]], $E$4:changes[[#This Row],[Type of change]], "Edit")),B2562)</f>
        <v>2</v>
      </c>
      <c r="C2563" s="16">
        <v>44890</v>
      </c>
      <c r="D2563" s="1" t="s">
        <v>2450</v>
      </c>
      <c r="E2563" t="s">
        <v>15</v>
      </c>
      <c r="F2563" s="1" t="s">
        <v>9</v>
      </c>
      <c r="G2563" s="21" t="s">
        <v>1768</v>
      </c>
      <c r="H2563" s="2" t="s">
        <v>64</v>
      </c>
      <c r="I2563" s="18" t="s">
        <v>733</v>
      </c>
      <c r="J2563" s="23"/>
      <c r="K2563" s="2" t="s">
        <v>2904</v>
      </c>
      <c r="M2563" t="s">
        <v>2968</v>
      </c>
    </row>
    <row r="2564" spans="1:13" ht="15.75">
      <c r="A2564" t="s">
        <v>24</v>
      </c>
      <c r="B2564">
        <f ca="1">IF(OR(changes[[#This Row],[Type]]="Checklist",changes[[#This Row],[Type]]="checklist-flat"),1+IF(changes[[#This Row],[Type of change]] = "Edit",COUNTIFS($I$4:changes[[#This Row],[Name]],changes[[#This Row],[Name]], $E$4:changes[[#This Row],[Type of change]], "Edit")),B2563)</f>
        <v>2</v>
      </c>
      <c r="C2564" s="16">
        <v>44902</v>
      </c>
      <c r="D2564" s="1" t="s">
        <v>2843</v>
      </c>
      <c r="E2564" t="s">
        <v>15</v>
      </c>
      <c r="F2564" s="10" t="s">
        <v>9</v>
      </c>
      <c r="G2564" s="21" t="s">
        <v>1281</v>
      </c>
      <c r="H2564" s="19" t="s">
        <v>54</v>
      </c>
      <c r="I2564" s="21" t="s">
        <v>1281</v>
      </c>
      <c r="J2564" s="22"/>
      <c r="K2564" s="2"/>
      <c r="L2564" t="s">
        <v>2970</v>
      </c>
      <c r="M2564" t="s">
        <v>2971</v>
      </c>
    </row>
    <row r="2565" spans="1:13" ht="15.75">
      <c r="A2565" t="s">
        <v>24</v>
      </c>
      <c r="B2565">
        <f ca="1">IF(OR(changes[[#This Row],[Type]]="Checklist",changes[[#This Row],[Type]]="checklist-flat"),1+IF(changes[[#This Row],[Type of change]] = "Edit",COUNTIFS($I$4:changes[[#This Row],[Name]],changes[[#This Row],[Name]], $E$4:changes[[#This Row],[Type of change]], "Edit")),B2564)</f>
        <v>2</v>
      </c>
      <c r="C2565" s="16">
        <v>44902</v>
      </c>
      <c r="D2565" s="1" t="s">
        <v>2843</v>
      </c>
      <c r="E2565" t="s">
        <v>15</v>
      </c>
      <c r="F2565" s="10" t="s">
        <v>9</v>
      </c>
      <c r="G2565" s="21" t="s">
        <v>1281</v>
      </c>
      <c r="H2565" s="19" t="s">
        <v>55</v>
      </c>
      <c r="I2565" s="67" t="s">
        <v>2972</v>
      </c>
      <c r="J2565" s="22"/>
      <c r="K2565" s="2"/>
      <c r="L2565" t="s">
        <v>2970</v>
      </c>
      <c r="M2565" t="s">
        <v>2971</v>
      </c>
    </row>
    <row r="2566" spans="1:13" ht="15.75">
      <c r="A2566" t="s">
        <v>24</v>
      </c>
      <c r="B2566">
        <f ca="1">IF(OR(changes[[#This Row],[Type]]="Checklist",changes[[#This Row],[Type]]="checklist-flat"),1+IF(changes[[#This Row],[Type of change]] = "Edit",COUNTIFS($I$4:changes[[#This Row],[Name]],changes[[#This Row],[Name]], $E$4:changes[[#This Row],[Type of change]], "Edit")),B2565)</f>
        <v>2</v>
      </c>
      <c r="C2566" s="16">
        <v>44902</v>
      </c>
      <c r="D2566" s="1" t="s">
        <v>2843</v>
      </c>
      <c r="E2566" t="s">
        <v>15</v>
      </c>
      <c r="F2566" s="10" t="s">
        <v>9</v>
      </c>
      <c r="G2566" s="21" t="s">
        <v>1281</v>
      </c>
      <c r="H2566" s="19" t="s">
        <v>55</v>
      </c>
      <c r="I2566" s="68" t="s">
        <v>2973</v>
      </c>
      <c r="J2566" s="23"/>
      <c r="K2566" s="2"/>
      <c r="L2566" t="s">
        <v>2970</v>
      </c>
      <c r="M2566" t="s">
        <v>2971</v>
      </c>
    </row>
    <row r="2567" spans="1:13" ht="15.75">
      <c r="A2567" t="s">
        <v>24</v>
      </c>
      <c r="B2567">
        <f ca="1">IF(OR(changes[[#This Row],[Type]]="Checklist",changes[[#This Row],[Type]]="checklist-flat"),1+IF(changes[[#This Row],[Type of change]] = "Edit",COUNTIFS($I$4:changes[[#This Row],[Name]],changes[[#This Row],[Name]], $E$4:changes[[#This Row],[Type of change]], "Edit")),B2566)</f>
        <v>2</v>
      </c>
      <c r="C2567" s="16">
        <v>44902</v>
      </c>
      <c r="D2567" s="1" t="s">
        <v>2843</v>
      </c>
      <c r="E2567" t="s">
        <v>15</v>
      </c>
      <c r="F2567" s="10" t="s">
        <v>9</v>
      </c>
      <c r="G2567" s="21" t="s">
        <v>1281</v>
      </c>
      <c r="H2567" s="19" t="s">
        <v>55</v>
      </c>
      <c r="I2567" s="68" t="s">
        <v>2974</v>
      </c>
      <c r="J2567" s="23"/>
      <c r="K2567" s="2"/>
      <c r="L2567" t="s">
        <v>2970</v>
      </c>
      <c r="M2567" t="s">
        <v>2971</v>
      </c>
    </row>
    <row r="2568" spans="1:13" ht="15.75">
      <c r="A2568" t="s">
        <v>24</v>
      </c>
      <c r="B2568">
        <f ca="1">IF(OR(changes[[#This Row],[Type]]="Checklist",changes[[#This Row],[Type]]="checklist-flat"),1+IF(changes[[#This Row],[Type of change]] = "Edit",COUNTIFS($I$4:changes[[#This Row],[Name]],changes[[#This Row],[Name]], $E$4:changes[[#This Row],[Type of change]], "Edit")),B2567)</f>
        <v>2</v>
      </c>
      <c r="C2568" s="16">
        <v>44902</v>
      </c>
      <c r="D2568" s="1" t="s">
        <v>2843</v>
      </c>
      <c r="E2568" t="s">
        <v>15</v>
      </c>
      <c r="F2568" s="10" t="s">
        <v>9</v>
      </c>
      <c r="G2568" s="21" t="s">
        <v>1281</v>
      </c>
      <c r="H2568" s="19" t="s">
        <v>55</v>
      </c>
      <c r="I2568" s="68" t="s">
        <v>2975</v>
      </c>
      <c r="J2568" s="23"/>
      <c r="K2568" s="2"/>
      <c r="L2568" t="s">
        <v>2970</v>
      </c>
      <c r="M2568" t="s">
        <v>2971</v>
      </c>
    </row>
    <row r="2569" spans="1:13" ht="15.75">
      <c r="A2569" t="s">
        <v>24</v>
      </c>
      <c r="B2569">
        <f ca="1">IF(OR(changes[[#This Row],[Type]]="Checklist",changes[[#This Row],[Type]]="checklist-flat"),1+IF(changes[[#This Row],[Type of change]] = "Edit",COUNTIFS($I$4:changes[[#This Row],[Name]],changes[[#This Row],[Name]], $E$4:changes[[#This Row],[Type of change]], "Edit")),B2568)</f>
        <v>2</v>
      </c>
      <c r="C2569" s="16">
        <v>44902</v>
      </c>
      <c r="D2569" s="1" t="s">
        <v>2843</v>
      </c>
      <c r="E2569" t="s">
        <v>15</v>
      </c>
      <c r="F2569" s="10" t="s">
        <v>9</v>
      </c>
      <c r="G2569" s="21" t="s">
        <v>1281</v>
      </c>
      <c r="H2569" s="19" t="s">
        <v>55</v>
      </c>
      <c r="I2569" s="68" t="s">
        <v>2976</v>
      </c>
      <c r="J2569" s="23"/>
      <c r="K2569" s="2"/>
      <c r="L2569" t="s">
        <v>2970</v>
      </c>
      <c r="M2569" t="s">
        <v>2971</v>
      </c>
    </row>
    <row r="2570" spans="1:13" ht="15.75">
      <c r="A2570" t="s">
        <v>24</v>
      </c>
      <c r="B2570">
        <f ca="1">IF(OR(changes[[#This Row],[Type]]="Checklist",changes[[#This Row],[Type]]="checklist-flat"),1+IF(changes[[#This Row],[Type of change]] = "Edit",COUNTIFS($I$4:changes[[#This Row],[Name]],changes[[#This Row],[Name]], $E$4:changes[[#This Row],[Type of change]], "Edit")),B2569)</f>
        <v>2</v>
      </c>
      <c r="C2570" s="16">
        <v>44902</v>
      </c>
      <c r="D2570" s="1" t="s">
        <v>2843</v>
      </c>
      <c r="E2570" t="s">
        <v>15</v>
      </c>
      <c r="F2570" s="10" t="s">
        <v>9</v>
      </c>
      <c r="G2570" s="21" t="s">
        <v>1281</v>
      </c>
      <c r="H2570" s="19" t="s">
        <v>55</v>
      </c>
      <c r="I2570" s="68" t="s">
        <v>2977</v>
      </c>
      <c r="J2570" s="23"/>
      <c r="K2570" s="2"/>
      <c r="L2570" t="s">
        <v>2970</v>
      </c>
      <c r="M2570" t="s">
        <v>2971</v>
      </c>
    </row>
    <row r="2571" spans="1:13" ht="15.75">
      <c r="A2571" t="s">
        <v>24</v>
      </c>
      <c r="B2571">
        <f ca="1">IF(OR(changes[[#This Row],[Type]]="Checklist",changes[[#This Row],[Type]]="checklist-flat"),1+IF(changes[[#This Row],[Type of change]] = "Edit",COUNTIFS($I$4:changes[[#This Row],[Name]],changes[[#This Row],[Name]], $E$4:changes[[#This Row],[Type of change]], "Edit")),B2570)</f>
        <v>2</v>
      </c>
      <c r="C2571" s="16">
        <v>44902</v>
      </c>
      <c r="D2571" s="1" t="s">
        <v>2843</v>
      </c>
      <c r="E2571" t="s">
        <v>15</v>
      </c>
      <c r="F2571" s="10" t="s">
        <v>9</v>
      </c>
      <c r="G2571" s="21" t="s">
        <v>1281</v>
      </c>
      <c r="H2571" s="19" t="s">
        <v>55</v>
      </c>
      <c r="I2571" s="68" t="s">
        <v>2978</v>
      </c>
      <c r="J2571" s="23"/>
      <c r="K2571" s="2"/>
      <c r="L2571" t="s">
        <v>2970</v>
      </c>
      <c r="M2571" t="s">
        <v>2971</v>
      </c>
    </row>
    <row r="2572" spans="1:13" ht="15.75">
      <c r="A2572" t="s">
        <v>24</v>
      </c>
      <c r="B2572">
        <f ca="1">IF(OR(changes[[#This Row],[Type]]="Checklist",changes[[#This Row],[Type]]="checklist-flat"),1+IF(changes[[#This Row],[Type of change]] = "Edit",COUNTIFS($I$4:changes[[#This Row],[Name]],changes[[#This Row],[Name]], $E$4:changes[[#This Row],[Type of change]], "Edit")),B2571)</f>
        <v>2</v>
      </c>
      <c r="C2572" s="16">
        <v>44902</v>
      </c>
      <c r="D2572" s="1" t="s">
        <v>2843</v>
      </c>
      <c r="E2572" t="s">
        <v>15</v>
      </c>
      <c r="F2572" s="10" t="s">
        <v>9</v>
      </c>
      <c r="G2572" s="21" t="s">
        <v>1281</v>
      </c>
      <c r="H2572" s="19" t="s">
        <v>55</v>
      </c>
      <c r="I2572" s="68" t="s">
        <v>2979</v>
      </c>
      <c r="J2572" s="23"/>
      <c r="K2572" s="2"/>
      <c r="L2572" t="s">
        <v>2970</v>
      </c>
      <c r="M2572" t="s">
        <v>2971</v>
      </c>
    </row>
    <row r="2573" spans="1:13" ht="15.75">
      <c r="A2573" t="s">
        <v>24</v>
      </c>
      <c r="B2573">
        <f ca="1">IF(OR(changes[[#This Row],[Type]]="Checklist",changes[[#This Row],[Type]]="checklist-flat"),1+IF(changes[[#This Row],[Type of change]] = "Edit",COUNTIFS($I$4:changes[[#This Row],[Name]],changes[[#This Row],[Name]], $E$4:changes[[#This Row],[Type of change]], "Edit")),B2572)</f>
        <v>2</v>
      </c>
      <c r="C2573" s="16">
        <v>44902</v>
      </c>
      <c r="D2573" s="1" t="s">
        <v>2843</v>
      </c>
      <c r="E2573" t="s">
        <v>15</v>
      </c>
      <c r="F2573" s="10" t="s">
        <v>9</v>
      </c>
      <c r="G2573" s="21" t="s">
        <v>1281</v>
      </c>
      <c r="H2573" s="19" t="s">
        <v>55</v>
      </c>
      <c r="I2573" s="68" t="s">
        <v>2980</v>
      </c>
      <c r="J2573" s="23"/>
      <c r="K2573" s="2"/>
      <c r="L2573" t="s">
        <v>2970</v>
      </c>
      <c r="M2573" t="s">
        <v>2971</v>
      </c>
    </row>
    <row r="2574" spans="1:13" ht="15.75">
      <c r="A2574" t="s">
        <v>24</v>
      </c>
      <c r="B2574">
        <f ca="1">IF(OR(changes[[#This Row],[Type]]="Checklist",changes[[#This Row],[Type]]="checklist-flat"),1+IF(changes[[#This Row],[Type of change]] = "Edit",COUNTIFS($I$4:changes[[#This Row],[Name]],changes[[#This Row],[Name]], $E$4:changes[[#This Row],[Type of change]], "Edit")),B2573)</f>
        <v>2</v>
      </c>
      <c r="C2574" s="16">
        <v>44902</v>
      </c>
      <c r="D2574" s="1" t="s">
        <v>2843</v>
      </c>
      <c r="E2574" t="s">
        <v>15</v>
      </c>
      <c r="F2574" s="10" t="s">
        <v>9</v>
      </c>
      <c r="G2574" s="21" t="s">
        <v>1281</v>
      </c>
      <c r="H2574" s="19" t="s">
        <v>55</v>
      </c>
      <c r="I2574" s="68" t="s">
        <v>2981</v>
      </c>
      <c r="J2574" s="23"/>
      <c r="K2574" s="2"/>
      <c r="L2574" t="s">
        <v>2970</v>
      </c>
      <c r="M2574" t="s">
        <v>2971</v>
      </c>
    </row>
    <row r="2575" spans="1:13" ht="15.75">
      <c r="A2575" t="s">
        <v>24</v>
      </c>
      <c r="B2575">
        <f ca="1">IF(OR(changes[[#This Row],[Type]]="Checklist",changes[[#This Row],[Type]]="checklist-flat"),1+IF(changes[[#This Row],[Type of change]] = "Edit",COUNTIFS($I$4:changes[[#This Row],[Name]],changes[[#This Row],[Name]], $E$4:changes[[#This Row],[Type of change]], "Edit")),B2574)</f>
        <v>2</v>
      </c>
      <c r="C2575" s="16">
        <v>44902</v>
      </c>
      <c r="D2575" s="1" t="s">
        <v>2843</v>
      </c>
      <c r="E2575" t="s">
        <v>15</v>
      </c>
      <c r="F2575" s="10" t="s">
        <v>9</v>
      </c>
      <c r="G2575" s="21" t="s">
        <v>1281</v>
      </c>
      <c r="H2575" s="19" t="s">
        <v>55</v>
      </c>
      <c r="I2575" s="68" t="s">
        <v>2982</v>
      </c>
      <c r="J2575" s="23"/>
      <c r="K2575" s="2"/>
      <c r="L2575" t="s">
        <v>2970</v>
      </c>
      <c r="M2575" t="s">
        <v>2971</v>
      </c>
    </row>
    <row r="2576" spans="1:13" ht="15.75">
      <c r="A2576" t="s">
        <v>24</v>
      </c>
      <c r="B2576">
        <f ca="1">IF(OR(changes[[#This Row],[Type]]="Checklist",changes[[#This Row],[Type]]="checklist-flat"),1+IF(changes[[#This Row],[Type of change]] = "Edit",COUNTIFS($I$4:changes[[#This Row],[Name]],changes[[#This Row],[Name]], $E$4:changes[[#This Row],[Type of change]], "Edit")),B2575)</f>
        <v>2</v>
      </c>
      <c r="C2576" s="16">
        <v>44902</v>
      </c>
      <c r="D2576" s="1" t="s">
        <v>2843</v>
      </c>
      <c r="E2576" t="s">
        <v>15</v>
      </c>
      <c r="F2576" s="10" t="s">
        <v>9</v>
      </c>
      <c r="G2576" s="21" t="s">
        <v>1281</v>
      </c>
      <c r="H2576" s="19" t="s">
        <v>55</v>
      </c>
      <c r="I2576" s="68" t="s">
        <v>2983</v>
      </c>
      <c r="J2576" s="23"/>
      <c r="K2576" s="2"/>
      <c r="L2576" t="s">
        <v>2970</v>
      </c>
      <c r="M2576" t="s">
        <v>2971</v>
      </c>
    </row>
    <row r="2577" spans="1:13" ht="15.75">
      <c r="A2577" t="s">
        <v>24</v>
      </c>
      <c r="B2577">
        <f ca="1">IF(OR(changes[[#This Row],[Type]]="Checklist",changes[[#This Row],[Type]]="checklist-flat"),1+IF(changes[[#This Row],[Type of change]] = "Edit",COUNTIFS($I$4:changes[[#This Row],[Name]],changes[[#This Row],[Name]], $E$4:changes[[#This Row],[Type of change]], "Edit")),B2576)</f>
        <v>2</v>
      </c>
      <c r="C2577" s="16">
        <v>44902</v>
      </c>
      <c r="D2577" s="1" t="s">
        <v>2843</v>
      </c>
      <c r="E2577" t="s">
        <v>15</v>
      </c>
      <c r="F2577" s="10" t="s">
        <v>9</v>
      </c>
      <c r="G2577" s="21" t="s">
        <v>1281</v>
      </c>
      <c r="H2577" s="19" t="s">
        <v>55</v>
      </c>
      <c r="I2577" s="68" t="s">
        <v>2984</v>
      </c>
      <c r="J2577" s="23"/>
      <c r="K2577" s="2"/>
      <c r="L2577" t="s">
        <v>2970</v>
      </c>
      <c r="M2577" t="s">
        <v>2971</v>
      </c>
    </row>
    <row r="2578" spans="1:13" ht="15.75">
      <c r="A2578" t="s">
        <v>24</v>
      </c>
      <c r="B2578">
        <f ca="1">IF(OR(changes[[#This Row],[Type]]="Checklist",changes[[#This Row],[Type]]="checklist-flat"),1+IF(changes[[#This Row],[Type of change]] = "Edit",COUNTIFS($I$4:changes[[#This Row],[Name]],changes[[#This Row],[Name]], $E$4:changes[[#This Row],[Type of change]], "Edit")),B2577)</f>
        <v>2</v>
      </c>
      <c r="C2578" s="16">
        <v>44902</v>
      </c>
      <c r="D2578" s="1" t="s">
        <v>2843</v>
      </c>
      <c r="E2578" t="s">
        <v>15</v>
      </c>
      <c r="F2578" s="10" t="s">
        <v>9</v>
      </c>
      <c r="G2578" s="21" t="s">
        <v>1281</v>
      </c>
      <c r="H2578" s="19" t="s">
        <v>55</v>
      </c>
      <c r="I2578" s="68" t="s">
        <v>2985</v>
      </c>
      <c r="J2578" s="23"/>
      <c r="K2578" s="2"/>
      <c r="L2578" t="s">
        <v>2970</v>
      </c>
      <c r="M2578" t="s">
        <v>2971</v>
      </c>
    </row>
    <row r="2579" spans="1:13" ht="15.75">
      <c r="A2579" t="s">
        <v>24</v>
      </c>
      <c r="B2579">
        <f ca="1">IF(OR(changes[[#This Row],[Type]]="Checklist",changes[[#This Row],[Type]]="checklist-flat"),1+IF(changes[[#This Row],[Type of change]] = "Edit",COUNTIFS($I$4:changes[[#This Row],[Name]],changes[[#This Row],[Name]], $E$4:changes[[#This Row],[Type of change]], "Edit")),B2578)</f>
        <v>2</v>
      </c>
      <c r="C2579" s="16">
        <v>44902</v>
      </c>
      <c r="D2579" s="1" t="s">
        <v>2843</v>
      </c>
      <c r="E2579" t="s">
        <v>15</v>
      </c>
      <c r="F2579" s="10" t="s">
        <v>9</v>
      </c>
      <c r="G2579" s="21" t="s">
        <v>1281</v>
      </c>
      <c r="H2579" s="19" t="s">
        <v>55</v>
      </c>
      <c r="I2579" s="68" t="s">
        <v>2986</v>
      </c>
      <c r="J2579" s="23"/>
      <c r="K2579" s="2"/>
      <c r="L2579" t="s">
        <v>2970</v>
      </c>
      <c r="M2579" t="s">
        <v>2971</v>
      </c>
    </row>
    <row r="2580" spans="1:13" ht="15.75">
      <c r="A2580" t="s">
        <v>24</v>
      </c>
      <c r="B2580">
        <f ca="1">IF(OR(changes[[#This Row],[Type]]="Checklist",changes[[#This Row],[Type]]="checklist-flat"),1+IF(changes[[#This Row],[Type of change]] = "Edit",COUNTIFS($I$4:changes[[#This Row],[Name]],changes[[#This Row],[Name]], $E$4:changes[[#This Row],[Type of change]], "Edit")),B2579)</f>
        <v>2</v>
      </c>
      <c r="C2580" s="16">
        <v>44902</v>
      </c>
      <c r="D2580" s="1" t="s">
        <v>2843</v>
      </c>
      <c r="E2580" t="s">
        <v>15</v>
      </c>
      <c r="F2580" s="10" t="s">
        <v>9</v>
      </c>
      <c r="G2580" s="21" t="s">
        <v>1281</v>
      </c>
      <c r="H2580" s="19" t="s">
        <v>55</v>
      </c>
      <c r="I2580" s="68" t="s">
        <v>2987</v>
      </c>
      <c r="J2580" s="23"/>
      <c r="K2580" s="2"/>
      <c r="L2580" t="s">
        <v>2970</v>
      </c>
      <c r="M2580" t="s">
        <v>2971</v>
      </c>
    </row>
    <row r="2581" spans="1:13" ht="15.75">
      <c r="A2581" t="s">
        <v>24</v>
      </c>
      <c r="B2581">
        <f ca="1">IF(OR(changes[[#This Row],[Type]]="Checklist",changes[[#This Row],[Type]]="checklist-flat"),1+IF(changes[[#This Row],[Type of change]] = "Edit",COUNTIFS($I$4:changes[[#This Row],[Name]],changes[[#This Row],[Name]], $E$4:changes[[#This Row],[Type of change]], "Edit")),B2580)</f>
        <v>2</v>
      </c>
      <c r="C2581" s="16">
        <v>44902</v>
      </c>
      <c r="D2581" s="1" t="s">
        <v>2843</v>
      </c>
      <c r="E2581" t="s">
        <v>15</v>
      </c>
      <c r="F2581" s="10" t="s">
        <v>9</v>
      </c>
      <c r="G2581" s="21" t="s">
        <v>1281</v>
      </c>
      <c r="H2581" s="19" t="s">
        <v>55</v>
      </c>
      <c r="I2581" s="68" t="s">
        <v>2988</v>
      </c>
      <c r="J2581" s="23"/>
      <c r="K2581" s="2"/>
      <c r="L2581" t="s">
        <v>2970</v>
      </c>
      <c r="M2581" t="s">
        <v>2971</v>
      </c>
    </row>
    <row r="2582" spans="1:13" ht="15.75">
      <c r="A2582" t="s">
        <v>24</v>
      </c>
      <c r="B2582">
        <f ca="1">IF(OR(changes[[#This Row],[Type]]="Checklist",changes[[#This Row],[Type]]="checklist-flat"),1+IF(changes[[#This Row],[Type of change]] = "Edit",COUNTIFS($I$4:changes[[#This Row],[Name]],changes[[#This Row],[Name]], $E$4:changes[[#This Row],[Type of change]], "Edit")),B2581)</f>
        <v>2</v>
      </c>
      <c r="C2582" s="16">
        <v>44902</v>
      </c>
      <c r="D2582" s="1" t="s">
        <v>2843</v>
      </c>
      <c r="E2582" t="s">
        <v>15</v>
      </c>
      <c r="F2582" s="10" t="s">
        <v>9</v>
      </c>
      <c r="G2582" s="21" t="s">
        <v>1281</v>
      </c>
      <c r="H2582" s="19" t="s">
        <v>55</v>
      </c>
      <c r="I2582" s="68" t="s">
        <v>2989</v>
      </c>
      <c r="J2582" s="23"/>
      <c r="K2582" s="2"/>
      <c r="L2582" t="s">
        <v>2970</v>
      </c>
      <c r="M2582" t="s">
        <v>2971</v>
      </c>
    </row>
    <row r="2583" spans="1:13" ht="15.75">
      <c r="A2583" t="s">
        <v>24</v>
      </c>
      <c r="B2583">
        <f ca="1">IF(OR(changes[[#This Row],[Type]]="Checklist",changes[[#This Row],[Type]]="checklist-flat"),1+IF(changes[[#This Row],[Type of change]] = "Edit",COUNTIFS($I$4:changes[[#This Row],[Name]],changes[[#This Row],[Name]], $E$4:changes[[#This Row],[Type of change]], "Edit")),B2582)</f>
        <v>2</v>
      </c>
      <c r="C2583" s="16">
        <v>44902</v>
      </c>
      <c r="D2583" s="1" t="s">
        <v>2843</v>
      </c>
      <c r="E2583" t="s">
        <v>15</v>
      </c>
      <c r="F2583" s="10" t="s">
        <v>9</v>
      </c>
      <c r="G2583" s="21" t="s">
        <v>1281</v>
      </c>
      <c r="H2583" s="19" t="s">
        <v>55</v>
      </c>
      <c r="I2583" s="68" t="s">
        <v>2990</v>
      </c>
      <c r="J2583" s="23"/>
      <c r="K2583" s="2"/>
      <c r="L2583" t="s">
        <v>2970</v>
      </c>
      <c r="M2583" t="s">
        <v>2971</v>
      </c>
    </row>
    <row r="2584" spans="1:13" ht="15.75">
      <c r="A2584" t="s">
        <v>24</v>
      </c>
      <c r="B2584">
        <f ca="1">IF(OR(changes[[#This Row],[Type]]="Checklist",changes[[#This Row],[Type]]="checklist-flat"),1+IF(changes[[#This Row],[Type of change]] = "Edit",COUNTIFS($I$4:changes[[#This Row],[Name]],changes[[#This Row],[Name]], $E$4:changes[[#This Row],[Type of change]], "Edit")),B2583)</f>
        <v>2</v>
      </c>
      <c r="C2584" s="16">
        <v>44902</v>
      </c>
      <c r="D2584" s="1" t="s">
        <v>2843</v>
      </c>
      <c r="E2584" t="s">
        <v>15</v>
      </c>
      <c r="F2584" s="10" t="s">
        <v>9</v>
      </c>
      <c r="G2584" s="21" t="s">
        <v>1281</v>
      </c>
      <c r="H2584" s="19" t="s">
        <v>55</v>
      </c>
      <c r="I2584" s="68" t="s">
        <v>2991</v>
      </c>
      <c r="J2584" s="23"/>
      <c r="K2584" s="2"/>
      <c r="L2584" t="s">
        <v>2970</v>
      </c>
      <c r="M2584" t="s">
        <v>2971</v>
      </c>
    </row>
    <row r="2585" spans="1:13" ht="15.75">
      <c r="A2585" t="s">
        <v>24</v>
      </c>
      <c r="B2585">
        <f ca="1">IF(OR(changes[[#This Row],[Type]]="Checklist",changes[[#This Row],[Type]]="checklist-flat"),1+IF(changes[[#This Row],[Type of change]] = "Edit",COUNTIFS($I$4:changes[[#This Row],[Name]],changes[[#This Row],[Name]], $E$4:changes[[#This Row],[Type of change]], "Edit")),B2584)</f>
        <v>2</v>
      </c>
      <c r="C2585" s="16">
        <v>44902</v>
      </c>
      <c r="D2585" s="1" t="s">
        <v>2843</v>
      </c>
      <c r="E2585" t="s">
        <v>15</v>
      </c>
      <c r="F2585" s="10" t="s">
        <v>9</v>
      </c>
      <c r="G2585" s="21" t="s">
        <v>1281</v>
      </c>
      <c r="H2585" s="19" t="s">
        <v>55</v>
      </c>
      <c r="I2585" s="68" t="s">
        <v>2992</v>
      </c>
      <c r="J2585" s="23"/>
      <c r="K2585" s="2"/>
      <c r="L2585" t="s">
        <v>2970</v>
      </c>
      <c r="M2585" t="s">
        <v>2971</v>
      </c>
    </row>
    <row r="2586" spans="1:13" ht="15.75">
      <c r="A2586" t="s">
        <v>24</v>
      </c>
      <c r="B2586">
        <f ca="1">IF(OR(changes[[#This Row],[Type]]="Checklist",changes[[#This Row],[Type]]="checklist-flat"),1+IF(changes[[#This Row],[Type of change]] = "Edit",COUNTIFS($I$4:changes[[#This Row],[Name]],changes[[#This Row],[Name]], $E$4:changes[[#This Row],[Type of change]], "Edit")),B2585)</f>
        <v>2</v>
      </c>
      <c r="C2586" s="16">
        <v>44902</v>
      </c>
      <c r="D2586" s="1" t="s">
        <v>2843</v>
      </c>
      <c r="E2586" t="s">
        <v>15</v>
      </c>
      <c r="F2586" s="10" t="s">
        <v>9</v>
      </c>
      <c r="G2586" s="21" t="s">
        <v>1281</v>
      </c>
      <c r="H2586" s="19" t="s">
        <v>55</v>
      </c>
      <c r="I2586" s="68" t="s">
        <v>2993</v>
      </c>
      <c r="J2586" s="23"/>
      <c r="K2586" s="2"/>
      <c r="L2586" t="s">
        <v>2970</v>
      </c>
      <c r="M2586" t="s">
        <v>2971</v>
      </c>
    </row>
    <row r="2587" spans="1:13" ht="15.75">
      <c r="A2587" t="s">
        <v>24</v>
      </c>
      <c r="B2587">
        <f ca="1">IF(OR(changes[[#This Row],[Type]]="Checklist",changes[[#This Row],[Type]]="checklist-flat"),1+IF(changes[[#This Row],[Type of change]] = "Edit",COUNTIFS($I$4:changes[[#This Row],[Name]],changes[[#This Row],[Name]], $E$4:changes[[#This Row],[Type of change]], "Edit")),B2586)</f>
        <v>2</v>
      </c>
      <c r="C2587" s="16">
        <v>44902</v>
      </c>
      <c r="D2587" s="1" t="s">
        <v>2843</v>
      </c>
      <c r="E2587" t="s">
        <v>15</v>
      </c>
      <c r="F2587" s="10" t="s">
        <v>9</v>
      </c>
      <c r="G2587" s="21" t="s">
        <v>1281</v>
      </c>
      <c r="H2587" s="19" t="s">
        <v>55</v>
      </c>
      <c r="I2587" s="57" t="s">
        <v>2994</v>
      </c>
      <c r="J2587" s="23"/>
      <c r="K2587" s="2"/>
      <c r="L2587" t="s">
        <v>2970</v>
      </c>
      <c r="M2587" t="s">
        <v>2971</v>
      </c>
    </row>
    <row r="2588" spans="1:13" ht="15.75">
      <c r="A2588" t="s">
        <v>20</v>
      </c>
      <c r="B2588">
        <f ca="1">IF(OR(changes[[#This Row],[Type]]="Checklist",changes[[#This Row],[Type]]="checklist-flat"),1+IF(changes[[#This Row],[Type of change]] = "Edit",COUNTIFS($I$4:changes[[#This Row],[Name]],changes[[#This Row],[Name]], $E$4:changes[[#This Row],[Type of change]], "Edit")),B2587)</f>
        <v>1</v>
      </c>
      <c r="C2588" s="16">
        <v>44903</v>
      </c>
      <c r="D2588" s="1" t="s">
        <v>2450</v>
      </c>
      <c r="E2588" t="s">
        <v>27</v>
      </c>
      <c r="F2588" s="10" t="s">
        <v>52</v>
      </c>
      <c r="G2588" s="21" t="s">
        <v>2995</v>
      </c>
      <c r="H2588" s="19" t="s">
        <v>478</v>
      </c>
      <c r="I2588" s="21" t="s">
        <v>2995</v>
      </c>
      <c r="J2588" s="22"/>
      <c r="K2588" s="2"/>
      <c r="M2588" s="2"/>
    </row>
    <row r="2589" spans="1:13" ht="15.75">
      <c r="A2589" t="s">
        <v>20</v>
      </c>
      <c r="B2589">
        <f ca="1">IF(OR(changes[[#This Row],[Type]]="Checklist",changes[[#This Row],[Type]]="checklist-flat"),1+IF(changes[[#This Row],[Type of change]] = "Edit",COUNTIFS($I$4:changes[[#This Row],[Name]],changes[[#This Row],[Name]], $E$4:changes[[#This Row],[Type of change]], "Edit")),B2588)</f>
        <v>1</v>
      </c>
      <c r="C2589" s="16">
        <v>44903</v>
      </c>
      <c r="D2589" s="1" t="s">
        <v>2450</v>
      </c>
      <c r="E2589" t="s">
        <v>27</v>
      </c>
      <c r="F2589" s="10" t="s">
        <v>52</v>
      </c>
      <c r="G2589" s="21" t="s">
        <v>2995</v>
      </c>
      <c r="H2589" s="2" t="s">
        <v>55</v>
      </c>
      <c r="I2589" s="18" t="s">
        <v>2025</v>
      </c>
      <c r="J2589" s="23"/>
      <c r="K2589" s="2"/>
      <c r="M2589" s="2"/>
    </row>
    <row r="2590" spans="1:13" ht="15.75">
      <c r="A2590" t="s">
        <v>20</v>
      </c>
      <c r="B2590">
        <f ca="1">IF(OR(changes[[#This Row],[Type]]="Checklist",changes[[#This Row],[Type]]="checklist-flat"),1+IF(changes[[#This Row],[Type of change]] = "Edit",COUNTIFS($I$4:changes[[#This Row],[Name]],changes[[#This Row],[Name]], $E$4:changes[[#This Row],[Type of change]], "Edit")),B2589)</f>
        <v>1</v>
      </c>
      <c r="C2590" s="16">
        <v>44903</v>
      </c>
      <c r="D2590" s="1" t="s">
        <v>2450</v>
      </c>
      <c r="E2590" t="s">
        <v>27</v>
      </c>
      <c r="F2590" s="10" t="s">
        <v>52</v>
      </c>
      <c r="G2590" s="21" t="s">
        <v>2995</v>
      </c>
      <c r="H2590" s="2" t="s">
        <v>55</v>
      </c>
      <c r="I2590" s="18" t="s">
        <v>2026</v>
      </c>
      <c r="J2590" s="23"/>
      <c r="K2590" s="2"/>
      <c r="M2590" s="2"/>
    </row>
    <row r="2591" spans="1:13" ht="15.75">
      <c r="A2591" t="s">
        <v>20</v>
      </c>
      <c r="B2591">
        <f ca="1">IF(OR(changes[[#This Row],[Type]]="Checklist",changes[[#This Row],[Type]]="checklist-flat"),1+IF(changes[[#This Row],[Type of change]] = "Edit",COUNTIFS($I$4:changes[[#This Row],[Name]],changes[[#This Row],[Name]], $E$4:changes[[#This Row],[Type of change]], "Edit")),B2590)</f>
        <v>1</v>
      </c>
      <c r="C2591" s="16">
        <v>44903</v>
      </c>
      <c r="D2591" s="1" t="s">
        <v>2450</v>
      </c>
      <c r="E2591" t="s">
        <v>27</v>
      </c>
      <c r="F2591" s="10" t="s">
        <v>52</v>
      </c>
      <c r="G2591" s="21" t="s">
        <v>2995</v>
      </c>
      <c r="H2591" s="2" t="s">
        <v>55</v>
      </c>
      <c r="I2591" s="18" t="s">
        <v>2996</v>
      </c>
      <c r="J2591" s="23"/>
      <c r="K2591" s="2"/>
      <c r="M2591" s="2"/>
    </row>
    <row r="2592" spans="1:13" ht="15.75">
      <c r="A2592" t="s">
        <v>20</v>
      </c>
      <c r="B2592">
        <f ca="1">IF(OR(changes[[#This Row],[Type]]="Checklist",changes[[#This Row],[Type]]="checklist-flat"),1+IF(changes[[#This Row],[Type of change]] = "Edit",COUNTIFS($I$4:changes[[#This Row],[Name]],changes[[#This Row],[Name]], $E$4:changes[[#This Row],[Type of change]], "Edit")),B2591)</f>
        <v>1</v>
      </c>
      <c r="C2592" s="16">
        <v>44903</v>
      </c>
      <c r="D2592" s="1" t="s">
        <v>2450</v>
      </c>
      <c r="E2592" t="s">
        <v>27</v>
      </c>
      <c r="F2592" s="10" t="s">
        <v>52</v>
      </c>
      <c r="G2592" s="21" t="s">
        <v>2995</v>
      </c>
      <c r="H2592" s="2" t="s">
        <v>55</v>
      </c>
      <c r="I2592" s="18" t="s">
        <v>2027</v>
      </c>
      <c r="J2592" s="23"/>
      <c r="K2592" s="2"/>
      <c r="M2592" s="2"/>
    </row>
    <row r="2593" spans="1:13" ht="15.75">
      <c r="A2593" t="s">
        <v>20</v>
      </c>
      <c r="B2593">
        <f ca="1">IF(OR(changes[[#This Row],[Type]]="Checklist",changes[[#This Row],[Type]]="checklist-flat"),1+IF(changes[[#This Row],[Type of change]] = "Edit",COUNTIFS($I$4:changes[[#This Row],[Name]],changes[[#This Row],[Name]], $E$4:changes[[#This Row],[Type of change]], "Edit")),B2592)</f>
        <v>1</v>
      </c>
      <c r="C2593" s="16">
        <v>44903</v>
      </c>
      <c r="D2593" s="1" t="s">
        <v>2450</v>
      </c>
      <c r="E2593" t="s">
        <v>27</v>
      </c>
      <c r="F2593" s="10" t="s">
        <v>52</v>
      </c>
      <c r="G2593" s="21" t="s">
        <v>2995</v>
      </c>
      <c r="H2593" s="2" t="s">
        <v>55</v>
      </c>
      <c r="I2593" s="18" t="s">
        <v>2028</v>
      </c>
      <c r="J2593" s="23"/>
      <c r="K2593" s="2"/>
      <c r="M2593" s="2"/>
    </row>
    <row r="2594" spans="1:13" ht="15.75">
      <c r="A2594" t="s">
        <v>20</v>
      </c>
      <c r="B2594">
        <f ca="1">IF(OR(changes[[#This Row],[Type]]="Checklist",changes[[#This Row],[Type]]="checklist-flat"),1+IF(changes[[#This Row],[Type of change]] = "Edit",COUNTIFS($I$4:changes[[#This Row],[Name]],changes[[#This Row],[Name]], $E$4:changes[[#This Row],[Type of change]], "Edit")),B2593)</f>
        <v>1</v>
      </c>
      <c r="C2594" s="16">
        <v>44903</v>
      </c>
      <c r="D2594" s="1" t="s">
        <v>2450</v>
      </c>
      <c r="E2594" t="s">
        <v>27</v>
      </c>
      <c r="F2594" s="10" t="s">
        <v>52</v>
      </c>
      <c r="G2594" s="21" t="s">
        <v>2995</v>
      </c>
      <c r="H2594" s="2" t="s">
        <v>55</v>
      </c>
      <c r="I2594" s="18" t="s">
        <v>2029</v>
      </c>
      <c r="J2594" s="23"/>
      <c r="K2594" s="2"/>
      <c r="M2594" s="2"/>
    </row>
    <row r="2595" spans="1:13" ht="15.75">
      <c r="A2595" t="s">
        <v>20</v>
      </c>
      <c r="B2595">
        <f ca="1">IF(OR(changes[[#This Row],[Type]]="Checklist",changes[[#This Row],[Type]]="checklist-flat"),1+IF(changes[[#This Row],[Type of change]] = "Edit",COUNTIFS($I$4:changes[[#This Row],[Name]],changes[[#This Row],[Name]], $E$4:changes[[#This Row],[Type of change]], "Edit")),B2594)</f>
        <v>1</v>
      </c>
      <c r="C2595" s="16">
        <v>44903</v>
      </c>
      <c r="D2595" s="1" t="s">
        <v>2450</v>
      </c>
      <c r="E2595" t="s">
        <v>27</v>
      </c>
      <c r="F2595" s="10" t="s">
        <v>52</v>
      </c>
      <c r="G2595" s="21" t="s">
        <v>2995</v>
      </c>
      <c r="H2595" s="2" t="s">
        <v>55</v>
      </c>
      <c r="I2595" s="18" t="s">
        <v>2030</v>
      </c>
      <c r="J2595" s="23"/>
      <c r="K2595" s="2"/>
      <c r="M2595" s="2"/>
    </row>
    <row r="2596" spans="1:13" ht="15.75">
      <c r="A2596" t="s">
        <v>20</v>
      </c>
      <c r="B2596">
        <f ca="1">IF(OR(changes[[#This Row],[Type]]="Checklist",changes[[#This Row],[Type]]="checklist-flat"),1+IF(changes[[#This Row],[Type of change]] = "Edit",COUNTIFS($I$4:changes[[#This Row],[Name]],changes[[#This Row],[Name]], $E$4:changes[[#This Row],[Type of change]], "Edit")),B2595)</f>
        <v>1</v>
      </c>
      <c r="C2596" s="16">
        <v>44903</v>
      </c>
      <c r="D2596" s="1" t="s">
        <v>2450</v>
      </c>
      <c r="E2596" t="s">
        <v>27</v>
      </c>
      <c r="F2596" s="10" t="s">
        <v>52</v>
      </c>
      <c r="G2596" s="21" t="s">
        <v>2995</v>
      </c>
      <c r="H2596" s="2" t="s">
        <v>55</v>
      </c>
      <c r="I2596" s="18" t="s">
        <v>2031</v>
      </c>
      <c r="J2596" s="23"/>
      <c r="K2596" s="2"/>
      <c r="M2596" s="2"/>
    </row>
    <row r="2597" spans="1:13" ht="15.75">
      <c r="A2597" t="s">
        <v>20</v>
      </c>
      <c r="B2597">
        <f ca="1">IF(OR(changes[[#This Row],[Type]]="Checklist",changes[[#This Row],[Type]]="checklist-flat"),1+IF(changes[[#This Row],[Type of change]] = "Edit",COUNTIFS($I$4:changes[[#This Row],[Name]],changes[[#This Row],[Name]], $E$4:changes[[#This Row],[Type of change]], "Edit")),B2596)</f>
        <v>1</v>
      </c>
      <c r="C2597" s="16">
        <v>44903</v>
      </c>
      <c r="D2597" s="1" t="s">
        <v>2450</v>
      </c>
      <c r="E2597" t="s">
        <v>27</v>
      </c>
      <c r="F2597" s="10" t="s">
        <v>52</v>
      </c>
      <c r="G2597" s="21" t="s">
        <v>2995</v>
      </c>
      <c r="H2597" s="2" t="s">
        <v>437</v>
      </c>
      <c r="I2597" s="18" t="s">
        <v>438</v>
      </c>
      <c r="J2597" s="23" t="s">
        <v>439</v>
      </c>
      <c r="K2597" s="2"/>
      <c r="M2597" s="2"/>
    </row>
    <row r="2598" spans="1:13" ht="15.75">
      <c r="A2598" t="s">
        <v>20</v>
      </c>
      <c r="B2598">
        <f ca="1">IF(OR(changes[[#This Row],[Type]]="Checklist",changes[[#This Row],[Type]]="checklist-flat"),1+IF(changes[[#This Row],[Type of change]] = "Edit",COUNTIFS($I$4:changes[[#This Row],[Name]],changes[[#This Row],[Name]], $E$4:changes[[#This Row],[Type of change]], "Edit")),B2597)</f>
        <v>1</v>
      </c>
      <c r="C2598" s="16">
        <v>44903</v>
      </c>
      <c r="D2598" s="1" t="s">
        <v>2450</v>
      </c>
      <c r="E2598" t="s">
        <v>27</v>
      </c>
      <c r="F2598" s="10" t="s">
        <v>52</v>
      </c>
      <c r="G2598" s="21" t="s">
        <v>2995</v>
      </c>
      <c r="H2598" s="2" t="s">
        <v>55</v>
      </c>
      <c r="I2598" s="18" t="s">
        <v>2032</v>
      </c>
      <c r="J2598" s="23"/>
      <c r="K2598" s="2"/>
      <c r="M2598" s="2"/>
    </row>
    <row r="2599" spans="1:13" ht="15.75">
      <c r="A2599" t="s">
        <v>20</v>
      </c>
      <c r="B2599">
        <f ca="1">IF(OR(changes[[#This Row],[Type]]="Checklist",changes[[#This Row],[Type]]="checklist-flat"),1+IF(changes[[#This Row],[Type of change]] = "Edit",COUNTIFS($I$4:changes[[#This Row],[Name]],changes[[#This Row],[Name]], $E$4:changes[[#This Row],[Type of change]], "Edit")),B2598)</f>
        <v>1</v>
      </c>
      <c r="C2599" s="16">
        <v>44903</v>
      </c>
      <c r="D2599" s="1" t="s">
        <v>2450</v>
      </c>
      <c r="E2599" t="s">
        <v>27</v>
      </c>
      <c r="F2599" s="10" t="s">
        <v>52</v>
      </c>
      <c r="G2599" s="21" t="s">
        <v>2995</v>
      </c>
      <c r="H2599" s="2" t="s">
        <v>437</v>
      </c>
      <c r="I2599" s="18" t="s">
        <v>438</v>
      </c>
      <c r="J2599" s="23" t="s">
        <v>439</v>
      </c>
      <c r="K2599" s="2"/>
      <c r="M2599" s="2"/>
    </row>
    <row r="2600" spans="1:13" ht="15.75">
      <c r="A2600" t="s">
        <v>20</v>
      </c>
      <c r="B2600">
        <f ca="1">IF(OR(changes[[#This Row],[Type]]="Checklist",changes[[#This Row],[Type]]="checklist-flat"),1+IF(changes[[#This Row],[Type of change]] = "Edit",COUNTIFS($I$4:changes[[#This Row],[Name]],changes[[#This Row],[Name]], $E$4:changes[[#This Row],[Type of change]], "Edit")),B2599)</f>
        <v>1</v>
      </c>
      <c r="C2600" s="16">
        <v>44903</v>
      </c>
      <c r="D2600" s="1" t="s">
        <v>2450</v>
      </c>
      <c r="E2600" t="s">
        <v>27</v>
      </c>
      <c r="F2600" s="10" t="s">
        <v>52</v>
      </c>
      <c r="G2600" s="21" t="s">
        <v>2995</v>
      </c>
      <c r="H2600" s="2" t="s">
        <v>214</v>
      </c>
      <c r="I2600" s="18" t="s">
        <v>443</v>
      </c>
      <c r="J2600" s="23"/>
      <c r="K2600" s="2"/>
      <c r="M2600" s="2"/>
    </row>
    <row r="2601" spans="1:13" ht="15.75">
      <c r="A2601" t="s">
        <v>20</v>
      </c>
      <c r="B2601">
        <f ca="1">IF(OR(changes[[#This Row],[Type]]="Checklist",changes[[#This Row],[Type]]="checklist-flat"),1+IF(changes[[#This Row],[Type of change]] = "Edit",COUNTIFS($I$4:changes[[#This Row],[Name]],changes[[#This Row],[Name]], $E$4:changes[[#This Row],[Type of change]], "Edit")),B2600)</f>
        <v>1</v>
      </c>
      <c r="C2601" s="16">
        <v>44903</v>
      </c>
      <c r="D2601" s="1" t="s">
        <v>2450</v>
      </c>
      <c r="E2601" t="s">
        <v>27</v>
      </c>
      <c r="F2601" s="10" t="s">
        <v>52</v>
      </c>
      <c r="G2601" s="21" t="s">
        <v>2995</v>
      </c>
      <c r="H2601" s="2" t="s">
        <v>55</v>
      </c>
      <c r="I2601" s="18" t="s">
        <v>442</v>
      </c>
      <c r="J2601" s="23"/>
      <c r="K2601" s="2"/>
      <c r="M2601" s="2"/>
    </row>
    <row r="2602" spans="1:13" ht="15.75">
      <c r="A2602" t="s">
        <v>20</v>
      </c>
      <c r="B2602">
        <f ca="1">IF(OR(changes[[#This Row],[Type]]="Checklist",changes[[#This Row],[Type]]="checklist-flat"),1+IF(changes[[#This Row],[Type of change]] = "Edit",COUNTIFS($I$4:changes[[#This Row],[Name]],changes[[#This Row],[Name]], $E$4:changes[[#This Row],[Type of change]], "Edit")),B2601)</f>
        <v>1</v>
      </c>
      <c r="C2602" s="16">
        <v>44903</v>
      </c>
      <c r="D2602" s="1" t="s">
        <v>2450</v>
      </c>
      <c r="E2602" t="s">
        <v>27</v>
      </c>
      <c r="F2602" s="10" t="s">
        <v>52</v>
      </c>
      <c r="G2602" s="18" t="s">
        <v>2997</v>
      </c>
      <c r="H2602" s="2" t="s">
        <v>478</v>
      </c>
      <c r="I2602" s="18" t="s">
        <v>2997</v>
      </c>
      <c r="J2602" s="23"/>
      <c r="K2602" s="2"/>
      <c r="M2602" s="2"/>
    </row>
    <row r="2603" spans="1:13" ht="15.75">
      <c r="A2603" t="s">
        <v>20</v>
      </c>
      <c r="B2603">
        <f ca="1">IF(OR(changes[[#This Row],[Type]]="Checklist",changes[[#This Row],[Type]]="checklist-flat"),1+IF(changes[[#This Row],[Type of change]] = "Edit",COUNTIFS($I$4:changes[[#This Row],[Name]],changes[[#This Row],[Name]], $E$4:changes[[#This Row],[Type of change]], "Edit")),B2602)</f>
        <v>1</v>
      </c>
      <c r="C2603" s="16">
        <v>44903</v>
      </c>
      <c r="D2603" s="1" t="s">
        <v>2450</v>
      </c>
      <c r="E2603" t="s">
        <v>27</v>
      </c>
      <c r="F2603" s="10" t="s">
        <v>52</v>
      </c>
      <c r="G2603" s="18" t="s">
        <v>2997</v>
      </c>
      <c r="H2603" s="2" t="s">
        <v>479</v>
      </c>
      <c r="I2603" s="18" t="s">
        <v>2034</v>
      </c>
      <c r="J2603" s="23"/>
      <c r="K2603" s="2"/>
      <c r="M2603" s="2"/>
    </row>
    <row r="2604" spans="1:13" ht="15.75">
      <c r="A2604" t="s">
        <v>20</v>
      </c>
      <c r="B2604">
        <f ca="1">IF(OR(changes[[#This Row],[Type]]="Checklist",changes[[#This Row],[Type]]="checklist-flat"),1+IF(changes[[#This Row],[Type of change]] = "Edit",COUNTIFS($I$4:changes[[#This Row],[Name]],changes[[#This Row],[Name]], $E$4:changes[[#This Row],[Type of change]], "Edit")),B2603)</f>
        <v>1</v>
      </c>
      <c r="C2604" s="16">
        <v>44903</v>
      </c>
      <c r="D2604" s="1" t="s">
        <v>2450</v>
      </c>
      <c r="E2604" t="s">
        <v>27</v>
      </c>
      <c r="F2604" s="10" t="s">
        <v>52</v>
      </c>
      <c r="G2604" s="18" t="s">
        <v>2997</v>
      </c>
      <c r="H2604" s="2" t="s">
        <v>55</v>
      </c>
      <c r="I2604" s="18" t="s">
        <v>2035</v>
      </c>
      <c r="J2604" s="23"/>
      <c r="K2604" s="2"/>
      <c r="M2604" s="2"/>
    </row>
    <row r="2605" spans="1:13" ht="15.75">
      <c r="A2605" t="s">
        <v>20</v>
      </c>
      <c r="B2605">
        <f ca="1">IF(OR(changes[[#This Row],[Type]]="Checklist",changes[[#This Row],[Type]]="checklist-flat"),1+IF(changes[[#This Row],[Type of change]] = "Edit",COUNTIFS($I$4:changes[[#This Row],[Name]],changes[[#This Row],[Name]], $E$4:changes[[#This Row],[Type of change]], "Edit")),B2604)</f>
        <v>1</v>
      </c>
      <c r="C2605" s="16">
        <v>44903</v>
      </c>
      <c r="D2605" s="1" t="s">
        <v>2450</v>
      </c>
      <c r="E2605" t="s">
        <v>27</v>
      </c>
      <c r="F2605" s="10" t="s">
        <v>52</v>
      </c>
      <c r="G2605" s="18" t="s">
        <v>2997</v>
      </c>
      <c r="H2605" s="2" t="s">
        <v>214</v>
      </c>
      <c r="I2605" s="18" t="s">
        <v>2036</v>
      </c>
      <c r="J2605" s="23"/>
      <c r="K2605" s="2"/>
      <c r="M2605" s="2"/>
    </row>
    <row r="2606" spans="1:13" ht="15.75">
      <c r="A2606" t="s">
        <v>20</v>
      </c>
      <c r="B2606">
        <f ca="1">IF(OR(changes[[#This Row],[Type]]="Checklist",changes[[#This Row],[Type]]="checklist-flat"),1+IF(changes[[#This Row],[Type of change]] = "Edit",COUNTIFS($I$4:changes[[#This Row],[Name]],changes[[#This Row],[Name]], $E$4:changes[[#This Row],[Type of change]], "Edit")),B2605)</f>
        <v>1</v>
      </c>
      <c r="C2606" s="16">
        <v>44903</v>
      </c>
      <c r="D2606" s="1" t="s">
        <v>2450</v>
      </c>
      <c r="E2606" t="s">
        <v>27</v>
      </c>
      <c r="F2606" s="10" t="s">
        <v>52</v>
      </c>
      <c r="G2606" s="18" t="s">
        <v>2997</v>
      </c>
      <c r="H2606" s="2" t="s">
        <v>214</v>
      </c>
      <c r="I2606" s="18" t="s">
        <v>1618</v>
      </c>
      <c r="J2606" s="23"/>
      <c r="K2606" s="2"/>
      <c r="M2606" s="2"/>
    </row>
    <row r="2607" spans="1:13" ht="15.75">
      <c r="A2607" t="s">
        <v>20</v>
      </c>
      <c r="B2607">
        <f ca="1">IF(OR(changes[[#This Row],[Type]]="Checklist",changes[[#This Row],[Type]]="checklist-flat"),1+IF(changes[[#This Row],[Type of change]] = "Edit",COUNTIFS($I$4:changes[[#This Row],[Name]],changes[[#This Row],[Name]], $E$4:changes[[#This Row],[Type of change]], "Edit")),B2606)</f>
        <v>1</v>
      </c>
      <c r="C2607" s="16">
        <v>44903</v>
      </c>
      <c r="D2607" s="1" t="s">
        <v>2450</v>
      </c>
      <c r="E2607" t="s">
        <v>27</v>
      </c>
      <c r="F2607" s="10" t="s">
        <v>52</v>
      </c>
      <c r="G2607" s="18" t="s">
        <v>2997</v>
      </c>
      <c r="H2607" s="2" t="s">
        <v>214</v>
      </c>
      <c r="I2607" s="18" t="s">
        <v>1619</v>
      </c>
      <c r="J2607" s="23"/>
      <c r="K2607" s="2"/>
      <c r="M2607" s="2"/>
    </row>
    <row r="2608" spans="1:13" ht="15.75">
      <c r="A2608" t="s">
        <v>20</v>
      </c>
      <c r="B2608">
        <f ca="1">IF(OR(changes[[#This Row],[Type]]="Checklist",changes[[#This Row],[Type]]="checklist-flat"),1+IF(changes[[#This Row],[Type of change]] = "Edit",COUNTIFS($I$4:changes[[#This Row],[Name]],changes[[#This Row],[Name]], $E$4:changes[[#This Row],[Type of change]], "Edit")),B2607)</f>
        <v>1</v>
      </c>
      <c r="C2608" s="16">
        <v>44903</v>
      </c>
      <c r="D2608" s="1" t="s">
        <v>2450</v>
      </c>
      <c r="E2608" t="s">
        <v>27</v>
      </c>
      <c r="F2608" s="10" t="s">
        <v>52</v>
      </c>
      <c r="G2608" s="18" t="s">
        <v>2997</v>
      </c>
      <c r="H2608" s="2" t="s">
        <v>214</v>
      </c>
      <c r="I2608" s="18" t="s">
        <v>1620</v>
      </c>
      <c r="J2608" s="23"/>
      <c r="K2608" s="2"/>
      <c r="M2608" s="2"/>
    </row>
    <row r="2609" spans="1:13" ht="15.75">
      <c r="A2609" t="s">
        <v>20</v>
      </c>
      <c r="B2609">
        <f ca="1">IF(OR(changes[[#This Row],[Type]]="Checklist",changes[[#This Row],[Type]]="checklist-flat"),1+IF(changes[[#This Row],[Type of change]] = "Edit",COUNTIFS($I$4:changes[[#This Row],[Name]],changes[[#This Row],[Name]], $E$4:changes[[#This Row],[Type of change]], "Edit")),B2608)</f>
        <v>1</v>
      </c>
      <c r="C2609" s="16">
        <v>44903</v>
      </c>
      <c r="D2609" s="1" t="s">
        <v>2450</v>
      </c>
      <c r="E2609" t="s">
        <v>27</v>
      </c>
      <c r="F2609" s="10" t="s">
        <v>52</v>
      </c>
      <c r="G2609" s="18" t="s">
        <v>2997</v>
      </c>
      <c r="H2609" s="2" t="s">
        <v>214</v>
      </c>
      <c r="I2609" s="18" t="s">
        <v>443</v>
      </c>
      <c r="J2609" s="23"/>
      <c r="K2609" s="2"/>
      <c r="M2609" s="2"/>
    </row>
    <row r="2610" spans="1:13" ht="15.75">
      <c r="A2610" t="s">
        <v>20</v>
      </c>
      <c r="B2610">
        <f ca="1">IF(OR(changes[[#This Row],[Type]]="Checklist",changes[[#This Row],[Type]]="checklist-flat"),1+IF(changes[[#This Row],[Type of change]] = "Edit",COUNTIFS($I$4:changes[[#This Row],[Name]],changes[[#This Row],[Name]], $E$4:changes[[#This Row],[Type of change]], "Edit")),B2609)</f>
        <v>1</v>
      </c>
      <c r="C2610" s="16">
        <v>44903</v>
      </c>
      <c r="D2610" s="1" t="s">
        <v>2450</v>
      </c>
      <c r="E2610" t="s">
        <v>27</v>
      </c>
      <c r="F2610" s="10" t="s">
        <v>52</v>
      </c>
      <c r="G2610" s="18" t="s">
        <v>2997</v>
      </c>
      <c r="H2610" s="2" t="s">
        <v>55</v>
      </c>
      <c r="I2610" s="18" t="s">
        <v>442</v>
      </c>
      <c r="J2610" s="23"/>
      <c r="K2610" s="2"/>
      <c r="M2610" s="2"/>
    </row>
    <row r="2611" spans="1:13" ht="15.75">
      <c r="A2611" t="s">
        <v>20</v>
      </c>
      <c r="B2611">
        <f ca="1">IF(OR(changes[[#This Row],[Type]]="Checklist",changes[[#This Row],[Type]]="checklist-flat"),1+IF(changes[[#This Row],[Type of change]] = "Edit",COUNTIFS($I$4:changes[[#This Row],[Name]],changes[[#This Row],[Name]], $E$4:changes[[#This Row],[Type of change]], "Edit")),B2610)</f>
        <v>1</v>
      </c>
      <c r="C2611" s="16">
        <v>44903</v>
      </c>
      <c r="D2611" s="1" t="s">
        <v>2450</v>
      </c>
      <c r="E2611" t="s">
        <v>27</v>
      </c>
      <c r="F2611" s="10" t="s">
        <v>52</v>
      </c>
      <c r="G2611" s="18" t="s">
        <v>2997</v>
      </c>
      <c r="H2611" s="2" t="s">
        <v>479</v>
      </c>
      <c r="I2611" s="18" t="s">
        <v>2037</v>
      </c>
      <c r="J2611" s="23"/>
      <c r="K2611" s="2"/>
      <c r="M2611" s="2"/>
    </row>
    <row r="2612" spans="1:13" ht="15.75">
      <c r="A2612" t="s">
        <v>20</v>
      </c>
      <c r="B2612">
        <f ca="1">IF(OR(changes[[#This Row],[Type]]="Checklist",changes[[#This Row],[Type]]="checklist-flat"),1+IF(changes[[#This Row],[Type of change]] = "Edit",COUNTIFS($I$4:changes[[#This Row],[Name]],changes[[#This Row],[Name]], $E$4:changes[[#This Row],[Type of change]], "Edit")),B2611)</f>
        <v>1</v>
      </c>
      <c r="C2612" s="16">
        <v>44903</v>
      </c>
      <c r="D2612" s="1" t="s">
        <v>2450</v>
      </c>
      <c r="E2612" t="s">
        <v>27</v>
      </c>
      <c r="F2612" s="10" t="s">
        <v>52</v>
      </c>
      <c r="G2612" s="18" t="s">
        <v>2997</v>
      </c>
      <c r="H2612" s="2" t="s">
        <v>55</v>
      </c>
      <c r="I2612" s="18" t="s">
        <v>2038</v>
      </c>
      <c r="J2612" s="23"/>
      <c r="K2612" s="2"/>
      <c r="M2612" s="2"/>
    </row>
    <row r="2613" spans="1:13" ht="15.75">
      <c r="A2613" t="s">
        <v>20</v>
      </c>
      <c r="B2613">
        <f ca="1">IF(OR(changes[[#This Row],[Type]]="Checklist",changes[[#This Row],[Type]]="checklist-flat"),1+IF(changes[[#This Row],[Type of change]] = "Edit",COUNTIFS($I$4:changes[[#This Row],[Name]],changes[[#This Row],[Name]], $E$4:changes[[#This Row],[Type of change]], "Edit")),B2612)</f>
        <v>1</v>
      </c>
      <c r="C2613" s="16">
        <v>44903</v>
      </c>
      <c r="D2613" s="1" t="s">
        <v>2450</v>
      </c>
      <c r="E2613" t="s">
        <v>27</v>
      </c>
      <c r="F2613" s="10" t="s">
        <v>52</v>
      </c>
      <c r="G2613" s="18" t="s">
        <v>2997</v>
      </c>
      <c r="H2613" s="2" t="s">
        <v>437</v>
      </c>
      <c r="I2613" s="18" t="s">
        <v>2039</v>
      </c>
      <c r="J2613" s="23" t="s">
        <v>2040</v>
      </c>
      <c r="K2613" s="2"/>
      <c r="M2613" s="2"/>
    </row>
    <row r="2614" spans="1:13" ht="15.75">
      <c r="A2614" t="s">
        <v>20</v>
      </c>
      <c r="B2614">
        <f ca="1">IF(OR(changes[[#This Row],[Type]]="Checklist",changes[[#This Row],[Type]]="checklist-flat"),1+IF(changes[[#This Row],[Type of change]] = "Edit",COUNTIFS($I$4:changes[[#This Row],[Name]],changes[[#This Row],[Name]], $E$4:changes[[#This Row],[Type of change]], "Edit")),B2613)</f>
        <v>1</v>
      </c>
      <c r="C2614" s="16">
        <v>44903</v>
      </c>
      <c r="D2614" s="1" t="s">
        <v>2450</v>
      </c>
      <c r="E2614" t="s">
        <v>27</v>
      </c>
      <c r="F2614" s="10" t="s">
        <v>52</v>
      </c>
      <c r="G2614" s="18" t="s">
        <v>2997</v>
      </c>
      <c r="H2614" s="2" t="s">
        <v>437</v>
      </c>
      <c r="I2614" s="18" t="s">
        <v>2041</v>
      </c>
      <c r="J2614" s="23" t="s">
        <v>2040</v>
      </c>
      <c r="K2614" s="2"/>
      <c r="M2614" s="2"/>
    </row>
    <row r="2615" spans="1:13" ht="15.75">
      <c r="A2615" t="s">
        <v>20</v>
      </c>
      <c r="B2615">
        <f ca="1">IF(OR(changes[[#This Row],[Type]]="Checklist",changes[[#This Row],[Type]]="checklist-flat"),1+IF(changes[[#This Row],[Type of change]] = "Edit",COUNTIFS($I$4:changes[[#This Row],[Name]],changes[[#This Row],[Name]], $E$4:changes[[#This Row],[Type of change]], "Edit")),B2614)</f>
        <v>1</v>
      </c>
      <c r="C2615" s="16">
        <v>44903</v>
      </c>
      <c r="D2615" s="1" t="s">
        <v>2450</v>
      </c>
      <c r="E2615" t="s">
        <v>27</v>
      </c>
      <c r="F2615" s="10" t="s">
        <v>52</v>
      </c>
      <c r="G2615" s="18" t="s">
        <v>2997</v>
      </c>
      <c r="H2615" s="2" t="s">
        <v>437</v>
      </c>
      <c r="I2615" s="18" t="s">
        <v>2042</v>
      </c>
      <c r="J2615" s="23" t="s">
        <v>2040</v>
      </c>
      <c r="K2615" s="2"/>
      <c r="M2615" s="2"/>
    </row>
    <row r="2616" spans="1:13" ht="15.75">
      <c r="A2616" t="s">
        <v>20</v>
      </c>
      <c r="B2616">
        <f ca="1">IF(OR(changes[[#This Row],[Type]]="Checklist",changes[[#This Row],[Type]]="checklist-flat"),1+IF(changes[[#This Row],[Type of change]] = "Edit",COUNTIFS($I$4:changes[[#This Row],[Name]],changes[[#This Row],[Name]], $E$4:changes[[#This Row],[Type of change]], "Edit")),B2615)</f>
        <v>1</v>
      </c>
      <c r="C2616" s="16">
        <v>44903</v>
      </c>
      <c r="D2616" s="1" t="s">
        <v>2450</v>
      </c>
      <c r="E2616" t="s">
        <v>27</v>
      </c>
      <c r="F2616" s="10" t="s">
        <v>52</v>
      </c>
      <c r="G2616" s="18" t="s">
        <v>2997</v>
      </c>
      <c r="H2616" s="2" t="s">
        <v>437</v>
      </c>
      <c r="I2616" s="18" t="s">
        <v>2043</v>
      </c>
      <c r="J2616" s="23" t="s">
        <v>2040</v>
      </c>
      <c r="K2616" s="2"/>
      <c r="M2616" s="2"/>
    </row>
    <row r="2617" spans="1:13" ht="15.75">
      <c r="A2617" t="s">
        <v>20</v>
      </c>
      <c r="B2617">
        <f ca="1">IF(OR(changes[[#This Row],[Type]]="Checklist",changes[[#This Row],[Type]]="checklist-flat"),1+IF(changes[[#This Row],[Type of change]] = "Edit",COUNTIFS($I$4:changes[[#This Row],[Name]],changes[[#This Row],[Name]], $E$4:changes[[#This Row],[Type of change]], "Edit")),B2616)</f>
        <v>1</v>
      </c>
      <c r="C2617" s="16">
        <v>44903</v>
      </c>
      <c r="D2617" s="1" t="s">
        <v>2450</v>
      </c>
      <c r="E2617" t="s">
        <v>27</v>
      </c>
      <c r="F2617" s="10" t="s">
        <v>52</v>
      </c>
      <c r="G2617" s="18" t="s">
        <v>2997</v>
      </c>
      <c r="H2617" s="2" t="s">
        <v>437</v>
      </c>
      <c r="I2617" s="18" t="s">
        <v>2044</v>
      </c>
      <c r="J2617" s="23" t="s">
        <v>2040</v>
      </c>
      <c r="K2617" s="2"/>
      <c r="M2617" s="2"/>
    </row>
    <row r="2618" spans="1:13" ht="15.75">
      <c r="A2618" t="s">
        <v>20</v>
      </c>
      <c r="B2618">
        <f ca="1">IF(OR(changes[[#This Row],[Type]]="Checklist",changes[[#This Row],[Type]]="checklist-flat"),1+IF(changes[[#This Row],[Type of change]] = "Edit",COUNTIFS($I$4:changes[[#This Row],[Name]],changes[[#This Row],[Name]], $E$4:changes[[#This Row],[Type of change]], "Edit")),B2617)</f>
        <v>1</v>
      </c>
      <c r="C2618" s="16">
        <v>44903</v>
      </c>
      <c r="D2618" s="1" t="s">
        <v>2450</v>
      </c>
      <c r="E2618" t="s">
        <v>27</v>
      </c>
      <c r="F2618" s="10" t="s">
        <v>52</v>
      </c>
      <c r="G2618" s="18" t="s">
        <v>2997</v>
      </c>
      <c r="H2618" s="2" t="s">
        <v>55</v>
      </c>
      <c r="I2618" s="18" t="s">
        <v>2045</v>
      </c>
      <c r="J2618" s="23"/>
      <c r="K2618" s="2"/>
      <c r="M2618" s="2"/>
    </row>
    <row r="2619" spans="1:13" ht="15.75">
      <c r="A2619" t="s">
        <v>20</v>
      </c>
      <c r="B2619">
        <f ca="1">IF(OR(changes[[#This Row],[Type]]="Checklist",changes[[#This Row],[Type]]="checklist-flat"),1+IF(changes[[#This Row],[Type of change]] = "Edit",COUNTIFS($I$4:changes[[#This Row],[Name]],changes[[#This Row],[Name]], $E$4:changes[[#This Row],[Type of change]], "Edit")),B2618)</f>
        <v>1</v>
      </c>
      <c r="C2619" s="16">
        <v>44903</v>
      </c>
      <c r="D2619" s="1" t="s">
        <v>2450</v>
      </c>
      <c r="E2619" t="s">
        <v>27</v>
      </c>
      <c r="F2619" s="10" t="s">
        <v>52</v>
      </c>
      <c r="G2619" s="18" t="s">
        <v>2997</v>
      </c>
      <c r="H2619" s="2" t="s">
        <v>437</v>
      </c>
      <c r="I2619" s="18" t="s">
        <v>438</v>
      </c>
      <c r="J2619" s="23" t="s">
        <v>439</v>
      </c>
      <c r="K2619" s="2"/>
      <c r="M2619" s="2"/>
    </row>
    <row r="2620" spans="1:13" ht="15.75">
      <c r="A2620" t="s">
        <v>20</v>
      </c>
      <c r="B2620">
        <f ca="1">IF(OR(changes[[#This Row],[Type]]="Checklist",changes[[#This Row],[Type]]="checklist-flat"),1+IF(changes[[#This Row],[Type of change]] = "Edit",COUNTIFS($I$4:changes[[#This Row],[Name]],changes[[#This Row],[Name]], $E$4:changes[[#This Row],[Type of change]], "Edit")),B2619)</f>
        <v>1</v>
      </c>
      <c r="C2620" s="16">
        <v>44903</v>
      </c>
      <c r="D2620" s="1" t="s">
        <v>2450</v>
      </c>
      <c r="E2620" t="s">
        <v>27</v>
      </c>
      <c r="F2620" s="10" t="s">
        <v>52</v>
      </c>
      <c r="G2620" s="18" t="s">
        <v>2997</v>
      </c>
      <c r="H2620" s="2" t="s">
        <v>214</v>
      </c>
      <c r="I2620" s="18" t="s">
        <v>2046</v>
      </c>
      <c r="J2620" s="23"/>
      <c r="K2620" s="2"/>
      <c r="M2620" s="2"/>
    </row>
    <row r="2621" spans="1:13" ht="15.75">
      <c r="A2621" t="s">
        <v>20</v>
      </c>
      <c r="B2621">
        <f ca="1">IF(OR(changes[[#This Row],[Type]]="Checklist",changes[[#This Row],[Type]]="checklist-flat"),1+IF(changes[[#This Row],[Type of change]] = "Edit",COUNTIFS($I$4:changes[[#This Row],[Name]],changes[[#This Row],[Name]], $E$4:changes[[#This Row],[Type of change]], "Edit")),B2620)</f>
        <v>1</v>
      </c>
      <c r="C2621" s="16">
        <v>44903</v>
      </c>
      <c r="D2621" s="1" t="s">
        <v>2450</v>
      </c>
      <c r="E2621" t="s">
        <v>27</v>
      </c>
      <c r="F2621" s="10" t="s">
        <v>52</v>
      </c>
      <c r="G2621" s="18" t="s">
        <v>2048</v>
      </c>
      <c r="H2621" s="2" t="s">
        <v>478</v>
      </c>
      <c r="I2621" s="18" t="s">
        <v>2048</v>
      </c>
      <c r="J2621" s="23"/>
      <c r="K2621" s="2"/>
      <c r="M2621" s="2"/>
    </row>
    <row r="2622" spans="1:13" ht="15.75">
      <c r="A2622" t="s">
        <v>20</v>
      </c>
      <c r="B2622">
        <f ca="1">IF(OR(changes[[#This Row],[Type]]="Checklist",changes[[#This Row],[Type]]="checklist-flat"),1+IF(changes[[#This Row],[Type of change]] = "Edit",COUNTIFS($I$4:changes[[#This Row],[Name]],changes[[#This Row],[Name]], $E$4:changes[[#This Row],[Type of change]], "Edit")),B2621)</f>
        <v>1</v>
      </c>
      <c r="C2622" s="16">
        <v>44903</v>
      </c>
      <c r="D2622" s="1" t="s">
        <v>2450</v>
      </c>
      <c r="E2622" t="s">
        <v>27</v>
      </c>
      <c r="F2622" s="10" t="s">
        <v>52</v>
      </c>
      <c r="G2622" s="18" t="s">
        <v>2048</v>
      </c>
      <c r="H2622" s="2" t="s">
        <v>479</v>
      </c>
      <c r="I2622" s="18" t="s">
        <v>2049</v>
      </c>
      <c r="J2622" s="23"/>
      <c r="K2622" s="2"/>
      <c r="M2622" s="2"/>
    </row>
    <row r="2623" spans="1:13" ht="15.75">
      <c r="A2623" t="s">
        <v>20</v>
      </c>
      <c r="B2623">
        <f ca="1">IF(OR(changes[[#This Row],[Type]]="Checklist",changes[[#This Row],[Type]]="checklist-flat"),1+IF(changes[[#This Row],[Type of change]] = "Edit",COUNTIFS($I$4:changes[[#This Row],[Name]],changes[[#This Row],[Name]], $E$4:changes[[#This Row],[Type of change]], "Edit")),B2622)</f>
        <v>1</v>
      </c>
      <c r="C2623" s="16">
        <v>44903</v>
      </c>
      <c r="D2623" s="1" t="s">
        <v>2450</v>
      </c>
      <c r="E2623" t="s">
        <v>27</v>
      </c>
      <c r="F2623" s="10" t="s">
        <v>52</v>
      </c>
      <c r="G2623" s="18" t="s">
        <v>2048</v>
      </c>
      <c r="H2623" s="2" t="s">
        <v>55</v>
      </c>
      <c r="I2623" s="18" t="s">
        <v>2025</v>
      </c>
      <c r="J2623" s="23"/>
      <c r="K2623" s="2"/>
      <c r="M2623" s="2"/>
    </row>
    <row r="2624" spans="1:13" ht="15.75">
      <c r="A2624" t="s">
        <v>20</v>
      </c>
      <c r="B2624">
        <f ca="1">IF(OR(changes[[#This Row],[Type]]="Checklist",changes[[#This Row],[Type]]="checklist-flat"),1+IF(changes[[#This Row],[Type of change]] = "Edit",COUNTIFS($I$4:changes[[#This Row],[Name]],changes[[#This Row],[Name]], $E$4:changes[[#This Row],[Type of change]], "Edit")),B2623)</f>
        <v>1</v>
      </c>
      <c r="C2624" s="16">
        <v>44903</v>
      </c>
      <c r="D2624" s="1" t="s">
        <v>2450</v>
      </c>
      <c r="E2624" t="s">
        <v>27</v>
      </c>
      <c r="F2624" s="10" t="s">
        <v>52</v>
      </c>
      <c r="G2624" s="18" t="s">
        <v>2048</v>
      </c>
      <c r="H2624" s="2" t="s">
        <v>55</v>
      </c>
      <c r="I2624" s="18" t="s">
        <v>2220</v>
      </c>
      <c r="J2624" s="23"/>
      <c r="K2624" s="2"/>
      <c r="M2624" s="2"/>
    </row>
    <row r="2625" spans="1:13" ht="15.75">
      <c r="A2625" t="s">
        <v>20</v>
      </c>
      <c r="B2625">
        <f ca="1">IF(OR(changes[[#This Row],[Type]]="Checklist",changes[[#This Row],[Type]]="checklist-flat"),1+IF(changes[[#This Row],[Type of change]] = "Edit",COUNTIFS($I$4:changes[[#This Row],[Name]],changes[[#This Row],[Name]], $E$4:changes[[#This Row],[Type of change]], "Edit")),B2624)</f>
        <v>1</v>
      </c>
      <c r="C2625" s="16">
        <v>44903</v>
      </c>
      <c r="D2625" s="1" t="s">
        <v>2450</v>
      </c>
      <c r="E2625" t="s">
        <v>27</v>
      </c>
      <c r="F2625" s="10" t="s">
        <v>52</v>
      </c>
      <c r="G2625" s="18" t="s">
        <v>2048</v>
      </c>
      <c r="H2625" s="2" t="s">
        <v>55</v>
      </c>
      <c r="I2625" s="18" t="s">
        <v>2051</v>
      </c>
      <c r="J2625" s="23"/>
      <c r="K2625" s="2"/>
      <c r="M2625" s="2"/>
    </row>
    <row r="2626" spans="1:13" ht="15.75">
      <c r="A2626" t="s">
        <v>20</v>
      </c>
      <c r="B2626">
        <f ca="1">IF(OR(changes[[#This Row],[Type]]="Checklist",changes[[#This Row],[Type]]="checklist-flat"),1+IF(changes[[#This Row],[Type of change]] = "Edit",COUNTIFS($I$4:changes[[#This Row],[Name]],changes[[#This Row],[Name]], $E$4:changes[[#This Row],[Type of change]], "Edit")),B2625)</f>
        <v>1</v>
      </c>
      <c r="C2626" s="16">
        <v>44903</v>
      </c>
      <c r="D2626" s="1" t="s">
        <v>2450</v>
      </c>
      <c r="E2626" t="s">
        <v>27</v>
      </c>
      <c r="F2626" s="10" t="s">
        <v>52</v>
      </c>
      <c r="G2626" s="18" t="s">
        <v>2048</v>
      </c>
      <c r="H2626" s="2" t="s">
        <v>437</v>
      </c>
      <c r="I2626" s="18" t="s">
        <v>438</v>
      </c>
      <c r="J2626" s="23" t="s">
        <v>439</v>
      </c>
      <c r="K2626" s="2"/>
      <c r="M2626" s="2"/>
    </row>
    <row r="2627" spans="1:13" ht="15.75">
      <c r="A2627" t="s">
        <v>20</v>
      </c>
      <c r="B2627">
        <f ca="1">IF(OR(changes[[#This Row],[Type]]="Checklist",changes[[#This Row],[Type]]="checklist-flat"),1+IF(changes[[#This Row],[Type of change]] = "Edit",COUNTIFS($I$4:changes[[#This Row],[Name]],changes[[#This Row],[Name]], $E$4:changes[[#This Row],[Type of change]], "Edit")),B2626)</f>
        <v>1</v>
      </c>
      <c r="C2627" s="16">
        <v>44903</v>
      </c>
      <c r="D2627" s="1" t="s">
        <v>2450</v>
      </c>
      <c r="E2627" t="s">
        <v>27</v>
      </c>
      <c r="F2627" s="10" t="s">
        <v>52</v>
      </c>
      <c r="G2627" s="18" t="s">
        <v>2048</v>
      </c>
      <c r="H2627" s="2" t="s">
        <v>214</v>
      </c>
      <c r="I2627" s="18" t="s">
        <v>443</v>
      </c>
      <c r="J2627" s="23"/>
      <c r="K2627" s="2"/>
      <c r="M2627" s="2"/>
    </row>
    <row r="2628" spans="1:13" ht="15.75">
      <c r="A2628" t="s">
        <v>20</v>
      </c>
      <c r="B2628">
        <f ca="1">IF(OR(changes[[#This Row],[Type]]="Checklist",changes[[#This Row],[Type]]="checklist-flat"),1+IF(changes[[#This Row],[Type of change]] = "Edit",COUNTIFS($I$4:changes[[#This Row],[Name]],changes[[#This Row],[Name]], $E$4:changes[[#This Row],[Type of change]], "Edit")),B2627)</f>
        <v>1</v>
      </c>
      <c r="C2628" s="16">
        <v>44903</v>
      </c>
      <c r="D2628" s="1" t="s">
        <v>2450</v>
      </c>
      <c r="E2628" t="s">
        <v>27</v>
      </c>
      <c r="F2628" s="10" t="s">
        <v>52</v>
      </c>
      <c r="G2628" s="18" t="s">
        <v>2048</v>
      </c>
      <c r="H2628" s="2" t="s">
        <v>55</v>
      </c>
      <c r="I2628" s="18" t="s">
        <v>442</v>
      </c>
      <c r="J2628" s="23"/>
      <c r="K2628" s="2"/>
      <c r="M2628" s="2"/>
    </row>
    <row r="2629" spans="1:13" ht="15.75">
      <c r="A2629" t="s">
        <v>20</v>
      </c>
      <c r="B2629">
        <f ca="1">IF(OR(changes[[#This Row],[Type]]="Checklist",changes[[#This Row],[Type]]="checklist-flat"),1+IF(changes[[#This Row],[Type of change]] = "Edit",COUNTIFS($I$4:changes[[#This Row],[Name]],changes[[#This Row],[Name]], $E$4:changes[[#This Row],[Type of change]], "Edit")),B2628)</f>
        <v>1</v>
      </c>
      <c r="C2629" s="16">
        <v>44903</v>
      </c>
      <c r="D2629" s="1" t="s">
        <v>2450</v>
      </c>
      <c r="E2629" t="s">
        <v>27</v>
      </c>
      <c r="F2629" s="10" t="s">
        <v>52</v>
      </c>
      <c r="G2629" s="18" t="s">
        <v>2048</v>
      </c>
      <c r="H2629" s="2" t="s">
        <v>479</v>
      </c>
      <c r="I2629" s="18" t="s">
        <v>2052</v>
      </c>
      <c r="J2629" s="23"/>
      <c r="K2629" s="2"/>
      <c r="M2629" s="2"/>
    </row>
    <row r="2630" spans="1:13" ht="15.75">
      <c r="A2630" t="s">
        <v>20</v>
      </c>
      <c r="B2630">
        <f ca="1">IF(OR(changes[[#This Row],[Type]]="Checklist",changes[[#This Row],[Type]]="checklist-flat"),1+IF(changes[[#This Row],[Type of change]] = "Edit",COUNTIFS($I$4:changes[[#This Row],[Name]],changes[[#This Row],[Name]], $E$4:changes[[#This Row],[Type of change]], "Edit")),B2629)</f>
        <v>1</v>
      </c>
      <c r="C2630" s="16">
        <v>44903</v>
      </c>
      <c r="D2630" s="1" t="s">
        <v>2450</v>
      </c>
      <c r="E2630" t="s">
        <v>27</v>
      </c>
      <c r="F2630" s="10" t="s">
        <v>52</v>
      </c>
      <c r="G2630" s="18" t="s">
        <v>2048</v>
      </c>
      <c r="H2630" s="2" t="s">
        <v>55</v>
      </c>
      <c r="I2630" s="18" t="s">
        <v>2025</v>
      </c>
      <c r="J2630" s="23"/>
      <c r="K2630" s="2"/>
      <c r="M2630" s="2"/>
    </row>
    <row r="2631" spans="1:13" ht="15.75">
      <c r="A2631" t="s">
        <v>20</v>
      </c>
      <c r="B2631">
        <f ca="1">IF(OR(changes[[#This Row],[Type]]="Checklist",changes[[#This Row],[Type]]="checklist-flat"),1+IF(changes[[#This Row],[Type of change]] = "Edit",COUNTIFS($I$4:changes[[#This Row],[Name]],changes[[#This Row],[Name]], $E$4:changes[[#This Row],[Type of change]], "Edit")),B2630)</f>
        <v>1</v>
      </c>
      <c r="C2631" s="16">
        <v>44903</v>
      </c>
      <c r="D2631" s="1" t="s">
        <v>2450</v>
      </c>
      <c r="E2631" t="s">
        <v>27</v>
      </c>
      <c r="F2631" s="10" t="s">
        <v>52</v>
      </c>
      <c r="G2631" s="18" t="s">
        <v>2048</v>
      </c>
      <c r="H2631" s="2" t="s">
        <v>55</v>
      </c>
      <c r="I2631" s="18" t="s">
        <v>2053</v>
      </c>
      <c r="J2631" s="23"/>
      <c r="K2631" s="2"/>
      <c r="M2631" s="2"/>
    </row>
    <row r="2632" spans="1:13" ht="15.75">
      <c r="A2632" t="s">
        <v>20</v>
      </c>
      <c r="B2632">
        <f ca="1">IF(OR(changes[[#This Row],[Type]]="Checklist",changes[[#This Row],[Type]]="checklist-flat"),1+IF(changes[[#This Row],[Type of change]] = "Edit",COUNTIFS($I$4:changes[[#This Row],[Name]],changes[[#This Row],[Name]], $E$4:changes[[#This Row],[Type of change]], "Edit")),B2631)</f>
        <v>1</v>
      </c>
      <c r="C2632" s="16">
        <v>44903</v>
      </c>
      <c r="D2632" s="1" t="s">
        <v>2450</v>
      </c>
      <c r="E2632" t="s">
        <v>27</v>
      </c>
      <c r="F2632" s="10" t="s">
        <v>52</v>
      </c>
      <c r="G2632" s="18" t="s">
        <v>2048</v>
      </c>
      <c r="H2632" s="2" t="s">
        <v>55</v>
      </c>
      <c r="I2632" s="18" t="s">
        <v>2054</v>
      </c>
      <c r="J2632" s="23"/>
      <c r="K2632" s="2"/>
      <c r="M2632" s="2"/>
    </row>
    <row r="2633" spans="1:13" ht="15.75">
      <c r="A2633" t="s">
        <v>20</v>
      </c>
      <c r="B2633">
        <f ca="1">IF(OR(changes[[#This Row],[Type]]="Checklist",changes[[#This Row],[Type]]="checklist-flat"),1+IF(changes[[#This Row],[Type of change]] = "Edit",COUNTIFS($I$4:changes[[#This Row],[Name]],changes[[#This Row],[Name]], $E$4:changes[[#This Row],[Type of change]], "Edit")),B2632)</f>
        <v>1</v>
      </c>
      <c r="C2633" s="16">
        <v>44903</v>
      </c>
      <c r="D2633" s="1" t="s">
        <v>2450</v>
      </c>
      <c r="E2633" t="s">
        <v>27</v>
      </c>
      <c r="F2633" s="10" t="s">
        <v>52</v>
      </c>
      <c r="G2633" s="18" t="s">
        <v>2048</v>
      </c>
      <c r="H2633" s="2" t="s">
        <v>55</v>
      </c>
      <c r="I2633" s="18" t="s">
        <v>2055</v>
      </c>
      <c r="J2633" s="23"/>
      <c r="K2633" s="2"/>
      <c r="M2633" s="2"/>
    </row>
    <row r="2634" spans="1:13" ht="15.75">
      <c r="A2634" t="s">
        <v>20</v>
      </c>
      <c r="B2634">
        <f ca="1">IF(OR(changes[[#This Row],[Type]]="Checklist",changes[[#This Row],[Type]]="checklist-flat"),1+IF(changes[[#This Row],[Type of change]] = "Edit",COUNTIFS($I$4:changes[[#This Row],[Name]],changes[[#This Row],[Name]], $E$4:changes[[#This Row],[Type of change]], "Edit")),B2633)</f>
        <v>1</v>
      </c>
      <c r="C2634" s="16">
        <v>44903</v>
      </c>
      <c r="D2634" s="1" t="s">
        <v>2450</v>
      </c>
      <c r="E2634" t="s">
        <v>27</v>
      </c>
      <c r="F2634" s="10" t="s">
        <v>52</v>
      </c>
      <c r="G2634" s="18" t="s">
        <v>2048</v>
      </c>
      <c r="H2634" s="2" t="s">
        <v>55</v>
      </c>
      <c r="I2634" s="18" t="s">
        <v>2056</v>
      </c>
      <c r="J2634" s="23"/>
      <c r="K2634" s="2"/>
      <c r="M2634" s="2"/>
    </row>
    <row r="2635" spans="1:13" ht="15.75">
      <c r="A2635" t="s">
        <v>20</v>
      </c>
      <c r="B2635">
        <f ca="1">IF(OR(changes[[#This Row],[Type]]="Checklist",changes[[#This Row],[Type]]="checklist-flat"),1+IF(changes[[#This Row],[Type of change]] = "Edit",COUNTIFS($I$4:changes[[#This Row],[Name]],changes[[#This Row],[Name]], $E$4:changes[[#This Row],[Type of change]], "Edit")),B2634)</f>
        <v>1</v>
      </c>
      <c r="C2635" s="16">
        <v>44903</v>
      </c>
      <c r="D2635" s="1" t="s">
        <v>2450</v>
      </c>
      <c r="E2635" t="s">
        <v>27</v>
      </c>
      <c r="F2635" s="10" t="s">
        <v>52</v>
      </c>
      <c r="G2635" s="18" t="s">
        <v>2048</v>
      </c>
      <c r="H2635" s="2" t="s">
        <v>437</v>
      </c>
      <c r="I2635" s="18" t="s">
        <v>438</v>
      </c>
      <c r="J2635" s="23" t="s">
        <v>439</v>
      </c>
      <c r="K2635" s="2"/>
      <c r="M2635" s="2"/>
    </row>
    <row r="2636" spans="1:13" ht="15.75">
      <c r="A2636" t="s">
        <v>20</v>
      </c>
      <c r="B2636">
        <f ca="1">IF(OR(changes[[#This Row],[Type]]="Checklist",changes[[#This Row],[Type]]="checklist-flat"),1+IF(changes[[#This Row],[Type of change]] = "Edit",COUNTIFS($I$4:changes[[#This Row],[Name]],changes[[#This Row],[Name]], $E$4:changes[[#This Row],[Type of change]], "Edit")),B2635)</f>
        <v>1</v>
      </c>
      <c r="C2636" s="16">
        <v>44903</v>
      </c>
      <c r="D2636" s="1" t="s">
        <v>2450</v>
      </c>
      <c r="E2636" t="s">
        <v>27</v>
      </c>
      <c r="F2636" s="10" t="s">
        <v>52</v>
      </c>
      <c r="G2636" s="18" t="s">
        <v>2048</v>
      </c>
      <c r="H2636" s="2" t="s">
        <v>214</v>
      </c>
      <c r="I2636" s="18" t="s">
        <v>443</v>
      </c>
      <c r="J2636" s="23"/>
      <c r="K2636" s="2"/>
      <c r="M2636" s="2"/>
    </row>
    <row r="2637" spans="1:13" ht="15.75">
      <c r="A2637" t="s">
        <v>20</v>
      </c>
      <c r="B2637">
        <f ca="1">IF(OR(changes[[#This Row],[Type]]="Checklist",changes[[#This Row],[Type]]="checklist-flat"),1+IF(changes[[#This Row],[Type of change]] = "Edit",COUNTIFS($I$4:changes[[#This Row],[Name]],changes[[#This Row],[Name]], $E$4:changes[[#This Row],[Type of change]], "Edit")),B2636)</f>
        <v>1</v>
      </c>
      <c r="C2637" s="16">
        <v>44903</v>
      </c>
      <c r="D2637" s="1" t="s">
        <v>2450</v>
      </c>
      <c r="E2637" t="s">
        <v>27</v>
      </c>
      <c r="F2637" s="10" t="s">
        <v>52</v>
      </c>
      <c r="G2637" s="18" t="s">
        <v>2048</v>
      </c>
      <c r="H2637" s="2" t="s">
        <v>55</v>
      </c>
      <c r="I2637" s="18" t="s">
        <v>442</v>
      </c>
      <c r="J2637" s="23"/>
      <c r="K2637" s="2"/>
      <c r="M2637" s="2"/>
    </row>
    <row r="2638" spans="1:13" ht="15.75">
      <c r="A2638" t="s">
        <v>20</v>
      </c>
      <c r="B2638">
        <f ca="1">IF(OR(changes[[#This Row],[Type]]="Checklist",changes[[#This Row],[Type]]="checklist-flat"),1+IF(changes[[#This Row],[Type of change]] = "Edit",COUNTIFS($I$4:changes[[#This Row],[Name]],changes[[#This Row],[Name]], $E$4:changes[[#This Row],[Type of change]], "Edit")),B2637)</f>
        <v>1</v>
      </c>
      <c r="C2638" s="16">
        <v>44903</v>
      </c>
      <c r="D2638" s="1" t="s">
        <v>2450</v>
      </c>
      <c r="E2638" t="s">
        <v>27</v>
      </c>
      <c r="F2638" s="10" t="s">
        <v>52</v>
      </c>
      <c r="G2638" s="18" t="s">
        <v>2048</v>
      </c>
      <c r="H2638" s="2" t="s">
        <v>479</v>
      </c>
      <c r="I2638" s="18" t="s">
        <v>22</v>
      </c>
      <c r="J2638" s="23"/>
      <c r="K2638" s="2"/>
      <c r="M2638" s="2"/>
    </row>
    <row r="2639" spans="1:13" ht="15.75">
      <c r="A2639" t="s">
        <v>20</v>
      </c>
      <c r="B2639">
        <f ca="1">IF(OR(changes[[#This Row],[Type]]="Checklist",changes[[#This Row],[Type]]="checklist-flat"),1+IF(changes[[#This Row],[Type of change]] = "Edit",COUNTIFS($I$4:changes[[#This Row],[Name]],changes[[#This Row],[Name]], $E$4:changes[[#This Row],[Type of change]], "Edit")),B2638)</f>
        <v>1</v>
      </c>
      <c r="C2639" s="16">
        <v>44903</v>
      </c>
      <c r="D2639" s="1" t="s">
        <v>2450</v>
      </c>
      <c r="E2639" t="s">
        <v>27</v>
      </c>
      <c r="F2639" s="10" t="s">
        <v>52</v>
      </c>
      <c r="G2639" s="18" t="s">
        <v>2048</v>
      </c>
      <c r="H2639" s="2" t="s">
        <v>55</v>
      </c>
      <c r="I2639" s="18" t="s">
        <v>2025</v>
      </c>
      <c r="J2639" s="23"/>
      <c r="K2639" s="2"/>
      <c r="M2639" s="2"/>
    </row>
    <row r="2640" spans="1:13" ht="15.75">
      <c r="A2640" t="s">
        <v>20</v>
      </c>
      <c r="B2640">
        <f ca="1">IF(OR(changes[[#This Row],[Type]]="Checklist",changes[[#This Row],[Type]]="checklist-flat"),1+IF(changes[[#This Row],[Type of change]] = "Edit",COUNTIFS($I$4:changes[[#This Row],[Name]],changes[[#This Row],[Name]], $E$4:changes[[#This Row],[Type of change]], "Edit")),B2639)</f>
        <v>1</v>
      </c>
      <c r="C2640" s="16">
        <v>44903</v>
      </c>
      <c r="D2640" s="1" t="s">
        <v>2450</v>
      </c>
      <c r="E2640" t="s">
        <v>27</v>
      </c>
      <c r="F2640" s="10" t="s">
        <v>52</v>
      </c>
      <c r="G2640" s="18" t="s">
        <v>2048</v>
      </c>
      <c r="H2640" s="2" t="s">
        <v>55</v>
      </c>
      <c r="I2640" s="18" t="s">
        <v>2057</v>
      </c>
      <c r="J2640" s="23"/>
      <c r="K2640" s="2"/>
      <c r="M2640" s="2"/>
    </row>
    <row r="2641" spans="1:13" ht="15.75">
      <c r="A2641" t="s">
        <v>20</v>
      </c>
      <c r="B2641">
        <f ca="1">IF(OR(changes[[#This Row],[Type]]="Checklist",changes[[#This Row],[Type]]="checklist-flat"),1+IF(changes[[#This Row],[Type of change]] = "Edit",COUNTIFS($I$4:changes[[#This Row],[Name]],changes[[#This Row],[Name]], $E$4:changes[[#This Row],[Type of change]], "Edit")),B2640)</f>
        <v>1</v>
      </c>
      <c r="C2641" s="16">
        <v>44903</v>
      </c>
      <c r="D2641" s="1" t="s">
        <v>2450</v>
      </c>
      <c r="E2641" t="s">
        <v>27</v>
      </c>
      <c r="F2641" s="10" t="s">
        <v>52</v>
      </c>
      <c r="G2641" s="18" t="s">
        <v>2048</v>
      </c>
      <c r="H2641" s="2" t="s">
        <v>437</v>
      </c>
      <c r="I2641" s="18" t="s">
        <v>2058</v>
      </c>
      <c r="J2641" s="23" t="s">
        <v>2040</v>
      </c>
      <c r="K2641" s="2"/>
      <c r="M2641" s="2"/>
    </row>
    <row r="2642" spans="1:13" ht="15.75">
      <c r="A2642" t="s">
        <v>20</v>
      </c>
      <c r="B2642">
        <f ca="1">IF(OR(changes[[#This Row],[Type]]="Checklist",changes[[#This Row],[Type]]="checklist-flat"),1+IF(changes[[#This Row],[Type of change]] = "Edit",COUNTIFS($I$4:changes[[#This Row],[Name]],changes[[#This Row],[Name]], $E$4:changes[[#This Row],[Type of change]], "Edit")),B2641)</f>
        <v>1</v>
      </c>
      <c r="C2642" s="16">
        <v>44903</v>
      </c>
      <c r="D2642" s="1" t="s">
        <v>2450</v>
      </c>
      <c r="E2642" t="s">
        <v>27</v>
      </c>
      <c r="F2642" s="10" t="s">
        <v>52</v>
      </c>
      <c r="G2642" s="18" t="s">
        <v>2048</v>
      </c>
      <c r="H2642" s="2" t="s">
        <v>437</v>
      </c>
      <c r="I2642" s="18" t="s">
        <v>2059</v>
      </c>
      <c r="J2642" s="23" t="s">
        <v>2040</v>
      </c>
      <c r="K2642" s="2"/>
      <c r="M2642" s="2"/>
    </row>
    <row r="2643" spans="1:13" ht="15.75">
      <c r="A2643" t="s">
        <v>20</v>
      </c>
      <c r="B2643">
        <f ca="1">IF(OR(changes[[#This Row],[Type]]="Checklist",changes[[#This Row],[Type]]="checklist-flat"),1+IF(changes[[#This Row],[Type of change]] = "Edit",COUNTIFS($I$4:changes[[#This Row],[Name]],changes[[#This Row],[Name]], $E$4:changes[[#This Row],[Type of change]], "Edit")),B2642)</f>
        <v>1</v>
      </c>
      <c r="C2643" s="16">
        <v>44903</v>
      </c>
      <c r="D2643" s="1" t="s">
        <v>2450</v>
      </c>
      <c r="E2643" t="s">
        <v>27</v>
      </c>
      <c r="F2643" s="10" t="s">
        <v>52</v>
      </c>
      <c r="G2643" s="18" t="s">
        <v>2048</v>
      </c>
      <c r="H2643" s="2" t="s">
        <v>437</v>
      </c>
      <c r="I2643" s="18" t="s">
        <v>2060</v>
      </c>
      <c r="J2643" s="23" t="s">
        <v>2040</v>
      </c>
      <c r="K2643" s="2"/>
      <c r="M2643" s="2"/>
    </row>
    <row r="2644" spans="1:13" ht="15.75">
      <c r="A2644" t="s">
        <v>20</v>
      </c>
      <c r="B2644">
        <f ca="1">IF(OR(changes[[#This Row],[Type]]="Checklist",changes[[#This Row],[Type]]="checklist-flat"),1+IF(changes[[#This Row],[Type of change]] = "Edit",COUNTIFS($I$4:changes[[#This Row],[Name]],changes[[#This Row],[Name]], $E$4:changes[[#This Row],[Type of change]], "Edit")),B2643)</f>
        <v>1</v>
      </c>
      <c r="C2644" s="16">
        <v>44903</v>
      </c>
      <c r="D2644" s="1" t="s">
        <v>2450</v>
      </c>
      <c r="E2644" t="s">
        <v>27</v>
      </c>
      <c r="F2644" s="10" t="s">
        <v>52</v>
      </c>
      <c r="G2644" s="18" t="s">
        <v>2048</v>
      </c>
      <c r="H2644" s="2" t="s">
        <v>437</v>
      </c>
      <c r="I2644" s="18" t="s">
        <v>2061</v>
      </c>
      <c r="J2644" s="23" t="s">
        <v>2040</v>
      </c>
      <c r="K2644" s="2"/>
      <c r="M2644" s="2"/>
    </row>
    <row r="2645" spans="1:13" ht="15.75">
      <c r="A2645" t="s">
        <v>20</v>
      </c>
      <c r="B2645">
        <f ca="1">IF(OR(changes[[#This Row],[Type]]="Checklist",changes[[#This Row],[Type]]="checklist-flat"),1+IF(changes[[#This Row],[Type of change]] = "Edit",COUNTIFS($I$4:changes[[#This Row],[Name]],changes[[#This Row],[Name]], $E$4:changes[[#This Row],[Type of change]], "Edit")),B2644)</f>
        <v>1</v>
      </c>
      <c r="C2645" s="16">
        <v>44903</v>
      </c>
      <c r="D2645" s="1" t="s">
        <v>2450</v>
      </c>
      <c r="E2645" t="s">
        <v>27</v>
      </c>
      <c r="F2645" s="10" t="s">
        <v>52</v>
      </c>
      <c r="G2645" s="18" t="s">
        <v>2048</v>
      </c>
      <c r="H2645" s="2" t="s">
        <v>437</v>
      </c>
      <c r="I2645" s="18" t="s">
        <v>2062</v>
      </c>
      <c r="J2645" s="23" t="s">
        <v>2040</v>
      </c>
      <c r="K2645" s="2"/>
      <c r="M2645" s="2"/>
    </row>
    <row r="2646" spans="1:13" ht="15.75">
      <c r="A2646" t="s">
        <v>20</v>
      </c>
      <c r="B2646">
        <f ca="1">IF(OR(changes[[#This Row],[Type]]="Checklist",changes[[#This Row],[Type]]="checklist-flat"),1+IF(changes[[#This Row],[Type of change]] = "Edit",COUNTIFS($I$4:changes[[#This Row],[Name]],changes[[#This Row],[Name]], $E$4:changes[[#This Row],[Type of change]], "Edit")),B2645)</f>
        <v>1</v>
      </c>
      <c r="C2646" s="16">
        <v>44903</v>
      </c>
      <c r="D2646" s="1" t="s">
        <v>2450</v>
      </c>
      <c r="E2646" t="s">
        <v>27</v>
      </c>
      <c r="F2646" s="10" t="s">
        <v>52</v>
      </c>
      <c r="G2646" s="18" t="s">
        <v>2048</v>
      </c>
      <c r="H2646" s="2" t="s">
        <v>437</v>
      </c>
      <c r="I2646" s="18" t="s">
        <v>2063</v>
      </c>
      <c r="J2646" s="23" t="s">
        <v>2040</v>
      </c>
      <c r="K2646" s="2"/>
      <c r="M2646" s="2"/>
    </row>
    <row r="2647" spans="1:13" ht="15.75">
      <c r="A2647" t="s">
        <v>20</v>
      </c>
      <c r="B2647">
        <f ca="1">IF(OR(changes[[#This Row],[Type]]="Checklist",changes[[#This Row],[Type]]="checklist-flat"),1+IF(changes[[#This Row],[Type of change]] = "Edit",COUNTIFS($I$4:changes[[#This Row],[Name]],changes[[#This Row],[Name]], $E$4:changes[[#This Row],[Type of change]], "Edit")),B2646)</f>
        <v>1</v>
      </c>
      <c r="C2647" s="16">
        <v>44903</v>
      </c>
      <c r="D2647" s="1" t="s">
        <v>2450</v>
      </c>
      <c r="E2647" t="s">
        <v>27</v>
      </c>
      <c r="F2647" s="10" t="s">
        <v>52</v>
      </c>
      <c r="G2647" s="18" t="s">
        <v>2048</v>
      </c>
      <c r="H2647" s="2" t="s">
        <v>55</v>
      </c>
      <c r="I2647" s="18" t="s">
        <v>2064</v>
      </c>
      <c r="J2647" s="23"/>
      <c r="K2647" s="2"/>
      <c r="M2647" s="2"/>
    </row>
    <row r="2648" spans="1:13" ht="15.75">
      <c r="A2648" t="s">
        <v>20</v>
      </c>
      <c r="B2648">
        <f ca="1">IF(OR(changes[[#This Row],[Type]]="Checklist",changes[[#This Row],[Type]]="checklist-flat"),1+IF(changes[[#This Row],[Type of change]] = "Edit",COUNTIFS($I$4:changes[[#This Row],[Name]],changes[[#This Row],[Name]], $E$4:changes[[#This Row],[Type of change]], "Edit")),B2647)</f>
        <v>1</v>
      </c>
      <c r="C2648" s="16">
        <v>44903</v>
      </c>
      <c r="D2648" s="1" t="s">
        <v>2450</v>
      </c>
      <c r="E2648" t="s">
        <v>27</v>
      </c>
      <c r="F2648" s="10" t="s">
        <v>52</v>
      </c>
      <c r="G2648" s="18" t="s">
        <v>2048</v>
      </c>
      <c r="H2648" s="2" t="s">
        <v>437</v>
      </c>
      <c r="I2648" s="18" t="s">
        <v>438</v>
      </c>
      <c r="J2648" s="23" t="s">
        <v>439</v>
      </c>
      <c r="K2648" s="2"/>
      <c r="M2648" s="2"/>
    </row>
    <row r="2649" spans="1:13" ht="15.75">
      <c r="A2649" t="s">
        <v>20</v>
      </c>
      <c r="B2649">
        <f ca="1">IF(OR(changes[[#This Row],[Type]]="Checklist",changes[[#This Row],[Type]]="checklist-flat"),1+IF(changes[[#This Row],[Type of change]] = "Edit",COUNTIFS($I$4:changes[[#This Row],[Name]],changes[[#This Row],[Name]], $E$4:changes[[#This Row],[Type of change]], "Edit")),B2648)</f>
        <v>1</v>
      </c>
      <c r="C2649" s="16">
        <v>44903</v>
      </c>
      <c r="D2649" s="1" t="s">
        <v>2450</v>
      </c>
      <c r="E2649" t="s">
        <v>27</v>
      </c>
      <c r="F2649" s="10" t="s">
        <v>52</v>
      </c>
      <c r="G2649" s="18" t="s">
        <v>2048</v>
      </c>
      <c r="H2649" s="2" t="s">
        <v>55</v>
      </c>
      <c r="I2649" s="18" t="s">
        <v>2065</v>
      </c>
      <c r="J2649" s="23"/>
      <c r="K2649" s="2"/>
      <c r="M2649" s="2"/>
    </row>
    <row r="2650" spans="1:13" ht="15.75">
      <c r="A2650" t="s">
        <v>20</v>
      </c>
      <c r="B2650">
        <f ca="1">IF(OR(changes[[#This Row],[Type]]="Checklist",changes[[#This Row],[Type]]="checklist-flat"),1+IF(changes[[#This Row],[Type of change]] = "Edit",COUNTIFS($I$4:changes[[#This Row],[Name]],changes[[#This Row],[Name]], $E$4:changes[[#This Row],[Type of change]], "Edit")),B2649)</f>
        <v>1</v>
      </c>
      <c r="C2650" s="16">
        <v>44903</v>
      </c>
      <c r="D2650" s="1" t="s">
        <v>2450</v>
      </c>
      <c r="E2650" t="s">
        <v>27</v>
      </c>
      <c r="F2650" s="10" t="s">
        <v>52</v>
      </c>
      <c r="G2650" s="18" t="s">
        <v>2048</v>
      </c>
      <c r="H2650" s="2" t="s">
        <v>437</v>
      </c>
      <c r="I2650" s="18" t="s">
        <v>438</v>
      </c>
      <c r="J2650" s="23" t="s">
        <v>439</v>
      </c>
      <c r="K2650" s="2"/>
      <c r="M2650" s="2"/>
    </row>
    <row r="2651" spans="1:13" ht="15.75">
      <c r="A2651" t="s">
        <v>20</v>
      </c>
      <c r="B2651">
        <f ca="1">IF(OR(changes[[#This Row],[Type]]="Checklist",changes[[#This Row],[Type]]="checklist-flat"),1+IF(changes[[#This Row],[Type of change]] = "Edit",COUNTIFS($I$4:changes[[#This Row],[Name]],changes[[#This Row],[Name]], $E$4:changes[[#This Row],[Type of change]], "Edit")),B2650)</f>
        <v>1</v>
      </c>
      <c r="C2651" s="16">
        <v>44903</v>
      </c>
      <c r="D2651" s="1" t="s">
        <v>2450</v>
      </c>
      <c r="E2651" t="s">
        <v>27</v>
      </c>
      <c r="F2651" s="10" t="s">
        <v>52</v>
      </c>
      <c r="G2651" s="18" t="s">
        <v>2048</v>
      </c>
      <c r="H2651" s="2" t="s">
        <v>214</v>
      </c>
      <c r="I2651" s="18" t="s">
        <v>2066</v>
      </c>
      <c r="J2651" s="23"/>
      <c r="K2651" s="2"/>
      <c r="M2651" s="2"/>
    </row>
    <row r="2652" spans="1:13" ht="15.75">
      <c r="A2652" t="s">
        <v>20</v>
      </c>
      <c r="B2652">
        <f ca="1">IF(OR(changes[[#This Row],[Type]]="Checklist",changes[[#This Row],[Type]]="checklist-flat"),1+IF(changes[[#This Row],[Type of change]] = "Edit",COUNTIFS($I$4:changes[[#This Row],[Name]],changes[[#This Row],[Name]], $E$4:changes[[#This Row],[Type of change]], "Edit")),B2651)</f>
        <v>1</v>
      </c>
      <c r="C2652" s="16">
        <v>44903</v>
      </c>
      <c r="D2652" s="1" t="s">
        <v>2450</v>
      </c>
      <c r="E2652" t="s">
        <v>27</v>
      </c>
      <c r="F2652" s="10" t="s">
        <v>52</v>
      </c>
      <c r="G2652" s="18" t="s">
        <v>2048</v>
      </c>
      <c r="H2652" s="2" t="s">
        <v>437</v>
      </c>
      <c r="I2652" s="18" t="s">
        <v>2067</v>
      </c>
      <c r="J2652" s="23" t="s">
        <v>2040</v>
      </c>
      <c r="K2652" s="2"/>
      <c r="M2652" s="2"/>
    </row>
    <row r="2653" spans="1:13" ht="15.75">
      <c r="A2653" t="s">
        <v>20</v>
      </c>
      <c r="B2653">
        <f ca="1">IF(OR(changes[[#This Row],[Type]]="Checklist",changes[[#This Row],[Type]]="checklist-flat"),1+IF(changes[[#This Row],[Type of change]] = "Edit",COUNTIFS($I$4:changes[[#This Row],[Name]],changes[[#This Row],[Name]], $E$4:changes[[#This Row],[Type of change]], "Edit")),B2652)</f>
        <v>1</v>
      </c>
      <c r="C2653" s="16">
        <v>44903</v>
      </c>
      <c r="D2653" s="1" t="s">
        <v>2450</v>
      </c>
      <c r="E2653" t="s">
        <v>27</v>
      </c>
      <c r="F2653" s="10" t="s">
        <v>52</v>
      </c>
      <c r="G2653" s="18" t="s">
        <v>2048</v>
      </c>
      <c r="H2653" s="2" t="s">
        <v>437</v>
      </c>
      <c r="I2653" s="18" t="s">
        <v>2068</v>
      </c>
      <c r="J2653" s="23" t="s">
        <v>2040</v>
      </c>
      <c r="K2653" s="2"/>
      <c r="M2653" s="2"/>
    </row>
    <row r="2654" spans="1:13" ht="15.75">
      <c r="A2654" t="s">
        <v>20</v>
      </c>
      <c r="B2654">
        <f ca="1">IF(OR(changes[[#This Row],[Type]]="Checklist",changes[[#This Row],[Type]]="checklist-flat"),1+IF(changes[[#This Row],[Type of change]] = "Edit",COUNTIFS($I$4:changes[[#This Row],[Name]],changes[[#This Row],[Name]], $E$4:changes[[#This Row],[Type of change]], "Edit")),B2653)</f>
        <v>1</v>
      </c>
      <c r="C2654" s="16">
        <v>44903</v>
      </c>
      <c r="D2654" s="1" t="s">
        <v>2450</v>
      </c>
      <c r="E2654" t="s">
        <v>27</v>
      </c>
      <c r="F2654" s="10" t="s">
        <v>52</v>
      </c>
      <c r="G2654" s="18" t="s">
        <v>2048</v>
      </c>
      <c r="H2654" s="2" t="s">
        <v>214</v>
      </c>
      <c r="I2654" s="18" t="s">
        <v>443</v>
      </c>
      <c r="J2654" s="23"/>
      <c r="K2654" s="2"/>
      <c r="M2654" s="2"/>
    </row>
    <row r="2655" spans="1:13" ht="15.75">
      <c r="A2655" t="s">
        <v>20</v>
      </c>
      <c r="B2655">
        <f ca="1">IF(OR(changes[[#This Row],[Type]]="Checklist",changes[[#This Row],[Type]]="checklist-flat"),1+IF(changes[[#This Row],[Type of change]] = "Edit",COUNTIFS($I$4:changes[[#This Row],[Name]],changes[[#This Row],[Name]], $E$4:changes[[#This Row],[Type of change]], "Edit")),B2654)</f>
        <v>1</v>
      </c>
      <c r="C2655" s="16">
        <v>44903</v>
      </c>
      <c r="D2655" s="1" t="s">
        <v>2450</v>
      </c>
      <c r="E2655" t="s">
        <v>27</v>
      </c>
      <c r="F2655" s="10" t="s">
        <v>52</v>
      </c>
      <c r="G2655" s="18" t="s">
        <v>2048</v>
      </c>
      <c r="H2655" s="2" t="s">
        <v>55</v>
      </c>
      <c r="I2655" s="18" t="s">
        <v>442</v>
      </c>
      <c r="J2655" s="23"/>
      <c r="K2655" s="2"/>
      <c r="M2655" s="2"/>
    </row>
    <row r="2656" spans="1:13" ht="15.75">
      <c r="A2656" t="s">
        <v>20</v>
      </c>
      <c r="B2656">
        <f ca="1">IF(OR(changes[[#This Row],[Type]]="Checklist",changes[[#This Row],[Type]]="checklist-flat"),1+IF(changes[[#This Row],[Type of change]] = "Edit",COUNTIFS($I$4:changes[[#This Row],[Name]],changes[[#This Row],[Name]], $E$4:changes[[#This Row],[Type of change]], "Edit")),B2655)</f>
        <v>1</v>
      </c>
      <c r="C2656" s="16">
        <v>44903</v>
      </c>
      <c r="D2656" s="1" t="s">
        <v>2450</v>
      </c>
      <c r="E2656" t="s">
        <v>27</v>
      </c>
      <c r="F2656" s="10" t="s">
        <v>52</v>
      </c>
      <c r="G2656" s="18" t="s">
        <v>2048</v>
      </c>
      <c r="H2656" s="2" t="s">
        <v>479</v>
      </c>
      <c r="I2656" s="18" t="s">
        <v>1242</v>
      </c>
      <c r="J2656" s="23"/>
      <c r="K2656" s="2"/>
      <c r="M2656" s="2"/>
    </row>
    <row r="2657" spans="1:13" ht="15.75">
      <c r="A2657" t="s">
        <v>20</v>
      </c>
      <c r="B2657">
        <f ca="1">IF(OR(changes[[#This Row],[Type]]="Checklist",changes[[#This Row],[Type]]="checklist-flat"),1+IF(changes[[#This Row],[Type of change]] = "Edit",COUNTIFS($I$4:changes[[#This Row],[Name]],changes[[#This Row],[Name]], $E$4:changes[[#This Row],[Type of change]], "Edit")),B2656)</f>
        <v>1</v>
      </c>
      <c r="C2657" s="16">
        <v>44903</v>
      </c>
      <c r="D2657" s="1" t="s">
        <v>2450</v>
      </c>
      <c r="E2657" t="s">
        <v>27</v>
      </c>
      <c r="F2657" s="10" t="s">
        <v>52</v>
      </c>
      <c r="G2657" s="18" t="s">
        <v>2048</v>
      </c>
      <c r="H2657" s="2" t="s">
        <v>55</v>
      </c>
      <c r="I2657" s="18" t="s">
        <v>2025</v>
      </c>
      <c r="J2657" s="23"/>
      <c r="K2657" s="2"/>
      <c r="M2657" s="2"/>
    </row>
    <row r="2658" spans="1:13" ht="15.75">
      <c r="A2658" t="s">
        <v>20</v>
      </c>
      <c r="B2658">
        <f ca="1">IF(OR(changes[[#This Row],[Type]]="Checklist",changes[[#This Row],[Type]]="checklist-flat"),1+IF(changes[[#This Row],[Type of change]] = "Edit",COUNTIFS($I$4:changes[[#This Row],[Name]],changes[[#This Row],[Name]], $E$4:changes[[#This Row],[Type of change]], "Edit")),B2657)</f>
        <v>1</v>
      </c>
      <c r="C2658" s="16">
        <v>44903</v>
      </c>
      <c r="D2658" s="1" t="s">
        <v>2450</v>
      </c>
      <c r="E2658" t="s">
        <v>27</v>
      </c>
      <c r="F2658" s="10" t="s">
        <v>52</v>
      </c>
      <c r="G2658" s="18" t="s">
        <v>2048</v>
      </c>
      <c r="H2658" s="2" t="s">
        <v>55</v>
      </c>
      <c r="I2658" s="18" t="s">
        <v>2069</v>
      </c>
      <c r="J2658" s="23"/>
      <c r="K2658" s="2"/>
      <c r="M2658" s="2"/>
    </row>
    <row r="2659" spans="1:13" ht="15.75">
      <c r="A2659" t="s">
        <v>20</v>
      </c>
      <c r="B2659">
        <f ca="1">IF(OR(changes[[#This Row],[Type]]="Checklist",changes[[#This Row],[Type]]="checklist-flat"),1+IF(changes[[#This Row],[Type of change]] = "Edit",COUNTIFS($I$4:changes[[#This Row],[Name]],changes[[#This Row],[Name]], $E$4:changes[[#This Row],[Type of change]], "Edit")),B2658)</f>
        <v>1</v>
      </c>
      <c r="C2659" s="16">
        <v>44903</v>
      </c>
      <c r="D2659" s="1" t="s">
        <v>2450</v>
      </c>
      <c r="E2659" t="s">
        <v>27</v>
      </c>
      <c r="F2659" s="10" t="s">
        <v>52</v>
      </c>
      <c r="G2659" s="18" t="s">
        <v>2048</v>
      </c>
      <c r="H2659" s="2" t="s">
        <v>437</v>
      </c>
      <c r="I2659" s="18" t="s">
        <v>1246</v>
      </c>
      <c r="J2659" s="23" t="s">
        <v>2040</v>
      </c>
      <c r="K2659" s="2"/>
      <c r="M2659" s="2"/>
    </row>
    <row r="2660" spans="1:13" ht="15.75">
      <c r="A2660" t="s">
        <v>20</v>
      </c>
      <c r="B2660">
        <f ca="1">IF(OR(changes[[#This Row],[Type]]="Checklist",changes[[#This Row],[Type]]="checklist-flat"),1+IF(changes[[#This Row],[Type of change]] = "Edit",COUNTIFS($I$4:changes[[#This Row],[Name]],changes[[#This Row],[Name]], $E$4:changes[[#This Row],[Type of change]], "Edit")),B2659)</f>
        <v>1</v>
      </c>
      <c r="C2660" s="16">
        <v>44903</v>
      </c>
      <c r="D2660" s="1" t="s">
        <v>2450</v>
      </c>
      <c r="E2660" t="s">
        <v>27</v>
      </c>
      <c r="F2660" s="10" t="s">
        <v>52</v>
      </c>
      <c r="G2660" s="18" t="s">
        <v>2048</v>
      </c>
      <c r="H2660" s="2" t="s">
        <v>55</v>
      </c>
      <c r="I2660" s="18" t="s">
        <v>2070</v>
      </c>
      <c r="J2660" s="23"/>
      <c r="K2660" s="2"/>
      <c r="M2660" s="2"/>
    </row>
    <row r="2661" spans="1:13" ht="15.75">
      <c r="A2661" t="s">
        <v>20</v>
      </c>
      <c r="B2661">
        <f ca="1">IF(OR(changes[[#This Row],[Type]]="Checklist",changes[[#This Row],[Type]]="checklist-flat"),1+IF(changes[[#This Row],[Type of change]] = "Edit",COUNTIFS($I$4:changes[[#This Row],[Name]],changes[[#This Row],[Name]], $E$4:changes[[#This Row],[Type of change]], "Edit")),B2660)</f>
        <v>1</v>
      </c>
      <c r="C2661" s="16">
        <v>44903</v>
      </c>
      <c r="D2661" s="1" t="s">
        <v>2450</v>
      </c>
      <c r="E2661" t="s">
        <v>27</v>
      </c>
      <c r="F2661" s="10" t="s">
        <v>52</v>
      </c>
      <c r="G2661" s="18" t="s">
        <v>2048</v>
      </c>
      <c r="H2661" s="2" t="s">
        <v>437</v>
      </c>
      <c r="I2661" s="18" t="s">
        <v>1247</v>
      </c>
      <c r="J2661" s="23" t="s">
        <v>2040</v>
      </c>
      <c r="K2661" s="2"/>
      <c r="M2661" s="2"/>
    </row>
    <row r="2662" spans="1:13" ht="15.75">
      <c r="A2662" t="s">
        <v>20</v>
      </c>
      <c r="B2662">
        <f ca="1">IF(OR(changes[[#This Row],[Type]]="Checklist",changes[[#This Row],[Type]]="checklist-flat"),1+IF(changes[[#This Row],[Type of change]] = "Edit",COUNTIFS($I$4:changes[[#This Row],[Name]],changes[[#This Row],[Name]], $E$4:changes[[#This Row],[Type of change]], "Edit")),B2661)</f>
        <v>1</v>
      </c>
      <c r="C2662" s="16">
        <v>44903</v>
      </c>
      <c r="D2662" s="1" t="s">
        <v>2450</v>
      </c>
      <c r="E2662" t="s">
        <v>27</v>
      </c>
      <c r="F2662" s="10" t="s">
        <v>52</v>
      </c>
      <c r="G2662" s="18" t="s">
        <v>2048</v>
      </c>
      <c r="H2662" s="2" t="s">
        <v>437</v>
      </c>
      <c r="I2662" s="18" t="s">
        <v>1248</v>
      </c>
      <c r="J2662" s="23" t="s">
        <v>2040</v>
      </c>
      <c r="K2662" s="2"/>
      <c r="M2662" s="2"/>
    </row>
    <row r="2663" spans="1:13" ht="15.75">
      <c r="A2663" t="s">
        <v>20</v>
      </c>
      <c r="B2663">
        <f ca="1">IF(OR(changes[[#This Row],[Type]]="Checklist",changes[[#This Row],[Type]]="checklist-flat"),1+IF(changes[[#This Row],[Type of change]] = "Edit",COUNTIFS($I$4:changes[[#This Row],[Name]],changes[[#This Row],[Name]], $E$4:changes[[#This Row],[Type of change]], "Edit")),B2662)</f>
        <v>1</v>
      </c>
      <c r="C2663" s="16">
        <v>44903</v>
      </c>
      <c r="D2663" s="1" t="s">
        <v>2450</v>
      </c>
      <c r="E2663" t="s">
        <v>27</v>
      </c>
      <c r="F2663" s="10" t="s">
        <v>52</v>
      </c>
      <c r="G2663" s="18" t="s">
        <v>2048</v>
      </c>
      <c r="H2663" s="2" t="s">
        <v>437</v>
      </c>
      <c r="I2663" s="18" t="s">
        <v>1249</v>
      </c>
      <c r="J2663" s="23" t="s">
        <v>2040</v>
      </c>
      <c r="K2663" s="2"/>
      <c r="M2663" s="2"/>
    </row>
    <row r="2664" spans="1:13" ht="15.75">
      <c r="A2664" t="s">
        <v>20</v>
      </c>
      <c r="B2664">
        <f ca="1">IF(OR(changes[[#This Row],[Type]]="Checklist",changes[[#This Row],[Type]]="checklist-flat"),1+IF(changes[[#This Row],[Type of change]] = "Edit",COUNTIFS($I$4:changes[[#This Row],[Name]],changes[[#This Row],[Name]], $E$4:changes[[#This Row],[Type of change]], "Edit")),B2663)</f>
        <v>1</v>
      </c>
      <c r="C2664" s="16">
        <v>44903</v>
      </c>
      <c r="D2664" s="1" t="s">
        <v>2450</v>
      </c>
      <c r="E2664" t="s">
        <v>27</v>
      </c>
      <c r="F2664" s="10" t="s">
        <v>52</v>
      </c>
      <c r="G2664" s="18" t="s">
        <v>2048</v>
      </c>
      <c r="H2664" s="2" t="s">
        <v>55</v>
      </c>
      <c r="I2664" s="18" t="s">
        <v>1255</v>
      </c>
      <c r="J2664" s="23"/>
      <c r="K2664" s="2"/>
      <c r="M2664" s="2"/>
    </row>
    <row r="2665" spans="1:13" ht="15.75">
      <c r="A2665" t="s">
        <v>20</v>
      </c>
      <c r="B2665">
        <f ca="1">IF(OR(changes[[#This Row],[Type]]="Checklist",changes[[#This Row],[Type]]="checklist-flat"),1+IF(changes[[#This Row],[Type of change]] = "Edit",COUNTIFS($I$4:changes[[#This Row],[Name]],changes[[#This Row],[Name]], $E$4:changes[[#This Row],[Type of change]], "Edit")),B2664)</f>
        <v>1</v>
      </c>
      <c r="C2665" s="16">
        <v>44903</v>
      </c>
      <c r="D2665" s="1" t="s">
        <v>2450</v>
      </c>
      <c r="E2665" t="s">
        <v>27</v>
      </c>
      <c r="F2665" s="10" t="s">
        <v>52</v>
      </c>
      <c r="G2665" s="18" t="s">
        <v>2048</v>
      </c>
      <c r="H2665" s="2" t="s">
        <v>55</v>
      </c>
      <c r="I2665" s="18" t="s">
        <v>1250</v>
      </c>
      <c r="J2665" s="23"/>
      <c r="K2665" s="2"/>
      <c r="M2665" s="2"/>
    </row>
    <row r="2666" spans="1:13" ht="15.75">
      <c r="A2666" t="s">
        <v>20</v>
      </c>
      <c r="B2666">
        <f ca="1">IF(OR(changes[[#This Row],[Type]]="Checklist",changes[[#This Row],[Type]]="checklist-flat"),1+IF(changes[[#This Row],[Type of change]] = "Edit",COUNTIFS($I$4:changes[[#This Row],[Name]],changes[[#This Row],[Name]], $E$4:changes[[#This Row],[Type of change]], "Edit")),B2665)</f>
        <v>1</v>
      </c>
      <c r="C2666" s="16">
        <v>44903</v>
      </c>
      <c r="D2666" s="1" t="s">
        <v>2450</v>
      </c>
      <c r="E2666" t="s">
        <v>27</v>
      </c>
      <c r="F2666" s="10" t="s">
        <v>52</v>
      </c>
      <c r="G2666" s="18" t="s">
        <v>2048</v>
      </c>
      <c r="H2666" s="2" t="s">
        <v>437</v>
      </c>
      <c r="I2666" s="18" t="s">
        <v>1251</v>
      </c>
      <c r="J2666" s="23" t="s">
        <v>2040</v>
      </c>
      <c r="K2666" s="2"/>
      <c r="M2666" s="2"/>
    </row>
    <row r="2667" spans="1:13" ht="15.75">
      <c r="A2667" t="s">
        <v>20</v>
      </c>
      <c r="B2667">
        <f ca="1">IF(OR(changes[[#This Row],[Type]]="Checklist",changes[[#This Row],[Type]]="checklist-flat"),1+IF(changes[[#This Row],[Type of change]] = "Edit",COUNTIFS($I$4:changes[[#This Row],[Name]],changes[[#This Row],[Name]], $E$4:changes[[#This Row],[Type of change]], "Edit")),B2666)</f>
        <v>1</v>
      </c>
      <c r="C2667" s="16">
        <v>44903</v>
      </c>
      <c r="D2667" s="1" t="s">
        <v>2450</v>
      </c>
      <c r="E2667" t="s">
        <v>27</v>
      </c>
      <c r="F2667" s="10" t="s">
        <v>52</v>
      </c>
      <c r="G2667" s="18" t="s">
        <v>2048</v>
      </c>
      <c r="H2667" s="2" t="s">
        <v>437</v>
      </c>
      <c r="I2667" s="18" t="s">
        <v>1252</v>
      </c>
      <c r="J2667" s="23" t="s">
        <v>2040</v>
      </c>
      <c r="K2667" s="2"/>
      <c r="M2667" s="2"/>
    </row>
    <row r="2668" spans="1:13" ht="15.75">
      <c r="A2668" t="s">
        <v>20</v>
      </c>
      <c r="B2668">
        <f ca="1">IF(OR(changes[[#This Row],[Type]]="Checklist",changes[[#This Row],[Type]]="checklist-flat"),1+IF(changes[[#This Row],[Type of change]] = "Edit",COUNTIFS($I$4:changes[[#This Row],[Name]],changes[[#This Row],[Name]], $E$4:changes[[#This Row],[Type of change]], "Edit")),B2667)</f>
        <v>1</v>
      </c>
      <c r="C2668" s="16">
        <v>44903</v>
      </c>
      <c r="D2668" s="1" t="s">
        <v>2450</v>
      </c>
      <c r="E2668" t="s">
        <v>27</v>
      </c>
      <c r="F2668" s="10" t="s">
        <v>52</v>
      </c>
      <c r="G2668" s="18" t="s">
        <v>2048</v>
      </c>
      <c r="H2668" s="2" t="s">
        <v>437</v>
      </c>
      <c r="I2668" s="18" t="s">
        <v>1253</v>
      </c>
      <c r="J2668" s="23" t="s">
        <v>2040</v>
      </c>
      <c r="K2668" s="2"/>
      <c r="M2668" s="2"/>
    </row>
    <row r="2669" spans="1:13" ht="15.75">
      <c r="A2669" t="s">
        <v>20</v>
      </c>
      <c r="B2669">
        <f ca="1">IF(OR(changes[[#This Row],[Type]]="Checklist",changes[[#This Row],[Type]]="checklist-flat"),1+IF(changes[[#This Row],[Type of change]] = "Edit",COUNTIFS($I$4:changes[[#This Row],[Name]],changes[[#This Row],[Name]], $E$4:changes[[#This Row],[Type of change]], "Edit")),B2668)</f>
        <v>1</v>
      </c>
      <c r="C2669" s="16">
        <v>44903</v>
      </c>
      <c r="D2669" s="1" t="s">
        <v>2450</v>
      </c>
      <c r="E2669" t="s">
        <v>27</v>
      </c>
      <c r="F2669" s="10" t="s">
        <v>52</v>
      </c>
      <c r="G2669" s="18" t="s">
        <v>2048</v>
      </c>
      <c r="H2669" s="2" t="s">
        <v>437</v>
      </c>
      <c r="I2669" s="18" t="s">
        <v>1254</v>
      </c>
      <c r="J2669" s="23" t="s">
        <v>2040</v>
      </c>
      <c r="K2669" s="2"/>
      <c r="M2669" s="2"/>
    </row>
    <row r="2670" spans="1:13" ht="15.75">
      <c r="A2670" t="s">
        <v>20</v>
      </c>
      <c r="B2670">
        <f ca="1">IF(OR(changes[[#This Row],[Type]]="Checklist",changes[[#This Row],[Type]]="checklist-flat"),1+IF(changes[[#This Row],[Type of change]] = "Edit",COUNTIFS($I$4:changes[[#This Row],[Name]],changes[[#This Row],[Name]], $E$4:changes[[#This Row],[Type of change]], "Edit")),B2669)</f>
        <v>1</v>
      </c>
      <c r="C2670" s="16">
        <v>44903</v>
      </c>
      <c r="D2670" s="1" t="s">
        <v>2450</v>
      </c>
      <c r="E2670" t="s">
        <v>27</v>
      </c>
      <c r="F2670" s="10" t="s">
        <v>52</v>
      </c>
      <c r="G2670" s="18" t="s">
        <v>2048</v>
      </c>
      <c r="H2670" s="2" t="s">
        <v>437</v>
      </c>
      <c r="I2670" s="18" t="s">
        <v>1256</v>
      </c>
      <c r="J2670" s="23" t="s">
        <v>2040</v>
      </c>
      <c r="K2670" s="2"/>
      <c r="M2670" s="2"/>
    </row>
    <row r="2671" spans="1:13" ht="15.75">
      <c r="A2671" t="s">
        <v>20</v>
      </c>
      <c r="B2671">
        <f ca="1">IF(OR(changes[[#This Row],[Type]]="Checklist",changes[[#This Row],[Type]]="checklist-flat"),1+IF(changes[[#This Row],[Type of change]] = "Edit",COUNTIFS($I$4:changes[[#This Row],[Name]],changes[[#This Row],[Name]], $E$4:changes[[#This Row],[Type of change]], "Edit")),B2670)</f>
        <v>1</v>
      </c>
      <c r="C2671" s="16">
        <v>44903</v>
      </c>
      <c r="D2671" s="1" t="s">
        <v>2450</v>
      </c>
      <c r="E2671" t="s">
        <v>27</v>
      </c>
      <c r="F2671" s="10" t="s">
        <v>52</v>
      </c>
      <c r="G2671" s="18" t="s">
        <v>2048</v>
      </c>
      <c r="H2671" s="2" t="s">
        <v>437</v>
      </c>
      <c r="I2671" s="18" t="s">
        <v>1257</v>
      </c>
      <c r="J2671" s="23" t="s">
        <v>2040</v>
      </c>
      <c r="K2671" s="2"/>
      <c r="M2671" s="2"/>
    </row>
    <row r="2672" spans="1:13" ht="15.75">
      <c r="A2672" t="s">
        <v>20</v>
      </c>
      <c r="B2672">
        <f ca="1">IF(OR(changes[[#This Row],[Type]]="Checklist",changes[[#This Row],[Type]]="checklist-flat"),1+IF(changes[[#This Row],[Type of change]] = "Edit",COUNTIFS($I$4:changes[[#This Row],[Name]],changes[[#This Row],[Name]], $E$4:changes[[#This Row],[Type of change]], "Edit")),B2671)</f>
        <v>1</v>
      </c>
      <c r="C2672" s="16">
        <v>44903</v>
      </c>
      <c r="D2672" s="1" t="s">
        <v>2450</v>
      </c>
      <c r="E2672" t="s">
        <v>27</v>
      </c>
      <c r="F2672" s="10" t="s">
        <v>52</v>
      </c>
      <c r="G2672" s="18" t="s">
        <v>2048</v>
      </c>
      <c r="H2672" s="2" t="s">
        <v>55</v>
      </c>
      <c r="I2672" s="18" t="s">
        <v>2071</v>
      </c>
      <c r="J2672" s="23"/>
      <c r="K2672" s="2"/>
      <c r="M2672" s="2"/>
    </row>
    <row r="2673" spans="1:13" ht="15.75">
      <c r="A2673" t="s">
        <v>20</v>
      </c>
      <c r="B2673">
        <f ca="1">IF(OR(changes[[#This Row],[Type]]="Checklist",changes[[#This Row],[Type]]="checklist-flat"),1+IF(changes[[#This Row],[Type of change]] = "Edit",COUNTIFS($I$4:changes[[#This Row],[Name]],changes[[#This Row],[Name]], $E$4:changes[[#This Row],[Type of change]], "Edit")),B2672)</f>
        <v>1</v>
      </c>
      <c r="C2673" s="16">
        <v>44903</v>
      </c>
      <c r="D2673" s="1" t="s">
        <v>2450</v>
      </c>
      <c r="E2673" t="s">
        <v>27</v>
      </c>
      <c r="F2673" s="10" t="s">
        <v>52</v>
      </c>
      <c r="G2673" s="18" t="s">
        <v>2048</v>
      </c>
      <c r="H2673" s="2" t="s">
        <v>437</v>
      </c>
      <c r="I2673" s="18" t="s">
        <v>438</v>
      </c>
      <c r="J2673" s="23" t="s">
        <v>439</v>
      </c>
      <c r="K2673" s="2"/>
      <c r="M2673" s="2"/>
    </row>
    <row r="2674" spans="1:13" ht="15.75">
      <c r="A2674" t="s">
        <v>20</v>
      </c>
      <c r="B2674">
        <f ca="1">IF(OR(changes[[#This Row],[Type]]="Checklist",changes[[#This Row],[Type]]="checklist-flat"),1+IF(changes[[#This Row],[Type of change]] = "Edit",COUNTIFS($I$4:changes[[#This Row],[Name]],changes[[#This Row],[Name]], $E$4:changes[[#This Row],[Type of change]], "Edit")),B2673)</f>
        <v>1</v>
      </c>
      <c r="C2674" s="16">
        <v>44903</v>
      </c>
      <c r="D2674" s="1" t="s">
        <v>2450</v>
      </c>
      <c r="E2674" t="s">
        <v>27</v>
      </c>
      <c r="F2674" s="10" t="s">
        <v>52</v>
      </c>
      <c r="G2674" s="18" t="s">
        <v>2048</v>
      </c>
      <c r="H2674" s="2" t="s">
        <v>55</v>
      </c>
      <c r="I2674" s="18" t="s">
        <v>2072</v>
      </c>
      <c r="J2674" s="23"/>
      <c r="K2674" s="2"/>
      <c r="M2674" s="2"/>
    </row>
    <row r="2675" spans="1:13" ht="15.75">
      <c r="A2675" t="s">
        <v>20</v>
      </c>
      <c r="B2675">
        <f ca="1">IF(OR(changes[[#This Row],[Type]]="Checklist",changes[[#This Row],[Type]]="checklist-flat"),1+IF(changes[[#This Row],[Type of change]] = "Edit",COUNTIFS($I$4:changes[[#This Row],[Name]],changes[[#This Row],[Name]], $E$4:changes[[#This Row],[Type of change]], "Edit")),B2674)</f>
        <v>1</v>
      </c>
      <c r="C2675" s="16">
        <v>44903</v>
      </c>
      <c r="D2675" s="1" t="s">
        <v>2450</v>
      </c>
      <c r="E2675" t="s">
        <v>27</v>
      </c>
      <c r="F2675" s="10" t="s">
        <v>52</v>
      </c>
      <c r="G2675" s="18" t="s">
        <v>2048</v>
      </c>
      <c r="H2675" s="2" t="s">
        <v>437</v>
      </c>
      <c r="I2675" s="18" t="s">
        <v>438</v>
      </c>
      <c r="J2675" s="23" t="s">
        <v>439</v>
      </c>
      <c r="K2675" s="2"/>
      <c r="M2675" s="2"/>
    </row>
    <row r="2676" spans="1:13" ht="15.75">
      <c r="A2676" t="s">
        <v>20</v>
      </c>
      <c r="B2676">
        <f ca="1">IF(OR(changes[[#This Row],[Type]]="Checklist",changes[[#This Row],[Type]]="checklist-flat"),1+IF(changes[[#This Row],[Type of change]] = "Edit",COUNTIFS($I$4:changes[[#This Row],[Name]],changes[[#This Row],[Name]], $E$4:changes[[#This Row],[Type of change]], "Edit")),B2675)</f>
        <v>1</v>
      </c>
      <c r="C2676" s="16">
        <v>44903</v>
      </c>
      <c r="D2676" s="1" t="s">
        <v>2450</v>
      </c>
      <c r="E2676" t="s">
        <v>27</v>
      </c>
      <c r="F2676" s="10" t="s">
        <v>52</v>
      </c>
      <c r="G2676" s="18" t="s">
        <v>2048</v>
      </c>
      <c r="H2676" s="2" t="s">
        <v>214</v>
      </c>
      <c r="I2676" s="18" t="s">
        <v>443</v>
      </c>
      <c r="J2676" s="23"/>
      <c r="K2676" s="2"/>
      <c r="M2676" s="2"/>
    </row>
    <row r="2677" spans="1:13" ht="15.75">
      <c r="A2677" t="s">
        <v>20</v>
      </c>
      <c r="B2677">
        <f ca="1">IF(OR(changes[[#This Row],[Type]]="Checklist",changes[[#This Row],[Type]]="checklist-flat"),1+IF(changes[[#This Row],[Type of change]] = "Edit",COUNTIFS($I$4:changes[[#This Row],[Name]],changes[[#This Row],[Name]], $E$4:changes[[#This Row],[Type of change]], "Edit")),B2676)</f>
        <v>1</v>
      </c>
      <c r="C2677" s="16">
        <v>44903</v>
      </c>
      <c r="D2677" s="1" t="s">
        <v>2450</v>
      </c>
      <c r="E2677" t="s">
        <v>27</v>
      </c>
      <c r="F2677" s="10" t="s">
        <v>52</v>
      </c>
      <c r="G2677" s="18" t="s">
        <v>2048</v>
      </c>
      <c r="H2677" s="2" t="s">
        <v>55</v>
      </c>
      <c r="I2677" s="18" t="s">
        <v>442</v>
      </c>
      <c r="J2677" s="23"/>
      <c r="K2677" s="2"/>
      <c r="M2677" s="2"/>
    </row>
    <row r="2678" spans="1:13" ht="15.75">
      <c r="A2678" t="s">
        <v>20</v>
      </c>
      <c r="B2678">
        <f ca="1">IF(OR(changes[[#This Row],[Type]]="Checklist",changes[[#This Row],[Type]]="checklist-flat"),1+IF(changes[[#This Row],[Type of change]] = "Edit",COUNTIFS($I$4:changes[[#This Row],[Name]],changes[[#This Row],[Name]], $E$4:changes[[#This Row],[Type of change]], "Edit")),B2677)</f>
        <v>1</v>
      </c>
      <c r="C2678" s="16">
        <v>44903</v>
      </c>
      <c r="D2678" s="1" t="s">
        <v>2450</v>
      </c>
      <c r="E2678" t="s">
        <v>27</v>
      </c>
      <c r="F2678" s="10" t="s">
        <v>52</v>
      </c>
      <c r="G2678" s="18" t="s">
        <v>2048</v>
      </c>
      <c r="H2678" s="2" t="s">
        <v>479</v>
      </c>
      <c r="I2678" s="18" t="s">
        <v>2073</v>
      </c>
      <c r="J2678" s="23"/>
      <c r="K2678" s="2"/>
      <c r="M2678" s="2"/>
    </row>
    <row r="2679" spans="1:13" ht="15.75">
      <c r="A2679" t="s">
        <v>20</v>
      </c>
      <c r="B2679">
        <f ca="1">IF(OR(changes[[#This Row],[Type]]="Checklist",changes[[#This Row],[Type]]="checklist-flat"),1+IF(changes[[#This Row],[Type of change]] = "Edit",COUNTIFS($I$4:changes[[#This Row],[Name]],changes[[#This Row],[Name]], $E$4:changes[[#This Row],[Type of change]], "Edit")),B2678)</f>
        <v>1</v>
      </c>
      <c r="C2679" s="16">
        <v>44903</v>
      </c>
      <c r="D2679" s="1" t="s">
        <v>2450</v>
      </c>
      <c r="E2679" t="s">
        <v>27</v>
      </c>
      <c r="F2679" s="10" t="s">
        <v>52</v>
      </c>
      <c r="G2679" s="18" t="s">
        <v>2048</v>
      </c>
      <c r="H2679" s="2" t="s">
        <v>55</v>
      </c>
      <c r="I2679" s="18" t="s">
        <v>2074</v>
      </c>
      <c r="J2679" s="23"/>
      <c r="K2679" s="2"/>
      <c r="M2679" s="2"/>
    </row>
    <row r="2680" spans="1:13" ht="15.75">
      <c r="A2680" t="s">
        <v>20</v>
      </c>
      <c r="B2680">
        <f ca="1">IF(OR(changes[[#This Row],[Type]]="Checklist",changes[[#This Row],[Type]]="checklist-flat"),1+IF(changes[[#This Row],[Type of change]] = "Edit",COUNTIFS($I$4:changes[[#This Row],[Name]],changes[[#This Row],[Name]], $E$4:changes[[#This Row],[Type of change]], "Edit")),B2679)</f>
        <v>1</v>
      </c>
      <c r="C2680" s="16">
        <v>44903</v>
      </c>
      <c r="D2680" s="1" t="s">
        <v>2450</v>
      </c>
      <c r="E2680" t="s">
        <v>27</v>
      </c>
      <c r="F2680" s="10" t="s">
        <v>52</v>
      </c>
      <c r="G2680" s="18" t="s">
        <v>2048</v>
      </c>
      <c r="H2680" s="2" t="s">
        <v>55</v>
      </c>
      <c r="I2680" s="18" t="s">
        <v>2075</v>
      </c>
      <c r="J2680" s="23"/>
      <c r="K2680" s="2"/>
      <c r="M2680" s="2"/>
    </row>
    <row r="2681" spans="1:13" ht="15.75">
      <c r="A2681" t="s">
        <v>20</v>
      </c>
      <c r="B2681">
        <f ca="1">IF(OR(changes[[#This Row],[Type]]="Checklist",changes[[#This Row],[Type]]="checklist-flat"),1+IF(changes[[#This Row],[Type of change]] = "Edit",COUNTIFS($I$4:changes[[#This Row],[Name]],changes[[#This Row],[Name]], $E$4:changes[[#This Row],[Type of change]], "Edit")),B2680)</f>
        <v>1</v>
      </c>
      <c r="C2681" s="16">
        <v>44903</v>
      </c>
      <c r="D2681" s="1" t="s">
        <v>2450</v>
      </c>
      <c r="E2681" t="s">
        <v>27</v>
      </c>
      <c r="F2681" s="10" t="s">
        <v>52</v>
      </c>
      <c r="G2681" s="18" t="s">
        <v>2048</v>
      </c>
      <c r="H2681" s="2" t="s">
        <v>55</v>
      </c>
      <c r="I2681" s="18" t="s">
        <v>2076</v>
      </c>
      <c r="J2681" s="23"/>
      <c r="K2681" s="2"/>
      <c r="M2681" s="2"/>
    </row>
    <row r="2682" spans="1:13" ht="15.75">
      <c r="A2682" t="s">
        <v>20</v>
      </c>
      <c r="B2682">
        <f ca="1">IF(OR(changes[[#This Row],[Type]]="Checklist",changes[[#This Row],[Type]]="checklist-flat"),1+IF(changes[[#This Row],[Type of change]] = "Edit",COUNTIFS($I$4:changes[[#This Row],[Name]],changes[[#This Row],[Name]], $E$4:changes[[#This Row],[Type of change]], "Edit")),B2681)</f>
        <v>1</v>
      </c>
      <c r="C2682" s="16">
        <v>44903</v>
      </c>
      <c r="D2682" s="1" t="s">
        <v>2450</v>
      </c>
      <c r="E2682" t="s">
        <v>27</v>
      </c>
      <c r="F2682" s="10" t="s">
        <v>52</v>
      </c>
      <c r="G2682" s="18" t="s">
        <v>2048</v>
      </c>
      <c r="H2682" s="2" t="s">
        <v>437</v>
      </c>
      <c r="I2682" s="18" t="s">
        <v>438</v>
      </c>
      <c r="J2682" s="23" t="s">
        <v>439</v>
      </c>
      <c r="K2682" s="2"/>
      <c r="M2682" s="2"/>
    </row>
    <row r="2683" spans="1:13" ht="15.75">
      <c r="A2683" t="s">
        <v>20</v>
      </c>
      <c r="B2683">
        <f ca="1">IF(OR(changes[[#This Row],[Type]]="Checklist",changes[[#This Row],[Type]]="checklist-flat"),1+IF(changes[[#This Row],[Type of change]] = "Edit",COUNTIFS($I$4:changes[[#This Row],[Name]],changes[[#This Row],[Name]], $E$4:changes[[#This Row],[Type of change]], "Edit")),B2682)</f>
        <v>1</v>
      </c>
      <c r="C2683" s="16">
        <v>44903</v>
      </c>
      <c r="D2683" s="1" t="s">
        <v>2450</v>
      </c>
      <c r="E2683" t="s">
        <v>27</v>
      </c>
      <c r="F2683" s="10" t="s">
        <v>52</v>
      </c>
      <c r="G2683" s="18" t="s">
        <v>2998</v>
      </c>
      <c r="H2683" s="2" t="s">
        <v>478</v>
      </c>
      <c r="I2683" s="18" t="s">
        <v>2998</v>
      </c>
      <c r="J2683" s="23"/>
      <c r="K2683" s="2"/>
      <c r="M2683" s="2"/>
    </row>
    <row r="2684" spans="1:13" ht="15.75">
      <c r="A2684" t="s">
        <v>20</v>
      </c>
      <c r="B2684">
        <f ca="1">IF(OR(changes[[#This Row],[Type]]="Checklist",changes[[#This Row],[Type]]="checklist-flat"),1+IF(changes[[#This Row],[Type of change]] = "Edit",COUNTIFS($I$4:changes[[#This Row],[Name]],changes[[#This Row],[Name]], $E$4:changes[[#This Row],[Type of change]], "Edit")),B2683)</f>
        <v>1</v>
      </c>
      <c r="C2684" s="16">
        <v>44903</v>
      </c>
      <c r="D2684" s="1" t="s">
        <v>2450</v>
      </c>
      <c r="E2684" t="s">
        <v>27</v>
      </c>
      <c r="F2684" s="10" t="s">
        <v>52</v>
      </c>
      <c r="G2684" s="18" t="s">
        <v>2998</v>
      </c>
      <c r="H2684" s="2" t="s">
        <v>55</v>
      </c>
      <c r="I2684" s="18" t="s">
        <v>2025</v>
      </c>
      <c r="J2684" s="23"/>
      <c r="K2684" s="2"/>
      <c r="M2684" s="2"/>
    </row>
    <row r="2685" spans="1:13" ht="15.75">
      <c r="A2685" t="s">
        <v>20</v>
      </c>
      <c r="B2685">
        <f ca="1">IF(OR(changes[[#This Row],[Type]]="Checklist",changes[[#This Row],[Type]]="checklist-flat"),1+IF(changes[[#This Row],[Type of change]] = "Edit",COUNTIFS($I$4:changes[[#This Row],[Name]],changes[[#This Row],[Name]], $E$4:changes[[#This Row],[Type of change]], "Edit")),B2684)</f>
        <v>1</v>
      </c>
      <c r="C2685" s="16">
        <v>44903</v>
      </c>
      <c r="D2685" s="1" t="s">
        <v>2450</v>
      </c>
      <c r="E2685" t="s">
        <v>27</v>
      </c>
      <c r="F2685" s="10" t="s">
        <v>52</v>
      </c>
      <c r="G2685" s="18" t="s">
        <v>2998</v>
      </c>
      <c r="H2685" s="2" t="s">
        <v>55</v>
      </c>
      <c r="I2685" s="18" t="s">
        <v>2999</v>
      </c>
      <c r="J2685" s="23"/>
      <c r="K2685" s="2"/>
      <c r="M2685" s="2"/>
    </row>
    <row r="2686" spans="1:13" ht="15.75">
      <c r="A2686" t="s">
        <v>20</v>
      </c>
      <c r="B2686">
        <f ca="1">IF(OR(changes[[#This Row],[Type]]="Checklist",changes[[#This Row],[Type]]="checklist-flat"),1+IF(changes[[#This Row],[Type of change]] = "Edit",COUNTIFS($I$4:changes[[#This Row],[Name]],changes[[#This Row],[Name]], $E$4:changes[[#This Row],[Type of change]], "Edit")),B2685)</f>
        <v>1</v>
      </c>
      <c r="C2686" s="16">
        <v>44903</v>
      </c>
      <c r="D2686" s="1" t="s">
        <v>2450</v>
      </c>
      <c r="E2686" t="s">
        <v>27</v>
      </c>
      <c r="F2686" s="10" t="s">
        <v>52</v>
      </c>
      <c r="G2686" s="18" t="s">
        <v>2998</v>
      </c>
      <c r="H2686" s="2" t="s">
        <v>437</v>
      </c>
      <c r="I2686" s="18" t="s">
        <v>2637</v>
      </c>
      <c r="J2686" s="23" t="s">
        <v>2040</v>
      </c>
      <c r="K2686" s="2"/>
      <c r="M2686" s="2"/>
    </row>
    <row r="2687" spans="1:13" ht="15.75">
      <c r="A2687" t="s">
        <v>20</v>
      </c>
      <c r="B2687">
        <f ca="1">IF(OR(changes[[#This Row],[Type]]="Checklist",changes[[#This Row],[Type]]="checklist-flat"),1+IF(changes[[#This Row],[Type of change]] = "Edit",COUNTIFS($I$4:changes[[#This Row],[Name]],changes[[#This Row],[Name]], $E$4:changes[[#This Row],[Type of change]], "Edit")),B2686)</f>
        <v>1</v>
      </c>
      <c r="C2687" s="16">
        <v>44903</v>
      </c>
      <c r="D2687" s="1" t="s">
        <v>2450</v>
      </c>
      <c r="E2687" t="s">
        <v>27</v>
      </c>
      <c r="F2687" s="10" t="s">
        <v>52</v>
      </c>
      <c r="G2687" s="18" t="s">
        <v>2998</v>
      </c>
      <c r="H2687" s="2" t="s">
        <v>437</v>
      </c>
      <c r="I2687" s="18" t="s">
        <v>3000</v>
      </c>
      <c r="J2687" s="23" t="s">
        <v>2040</v>
      </c>
      <c r="K2687" s="2"/>
      <c r="M2687" s="2"/>
    </row>
    <row r="2688" spans="1:13" ht="15.75">
      <c r="A2688" t="s">
        <v>20</v>
      </c>
      <c r="B2688">
        <f ca="1">IF(OR(changes[[#This Row],[Type]]="Checklist",changes[[#This Row],[Type]]="checklist-flat"),1+IF(changes[[#This Row],[Type of change]] = "Edit",COUNTIFS($I$4:changes[[#This Row],[Name]],changes[[#This Row],[Name]], $E$4:changes[[#This Row],[Type of change]], "Edit")),B2687)</f>
        <v>1</v>
      </c>
      <c r="C2688" s="16">
        <v>44903</v>
      </c>
      <c r="D2688" s="1" t="s">
        <v>2450</v>
      </c>
      <c r="E2688" t="s">
        <v>27</v>
      </c>
      <c r="F2688" s="10" t="s">
        <v>52</v>
      </c>
      <c r="G2688" s="18" t="s">
        <v>2998</v>
      </c>
      <c r="H2688" s="2" t="s">
        <v>437</v>
      </c>
      <c r="I2688" s="18" t="s">
        <v>3001</v>
      </c>
      <c r="J2688" s="23" t="s">
        <v>2040</v>
      </c>
      <c r="K2688" s="2"/>
      <c r="M2688" s="2"/>
    </row>
    <row r="2689" spans="1:13" ht="15.75">
      <c r="A2689" t="s">
        <v>20</v>
      </c>
      <c r="B2689">
        <f ca="1">IF(OR(changes[[#This Row],[Type]]="Checklist",changes[[#This Row],[Type]]="checklist-flat"),1+IF(changes[[#This Row],[Type of change]] = "Edit",COUNTIFS($I$4:changes[[#This Row],[Name]],changes[[#This Row],[Name]], $E$4:changes[[#This Row],[Type of change]], "Edit")),B2688)</f>
        <v>1</v>
      </c>
      <c r="C2689" s="16">
        <v>44903</v>
      </c>
      <c r="D2689" s="1" t="s">
        <v>2450</v>
      </c>
      <c r="E2689" t="s">
        <v>27</v>
      </c>
      <c r="F2689" s="10" t="s">
        <v>52</v>
      </c>
      <c r="G2689" s="18" t="s">
        <v>2998</v>
      </c>
      <c r="H2689" s="2" t="s">
        <v>437</v>
      </c>
      <c r="I2689" s="18" t="s">
        <v>3002</v>
      </c>
      <c r="J2689" s="23" t="s">
        <v>2040</v>
      </c>
      <c r="K2689" s="2"/>
      <c r="M2689" s="2"/>
    </row>
    <row r="2690" spans="1:13" ht="15.75">
      <c r="A2690" t="s">
        <v>20</v>
      </c>
      <c r="B2690">
        <f ca="1">IF(OR(changes[[#This Row],[Type]]="Checklist",changes[[#This Row],[Type]]="checklist-flat"),1+IF(changes[[#This Row],[Type of change]] = "Edit",COUNTIFS($I$4:changes[[#This Row],[Name]],changes[[#This Row],[Name]], $E$4:changes[[#This Row],[Type of change]], "Edit")),B2689)</f>
        <v>1</v>
      </c>
      <c r="C2690" s="16">
        <v>44903</v>
      </c>
      <c r="D2690" s="1" t="s">
        <v>2450</v>
      </c>
      <c r="E2690" t="s">
        <v>27</v>
      </c>
      <c r="F2690" s="10" t="s">
        <v>52</v>
      </c>
      <c r="G2690" s="18" t="s">
        <v>2998</v>
      </c>
      <c r="H2690" s="2" t="s">
        <v>437</v>
      </c>
      <c r="I2690" s="18" t="s">
        <v>3003</v>
      </c>
      <c r="J2690" s="23" t="s">
        <v>2040</v>
      </c>
      <c r="K2690" s="2"/>
      <c r="M2690" s="2"/>
    </row>
    <row r="2691" spans="1:13" ht="15.75">
      <c r="A2691" t="s">
        <v>20</v>
      </c>
      <c r="B2691">
        <f ca="1">IF(OR(changes[[#This Row],[Type]]="Checklist",changes[[#This Row],[Type]]="checklist-flat"),1+IF(changes[[#This Row],[Type of change]] = "Edit",COUNTIFS($I$4:changes[[#This Row],[Name]],changes[[#This Row],[Name]], $E$4:changes[[#This Row],[Type of change]], "Edit")),B2690)</f>
        <v>1</v>
      </c>
      <c r="C2691" s="16">
        <v>44903</v>
      </c>
      <c r="D2691" s="1" t="s">
        <v>2450</v>
      </c>
      <c r="E2691" t="s">
        <v>27</v>
      </c>
      <c r="F2691" s="10" t="s">
        <v>52</v>
      </c>
      <c r="G2691" s="18" t="s">
        <v>2998</v>
      </c>
      <c r="H2691" s="2" t="s">
        <v>437</v>
      </c>
      <c r="I2691" s="18" t="s">
        <v>3004</v>
      </c>
      <c r="J2691" s="23" t="s">
        <v>2040</v>
      </c>
      <c r="K2691" s="2"/>
      <c r="M2691" s="2"/>
    </row>
    <row r="2692" spans="1:13" ht="15.75">
      <c r="A2692" t="s">
        <v>20</v>
      </c>
      <c r="B2692">
        <f ca="1">IF(OR(changes[[#This Row],[Type]]="Checklist",changes[[#This Row],[Type]]="checklist-flat"),1+IF(changes[[#This Row],[Type of change]] = "Edit",COUNTIFS($I$4:changes[[#This Row],[Name]],changes[[#This Row],[Name]], $E$4:changes[[#This Row],[Type of change]], "Edit")),B2691)</f>
        <v>1</v>
      </c>
      <c r="C2692" s="16">
        <v>44903</v>
      </c>
      <c r="D2692" s="1" t="s">
        <v>2450</v>
      </c>
      <c r="E2692" t="s">
        <v>27</v>
      </c>
      <c r="F2692" s="10" t="s">
        <v>52</v>
      </c>
      <c r="G2692" s="18" t="s">
        <v>2998</v>
      </c>
      <c r="H2692" s="2" t="s">
        <v>437</v>
      </c>
      <c r="I2692" s="18" t="s">
        <v>3005</v>
      </c>
      <c r="J2692" s="23" t="s">
        <v>2040</v>
      </c>
      <c r="K2692" s="2"/>
      <c r="M2692" s="2"/>
    </row>
    <row r="2693" spans="1:13" ht="15.75">
      <c r="A2693" t="s">
        <v>20</v>
      </c>
      <c r="B2693">
        <f ca="1">IF(OR(changes[[#This Row],[Type]]="Checklist",changes[[#This Row],[Type]]="checklist-flat"),1+IF(changes[[#This Row],[Type of change]] = "Edit",COUNTIFS($I$4:changes[[#This Row],[Name]],changes[[#This Row],[Name]], $E$4:changes[[#This Row],[Type of change]], "Edit")),B2692)</f>
        <v>1</v>
      </c>
      <c r="C2693" s="16">
        <v>44903</v>
      </c>
      <c r="D2693" s="1" t="s">
        <v>2450</v>
      </c>
      <c r="E2693" t="s">
        <v>27</v>
      </c>
      <c r="F2693" s="10" t="s">
        <v>52</v>
      </c>
      <c r="G2693" s="18" t="s">
        <v>2998</v>
      </c>
      <c r="H2693" s="2" t="s">
        <v>214</v>
      </c>
      <c r="I2693" s="18" t="s">
        <v>3006</v>
      </c>
      <c r="J2693" s="23"/>
      <c r="K2693" s="2"/>
      <c r="M2693" s="2"/>
    </row>
    <row r="2694" spans="1:13" ht="15.75">
      <c r="A2694" t="s">
        <v>20</v>
      </c>
      <c r="B2694">
        <f ca="1">IF(OR(changes[[#This Row],[Type]]="Checklist",changes[[#This Row],[Type]]="checklist-flat"),1+IF(changes[[#This Row],[Type of change]] = "Edit",COUNTIFS($I$4:changes[[#This Row],[Name]],changes[[#This Row],[Name]], $E$4:changes[[#This Row],[Type of change]], "Edit")),B2693)</f>
        <v>1</v>
      </c>
      <c r="C2694" s="16">
        <v>44903</v>
      </c>
      <c r="D2694" s="1" t="s">
        <v>2450</v>
      </c>
      <c r="E2694" t="s">
        <v>27</v>
      </c>
      <c r="F2694" s="10" t="s">
        <v>52</v>
      </c>
      <c r="G2694" s="18" t="s">
        <v>2998</v>
      </c>
      <c r="H2694" s="2" t="s">
        <v>55</v>
      </c>
      <c r="I2694" s="18" t="s">
        <v>916</v>
      </c>
      <c r="J2694" s="23"/>
      <c r="K2694" s="2"/>
      <c r="M2694" s="2"/>
    </row>
    <row r="2695" spans="1:13" ht="15.75">
      <c r="A2695" t="s">
        <v>20</v>
      </c>
      <c r="B2695">
        <f ca="1">IF(OR(changes[[#This Row],[Type]]="Checklist",changes[[#This Row],[Type]]="checklist-flat"),1+IF(changes[[#This Row],[Type of change]] = "Edit",COUNTIFS($I$4:changes[[#This Row],[Name]],changes[[#This Row],[Name]], $E$4:changes[[#This Row],[Type of change]], "Edit")),B2694)</f>
        <v>1</v>
      </c>
      <c r="C2695" s="16">
        <v>44903</v>
      </c>
      <c r="D2695" s="1" t="s">
        <v>2450</v>
      </c>
      <c r="E2695" t="s">
        <v>27</v>
      </c>
      <c r="F2695" s="10" t="s">
        <v>52</v>
      </c>
      <c r="G2695" s="18" t="s">
        <v>2998</v>
      </c>
      <c r="H2695" s="2" t="s">
        <v>64</v>
      </c>
      <c r="I2695" s="18" t="s">
        <v>440</v>
      </c>
      <c r="J2695" s="23"/>
      <c r="K2695" s="2"/>
      <c r="M2695" s="2"/>
    </row>
    <row r="2696" spans="1:13" ht="15.75">
      <c r="A2696" t="s">
        <v>20</v>
      </c>
      <c r="B2696">
        <f ca="1">IF(OR(changes[[#This Row],[Type]]="Checklist",changes[[#This Row],[Type]]="checklist-flat"),1+IF(changes[[#This Row],[Type of change]] = "Edit",COUNTIFS($I$4:changes[[#This Row],[Name]],changes[[#This Row],[Name]], $E$4:changes[[#This Row],[Type of change]], "Edit")),B2695)</f>
        <v>1</v>
      </c>
      <c r="C2696" s="16">
        <v>44903</v>
      </c>
      <c r="D2696" s="1" t="s">
        <v>2450</v>
      </c>
      <c r="E2696" t="s">
        <v>27</v>
      </c>
      <c r="F2696" s="10" t="s">
        <v>52</v>
      </c>
      <c r="G2696" s="18" t="s">
        <v>3007</v>
      </c>
      <c r="H2696" s="2" t="s">
        <v>478</v>
      </c>
      <c r="I2696" s="18" t="s">
        <v>3007</v>
      </c>
      <c r="J2696" s="23"/>
      <c r="K2696" s="2"/>
      <c r="M2696" s="2"/>
    </row>
    <row r="2697" spans="1:13" ht="15.75">
      <c r="A2697" t="s">
        <v>20</v>
      </c>
      <c r="B2697">
        <f ca="1">IF(OR(changes[[#This Row],[Type]]="Checklist",changes[[#This Row],[Type]]="checklist-flat"),1+IF(changes[[#This Row],[Type of change]] = "Edit",COUNTIFS($I$4:changes[[#This Row],[Name]],changes[[#This Row],[Name]], $E$4:changes[[#This Row],[Type of change]], "Edit")),B2696)</f>
        <v>1</v>
      </c>
      <c r="C2697" s="16">
        <v>44903</v>
      </c>
      <c r="D2697" s="1" t="s">
        <v>2450</v>
      </c>
      <c r="E2697" t="s">
        <v>27</v>
      </c>
      <c r="F2697" s="10" t="s">
        <v>52</v>
      </c>
      <c r="G2697" s="18" t="s">
        <v>3007</v>
      </c>
      <c r="H2697" s="2" t="s">
        <v>55</v>
      </c>
      <c r="I2697" s="18" t="s">
        <v>3008</v>
      </c>
      <c r="J2697" s="23"/>
      <c r="K2697" s="2"/>
      <c r="M2697" s="2"/>
    </row>
    <row r="2698" spans="1:13" ht="15.75">
      <c r="A2698" t="s">
        <v>20</v>
      </c>
      <c r="B2698">
        <f ca="1">IF(OR(changes[[#This Row],[Type]]="Checklist",changes[[#This Row],[Type]]="checklist-flat"),1+IF(changes[[#This Row],[Type of change]] = "Edit",COUNTIFS($I$4:changes[[#This Row],[Name]],changes[[#This Row],[Name]], $E$4:changes[[#This Row],[Type of change]], "Edit")),B2697)</f>
        <v>1</v>
      </c>
      <c r="C2698" s="16">
        <v>44903</v>
      </c>
      <c r="D2698" s="1" t="s">
        <v>2450</v>
      </c>
      <c r="E2698" t="s">
        <v>27</v>
      </c>
      <c r="F2698" s="10" t="s">
        <v>52</v>
      </c>
      <c r="G2698" s="18" t="s">
        <v>3007</v>
      </c>
      <c r="H2698" s="2" t="s">
        <v>64</v>
      </c>
      <c r="I2698" s="18" t="s">
        <v>440</v>
      </c>
      <c r="J2698" s="23"/>
      <c r="K2698" s="2"/>
      <c r="M2698" s="2"/>
    </row>
    <row r="2699" spans="1:13" ht="15.75">
      <c r="A2699" t="s">
        <v>20</v>
      </c>
      <c r="B2699">
        <f ca="1">IF(OR(changes[[#This Row],[Type]]="Checklist",changes[[#This Row],[Type]]="checklist-flat"),1+IF(changes[[#This Row],[Type of change]] = "Edit",COUNTIFS($I$4:changes[[#This Row],[Name]],changes[[#This Row],[Name]], $E$4:changes[[#This Row],[Type of change]], "Edit")),B2698)</f>
        <v>1</v>
      </c>
      <c r="C2699" s="16">
        <v>44903</v>
      </c>
      <c r="D2699" s="1" t="s">
        <v>2450</v>
      </c>
      <c r="E2699" t="s">
        <v>27</v>
      </c>
      <c r="F2699" s="10" t="s">
        <v>52</v>
      </c>
      <c r="G2699" s="18" t="s">
        <v>3007</v>
      </c>
      <c r="H2699" s="2" t="s">
        <v>55</v>
      </c>
      <c r="I2699" s="18" t="s">
        <v>3009</v>
      </c>
      <c r="J2699" s="23"/>
      <c r="K2699" s="2"/>
      <c r="M2699" s="2"/>
    </row>
    <row r="2700" spans="1:13" ht="15.75">
      <c r="A2700" t="s">
        <v>20</v>
      </c>
      <c r="B2700">
        <f ca="1">IF(OR(changes[[#This Row],[Type]]="Checklist",changes[[#This Row],[Type]]="checklist-flat"),1+IF(changes[[#This Row],[Type of change]] = "Edit",COUNTIFS($I$4:changes[[#This Row],[Name]],changes[[#This Row],[Name]], $E$4:changes[[#This Row],[Type of change]], "Edit")),B2699)</f>
        <v>1</v>
      </c>
      <c r="C2700" s="16">
        <v>44903</v>
      </c>
      <c r="D2700" s="1" t="s">
        <v>2450</v>
      </c>
      <c r="E2700" t="s">
        <v>27</v>
      </c>
      <c r="F2700" s="10" t="s">
        <v>52</v>
      </c>
      <c r="G2700" s="18" t="s">
        <v>3007</v>
      </c>
      <c r="H2700" s="2" t="s">
        <v>55</v>
      </c>
      <c r="I2700" s="18" t="s">
        <v>3010</v>
      </c>
      <c r="J2700" s="23"/>
      <c r="K2700" s="2"/>
      <c r="M2700" s="2"/>
    </row>
    <row r="2701" spans="1:13" ht="15.75">
      <c r="A2701" t="s">
        <v>20</v>
      </c>
      <c r="B2701">
        <f ca="1">IF(OR(changes[[#This Row],[Type]]="Checklist",changes[[#This Row],[Type]]="checklist-flat"),1+IF(changes[[#This Row],[Type of change]] = "Edit",COUNTIFS($I$4:changes[[#This Row],[Name]],changes[[#This Row],[Name]], $E$4:changes[[#This Row],[Type of change]], "Edit")),B2700)</f>
        <v>1</v>
      </c>
      <c r="C2701" s="16">
        <v>44903</v>
      </c>
      <c r="D2701" s="1" t="s">
        <v>2450</v>
      </c>
      <c r="E2701" t="s">
        <v>27</v>
      </c>
      <c r="F2701" s="10" t="s">
        <v>52</v>
      </c>
      <c r="G2701" s="18" t="s">
        <v>3007</v>
      </c>
      <c r="H2701" s="2" t="s">
        <v>55</v>
      </c>
      <c r="I2701" s="18" t="s">
        <v>3011</v>
      </c>
      <c r="J2701" s="23"/>
      <c r="K2701" s="2"/>
      <c r="M2701" s="2"/>
    </row>
    <row r="2702" spans="1:13" ht="15.75">
      <c r="A2702" t="s">
        <v>20</v>
      </c>
      <c r="B2702">
        <f ca="1">IF(OR(changes[[#This Row],[Type]]="Checklist",changes[[#This Row],[Type]]="checklist-flat"),1+IF(changes[[#This Row],[Type of change]] = "Edit",COUNTIFS($I$4:changes[[#This Row],[Name]],changes[[#This Row],[Name]], $E$4:changes[[#This Row],[Type of change]], "Edit")),B2701)</f>
        <v>1</v>
      </c>
      <c r="C2702" s="16">
        <v>44903</v>
      </c>
      <c r="D2702" s="1" t="s">
        <v>2450</v>
      </c>
      <c r="E2702" t="s">
        <v>27</v>
      </c>
      <c r="F2702" s="10" t="s">
        <v>52</v>
      </c>
      <c r="G2702" s="18" t="s">
        <v>3007</v>
      </c>
      <c r="H2702" s="2" t="s">
        <v>55</v>
      </c>
      <c r="I2702" s="18" t="s">
        <v>3012</v>
      </c>
      <c r="J2702" s="23"/>
      <c r="K2702" s="2"/>
      <c r="M2702" s="2"/>
    </row>
    <row r="2703" spans="1:13" ht="15.75">
      <c r="A2703" t="s">
        <v>20</v>
      </c>
      <c r="B2703">
        <f ca="1">IF(OR(changes[[#This Row],[Type]]="Checklist",changes[[#This Row],[Type]]="checklist-flat"),1+IF(changes[[#This Row],[Type of change]] = "Edit",COUNTIFS($I$4:changes[[#This Row],[Name]],changes[[#This Row],[Name]], $E$4:changes[[#This Row],[Type of change]], "Edit")),B2702)</f>
        <v>1</v>
      </c>
      <c r="C2703" s="16">
        <v>44903</v>
      </c>
      <c r="D2703" s="1" t="s">
        <v>2450</v>
      </c>
      <c r="E2703" t="s">
        <v>27</v>
      </c>
      <c r="F2703" s="10" t="s">
        <v>52</v>
      </c>
      <c r="G2703" s="18" t="s">
        <v>3007</v>
      </c>
      <c r="H2703" s="2" t="s">
        <v>55</v>
      </c>
      <c r="I2703" s="18" t="s">
        <v>3013</v>
      </c>
      <c r="J2703" s="23"/>
      <c r="K2703" s="2"/>
      <c r="M2703" s="2"/>
    </row>
    <row r="2704" spans="1:13" ht="15.75">
      <c r="A2704" t="s">
        <v>20</v>
      </c>
      <c r="B2704">
        <f ca="1">IF(OR(changes[[#This Row],[Type]]="Checklist",changes[[#This Row],[Type]]="checklist-flat"),1+IF(changes[[#This Row],[Type of change]] = "Edit",COUNTIFS($I$4:changes[[#This Row],[Name]],changes[[#This Row],[Name]], $E$4:changes[[#This Row],[Type of change]], "Edit")),B2703)</f>
        <v>1</v>
      </c>
      <c r="C2704" s="16">
        <v>44903</v>
      </c>
      <c r="D2704" s="1" t="s">
        <v>2450</v>
      </c>
      <c r="E2704" t="s">
        <v>27</v>
      </c>
      <c r="F2704" s="10" t="s">
        <v>52</v>
      </c>
      <c r="G2704" s="18" t="s">
        <v>3014</v>
      </c>
      <c r="H2704" s="2" t="s">
        <v>478</v>
      </c>
      <c r="I2704" s="18" t="s">
        <v>3014</v>
      </c>
      <c r="J2704" s="23"/>
      <c r="K2704" s="2"/>
      <c r="M2704" s="2"/>
    </row>
    <row r="2705" spans="1:13" ht="15.75">
      <c r="A2705" t="s">
        <v>20</v>
      </c>
      <c r="B2705">
        <f ca="1">IF(OR(changes[[#This Row],[Type]]="Checklist",changes[[#This Row],[Type]]="checklist-flat"),1+IF(changes[[#This Row],[Type of change]] = "Edit",COUNTIFS($I$4:changes[[#This Row],[Name]],changes[[#This Row],[Name]], $E$4:changes[[#This Row],[Type of change]], "Edit")),B2704)</f>
        <v>1</v>
      </c>
      <c r="C2705" s="16">
        <v>44903</v>
      </c>
      <c r="D2705" s="1" t="s">
        <v>2450</v>
      </c>
      <c r="E2705" t="s">
        <v>27</v>
      </c>
      <c r="F2705" s="10" t="s">
        <v>52</v>
      </c>
      <c r="G2705" s="18" t="s">
        <v>3014</v>
      </c>
      <c r="H2705" s="2" t="s">
        <v>55</v>
      </c>
      <c r="I2705" s="18" t="s">
        <v>3015</v>
      </c>
      <c r="J2705" s="23"/>
      <c r="K2705" s="2"/>
      <c r="M2705" s="2"/>
    </row>
    <row r="2706" spans="1:13" ht="15.75">
      <c r="A2706" t="s">
        <v>20</v>
      </c>
      <c r="B2706">
        <f ca="1">IF(OR(changes[[#This Row],[Type]]="Checklist",changes[[#This Row],[Type]]="checklist-flat"),1+IF(changes[[#This Row],[Type of change]] = "Edit",COUNTIFS($I$4:changes[[#This Row],[Name]],changes[[#This Row],[Name]], $E$4:changes[[#This Row],[Type of change]], "Edit")),B2705)</f>
        <v>1</v>
      </c>
      <c r="C2706" s="16">
        <v>44903</v>
      </c>
      <c r="D2706" s="1" t="s">
        <v>2450</v>
      </c>
      <c r="E2706" t="s">
        <v>27</v>
      </c>
      <c r="F2706" s="10" t="s">
        <v>52</v>
      </c>
      <c r="G2706" s="18" t="s">
        <v>3014</v>
      </c>
      <c r="H2706" s="2" t="s">
        <v>437</v>
      </c>
      <c r="I2706" s="18" t="s">
        <v>3016</v>
      </c>
      <c r="J2706" s="23" t="s">
        <v>1272</v>
      </c>
      <c r="K2706" s="2"/>
      <c r="M2706" s="2"/>
    </row>
    <row r="2707" spans="1:13" ht="15.75">
      <c r="A2707" t="s">
        <v>20</v>
      </c>
      <c r="B2707">
        <f ca="1">IF(OR(changes[[#This Row],[Type]]="Checklist",changes[[#This Row],[Type]]="checklist-flat"),1+IF(changes[[#This Row],[Type of change]] = "Edit",COUNTIFS($I$4:changes[[#This Row],[Name]],changes[[#This Row],[Name]], $E$4:changes[[#This Row],[Type of change]], "Edit")),B2706)</f>
        <v>1</v>
      </c>
      <c r="C2707" s="16">
        <v>44903</v>
      </c>
      <c r="D2707" s="1" t="s">
        <v>2450</v>
      </c>
      <c r="E2707" t="s">
        <v>27</v>
      </c>
      <c r="F2707" s="10" t="s">
        <v>52</v>
      </c>
      <c r="G2707" s="18" t="s">
        <v>3014</v>
      </c>
      <c r="H2707" s="2" t="s">
        <v>437</v>
      </c>
      <c r="I2707" s="18" t="s">
        <v>3017</v>
      </c>
      <c r="J2707" s="23" t="s">
        <v>1272</v>
      </c>
      <c r="K2707" s="2"/>
      <c r="M2707" s="2"/>
    </row>
    <row r="2708" spans="1:13" ht="15.75">
      <c r="A2708" t="s">
        <v>20</v>
      </c>
      <c r="B2708">
        <f ca="1">IF(OR(changes[[#This Row],[Type]]="Checklist",changes[[#This Row],[Type]]="checklist-flat"),1+IF(changes[[#This Row],[Type of change]] = "Edit",COUNTIFS($I$4:changes[[#This Row],[Name]],changes[[#This Row],[Name]], $E$4:changes[[#This Row],[Type of change]], "Edit")),B2707)</f>
        <v>1</v>
      </c>
      <c r="C2708" s="16">
        <v>44903</v>
      </c>
      <c r="D2708" s="1" t="s">
        <v>2450</v>
      </c>
      <c r="E2708" t="s">
        <v>27</v>
      </c>
      <c r="F2708" s="10" t="s">
        <v>52</v>
      </c>
      <c r="G2708" s="18" t="s">
        <v>3014</v>
      </c>
      <c r="H2708" s="2" t="s">
        <v>437</v>
      </c>
      <c r="I2708" s="18" t="s">
        <v>3018</v>
      </c>
      <c r="J2708" s="23" t="s">
        <v>1272</v>
      </c>
      <c r="K2708" s="2"/>
      <c r="M2708" s="2"/>
    </row>
    <row r="2709" spans="1:13" ht="15.75">
      <c r="A2709" t="s">
        <v>20</v>
      </c>
      <c r="B2709">
        <f ca="1">IF(OR(changes[[#This Row],[Type]]="Checklist",changes[[#This Row],[Type]]="checklist-flat"),1+IF(changes[[#This Row],[Type of change]] = "Edit",COUNTIFS($I$4:changes[[#This Row],[Name]],changes[[#This Row],[Name]], $E$4:changes[[#This Row],[Type of change]], "Edit")),B2708)</f>
        <v>1</v>
      </c>
      <c r="C2709" s="16">
        <v>44903</v>
      </c>
      <c r="D2709" s="1" t="s">
        <v>2450</v>
      </c>
      <c r="E2709" t="s">
        <v>27</v>
      </c>
      <c r="F2709" s="10" t="s">
        <v>52</v>
      </c>
      <c r="G2709" s="18" t="s">
        <v>3014</v>
      </c>
      <c r="H2709" s="2" t="s">
        <v>437</v>
      </c>
      <c r="I2709" s="18" t="s">
        <v>3019</v>
      </c>
      <c r="J2709" s="23" t="s">
        <v>1272</v>
      </c>
      <c r="K2709" s="2"/>
      <c r="M2709" s="2"/>
    </row>
    <row r="2710" spans="1:13" ht="15.75">
      <c r="A2710" t="s">
        <v>20</v>
      </c>
      <c r="B2710">
        <f ca="1">IF(OR(changes[[#This Row],[Type]]="Checklist",changes[[#This Row],[Type]]="checklist-flat"),1+IF(changes[[#This Row],[Type of change]] = "Edit",COUNTIFS($I$4:changes[[#This Row],[Name]],changes[[#This Row],[Name]], $E$4:changes[[#This Row],[Type of change]], "Edit")),B2709)</f>
        <v>1</v>
      </c>
      <c r="C2710" s="16">
        <v>44903</v>
      </c>
      <c r="D2710" s="1" t="s">
        <v>2450</v>
      </c>
      <c r="E2710" t="s">
        <v>27</v>
      </c>
      <c r="F2710" s="10" t="s">
        <v>52</v>
      </c>
      <c r="G2710" s="18" t="s">
        <v>3014</v>
      </c>
      <c r="H2710" s="2" t="s">
        <v>214</v>
      </c>
      <c r="I2710" s="18" t="s">
        <v>3020</v>
      </c>
      <c r="J2710" s="23"/>
      <c r="K2710" s="2"/>
      <c r="M2710" s="2"/>
    </row>
    <row r="2711" spans="1:13" ht="15.75">
      <c r="A2711" t="s">
        <v>20</v>
      </c>
      <c r="B2711">
        <f ca="1">IF(OR(changes[[#This Row],[Type]]="Checklist",changes[[#This Row],[Type]]="checklist-flat"),1+IF(changes[[#This Row],[Type of change]] = "Edit",COUNTIFS($I$4:changes[[#This Row],[Name]],changes[[#This Row],[Name]], $E$4:changes[[#This Row],[Type of change]], "Edit")),B2710)</f>
        <v>1</v>
      </c>
      <c r="C2711" s="16">
        <v>44903</v>
      </c>
      <c r="D2711" s="1" t="s">
        <v>2450</v>
      </c>
      <c r="E2711" t="s">
        <v>27</v>
      </c>
      <c r="F2711" s="10" t="s">
        <v>52</v>
      </c>
      <c r="G2711" s="18" t="s">
        <v>3014</v>
      </c>
      <c r="H2711" s="2" t="s">
        <v>214</v>
      </c>
      <c r="I2711" s="18" t="s">
        <v>3021</v>
      </c>
      <c r="J2711" s="23"/>
      <c r="K2711" s="2"/>
      <c r="M2711" s="2"/>
    </row>
    <row r="2712" spans="1:13" ht="15.75">
      <c r="A2712" t="s">
        <v>20</v>
      </c>
      <c r="B2712">
        <f ca="1">IF(OR(changes[[#This Row],[Type]]="Checklist",changes[[#This Row],[Type]]="checklist-flat"),1+IF(changes[[#This Row],[Type of change]] = "Edit",COUNTIFS($I$4:changes[[#This Row],[Name]],changes[[#This Row],[Name]], $E$4:changes[[#This Row],[Type of change]], "Edit")),B2711)</f>
        <v>1</v>
      </c>
      <c r="C2712" s="16">
        <v>44903</v>
      </c>
      <c r="D2712" s="1" t="s">
        <v>2450</v>
      </c>
      <c r="E2712" t="s">
        <v>27</v>
      </c>
      <c r="F2712" s="10" t="s">
        <v>52</v>
      </c>
      <c r="G2712" s="18" t="s">
        <v>2117</v>
      </c>
      <c r="H2712" s="2" t="s">
        <v>478</v>
      </c>
      <c r="I2712" s="18" t="s">
        <v>2117</v>
      </c>
      <c r="J2712" s="23"/>
      <c r="K2712" s="2"/>
      <c r="M2712" s="2"/>
    </row>
    <row r="2713" spans="1:13" ht="15.75">
      <c r="A2713" t="s">
        <v>20</v>
      </c>
      <c r="B2713">
        <f ca="1">IF(OR(changes[[#This Row],[Type]]="Checklist",changes[[#This Row],[Type]]="checklist-flat"),1+IF(changes[[#This Row],[Type of change]] = "Edit",COUNTIFS($I$4:changes[[#This Row],[Name]],changes[[#This Row],[Name]], $E$4:changes[[#This Row],[Type of change]], "Edit")),B2712)</f>
        <v>1</v>
      </c>
      <c r="C2713" s="16">
        <v>44903</v>
      </c>
      <c r="D2713" s="1" t="s">
        <v>2450</v>
      </c>
      <c r="E2713" t="s">
        <v>27</v>
      </c>
      <c r="F2713" s="10" t="s">
        <v>52</v>
      </c>
      <c r="G2713" s="18" t="s">
        <v>2117</v>
      </c>
      <c r="H2713" s="2" t="s">
        <v>214</v>
      </c>
      <c r="I2713" s="18" t="s">
        <v>2119</v>
      </c>
      <c r="J2713" s="23"/>
      <c r="K2713" s="2"/>
      <c r="M2713" s="2"/>
    </row>
    <row r="2714" spans="1:13" ht="15.75">
      <c r="A2714" t="s">
        <v>20</v>
      </c>
      <c r="B2714">
        <f ca="1">IF(OR(changes[[#This Row],[Type]]="Checklist",changes[[#This Row],[Type]]="checklist-flat"),1+IF(changes[[#This Row],[Type of change]] = "Edit",COUNTIFS($I$4:changes[[#This Row],[Name]],changes[[#This Row],[Name]], $E$4:changes[[#This Row],[Type of change]], "Edit")),B2713)</f>
        <v>1</v>
      </c>
      <c r="C2714" s="16">
        <v>44903</v>
      </c>
      <c r="D2714" s="1" t="s">
        <v>2450</v>
      </c>
      <c r="E2714" t="s">
        <v>27</v>
      </c>
      <c r="F2714" s="10" t="s">
        <v>52</v>
      </c>
      <c r="G2714" s="18" t="s">
        <v>2117</v>
      </c>
      <c r="H2714" s="2" t="s">
        <v>214</v>
      </c>
      <c r="I2714" s="18" t="s">
        <v>2120</v>
      </c>
      <c r="J2714" s="23"/>
      <c r="K2714" s="2"/>
      <c r="M2714" s="2"/>
    </row>
    <row r="2715" spans="1:13" ht="15.75">
      <c r="A2715" t="s">
        <v>20</v>
      </c>
      <c r="B2715">
        <f ca="1">IF(OR(changes[[#This Row],[Type]]="Checklist",changes[[#This Row],[Type]]="checklist-flat"),1+IF(changes[[#This Row],[Type of change]] = "Edit",COUNTIFS($I$4:changes[[#This Row],[Name]],changes[[#This Row],[Name]], $E$4:changes[[#This Row],[Type of change]], "Edit")),B2714)</f>
        <v>1</v>
      </c>
      <c r="C2715" s="16">
        <v>44903</v>
      </c>
      <c r="D2715" s="1" t="s">
        <v>2450</v>
      </c>
      <c r="E2715" t="s">
        <v>27</v>
      </c>
      <c r="F2715" s="10" t="s">
        <v>52</v>
      </c>
      <c r="G2715" s="18" t="s">
        <v>2117</v>
      </c>
      <c r="H2715" s="2" t="s">
        <v>55</v>
      </c>
      <c r="I2715" s="18" t="s">
        <v>2121</v>
      </c>
      <c r="J2715" s="23"/>
      <c r="K2715" s="2"/>
      <c r="M2715" s="2"/>
    </row>
    <row r="2716" spans="1:13" ht="15.75">
      <c r="A2716" t="s">
        <v>20</v>
      </c>
      <c r="B2716">
        <f ca="1">IF(OR(changes[[#This Row],[Type]]="Checklist",changes[[#This Row],[Type]]="checklist-flat"),1+IF(changes[[#This Row],[Type of change]] = "Edit",COUNTIFS($I$4:changes[[#This Row],[Name]],changes[[#This Row],[Name]], $E$4:changes[[#This Row],[Type of change]], "Edit")),B2715)</f>
        <v>1</v>
      </c>
      <c r="C2716" s="16">
        <v>44903</v>
      </c>
      <c r="D2716" s="1" t="s">
        <v>2450</v>
      </c>
      <c r="E2716" t="s">
        <v>27</v>
      </c>
      <c r="F2716" s="10" t="s">
        <v>52</v>
      </c>
      <c r="G2716" s="18" t="s">
        <v>2117</v>
      </c>
      <c r="H2716" s="2" t="s">
        <v>55</v>
      </c>
      <c r="I2716" s="18" t="s">
        <v>2122</v>
      </c>
      <c r="J2716" s="23"/>
      <c r="K2716" s="2"/>
      <c r="M2716" s="2"/>
    </row>
    <row r="2717" spans="1:13" ht="15.75">
      <c r="A2717" t="s">
        <v>20</v>
      </c>
      <c r="B2717">
        <f ca="1">IF(OR(changes[[#This Row],[Type]]="Checklist",changes[[#This Row],[Type]]="checklist-flat"),1+IF(changes[[#This Row],[Type of change]] = "Edit",COUNTIFS($I$4:changes[[#This Row],[Name]],changes[[#This Row],[Name]], $E$4:changes[[#This Row],[Type of change]], "Edit")),B2716)</f>
        <v>1</v>
      </c>
      <c r="C2717" s="16">
        <v>44903</v>
      </c>
      <c r="D2717" s="1" t="s">
        <v>2450</v>
      </c>
      <c r="E2717" t="s">
        <v>27</v>
      </c>
      <c r="F2717" s="10" t="s">
        <v>52</v>
      </c>
      <c r="G2717" s="18" t="s">
        <v>2117</v>
      </c>
      <c r="H2717" s="2" t="s">
        <v>55</v>
      </c>
      <c r="I2717" s="18" t="s">
        <v>2123</v>
      </c>
      <c r="J2717" s="23"/>
      <c r="K2717" s="2"/>
      <c r="M2717" s="2"/>
    </row>
    <row r="2718" spans="1:13" ht="15.75">
      <c r="A2718" t="s">
        <v>20</v>
      </c>
      <c r="B2718">
        <f ca="1">IF(OR(changes[[#This Row],[Type]]="Checklist",changes[[#This Row],[Type]]="checklist-flat"),1+IF(changes[[#This Row],[Type of change]] = "Edit",COUNTIFS($I$4:changes[[#This Row],[Name]],changes[[#This Row],[Name]], $E$4:changes[[#This Row],[Type of change]], "Edit")),B2717)</f>
        <v>1</v>
      </c>
      <c r="C2718" s="16">
        <v>44903</v>
      </c>
      <c r="D2718" s="1" t="s">
        <v>2450</v>
      </c>
      <c r="E2718" t="s">
        <v>27</v>
      </c>
      <c r="F2718" s="10" t="s">
        <v>52</v>
      </c>
      <c r="G2718" s="18" t="s">
        <v>2117</v>
      </c>
      <c r="H2718" s="2" t="s">
        <v>55</v>
      </c>
      <c r="I2718" s="18" t="s">
        <v>2124</v>
      </c>
      <c r="J2718" s="23"/>
      <c r="K2718" s="2"/>
      <c r="M2718" s="2"/>
    </row>
    <row r="2719" spans="1:13" ht="15.75">
      <c r="A2719" t="s">
        <v>20</v>
      </c>
      <c r="B2719">
        <f ca="1">IF(OR(changes[[#This Row],[Type]]="Checklist",changes[[#This Row],[Type]]="checklist-flat"),1+IF(changes[[#This Row],[Type of change]] = "Edit",COUNTIFS($I$4:changes[[#This Row],[Name]],changes[[#This Row],[Name]], $E$4:changes[[#This Row],[Type of change]], "Edit")),B2718)</f>
        <v>1</v>
      </c>
      <c r="C2719" s="16">
        <v>44903</v>
      </c>
      <c r="D2719" s="1" t="s">
        <v>2450</v>
      </c>
      <c r="E2719" t="s">
        <v>27</v>
      </c>
      <c r="F2719" s="10" t="s">
        <v>52</v>
      </c>
      <c r="G2719" s="18" t="s">
        <v>2117</v>
      </c>
      <c r="H2719" s="2" t="s">
        <v>64</v>
      </c>
      <c r="I2719" s="18" t="s">
        <v>2125</v>
      </c>
      <c r="J2719" s="23"/>
      <c r="K2719" s="2"/>
      <c r="M2719" s="2"/>
    </row>
  </sheetData>
  <sheetProtection algorithmName="SHA-512" hashValue="nouMQt/5aLuE6XKbOIEMl7q0vs9cG2ROEP6OlExWqBkBQK3c+mPcrYZdGP5tQHh+M+BsPIjvvsakEzdey0+gaQ==" saltValue="WNXEVu+scTiXtvZBwmKmAQ==" spinCount="100000" sheet="1" selectLockedCells="1" sort="0" autoFilter="0" pivotTables="0" selectUnlockedCells="1"/>
  <protectedRanges>
    <protectedRange sqref="C3:K3 M3 C1973:J2021 N1973:N2063 E1813:E1972 N2065:N2209 C2022:K2256 C2325:G2340 D2398:G2399 J2398:K2399 J2258:J2261 H2257:J2257 C2257:G2261 K2257:K2261 C2464:J2465 H2469:H2474 H2466:J2468 C2466:G2474 C2341:J2345 J2400:J2463 I2483:J2500 N2211:N2544 C2346:K2390 D2391:K2397 C2391:C2399 K2511:K2519 C2475:H2476 I2469:J2476 C2477:J2482 C2262:K2324 C2400:F2463 N2564:N1048576 K2545:K1048576 C2483:H1048576 I2502:J1048576 M2545:M2587" name="Range1" securityDescriptor="O:WDG:WDD:(A;;CC;;;S-1-5-21-1998651556-1904430502-1845911597-49723)"/>
    <protectedRange sqref="I4:I378 I381:I424 F4:H424 C4:E448 M4:M472 M650:M672 M1284:M1291 M841:M862 M1272:M1282 M692:M837 M617:M648 M474:M543 M545:M615 C449:K1426 H1427:I1651 H1661:I1672 F425:K448 J4:K424 I1709:I1721 J1427:K1707 C1427:G1707 H1674:I1707 C1708:K1708 M1299:M1710 I1723:I1729 C1709:H1787 J1709:K1812 I1732:I1811 N1710:N1972 F1788:H1811 C1788:E1812 F1812:I1812 K1973:K2021 C1813:D1972 F1813:K1972" name="Range1_2" securityDescriptor="O:WDG:WDD:(A;;CC;;;S-1-5-21-1998651556-1904430502-1845911597-49723)"/>
    <protectedRange sqref="H1656:I1660 H1652:I1654" name="Range1_1_1" securityDescriptor="O:WDG:WDD:(A;;CC;;;S-1-5-21-1998651556-1904430502-1845911597-49723)"/>
    <protectedRange sqref="H2325:K2339 H2340:J2340 K2340:K2345 K2520:K2544 K2400:K2510" name="Range1_1" securityDescriptor="O:WDG:WDD:(A;;CC;;;S-1-5-21-1998651556-1904430502-1845911597-49723)"/>
    <protectedRange sqref="I2419:I2421 I2411:I2417 I2258:I2261" name="Range1_2_1" securityDescriptor="O:WDG:WDD:(A;;CC;;;S-1-5-21-1998651556-1904430502-1845911597-49723)"/>
    <protectedRange sqref="G2438:I2445 H2455:I2463 G2446:G2463" name="Range1_3" securityDescriptor="O:WDG:WDD:(A;;CC;;;S-1-5-21-1998651556-1904430502-1845911597-49723)"/>
    <protectedRange sqref="I2447:I2454" name="Range1_2_2" securityDescriptor="O:WDG:WDD:(A;;CC;;;S-1-5-21-1998651556-1904430502-1845911597-49723)"/>
  </protectedRanges>
  <phoneticPr fontId="2" type="noConversion"/>
  <conditionalFormatting sqref="A4:A2167">
    <cfRule type="cellIs" dxfId="117" priority="329" operator="equal">
      <formula>"Processing"</formula>
    </cfRule>
    <cfRule type="cellIs" dxfId="116" priority="330" operator="equal">
      <formula>"Implemented"</formula>
    </cfRule>
    <cfRule type="cellIs" dxfId="115" priority="331" operator="equal">
      <formula>"Denied"</formula>
    </cfRule>
    <cfRule type="cellIs" dxfId="114" priority="332" operator="equal">
      <formula>"Approved"</formula>
    </cfRule>
  </conditionalFormatting>
  <conditionalFormatting sqref="A4:A2360">
    <cfRule type="containsText" dxfId="113" priority="52" operator="containsText" text="Updated in ConQA">
      <formula>NOT(ISERROR(SEARCH("Updated in ConQA",A4)))</formula>
    </cfRule>
  </conditionalFormatting>
  <conditionalFormatting sqref="A1973:A1048576 A1:M2 A1:A3">
    <cfRule type="cellIs" dxfId="112" priority="517" operator="equal">
      <formula>"Processing"</formula>
    </cfRule>
    <cfRule type="cellIs" dxfId="111" priority="518" operator="equal">
      <formula>"Implemented"</formula>
    </cfRule>
    <cfRule type="cellIs" dxfId="110" priority="519" operator="equal">
      <formula>"Denied"</formula>
    </cfRule>
    <cfRule type="cellIs" dxfId="109" priority="520" operator="equal">
      <formula>"Approved"</formula>
    </cfRule>
  </conditionalFormatting>
  <conditionalFormatting sqref="A2178:A2242">
    <cfRule type="cellIs" dxfId="108" priority="193" operator="equal">
      <formula>"Processing"</formula>
    </cfRule>
    <cfRule type="cellIs" dxfId="107" priority="194" operator="equal">
      <formula>"Implemented"</formula>
    </cfRule>
    <cfRule type="cellIs" dxfId="106" priority="195" operator="equal">
      <formula>"Denied"</formula>
    </cfRule>
    <cfRule type="cellIs" dxfId="105" priority="196" operator="equal">
      <formula>"Approved"</formula>
    </cfRule>
  </conditionalFormatting>
  <conditionalFormatting sqref="A2400:A2510">
    <cfRule type="containsText" dxfId="104" priority="415" operator="containsText" text="Updated in ConQA">
      <formula>NOT(ISERROR(SEARCH("Updated in ConQA",A2400)))</formula>
    </cfRule>
  </conditionalFormatting>
  <conditionalFormatting sqref="A2520:A2544">
    <cfRule type="containsText" dxfId="103" priority="5" operator="containsText" text="Updated in ConQA">
      <formula>NOT(ISERROR(SEARCH("Updated in ConQA",A2520)))</formula>
    </cfRule>
  </conditionalFormatting>
  <conditionalFormatting sqref="A2564:A2587">
    <cfRule type="containsText" dxfId="102" priority="1" operator="containsText" text="Updated in ConQA">
      <formula>NOT(ISERROR(SEARCH("Updated in ConQA",A2564)))</formula>
    </cfRule>
  </conditionalFormatting>
  <conditionalFormatting sqref="B6">
    <cfRule type="expression" dxfId="101" priority="404">
      <formula>$H6= "section"</formula>
    </cfRule>
    <cfRule type="expression" dxfId="100" priority="405">
      <formula>OR($H6 = "checklist",$H6= "checklist-flat")</formula>
    </cfRule>
  </conditionalFormatting>
  <conditionalFormatting sqref="B2114">
    <cfRule type="expression" dxfId="99" priority="386">
      <formula>$H2114= "section"</formula>
    </cfRule>
    <cfRule type="expression" dxfId="98" priority="387">
      <formula>OR($H2114 = "checklist",$H2114= "checklist-flat")</formula>
    </cfRule>
  </conditionalFormatting>
  <conditionalFormatting sqref="B2250:B2345">
    <cfRule type="expression" dxfId="97" priority="80">
      <formula>$H2250= "section"</formula>
    </cfRule>
    <cfRule type="expression" dxfId="96" priority="81">
      <formula>OR($H2250 = "checklist",$H2250= "checklist-flat")</formula>
    </cfRule>
  </conditionalFormatting>
  <conditionalFormatting sqref="B2361:B2442 B2400:J2402 L2400:M2456 B2403:G2404 J2403:J2405 B2405:I2405 B2406:J2407 B2408:G2409 J2408:J2410 B2410:I2410 B2412:G2413 J2412:J2414 B2414:I2414 B2415:J2416 B2417:G2418 J2417:J2419 B2419:I2419 B2420:J2421 B2422:G2423 J2422:J2424 B2424:I2424 B2425:J2426 B2427:G2428 J2427:J2429 B2429:I2429 B2430:J2431 B2432:G2433 J2432:J2434 B2434:I2434 B2435:J2436 B2437:G2438 J2437:J2439 B2439:I2439 B2440:J2441 B2442:G2443 J2442:J2444 B2444:I2444 B2446:G2447 J2446:J2448 B2448:I2448 B2449:J2450 B2451:G2452 J2451:J2453 B2453:I2453 B2455:I2455 B2459:G2460 J2459:J2461 B2461:I2461 B2462:J2464">
    <cfRule type="expression" dxfId="95" priority="104">
      <formula>OR($H2361 = "checklist",$H2361= "checklist-flat")</formula>
    </cfRule>
  </conditionalFormatting>
  <conditionalFormatting sqref="B1813:D1972 F1813:F1972">
    <cfRule type="expression" dxfId="94" priority="413">
      <formula>$H1813= "section"</formula>
    </cfRule>
    <cfRule type="expression" dxfId="93" priority="414">
      <formula>OR($H1813 = "checklist",$H1813= "checklist-flat")</formula>
    </cfRule>
  </conditionalFormatting>
  <conditionalFormatting sqref="B2113:G2113">
    <cfRule type="expression" dxfId="92" priority="393">
      <formula>$H2113= "section"</formula>
    </cfRule>
    <cfRule type="expression" dxfId="91" priority="394">
      <formula>OR($H2113 = "checklist",$H2113= "checklist-flat")</formula>
    </cfRule>
  </conditionalFormatting>
  <conditionalFormatting sqref="B2405:I2405 B2410:I2410 B2414:I2414 B2419:I2419 B2424:I2424 B2429:I2429 B2434:I2434 B2439:I2439 B2444:I2444 B2448:I2448 B2453:I2453 B2455:I2455 B2461:I2461 B2400:J2402 B2403:G2404 B2406:J2407 B2408:G2409 B2412:G2413 B2415:J2416 B2417:G2418 B2420:J2421 B2422:G2423 B2425:J2426 B2427:G2428 B2430:J2431 B2432:G2433 B2435:J2436 B2437:G2438 B2440:J2441 B2442:G2443 B2446:G2447 B2449:J2450 B2451:G2452 B2459:G2460 B2462:J2464 L2400:M2456 B2361:B2442 J2403:J2405 J2408:J2410 J2412:J2414 J2417:J2419 J2422:J2424 J2427:J2429 J2432:J2434 J2437:J2439 J2442:J2444 J2446:J2448 J2451:J2453 J2459:J2461">
    <cfRule type="expression" dxfId="90" priority="103">
      <formula>$H2361= "section"</formula>
    </cfRule>
  </conditionalFormatting>
  <conditionalFormatting sqref="B1:M3 B1973:J2000 L1973:M2000 B2001:M2112 E2042:E2147 H2113:M2113 C2114:M2114 B2115:M2159 L2159:L2167 B2160:K2161 M2160:M2161 B2162:M2178 B2179:H2180 J2179:M2180 B2181:M2209 I2210:K2211 B2210:G2214 K2210:M2289 J2212:K2214 B2215:J2249 D2250:J2250 G2251:J2257 D2251:F2289 G2257:G2261 J2258:J2261 G2262:J2262 G2263:H2263 J2263 G2264:J2264 G2265:H2265 J2265 G2266:J2273 H2274:J2277 G2274:G2317 H2278:I2281 J2278:J2285 H2282 H2283:I2283 H2284 H2285:I2286 H2286:J2288 H2289 J2289 C2290:M2324 C2325:G2340 M2325:M2340 F2341:I2341 C2341:F2345 J2341:M2360 F2346:I2346 B2346:F2360 F2351:I2351 F2356:I2356 B2361:M2390 D2391:M2397 D2398:G2399 J2398:M2399 G2399:K2424 C2400:F2456 K2400:L2456 B2411:J2411 M2412:M2417 B2445:J2445 B2445:B2456 G2445:K2456 M2447:M2454 B2454:J2454 B2456:J2456 B2457:M2457 B2458:J2458 C2458:F2463 B2458:B2468 L2458:M2476 G2458:K2482 K2458:K2510 C2464:G2468 B2465:G2474 B2475:J2475 C2475:G2476 B2476:G2476 D2477:G2481 J2477:M2481 B2477:B2482 D2482 L2482:M2519 B2483:D2519 L2520 B2520:J2544 L2521:M2544 G2545:M2563 B2564:L2564 C2564:G2587 L2564:L2587 B2565:H2587 J2565:L2587 B2588:M1048576">
    <cfRule type="expression" dxfId="89" priority="1335">
      <formula>OR($H1 = "checklist",$H1= "checklist-flat")</formula>
    </cfRule>
  </conditionalFormatting>
  <conditionalFormatting sqref="B1:M3 B2001:M2112 E2042:E2147 J2341:M2360 G2399:K2424 B2361:M2390 C2400:F2456 K2400:L2456 B2411:J2411 M2412:M2417 B2445:B2456 G2445:K2456 M2447:M2454 C2458:F2463 B2458:B2468 G2458:K2482 C2464:G2468 K2458:K2510 B2520:J2544 B2564:L2564 B2565:H2587 B1973:J2000 C2114:M2114 B2115:M2159 B2160:K2161 B2162:M2178 B2179:H2180 B2181:M2209 B2210:G2214 B2215:J2249 D2250:J2250 D2251:F2289 C2290:M2324 C2325:G2340 C2341:F2345 B2346:F2360 D2391:M2397 D2398:G2399 B2445:J2445 B2454:J2454 B2456:J2456 B2457:M2457 B2458:J2458 B2465:G2474 B2475:J2475 C2475:G2476 B2476:G2476 D2477:G2481 L1973:M2000 H2113:M2113 M2160:M2161 J2179:M2180 K2210:M2289 M2325:M2340 J2398:M2399 L2458:M2476 J2477:M2481 L2482:M2519 L2521:M2544 G2545:M2563 L2159:L2167 I2210:K2211 J2212:K2214 G2251:J2257 G2257:G2261 J2258:J2261 G2262:J2262 G2263:H2263 J2263 G2264:J2264 G2265:H2265 J2265 G2266:J2273 H2274:J2277 G2274:G2317 H2278:I2281 J2278:J2285 H2282 H2283:I2283 H2284 H2285:I2286 H2286:J2288 H2289 J2289 F2341:I2341 F2346:I2346 F2351:I2351 F2356:I2356 B2477:B2482 D2482 B2483:D2519 L2520 C2564:G2587 L2564:L2587 J2565:L2587 B2588:M1048576">
    <cfRule type="expression" dxfId="88" priority="1334">
      <formula>$H1= "section"</formula>
    </cfRule>
  </conditionalFormatting>
  <conditionalFormatting sqref="B4:M5 C6:M6 B1730:H1731 B1732:M1812 J1730:M1731 K1813:M1972 H1813:J1829 G1830:J1972 K1973:K2021">
    <cfRule type="expression" dxfId="87" priority="434">
      <formula>$H4= "section"</formula>
    </cfRule>
  </conditionalFormatting>
  <conditionalFormatting sqref="B4:M5 C6:M6 B1730:H1731 J1730:M1731 B1732:M1812 H1813:J1829 K1813:M1972 G1830:J1972 K1973:K2021">
    <cfRule type="expression" dxfId="86" priority="435">
      <formula>OR($H4 = "checklist",$H4= "checklist-flat")</formula>
    </cfRule>
  </conditionalFormatting>
  <conditionalFormatting sqref="B7:M1729">
    <cfRule type="expression" dxfId="85" priority="428">
      <formula>$H7= "section"</formula>
    </cfRule>
    <cfRule type="expression" dxfId="84" priority="429">
      <formula>OR($H7 = "checklist",$H7= "checklist-flat")</formula>
    </cfRule>
  </conditionalFormatting>
  <conditionalFormatting sqref="C2250:C2289">
    <cfRule type="expression" dxfId="83" priority="190">
      <formula>$H2250= "section"</formula>
    </cfRule>
    <cfRule type="expression" dxfId="82" priority="191">
      <formula>OR($H2250 = "checklist",$H2250= "checklist-flat")</formula>
    </cfRule>
  </conditionalFormatting>
  <conditionalFormatting sqref="C2391:C2399">
    <cfRule type="expression" dxfId="81" priority="15">
      <formula>$H2391= "section"</formula>
    </cfRule>
    <cfRule type="expression" dxfId="80" priority="16">
      <formula>OR($H2391 = "checklist",$H2391= "checklist-flat")</formula>
    </cfRule>
  </conditionalFormatting>
  <conditionalFormatting sqref="C2477:C2482">
    <cfRule type="expression" dxfId="79" priority="11">
      <formula>$H2477= "section"</formula>
    </cfRule>
    <cfRule type="expression" dxfId="78" priority="12">
      <formula>OR($H2477 = "checklist",$H2477= "checklist-flat")</formula>
    </cfRule>
  </conditionalFormatting>
  <conditionalFormatting sqref="C2545:C2563">
    <cfRule type="expression" dxfId="77" priority="20">
      <formula>$H2545= "section"</formula>
    </cfRule>
    <cfRule type="expression" dxfId="76" priority="21">
      <formula>OR($H2545 = "checklist",$H2545= "checklist-flat")</formula>
    </cfRule>
  </conditionalFormatting>
  <conditionalFormatting sqref="D2545:F2563 B2545:B2587">
    <cfRule type="expression" dxfId="75" priority="29">
      <formula>$H2545= "section"</formula>
    </cfRule>
    <cfRule type="expression" dxfId="74" priority="30">
      <formula>OR($H2545 = "checklist",$H2545= "checklist-flat")</formula>
    </cfRule>
  </conditionalFormatting>
  <conditionalFormatting sqref="E4:E2563">
    <cfRule type="containsText" dxfId="73" priority="22" operator="containsText" text="Deletion">
      <formula>NOT(ISERROR(SEARCH("Deletion",E4)))</formula>
    </cfRule>
  </conditionalFormatting>
  <conditionalFormatting sqref="E1813:E1972">
    <cfRule type="expression" dxfId="72" priority="384">
      <formula>$H1813= "section"</formula>
    </cfRule>
    <cfRule type="expression" dxfId="71" priority="385">
      <formula>OR($H1813 = "checklist",$H1813= "checklist-flat")</formula>
    </cfRule>
  </conditionalFormatting>
  <conditionalFormatting sqref="E2482:K2519 F2519:G2544">
    <cfRule type="expression" dxfId="70" priority="55">
      <formula>$H2482= "section"</formula>
    </cfRule>
    <cfRule type="expression" dxfId="69" priority="56">
      <formula>OR($H2482 = "checklist",$H2482= "checklist-flat")</formula>
    </cfRule>
  </conditionalFormatting>
  <conditionalFormatting sqref="F2545:F2563">
    <cfRule type="expression" dxfId="68" priority="23">
      <formula>$H2545= "section"</formula>
    </cfRule>
    <cfRule type="expression" dxfId="67" priority="24">
      <formula>OR($H2545 = "checklist",$H2545= "checklist-flat")</formula>
    </cfRule>
  </conditionalFormatting>
  <conditionalFormatting sqref="G1813:G1829">
    <cfRule type="expression" dxfId="66" priority="406">
      <formula>$H1813= "section"</formula>
    </cfRule>
    <cfRule type="expression" dxfId="65" priority="407">
      <formula>OR($H1813 = "checklist",$H1813= "checklist-flat")</formula>
    </cfRule>
  </conditionalFormatting>
  <conditionalFormatting sqref="G2400">
    <cfRule type="expression" dxfId="64" priority="107">
      <formula>OR($D2400 = "checklist",$D2400 ="checklist-flat")</formula>
    </cfRule>
    <cfRule type="expression" dxfId="63" priority="108">
      <formula>$D2400="Section"</formula>
    </cfRule>
  </conditionalFormatting>
  <conditionalFormatting sqref="G2405 G2410 G2414 G2419 G2424 G2429 G2434 G2439 G2444 G2448 G2453 G2455 G2461">
    <cfRule type="expression" dxfId="62" priority="90">
      <formula>OR($D2405 = "checklist",$D2405 ="checklist-flat")</formula>
    </cfRule>
    <cfRule type="expression" dxfId="61" priority="91">
      <formula>$D2405="Section"</formula>
    </cfRule>
  </conditionalFormatting>
  <conditionalFormatting sqref="G2400:I2400 G2405:I2405 G2410:I2410 G2414:I2414 G2419:I2419 G2424:I2424 G2448:I2448 G2453:I2453 G2455:I2455 G2461:I2461 G2429:I2429 G2434:I2434 G2439:I2439 G2444:I2444 H2258:I2258">
    <cfRule type="expression" dxfId="60" priority="2324">
      <formula>COUNTIFS($D$6:$D$2617,$D$6, $E$6:$E$2570,$E$6 )&gt;1</formula>
    </cfRule>
  </conditionalFormatting>
  <conditionalFormatting sqref="H2210:H2214">
    <cfRule type="expression" dxfId="59" priority="326">
      <formula>$H2210= "section"</formula>
    </cfRule>
    <cfRule type="expression" dxfId="58" priority="327">
      <formula>OR($H2210 = "checklist",$H2210= "checklist-flat")</formula>
    </cfRule>
  </conditionalFormatting>
  <conditionalFormatting sqref="H2258:I2258">
    <cfRule type="expression" dxfId="57" priority="73">
      <formula>OR($D2258 = "checklist",$D2258 ="checklist-flat")</formula>
    </cfRule>
    <cfRule type="expression" dxfId="56" priority="74">
      <formula>$D2258="Section"</formula>
    </cfRule>
  </conditionalFormatting>
  <conditionalFormatting sqref="H2258:I2260">
    <cfRule type="expression" dxfId="55" priority="78">
      <formula>$H2258= "section"</formula>
    </cfRule>
    <cfRule type="expression" dxfId="54" priority="79">
      <formula>OR($H2258 = "checklist",$H2258= "checklist-flat")</formula>
    </cfRule>
  </conditionalFormatting>
  <conditionalFormatting sqref="H2261:I2261">
    <cfRule type="expression" dxfId="53" priority="76">
      <formula>$B2261= "section"</formula>
    </cfRule>
    <cfRule type="expression" dxfId="52" priority="77">
      <formula>OR($B2261 = "checklist",$B2261= "checklist-flat")</formula>
    </cfRule>
  </conditionalFormatting>
  <conditionalFormatting sqref="H2342:I2345 H2347:I2350 H2352:I2355 H2357:I2360">
    <cfRule type="expression" dxfId="51" priority="2339">
      <formula>COUNTIFS($D$6:$D$2657,$D$6, $E$6:$E$2609,$E$6 )&gt;1</formula>
    </cfRule>
  </conditionalFormatting>
  <conditionalFormatting sqref="H2342:I2345">
    <cfRule type="expression" dxfId="50" priority="176">
      <formula>OR($D2342 = "checklist",$D2342 ="checklist-flat")</formula>
    </cfRule>
    <cfRule type="expression" dxfId="49" priority="177">
      <formula>$D2342="Section"</formula>
    </cfRule>
  </conditionalFormatting>
  <conditionalFormatting sqref="H2347:I2350">
    <cfRule type="expression" dxfId="48" priority="173">
      <formula>OR($D2347 = "checklist",$D2347 ="checklist-flat")</formula>
    </cfRule>
    <cfRule type="expression" dxfId="47" priority="174">
      <formula>$D2347="Section"</formula>
    </cfRule>
  </conditionalFormatting>
  <conditionalFormatting sqref="H2352:I2355">
    <cfRule type="expression" dxfId="46" priority="170">
      <formula>OR($D2352 = "checklist",$D2352 ="checklist-flat")</formula>
    </cfRule>
    <cfRule type="expression" dxfId="45" priority="171">
      <formula>$D2352="Section"</formula>
    </cfRule>
  </conditionalFormatting>
  <conditionalFormatting sqref="H2357:I2360">
    <cfRule type="expression" dxfId="44" priority="167">
      <formula>OR($D2357 = "checklist",$D2357 ="checklist-flat")</formula>
    </cfRule>
    <cfRule type="expression" dxfId="43" priority="168">
      <formula>$D2357="Section"</formula>
    </cfRule>
  </conditionalFormatting>
  <conditionalFormatting sqref="H2398:I2399">
    <cfRule type="expression" dxfId="42" priority="165">
      <formula>$B2398= "section"</formula>
    </cfRule>
    <cfRule type="expression" dxfId="41" priority="166">
      <formula>OR($B2398 = "checklist",$B2398= "checklist-flat")</formula>
    </cfRule>
  </conditionalFormatting>
  <conditionalFormatting sqref="H2400:I2400">
    <cfRule type="expression" dxfId="40" priority="150">
      <formula>OR($D2400 = "checklist",$D2400 ="checklist-flat")</formula>
    </cfRule>
    <cfRule type="expression" dxfId="39" priority="151">
      <formula>$D2400="Section"</formula>
    </cfRule>
  </conditionalFormatting>
  <conditionalFormatting sqref="H2403:I2404 H2408:I2409 H2412:I2413 H2417:I2418 H2422:I2423 H2427:I2428 H2433:I2433 H2437:I2437 H2442:I2442 H2446:I2447 H2451:I2452 H2459:I2459">
    <cfRule type="expression" dxfId="38" priority="96">
      <formula>$B2403= "section"</formula>
    </cfRule>
    <cfRule type="expression" dxfId="37" priority="97">
      <formula>OR($B2403 = "checklist",$B2403= "checklist-flat")</formula>
    </cfRule>
  </conditionalFormatting>
  <conditionalFormatting sqref="H2405:I2405 H2410:I2410 H2414:I2414 H2419:I2419 H2424:I2424 H2429:I2429 H2434:I2434 H2439:I2439 H2444:I2444 H2448:I2448 H2453:I2453 H2455:I2455 H2461:I2461">
    <cfRule type="expression" dxfId="36" priority="93">
      <formula>OR($D2405 = "checklist",$D2405 ="checklist-flat")</formula>
    </cfRule>
    <cfRule type="expression" dxfId="35" priority="94">
      <formula>$D2405="Section"</formula>
    </cfRule>
  </conditionalFormatting>
  <conditionalFormatting sqref="H2432:I2432">
    <cfRule type="expression" dxfId="34" priority="84">
      <formula>$H2432= "section"</formula>
    </cfRule>
    <cfRule type="expression" dxfId="33" priority="85">
      <formula>OR($H2432 = "checklist",$H2432= "checklist-flat")</formula>
    </cfRule>
  </conditionalFormatting>
  <conditionalFormatting sqref="H2438:I2438">
    <cfRule type="expression" dxfId="32" priority="88">
      <formula>$H2438= "section"</formula>
    </cfRule>
    <cfRule type="expression" dxfId="31" priority="89">
      <formula>OR($H2438 = "checklist",$H2438= "checklist-flat")</formula>
    </cfRule>
  </conditionalFormatting>
  <conditionalFormatting sqref="H2443:I2443">
    <cfRule type="expression" dxfId="30" priority="86">
      <formula>$H2443= "section"</formula>
    </cfRule>
    <cfRule type="expression" dxfId="29" priority="87">
      <formula>OR($H2443 = "checklist",$H2443= "checklist-flat")</formula>
    </cfRule>
  </conditionalFormatting>
  <conditionalFormatting sqref="H2460:I2460">
    <cfRule type="expression" dxfId="28" priority="82">
      <formula>$H2460= "section"</formula>
    </cfRule>
    <cfRule type="expression" dxfId="27" priority="83">
      <formula>OR($H2460 = "checklist",$H2460= "checklist-flat")</formula>
    </cfRule>
  </conditionalFormatting>
  <conditionalFormatting sqref="H2476:I2481">
    <cfRule type="expression" dxfId="26" priority="59">
      <formula>OR($D2476 = "checklist",$D2476 ="checklist-flat")</formula>
    </cfRule>
    <cfRule type="expression" dxfId="25" priority="60">
      <formula>$D2476="Section"</formula>
    </cfRule>
    <cfRule type="expression" dxfId="24" priority="2323">
      <formula>COUNTIFS($D$6:$D$2610,$D$6, $E$6:$E$2563,$E$6 )&gt;1</formula>
    </cfRule>
  </conditionalFormatting>
  <conditionalFormatting sqref="H2325:L2340 K2340:K2345">
    <cfRule type="expression" dxfId="23" priority="188">
      <formula>$H2325= "section"</formula>
    </cfRule>
    <cfRule type="expression" dxfId="22" priority="189">
      <formula>OR($H2325 = "checklist",$H2325= "checklist-flat")</formula>
    </cfRule>
  </conditionalFormatting>
  <conditionalFormatting sqref="I2179:I2180">
    <cfRule type="expression" dxfId="21" priority="355">
      <formula>OR($D2179 = "checklist",$D2179 ="checklist-flat")</formula>
    </cfRule>
    <cfRule type="expression" dxfId="20" priority="356">
      <formula>$D2179="Section"</formula>
    </cfRule>
  </conditionalFormatting>
  <conditionalFormatting sqref="I2468">
    <cfRule type="expression" dxfId="19" priority="69">
      <formula>$H2469= "section"</formula>
    </cfRule>
    <cfRule type="expression" dxfId="18" priority="70">
      <formula>OR($H2469 = "checklist",$H2469= "checklist-flat")</formula>
    </cfRule>
  </conditionalFormatting>
  <conditionalFormatting sqref="K2520:K2544">
    <cfRule type="expression" dxfId="17" priority="7">
      <formula>$H2520= "section"</formula>
    </cfRule>
    <cfRule type="expression" dxfId="16" priority="8">
      <formula>OR($H2520 = "checklist",$H2520= "checklist-flat")</formula>
    </cfRule>
  </conditionalFormatting>
  <conditionalFormatting sqref="M4:M2587">
    <cfRule type="notContainsBlanks" dxfId="15" priority="2">
      <formula>LEN(TRIM(M4))&gt;0</formula>
    </cfRule>
  </conditionalFormatting>
  <conditionalFormatting sqref="M2520">
    <cfRule type="expression" dxfId="14" priority="18">
      <formula>$H2520= "section"</formula>
    </cfRule>
    <cfRule type="expression" dxfId="13" priority="19">
      <formula>OR($H2520 = "checklist",$H2520= "checklist-flat")</formula>
    </cfRule>
  </conditionalFormatting>
  <conditionalFormatting sqref="M2564:M2587">
    <cfRule type="expression" dxfId="12" priority="3">
      <formula>$H2564= "section"</formula>
    </cfRule>
    <cfRule type="expression" dxfId="11" priority="4">
      <formula>OR($H2564 = "checklist",$H2564= "checklist-flat")</formula>
    </cfRule>
  </conditionalFormatting>
  <pageMargins left="0.7" right="0.7" top="0.75" bottom="0.75" header="0.3" footer="0.3"/>
  <pageSetup paperSize="9" orientation="portrait" r:id="rId1"/>
  <legacyDrawing r:id="rId2"/>
  <tableParts count="1">
    <tablePart r:id="rId3"/>
  </tableParts>
  <extLst>
    <ext xmlns:x14="http://schemas.microsoft.com/office/spreadsheetml/2009/9/main" uri="{CCE6A557-97BC-4b89-ADB6-D9C93CAAB3DF}">
      <x14:dataValidations xmlns:xm="http://schemas.microsoft.com/office/excel/2006/main" count="2">
        <x14:dataValidation type="list" allowBlank="1" showInputMessage="1" showErrorMessage="1" xr:uid="{F71D0520-3EDE-4D0D-BD85-B9DCBB890205}">
          <x14:formula1>
            <xm:f>Ref!$J$2:$J$6</xm:f>
          </x14:formula1>
          <xm:sqref>E3 E1813:E1048576</xm:sqref>
        </x14:dataValidation>
        <x14:dataValidation type="list" allowBlank="1" showInputMessage="1" showErrorMessage="1" xr:uid="{C8810D50-24A0-44FD-A385-58FAB00A7F79}">
          <x14:formula1>
            <xm:f>Ref!$L$2:$L$6</xm:f>
          </x14:formula1>
          <xm:sqref>A4:A2719</xm:sqref>
        </x14:dataValidation>
      </x14:dataValidations>
    </ext>
  </extLst>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_rels/item5.xml.rels><?xml version="1.0" encoding="UTF-8" standalone="yes"?>
<Relationships xmlns="http://schemas.openxmlformats.org/package/2006/relationships"><Relationship Id="rId1" Type="http://schemas.openxmlformats.org/officeDocument/2006/relationships/customXmlProps" Target="itemProps5.xml"/></Relationships>
</file>

<file path=customXml/_rels/item6.xml.rels><?xml version="1.0" encoding="UTF-8" standalone="yes"?>
<Relationships xmlns="http://schemas.openxmlformats.org/package/2006/relationships"><Relationship Id="rId1" Type="http://schemas.openxmlformats.org/officeDocument/2006/relationships/customXmlProps" Target="itemProps6.xml"/></Relationships>
</file>

<file path=customXml/_rels/item7.xml.rels><?xml version="1.0" encoding="UTF-8" standalone="yes"?>
<Relationships xmlns="http://schemas.openxmlformats.org/package/2006/relationships"><Relationship Id="rId1" Type="http://schemas.openxmlformats.org/officeDocument/2006/relationships/customXmlProps" Target="itemProps7.xml"/></Relationships>
</file>

<file path=customXml/item1.xml>�� 
</file>

<file path=customXml/item2.xml><?xml version="1.0" encoding="utf-8"?>
<p:properties xmlns:p="http://schemas.microsoft.com/office/2006/metadata/properties" xmlns:xsi="http://www.w3.org/2001/XMLSchema-instance" xmlns:pc="http://schemas.microsoft.com/office/infopath/2007/PartnerControls">
  <documentManagement/>
</p:properties>
</file>

<file path=customXml/item3.xml>�� 
</file>

<file path=customXml/item4.xml>�� 
</file>

<file path=customXml/item5.xml><?xml version="1.0" encoding="utf-8"?>
<ct:contentTypeSchema xmlns:ct="http://schemas.microsoft.com/office/2006/metadata/contentType" xmlns:ma="http://schemas.microsoft.com/office/2006/metadata/properties/metaAttributes" ct:_="" ma:_="" ma:contentTypeName="Document" ma:contentTypeID="0x0101009442257764732D4D9696DB2056D41796" ma:contentTypeVersion="6" ma:contentTypeDescription="Create a new document." ma:contentTypeScope="" ma:versionID="b43d891bdbfc99a180f3c72e3e0654e7">
  <xsd:schema xmlns:xsd="http://www.w3.org/2001/XMLSchema" xmlns:xs="http://www.w3.org/2001/XMLSchema" xmlns:p="http://schemas.microsoft.com/office/2006/metadata/properties" xmlns:ns2="6a5c1a7a-6403-43ef-9822-c15a8e5b3d66" xmlns:ns3="e310972e-7cb2-42de-ad9d-57fae8644c14" targetNamespace="http://schemas.microsoft.com/office/2006/metadata/properties" ma:root="true" ma:fieldsID="6f2173373f45c2a0d0ac94230b2db0fa" ns2:_="" ns3:_="">
    <xsd:import namespace="6a5c1a7a-6403-43ef-9822-c15a8e5b3d66"/>
    <xsd:import namespace="e310972e-7cb2-42de-ad9d-57fae8644c14"/>
    <xsd:element name="properties">
      <xsd:complexType>
        <xsd:sequence>
          <xsd:element name="documentManagement">
            <xsd:complexType>
              <xsd:all>
                <xsd:element ref="ns2:MediaServiceMetadata" minOccurs="0"/>
                <xsd:element ref="ns2:MediaServiceFastMetadata" minOccurs="0"/>
                <xsd:element ref="ns2:MediaServiceSearchProperties" minOccurs="0"/>
                <xsd:element ref="ns2:MediaServiceObjectDetectorVersions" minOccurs="0"/>
                <xsd:element ref="ns3:SharedWithUsers" minOccurs="0"/>
                <xsd:element ref="ns3:SharedWithDetail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6a5c1a7a-6403-43ef-9822-c15a8e5b3d66"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SearchProperties" ma:index="10" nillable="true" ma:displayName="MediaServiceSearchProperties" ma:hidden="true" ma:internalName="MediaServiceSearchProperties" ma:readOnly="true">
      <xsd:simpleType>
        <xsd:restriction base="dms:Note"/>
      </xsd:simpleType>
    </xsd:element>
    <xsd:element name="MediaServiceObjectDetectorVersions" ma:index="11" nillable="true" ma:displayName="MediaServiceObjectDetectorVersions" ma:hidden="true" ma:indexed="true" ma:internalName="MediaServiceObjectDetectorVersions" ma:readOnly="true">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e310972e-7cb2-42de-ad9d-57fae8644c14" elementFormDefault="qualified">
    <xsd:import namespace="http://schemas.microsoft.com/office/2006/documentManagement/types"/>
    <xsd:import namespace="http://schemas.microsoft.com/office/infopath/2007/PartnerControls"/>
    <xsd:element name="SharedWithUsers" ma:index="12"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3"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6.xml>�� 
</file>

<file path=customXml/item7.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810741DF-98C5-4CA7-8B19-9CF53098BE73}"/>
</file>

<file path=customXml/itemProps2.xml><?xml version="1.0" encoding="utf-8"?>
<ds:datastoreItem xmlns:ds="http://schemas.openxmlformats.org/officeDocument/2006/customXml" ds:itemID="{DC97F2A5-5974-4BB7-B081-D1CEDB8FAD60}"/>
</file>

<file path=customXml/itemProps3.xml><?xml version="1.0" encoding="utf-8"?>
<ds:datastoreItem xmlns:ds="http://schemas.openxmlformats.org/officeDocument/2006/customXml" ds:itemID="{5066C9C3-944B-4E05-8F9C-481548721D5F}"/>
</file>

<file path=customXml/itemProps4.xml><?xml version="1.0" encoding="utf-8"?>
<ds:datastoreItem xmlns:ds="http://schemas.openxmlformats.org/officeDocument/2006/customXml" ds:itemID="{4861D3DC-88ED-402E-9193-749243672E8E}"/>
</file>

<file path=customXml/itemProps5.xml><?xml version="1.0" encoding="utf-8"?>
<ds:datastoreItem xmlns:ds="http://schemas.openxmlformats.org/officeDocument/2006/customXml" ds:itemID="{6DED8E8E-7DE3-4E2A-9A53-59D9A2B5708B}"/>
</file>

<file path=customXml/itemProps6.xml><?xml version="1.0" encoding="utf-8"?>
<ds:datastoreItem xmlns:ds="http://schemas.openxmlformats.org/officeDocument/2006/customXml" ds:itemID="{59AD40B2-FC22-4A1F-A61D-4203F896E7F1}"/>
</file>

<file path=customXml/itemProps7.xml><?xml version="1.0" encoding="utf-8"?>
<ds:datastoreItem xmlns:ds="http://schemas.openxmlformats.org/officeDocument/2006/customXml" ds:itemID="{1BE29FD9-8371-4DD1-9C1B-FC2CD74CA0F8}"/>
</file>

<file path=docProps/app.xml><?xml version="1.0" encoding="utf-8"?>
<Properties xmlns="http://schemas.openxmlformats.org/officeDocument/2006/extended-properties" xmlns:vt="http://schemas.openxmlformats.org/officeDocument/2006/docPropsVTypes">
  <Application>Microsoft Excel Online</Application>
  <Manager/>
  <Company/>
  <HyperlinkBase/>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Michael Mitchelson</dc:creator>
  <cp:keywords/>
  <dc:description/>
  <cp:lastModifiedBy/>
  <cp:revision/>
  <dcterms:created xsi:type="dcterms:W3CDTF">2021-10-05T01:59:14Z</dcterms:created>
  <dcterms:modified xsi:type="dcterms:W3CDTF">2024-02-26T22:24:19Z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0x0101009442257764732D4D9696DB2056D41796</vt:lpwstr>
  </property>
  <property fmtid="{D5CDD505-2E9C-101B-9397-08002B2CF9AE}" pid="3" name="Site">
    <vt:lpwstr/>
  </property>
</Properties>
</file>